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Git\CMOL\NGS\Controls\"/>
    </mc:Choice>
  </mc:AlternateContent>
  <xr:revisionPtr revIDLastSave="0" documentId="13_ncr:1_{6B43D5A5-C103-4AE8-B9B9-8A8EB2A43590}" xr6:coauthVersionLast="45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61" i="1" l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T160" i="1"/>
  <c r="S160" i="1"/>
  <c r="T7" i="1" l="1"/>
  <c r="V7" i="1" s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/>
  <c r="Q74" i="1"/>
  <c r="U74" i="1" s="1"/>
  <c r="T75" i="1"/>
  <c r="V75" i="1" s="1"/>
  <c r="Q75" i="1"/>
  <c r="U75" i="1" s="1"/>
  <c r="T76" i="1"/>
  <c r="V76" i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/>
  <c r="Q92" i="1"/>
  <c r="U92" i="1" s="1"/>
  <c r="T93" i="1"/>
  <c r="V93" i="1" s="1"/>
  <c r="Q93" i="1"/>
  <c r="U93" i="1" s="1"/>
  <c r="T94" i="1"/>
  <c r="V94" i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/>
  <c r="T116" i="1"/>
  <c r="V116" i="1" s="1"/>
  <c r="Q116" i="1"/>
  <c r="U116" i="1" s="1"/>
  <c r="T117" i="1"/>
  <c r="V117" i="1" s="1"/>
  <c r="Q117" i="1"/>
  <c r="U117" i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/>
  <c r="T124" i="1"/>
  <c r="V124" i="1" s="1"/>
  <c r="Q124" i="1"/>
  <c r="U124" i="1" s="1"/>
  <c r="T125" i="1"/>
  <c r="V125" i="1" s="1"/>
  <c r="Q125" i="1"/>
  <c r="U125" i="1"/>
  <c r="T126" i="1"/>
  <c r="V126" i="1" s="1"/>
  <c r="Q126" i="1"/>
  <c r="U126" i="1" s="1"/>
  <c r="T127" i="1"/>
  <c r="V127" i="1" s="1"/>
  <c r="Q127" i="1"/>
  <c r="U127" i="1" s="1"/>
  <c r="T128" i="1"/>
  <c r="V128" i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/>
  <c r="T143" i="1"/>
  <c r="V143" i="1"/>
  <c r="Q143" i="1"/>
  <c r="U143" i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/>
  <c r="T151" i="1"/>
  <c r="V151" i="1" s="1"/>
  <c r="Q151" i="1"/>
  <c r="U151" i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T158" i="1"/>
  <c r="V158" i="1" s="1"/>
  <c r="Q158" i="1"/>
  <c r="U158" i="1"/>
  <c r="V160" i="1"/>
  <c r="V161" i="1"/>
  <c r="V162" i="1"/>
  <c r="Q160" i="1"/>
  <c r="U160" i="1" s="1"/>
  <c r="Q161" i="1"/>
  <c r="U161" i="1" s="1"/>
  <c r="Q162" i="1"/>
  <c r="U162" i="1" s="1"/>
  <c r="V163" i="1"/>
  <c r="Q163" i="1"/>
  <c r="U163" i="1" s="1"/>
  <c r="V164" i="1"/>
  <c r="Q164" i="1"/>
  <c r="U164" i="1" s="1"/>
  <c r="V165" i="1"/>
  <c r="Q165" i="1"/>
  <c r="U165" i="1"/>
  <c r="V166" i="1"/>
  <c r="Q166" i="1"/>
  <c r="U166" i="1" s="1"/>
  <c r="V167" i="1"/>
  <c r="Q167" i="1"/>
  <c r="U167" i="1" s="1"/>
  <c r="V168" i="1"/>
  <c r="Q168" i="1"/>
  <c r="U168" i="1" s="1"/>
  <c r="V169" i="1"/>
  <c r="Q169" i="1"/>
  <c r="U169" i="1" s="1"/>
  <c r="V170" i="1"/>
  <c r="Q170" i="1"/>
  <c r="U170" i="1" s="1"/>
  <c r="V171" i="1"/>
  <c r="Q171" i="1"/>
  <c r="U171" i="1" s="1"/>
  <c r="V172" i="1"/>
  <c r="Q172" i="1"/>
  <c r="U172" i="1" s="1"/>
  <c r="V173" i="1"/>
  <c r="Q173" i="1"/>
  <c r="U173" i="1" s="1"/>
  <c r="V174" i="1"/>
  <c r="Q174" i="1"/>
  <c r="U174" i="1" s="1"/>
  <c r="V175" i="1"/>
  <c r="Q175" i="1"/>
  <c r="U175" i="1" s="1"/>
  <c r="V176" i="1"/>
  <c r="Q176" i="1"/>
  <c r="U176" i="1" s="1"/>
  <c r="V177" i="1"/>
  <c r="Q177" i="1"/>
  <c r="U177" i="1" s="1"/>
  <c r="V178" i="1"/>
  <c r="Q178" i="1"/>
  <c r="U178" i="1"/>
  <c r="V179" i="1"/>
  <c r="Q179" i="1"/>
  <c r="U179" i="1" s="1"/>
  <c r="V180" i="1"/>
  <c r="Q180" i="1"/>
  <c r="U180" i="1" s="1"/>
  <c r="V181" i="1"/>
  <c r="Q181" i="1"/>
  <c r="U181" i="1" s="1"/>
  <c r="V182" i="1"/>
  <c r="Q182" i="1"/>
  <c r="U182" i="1" s="1"/>
  <c r="V183" i="1"/>
  <c r="Q183" i="1"/>
  <c r="U183" i="1" s="1"/>
  <c r="V184" i="1"/>
  <c r="Q184" i="1"/>
  <c r="U184" i="1" s="1"/>
  <c r="V185" i="1"/>
  <c r="Q185" i="1"/>
  <c r="U185" i="1" s="1"/>
  <c r="V186" i="1"/>
  <c r="Q186" i="1"/>
  <c r="U186" i="1" s="1"/>
  <c r="V187" i="1"/>
  <c r="Q187" i="1"/>
  <c r="U187" i="1" s="1"/>
  <c r="V188" i="1"/>
  <c r="Q188" i="1"/>
  <c r="U188" i="1" s="1"/>
  <c r="V189" i="1"/>
  <c r="Q189" i="1"/>
  <c r="U189" i="1" s="1"/>
  <c r="V190" i="1"/>
  <c r="Q190" i="1"/>
  <c r="U190" i="1" s="1"/>
  <c r="V191" i="1"/>
  <c r="Q191" i="1"/>
  <c r="U191" i="1" s="1"/>
  <c r="V192" i="1"/>
  <c r="Q192" i="1"/>
  <c r="U192" i="1" s="1"/>
  <c r="V193" i="1"/>
  <c r="Q193" i="1"/>
  <c r="U193" i="1" s="1"/>
  <c r="V194" i="1"/>
  <c r="Q194" i="1"/>
  <c r="U194" i="1" s="1"/>
  <c r="V195" i="1"/>
  <c r="Q195" i="1"/>
  <c r="U195" i="1" s="1"/>
  <c r="V196" i="1"/>
  <c r="Q196" i="1"/>
  <c r="U196" i="1" s="1"/>
  <c r="V197" i="1"/>
  <c r="Q197" i="1"/>
  <c r="U197" i="1" s="1"/>
  <c r="V198" i="1"/>
  <c r="Q198" i="1"/>
  <c r="U198" i="1" s="1"/>
  <c r="B4" i="1"/>
  <c r="V199" i="1"/>
  <c r="Q199" i="1"/>
  <c r="U199" i="1" s="1"/>
  <c r="V200" i="1"/>
  <c r="Q200" i="1"/>
  <c r="U200" i="1"/>
  <c r="V201" i="1"/>
  <c r="Q201" i="1"/>
  <c r="U201" i="1" s="1"/>
  <c r="V202" i="1"/>
  <c r="Q202" i="1"/>
  <c r="U202" i="1" s="1"/>
  <c r="V203" i="1"/>
  <c r="Q203" i="1"/>
  <c r="U203" i="1" s="1"/>
  <c r="V204" i="1"/>
  <c r="Q204" i="1"/>
  <c r="U204" i="1" s="1"/>
  <c r="V205" i="1"/>
  <c r="Q205" i="1"/>
  <c r="U205" i="1" s="1"/>
  <c r="V206" i="1"/>
  <c r="Q206" i="1"/>
  <c r="U206" i="1" s="1"/>
  <c r="Q207" i="1"/>
  <c r="U207" i="1" s="1"/>
  <c r="Q208" i="1"/>
  <c r="U208" i="1" s="1"/>
  <c r="V209" i="1"/>
  <c r="Q209" i="1"/>
  <c r="U209" i="1"/>
  <c r="V210" i="1"/>
  <c r="Q210" i="1"/>
  <c r="U210" i="1" s="1"/>
  <c r="V211" i="1"/>
  <c r="Q211" i="1"/>
  <c r="U211" i="1"/>
  <c r="Q212" i="1"/>
  <c r="U212" i="1" s="1"/>
  <c r="Q213" i="1"/>
  <c r="U213" i="1"/>
  <c r="V214" i="1"/>
  <c r="Q214" i="1"/>
  <c r="U214" i="1"/>
  <c r="V215" i="1"/>
  <c r="Q215" i="1"/>
  <c r="U215" i="1" s="1"/>
  <c r="Q216" i="1"/>
  <c r="U216" i="1" s="1"/>
  <c r="V217" i="1"/>
  <c r="Q217" i="1"/>
  <c r="U217" i="1" s="1"/>
  <c r="V218" i="1"/>
  <c r="Q218" i="1"/>
  <c r="U218" i="1"/>
  <c r="Q219" i="1"/>
  <c r="U219" i="1"/>
  <c r="V220" i="1"/>
  <c r="Q220" i="1"/>
  <c r="U220" i="1" s="1"/>
  <c r="V221" i="1"/>
  <c r="Q221" i="1"/>
  <c r="U221" i="1"/>
  <c r="Q222" i="1"/>
  <c r="U222" i="1" s="1"/>
  <c r="V223" i="1"/>
  <c r="Q223" i="1"/>
  <c r="U223" i="1" s="1"/>
  <c r="V224" i="1"/>
  <c r="Q224" i="1"/>
  <c r="U224" i="1" s="1"/>
  <c r="V225" i="1"/>
  <c r="Q225" i="1"/>
  <c r="U225" i="1" s="1"/>
  <c r="V226" i="1"/>
  <c r="Q226" i="1"/>
  <c r="U226" i="1" s="1"/>
  <c r="V227" i="1"/>
  <c r="Q227" i="1"/>
  <c r="U227" i="1" s="1"/>
  <c r="V228" i="1"/>
  <c r="Q228" i="1"/>
  <c r="U228" i="1" s="1"/>
  <c r="Q229" i="1"/>
  <c r="U229" i="1"/>
  <c r="Q230" i="1"/>
  <c r="U230" i="1" s="1"/>
  <c r="V231" i="1"/>
  <c r="Q231" i="1"/>
  <c r="U231" i="1" s="1"/>
  <c r="V232" i="1"/>
  <c r="Q232" i="1"/>
  <c r="U232" i="1" s="1"/>
  <c r="V233" i="1"/>
  <c r="Q233" i="1"/>
  <c r="U233" i="1" s="1"/>
  <c r="V234" i="1"/>
  <c r="Q234" i="1"/>
  <c r="U234" i="1" s="1"/>
  <c r="Q235" i="1"/>
  <c r="U235" i="1" s="1"/>
  <c r="V236" i="1"/>
  <c r="Q236" i="1"/>
  <c r="U236" i="1"/>
  <c r="V237" i="1"/>
  <c r="Q237" i="1"/>
  <c r="U237" i="1" s="1"/>
  <c r="V238" i="1"/>
  <c r="Q238" i="1"/>
  <c r="U238" i="1"/>
  <c r="Q239" i="1"/>
  <c r="U239" i="1" s="1"/>
  <c r="Q240" i="1"/>
  <c r="U240" i="1"/>
  <c r="Q241" i="1"/>
  <c r="U241" i="1" s="1"/>
  <c r="V242" i="1"/>
  <c r="Q242" i="1"/>
  <c r="U242" i="1"/>
  <c r="V243" i="1"/>
  <c r="Q243" i="1"/>
  <c r="U243" i="1" s="1"/>
  <c r="Q244" i="1"/>
  <c r="U244" i="1" s="1"/>
  <c r="V245" i="1"/>
  <c r="Q245" i="1"/>
  <c r="U245" i="1"/>
  <c r="V246" i="1"/>
  <c r="Q246" i="1"/>
  <c r="U246" i="1" s="1"/>
  <c r="Q247" i="1"/>
  <c r="U247" i="1" s="1"/>
  <c r="V248" i="1"/>
  <c r="Q248" i="1"/>
  <c r="U248" i="1" s="1"/>
  <c r="K19" i="1"/>
  <c r="W19" i="1" s="1"/>
  <c r="R7" i="1"/>
  <c r="R82" i="1"/>
  <c r="S7" i="1"/>
  <c r="S82" i="1"/>
  <c r="J235" i="1"/>
  <c r="K235" i="1"/>
  <c r="W235" i="1"/>
  <c r="L235" i="1"/>
  <c r="M235" i="1"/>
  <c r="N235" i="1"/>
  <c r="O235" i="1"/>
  <c r="P235" i="1"/>
  <c r="R235" i="1"/>
  <c r="V235" i="1"/>
  <c r="J236" i="1"/>
  <c r="K236" i="1"/>
  <c r="W236" i="1" s="1"/>
  <c r="L236" i="1"/>
  <c r="M236" i="1"/>
  <c r="N236" i="1"/>
  <c r="O236" i="1"/>
  <c r="P236" i="1"/>
  <c r="R236" i="1"/>
  <c r="J237" i="1"/>
  <c r="K237" i="1"/>
  <c r="W237" i="1" s="1"/>
  <c r="L237" i="1"/>
  <c r="M237" i="1"/>
  <c r="N237" i="1"/>
  <c r="O237" i="1"/>
  <c r="P237" i="1"/>
  <c r="R237" i="1"/>
  <c r="J238" i="1"/>
  <c r="K238" i="1"/>
  <c r="W238" i="1"/>
  <c r="L238" i="1"/>
  <c r="M238" i="1"/>
  <c r="N238" i="1"/>
  <c r="O238" i="1"/>
  <c r="P238" i="1"/>
  <c r="R238" i="1"/>
  <c r="J239" i="1"/>
  <c r="K239" i="1"/>
  <c r="W239" i="1" s="1"/>
  <c r="L239" i="1"/>
  <c r="M239" i="1"/>
  <c r="N239" i="1"/>
  <c r="O239" i="1"/>
  <c r="P239" i="1"/>
  <c r="R239" i="1"/>
  <c r="V239" i="1"/>
  <c r="J240" i="1"/>
  <c r="K240" i="1"/>
  <c r="W240" i="1" s="1"/>
  <c r="L240" i="1"/>
  <c r="M240" i="1"/>
  <c r="N240" i="1"/>
  <c r="O240" i="1"/>
  <c r="P240" i="1"/>
  <c r="R240" i="1"/>
  <c r="V240" i="1"/>
  <c r="J241" i="1"/>
  <c r="K241" i="1"/>
  <c r="W241" i="1" s="1"/>
  <c r="L241" i="1"/>
  <c r="M241" i="1"/>
  <c r="N241" i="1"/>
  <c r="O241" i="1"/>
  <c r="P241" i="1"/>
  <c r="R241" i="1"/>
  <c r="V241" i="1"/>
  <c r="J242" i="1"/>
  <c r="K242" i="1"/>
  <c r="W242" i="1"/>
  <c r="L242" i="1"/>
  <c r="M242" i="1"/>
  <c r="N242" i="1"/>
  <c r="O242" i="1"/>
  <c r="P242" i="1"/>
  <c r="R242" i="1"/>
  <c r="J243" i="1"/>
  <c r="K243" i="1"/>
  <c r="W243" i="1"/>
  <c r="L243" i="1"/>
  <c r="M243" i="1"/>
  <c r="N243" i="1"/>
  <c r="O243" i="1"/>
  <c r="P243" i="1"/>
  <c r="R243" i="1"/>
  <c r="J244" i="1"/>
  <c r="K244" i="1"/>
  <c r="W244" i="1" s="1"/>
  <c r="L244" i="1"/>
  <c r="M244" i="1"/>
  <c r="N244" i="1"/>
  <c r="O244" i="1"/>
  <c r="P244" i="1"/>
  <c r="R244" i="1"/>
  <c r="V244" i="1"/>
  <c r="J245" i="1"/>
  <c r="K245" i="1"/>
  <c r="W245" i="1" s="1"/>
  <c r="L245" i="1"/>
  <c r="M245" i="1"/>
  <c r="N245" i="1"/>
  <c r="O245" i="1"/>
  <c r="P245" i="1"/>
  <c r="R245" i="1"/>
  <c r="J246" i="1"/>
  <c r="K246" i="1"/>
  <c r="W246" i="1" s="1"/>
  <c r="L246" i="1"/>
  <c r="M246" i="1"/>
  <c r="N246" i="1"/>
  <c r="O246" i="1"/>
  <c r="P246" i="1"/>
  <c r="R246" i="1"/>
  <c r="J247" i="1"/>
  <c r="K247" i="1"/>
  <c r="W247" i="1" s="1"/>
  <c r="L247" i="1"/>
  <c r="M247" i="1"/>
  <c r="N247" i="1"/>
  <c r="O247" i="1"/>
  <c r="P247" i="1"/>
  <c r="R247" i="1"/>
  <c r="V247" i="1"/>
  <c r="J248" i="1"/>
  <c r="K248" i="1"/>
  <c r="W248" i="1" s="1"/>
  <c r="L248" i="1"/>
  <c r="M248" i="1"/>
  <c r="N248" i="1"/>
  <c r="O248" i="1"/>
  <c r="P248" i="1"/>
  <c r="R248" i="1"/>
  <c r="J223" i="1"/>
  <c r="K223" i="1"/>
  <c r="W223" i="1" s="1"/>
  <c r="L223" i="1"/>
  <c r="M223" i="1"/>
  <c r="N223" i="1"/>
  <c r="O223" i="1"/>
  <c r="P223" i="1"/>
  <c r="R223" i="1"/>
  <c r="J224" i="1"/>
  <c r="K224" i="1"/>
  <c r="W224" i="1" s="1"/>
  <c r="L224" i="1"/>
  <c r="M224" i="1"/>
  <c r="N224" i="1"/>
  <c r="O224" i="1"/>
  <c r="P224" i="1"/>
  <c r="R224" i="1"/>
  <c r="J225" i="1"/>
  <c r="K225" i="1"/>
  <c r="L225" i="1"/>
  <c r="M225" i="1"/>
  <c r="N225" i="1"/>
  <c r="O225" i="1"/>
  <c r="P225" i="1"/>
  <c r="R225" i="1"/>
  <c r="W225" i="1"/>
  <c r="J226" i="1"/>
  <c r="K226" i="1"/>
  <c r="L226" i="1"/>
  <c r="M226" i="1"/>
  <c r="N226" i="1"/>
  <c r="O226" i="1"/>
  <c r="P226" i="1"/>
  <c r="R226" i="1"/>
  <c r="W226" i="1"/>
  <c r="J227" i="1"/>
  <c r="K227" i="1"/>
  <c r="W227" i="1" s="1"/>
  <c r="L227" i="1"/>
  <c r="M227" i="1"/>
  <c r="N227" i="1"/>
  <c r="O227" i="1"/>
  <c r="P227" i="1"/>
  <c r="R227" i="1"/>
  <c r="J228" i="1"/>
  <c r="K228" i="1"/>
  <c r="W228" i="1" s="1"/>
  <c r="L228" i="1"/>
  <c r="M228" i="1"/>
  <c r="N228" i="1"/>
  <c r="O228" i="1"/>
  <c r="P228" i="1"/>
  <c r="R228" i="1"/>
  <c r="J229" i="1"/>
  <c r="K229" i="1"/>
  <c r="W229" i="1" s="1"/>
  <c r="L229" i="1"/>
  <c r="M229" i="1"/>
  <c r="N229" i="1"/>
  <c r="O229" i="1"/>
  <c r="P229" i="1"/>
  <c r="R229" i="1"/>
  <c r="V229" i="1"/>
  <c r="J230" i="1"/>
  <c r="K230" i="1"/>
  <c r="W230" i="1" s="1"/>
  <c r="L230" i="1"/>
  <c r="M230" i="1"/>
  <c r="N230" i="1"/>
  <c r="O230" i="1"/>
  <c r="P230" i="1"/>
  <c r="R230" i="1"/>
  <c r="V230" i="1"/>
  <c r="J231" i="1"/>
  <c r="K231" i="1"/>
  <c r="W231" i="1" s="1"/>
  <c r="L231" i="1"/>
  <c r="M231" i="1"/>
  <c r="N231" i="1"/>
  <c r="O231" i="1"/>
  <c r="P231" i="1"/>
  <c r="R231" i="1"/>
  <c r="J232" i="1"/>
  <c r="K232" i="1"/>
  <c r="W232" i="1" s="1"/>
  <c r="L232" i="1"/>
  <c r="M232" i="1"/>
  <c r="N232" i="1"/>
  <c r="O232" i="1"/>
  <c r="P232" i="1"/>
  <c r="R232" i="1"/>
  <c r="J233" i="1"/>
  <c r="K233" i="1"/>
  <c r="W233" i="1" s="1"/>
  <c r="L233" i="1"/>
  <c r="M233" i="1"/>
  <c r="N233" i="1"/>
  <c r="O233" i="1"/>
  <c r="P233" i="1"/>
  <c r="R233" i="1"/>
  <c r="J234" i="1"/>
  <c r="K234" i="1"/>
  <c r="W234" i="1" s="1"/>
  <c r="L234" i="1"/>
  <c r="M234" i="1"/>
  <c r="N234" i="1"/>
  <c r="O234" i="1"/>
  <c r="P234" i="1"/>
  <c r="R234" i="1"/>
  <c r="J213" i="1"/>
  <c r="K213" i="1"/>
  <c r="W213" i="1" s="1"/>
  <c r="L213" i="1"/>
  <c r="M213" i="1"/>
  <c r="N213" i="1"/>
  <c r="O213" i="1"/>
  <c r="P213" i="1"/>
  <c r="R213" i="1"/>
  <c r="V213" i="1"/>
  <c r="J214" i="1"/>
  <c r="K214" i="1"/>
  <c r="W214" i="1" s="1"/>
  <c r="L214" i="1"/>
  <c r="M214" i="1"/>
  <c r="N214" i="1"/>
  <c r="O214" i="1"/>
  <c r="P214" i="1"/>
  <c r="R214" i="1"/>
  <c r="J215" i="1"/>
  <c r="K215" i="1"/>
  <c r="W215" i="1"/>
  <c r="L215" i="1"/>
  <c r="M215" i="1"/>
  <c r="N215" i="1"/>
  <c r="O215" i="1"/>
  <c r="P215" i="1"/>
  <c r="R215" i="1"/>
  <c r="J216" i="1"/>
  <c r="K216" i="1"/>
  <c r="W216" i="1" s="1"/>
  <c r="L216" i="1"/>
  <c r="M216" i="1"/>
  <c r="N216" i="1"/>
  <c r="O216" i="1"/>
  <c r="P216" i="1"/>
  <c r="R216" i="1"/>
  <c r="V216" i="1"/>
  <c r="J217" i="1"/>
  <c r="K217" i="1"/>
  <c r="W217" i="1" s="1"/>
  <c r="L217" i="1"/>
  <c r="M217" i="1"/>
  <c r="N217" i="1"/>
  <c r="O217" i="1"/>
  <c r="P217" i="1"/>
  <c r="R217" i="1"/>
  <c r="J218" i="1"/>
  <c r="K218" i="1"/>
  <c r="L218" i="1"/>
  <c r="M218" i="1"/>
  <c r="N218" i="1"/>
  <c r="O218" i="1"/>
  <c r="P218" i="1"/>
  <c r="R218" i="1"/>
  <c r="W218" i="1"/>
  <c r="J219" i="1"/>
  <c r="K219" i="1"/>
  <c r="L219" i="1"/>
  <c r="M219" i="1"/>
  <c r="N219" i="1"/>
  <c r="O219" i="1"/>
  <c r="P219" i="1"/>
  <c r="R219" i="1"/>
  <c r="V219" i="1"/>
  <c r="W219" i="1"/>
  <c r="J220" i="1"/>
  <c r="K220" i="1"/>
  <c r="W220" i="1"/>
  <c r="L220" i="1"/>
  <c r="M220" i="1"/>
  <c r="N220" i="1"/>
  <c r="O220" i="1"/>
  <c r="P220" i="1"/>
  <c r="R220" i="1"/>
  <c r="J221" i="1"/>
  <c r="K221" i="1"/>
  <c r="W221" i="1" s="1"/>
  <c r="L221" i="1"/>
  <c r="M221" i="1"/>
  <c r="N221" i="1"/>
  <c r="O221" i="1"/>
  <c r="P221" i="1"/>
  <c r="R221" i="1"/>
  <c r="J222" i="1"/>
  <c r="K222" i="1"/>
  <c r="W222" i="1" s="1"/>
  <c r="L222" i="1"/>
  <c r="M222" i="1"/>
  <c r="N222" i="1"/>
  <c r="O222" i="1"/>
  <c r="P222" i="1"/>
  <c r="R222" i="1"/>
  <c r="V222" i="1"/>
  <c r="J204" i="1"/>
  <c r="K204" i="1"/>
  <c r="W204" i="1" s="1"/>
  <c r="L204" i="1"/>
  <c r="M204" i="1"/>
  <c r="N204" i="1"/>
  <c r="O204" i="1"/>
  <c r="P204" i="1"/>
  <c r="R204" i="1"/>
  <c r="J205" i="1"/>
  <c r="K205" i="1"/>
  <c r="L205" i="1"/>
  <c r="M205" i="1"/>
  <c r="N205" i="1"/>
  <c r="O205" i="1"/>
  <c r="P205" i="1"/>
  <c r="R205" i="1"/>
  <c r="W205" i="1"/>
  <c r="J206" i="1"/>
  <c r="K206" i="1"/>
  <c r="W206" i="1" s="1"/>
  <c r="L206" i="1"/>
  <c r="M206" i="1"/>
  <c r="N206" i="1"/>
  <c r="O206" i="1"/>
  <c r="P206" i="1"/>
  <c r="R206" i="1"/>
  <c r="J207" i="1"/>
  <c r="K207" i="1"/>
  <c r="W207" i="1" s="1"/>
  <c r="L207" i="1"/>
  <c r="M207" i="1"/>
  <c r="N207" i="1"/>
  <c r="O207" i="1"/>
  <c r="P207" i="1"/>
  <c r="R207" i="1"/>
  <c r="V207" i="1"/>
  <c r="J208" i="1"/>
  <c r="K208" i="1"/>
  <c r="W208" i="1"/>
  <c r="L208" i="1"/>
  <c r="M208" i="1"/>
  <c r="N208" i="1"/>
  <c r="O208" i="1"/>
  <c r="P208" i="1"/>
  <c r="R208" i="1"/>
  <c r="V208" i="1"/>
  <c r="J209" i="1"/>
  <c r="K209" i="1"/>
  <c r="W209" i="1" s="1"/>
  <c r="L209" i="1"/>
  <c r="M209" i="1"/>
  <c r="N209" i="1"/>
  <c r="O209" i="1"/>
  <c r="P209" i="1"/>
  <c r="R209" i="1"/>
  <c r="J210" i="1"/>
  <c r="K210" i="1"/>
  <c r="W210" i="1"/>
  <c r="L210" i="1"/>
  <c r="M210" i="1"/>
  <c r="N210" i="1"/>
  <c r="O210" i="1"/>
  <c r="P210" i="1"/>
  <c r="R210" i="1"/>
  <c r="J211" i="1"/>
  <c r="K211" i="1"/>
  <c r="W211" i="1" s="1"/>
  <c r="L211" i="1"/>
  <c r="M211" i="1"/>
  <c r="N211" i="1"/>
  <c r="O211" i="1"/>
  <c r="P211" i="1"/>
  <c r="R211" i="1"/>
  <c r="J212" i="1"/>
  <c r="K212" i="1"/>
  <c r="W212" i="1" s="1"/>
  <c r="L212" i="1"/>
  <c r="M212" i="1"/>
  <c r="N212" i="1"/>
  <c r="O212" i="1"/>
  <c r="P212" i="1"/>
  <c r="R212" i="1"/>
  <c r="V212" i="1"/>
  <c r="J165" i="1"/>
  <c r="K165" i="1"/>
  <c r="W165" i="1" s="1"/>
  <c r="L165" i="1"/>
  <c r="M165" i="1"/>
  <c r="N165" i="1"/>
  <c r="O165" i="1"/>
  <c r="P165" i="1"/>
  <c r="R165" i="1"/>
  <c r="J166" i="1"/>
  <c r="K166" i="1"/>
  <c r="L166" i="1"/>
  <c r="M166" i="1"/>
  <c r="N166" i="1"/>
  <c r="O166" i="1"/>
  <c r="P166" i="1"/>
  <c r="R166" i="1"/>
  <c r="W166" i="1"/>
  <c r="J167" i="1"/>
  <c r="K167" i="1"/>
  <c r="W167" i="1" s="1"/>
  <c r="L167" i="1"/>
  <c r="M167" i="1"/>
  <c r="N167" i="1"/>
  <c r="O167" i="1"/>
  <c r="P167" i="1"/>
  <c r="R167" i="1"/>
  <c r="J168" i="1"/>
  <c r="K168" i="1"/>
  <c r="W168" i="1" s="1"/>
  <c r="L168" i="1"/>
  <c r="M168" i="1"/>
  <c r="N168" i="1"/>
  <c r="O168" i="1"/>
  <c r="P168" i="1"/>
  <c r="R168" i="1"/>
  <c r="J169" i="1"/>
  <c r="K169" i="1"/>
  <c r="W169" i="1" s="1"/>
  <c r="L169" i="1"/>
  <c r="M169" i="1"/>
  <c r="N169" i="1"/>
  <c r="O169" i="1"/>
  <c r="P169" i="1"/>
  <c r="R169" i="1"/>
  <c r="J170" i="1"/>
  <c r="K170" i="1"/>
  <c r="W170" i="1" s="1"/>
  <c r="L170" i="1"/>
  <c r="M170" i="1"/>
  <c r="N170" i="1"/>
  <c r="O170" i="1"/>
  <c r="P170" i="1"/>
  <c r="R170" i="1"/>
  <c r="J171" i="1"/>
  <c r="K171" i="1"/>
  <c r="W171" i="1" s="1"/>
  <c r="L171" i="1"/>
  <c r="M171" i="1"/>
  <c r="N171" i="1"/>
  <c r="O171" i="1"/>
  <c r="P171" i="1"/>
  <c r="R171" i="1"/>
  <c r="J172" i="1"/>
  <c r="K172" i="1"/>
  <c r="W172" i="1" s="1"/>
  <c r="L172" i="1"/>
  <c r="M172" i="1"/>
  <c r="N172" i="1"/>
  <c r="O172" i="1"/>
  <c r="P172" i="1"/>
  <c r="R172" i="1"/>
  <c r="J173" i="1"/>
  <c r="K173" i="1"/>
  <c r="W173" i="1" s="1"/>
  <c r="L173" i="1"/>
  <c r="M173" i="1"/>
  <c r="N173" i="1"/>
  <c r="O173" i="1"/>
  <c r="P173" i="1"/>
  <c r="R173" i="1"/>
  <c r="J174" i="1"/>
  <c r="K174" i="1"/>
  <c r="W174" i="1" s="1"/>
  <c r="L174" i="1"/>
  <c r="M174" i="1"/>
  <c r="N174" i="1"/>
  <c r="O174" i="1"/>
  <c r="P174" i="1"/>
  <c r="R174" i="1"/>
  <c r="J175" i="1"/>
  <c r="K175" i="1"/>
  <c r="W175" i="1" s="1"/>
  <c r="L175" i="1"/>
  <c r="M175" i="1"/>
  <c r="N175" i="1"/>
  <c r="O175" i="1"/>
  <c r="P175" i="1"/>
  <c r="R175" i="1"/>
  <c r="J176" i="1"/>
  <c r="K176" i="1"/>
  <c r="W176" i="1" s="1"/>
  <c r="L176" i="1"/>
  <c r="M176" i="1"/>
  <c r="N176" i="1"/>
  <c r="O176" i="1"/>
  <c r="P176" i="1"/>
  <c r="R176" i="1"/>
  <c r="J177" i="1"/>
  <c r="K177" i="1"/>
  <c r="L177" i="1"/>
  <c r="M177" i="1"/>
  <c r="N177" i="1"/>
  <c r="O177" i="1"/>
  <c r="P177" i="1"/>
  <c r="R177" i="1"/>
  <c r="W177" i="1"/>
  <c r="J178" i="1"/>
  <c r="K178" i="1"/>
  <c r="W178" i="1" s="1"/>
  <c r="L178" i="1"/>
  <c r="M178" i="1"/>
  <c r="N178" i="1"/>
  <c r="O178" i="1"/>
  <c r="P178" i="1"/>
  <c r="R178" i="1"/>
  <c r="J179" i="1"/>
  <c r="K179" i="1"/>
  <c r="W179" i="1" s="1"/>
  <c r="L179" i="1"/>
  <c r="M179" i="1"/>
  <c r="N179" i="1"/>
  <c r="O179" i="1"/>
  <c r="P179" i="1"/>
  <c r="R179" i="1"/>
  <c r="J180" i="1"/>
  <c r="K180" i="1"/>
  <c r="W180" i="1" s="1"/>
  <c r="L180" i="1"/>
  <c r="M180" i="1"/>
  <c r="N180" i="1"/>
  <c r="O180" i="1"/>
  <c r="P180" i="1"/>
  <c r="R180" i="1"/>
  <c r="J181" i="1"/>
  <c r="K181" i="1"/>
  <c r="W181" i="1" s="1"/>
  <c r="L181" i="1"/>
  <c r="M181" i="1"/>
  <c r="N181" i="1"/>
  <c r="O181" i="1"/>
  <c r="P181" i="1"/>
  <c r="R181" i="1"/>
  <c r="J182" i="1"/>
  <c r="K182" i="1"/>
  <c r="W182" i="1" s="1"/>
  <c r="L182" i="1"/>
  <c r="M182" i="1"/>
  <c r="N182" i="1"/>
  <c r="O182" i="1"/>
  <c r="P182" i="1"/>
  <c r="R182" i="1"/>
  <c r="J183" i="1"/>
  <c r="K183" i="1"/>
  <c r="W183" i="1" s="1"/>
  <c r="L183" i="1"/>
  <c r="M183" i="1"/>
  <c r="N183" i="1"/>
  <c r="O183" i="1"/>
  <c r="P183" i="1"/>
  <c r="R183" i="1"/>
  <c r="J184" i="1"/>
  <c r="K184" i="1"/>
  <c r="W184" i="1" s="1"/>
  <c r="L184" i="1"/>
  <c r="M184" i="1"/>
  <c r="N184" i="1"/>
  <c r="O184" i="1"/>
  <c r="P184" i="1"/>
  <c r="R184" i="1"/>
  <c r="J185" i="1"/>
  <c r="K185" i="1"/>
  <c r="W185" i="1" s="1"/>
  <c r="L185" i="1"/>
  <c r="M185" i="1"/>
  <c r="N185" i="1"/>
  <c r="O185" i="1"/>
  <c r="P185" i="1"/>
  <c r="R185" i="1"/>
  <c r="J186" i="1"/>
  <c r="K186" i="1"/>
  <c r="W186" i="1" s="1"/>
  <c r="L186" i="1"/>
  <c r="M186" i="1"/>
  <c r="N186" i="1"/>
  <c r="O186" i="1"/>
  <c r="P186" i="1"/>
  <c r="R186" i="1"/>
  <c r="J187" i="1"/>
  <c r="K187" i="1"/>
  <c r="W187" i="1" s="1"/>
  <c r="L187" i="1"/>
  <c r="M187" i="1"/>
  <c r="N187" i="1"/>
  <c r="O187" i="1"/>
  <c r="P187" i="1"/>
  <c r="R187" i="1"/>
  <c r="J188" i="1"/>
  <c r="K188" i="1"/>
  <c r="W188" i="1" s="1"/>
  <c r="L188" i="1"/>
  <c r="M188" i="1"/>
  <c r="N188" i="1"/>
  <c r="O188" i="1"/>
  <c r="P188" i="1"/>
  <c r="R188" i="1"/>
  <c r="J189" i="1"/>
  <c r="K189" i="1"/>
  <c r="W189" i="1" s="1"/>
  <c r="L189" i="1"/>
  <c r="M189" i="1"/>
  <c r="N189" i="1"/>
  <c r="O189" i="1"/>
  <c r="P189" i="1"/>
  <c r="R189" i="1"/>
  <c r="J190" i="1"/>
  <c r="K190" i="1"/>
  <c r="W190" i="1" s="1"/>
  <c r="L190" i="1"/>
  <c r="M190" i="1"/>
  <c r="N190" i="1"/>
  <c r="O190" i="1"/>
  <c r="P190" i="1"/>
  <c r="R190" i="1"/>
  <c r="J191" i="1"/>
  <c r="K191" i="1"/>
  <c r="W191" i="1"/>
  <c r="L191" i="1"/>
  <c r="M191" i="1"/>
  <c r="N191" i="1"/>
  <c r="O191" i="1"/>
  <c r="P191" i="1"/>
  <c r="R191" i="1"/>
  <c r="J192" i="1"/>
  <c r="K192" i="1"/>
  <c r="W192" i="1" s="1"/>
  <c r="L192" i="1"/>
  <c r="M192" i="1"/>
  <c r="N192" i="1"/>
  <c r="O192" i="1"/>
  <c r="P192" i="1"/>
  <c r="R192" i="1"/>
  <c r="J193" i="1"/>
  <c r="K193" i="1"/>
  <c r="W193" i="1" s="1"/>
  <c r="L193" i="1"/>
  <c r="M193" i="1"/>
  <c r="N193" i="1"/>
  <c r="O193" i="1"/>
  <c r="P193" i="1"/>
  <c r="R193" i="1"/>
  <c r="J194" i="1"/>
  <c r="K194" i="1"/>
  <c r="W194" i="1" s="1"/>
  <c r="L194" i="1"/>
  <c r="M194" i="1"/>
  <c r="N194" i="1"/>
  <c r="O194" i="1"/>
  <c r="P194" i="1"/>
  <c r="R194" i="1"/>
  <c r="J195" i="1"/>
  <c r="K195" i="1"/>
  <c r="L195" i="1"/>
  <c r="M195" i="1"/>
  <c r="N195" i="1"/>
  <c r="O195" i="1"/>
  <c r="P195" i="1"/>
  <c r="R195" i="1"/>
  <c r="W195" i="1"/>
  <c r="J196" i="1"/>
  <c r="K196" i="1"/>
  <c r="W196" i="1" s="1"/>
  <c r="L196" i="1"/>
  <c r="M196" i="1"/>
  <c r="N196" i="1"/>
  <c r="O196" i="1"/>
  <c r="P196" i="1"/>
  <c r="R196" i="1"/>
  <c r="J197" i="1"/>
  <c r="K197" i="1"/>
  <c r="W197" i="1" s="1"/>
  <c r="L197" i="1"/>
  <c r="M197" i="1"/>
  <c r="N197" i="1"/>
  <c r="O197" i="1"/>
  <c r="P197" i="1"/>
  <c r="R197" i="1"/>
  <c r="J198" i="1"/>
  <c r="K198" i="1"/>
  <c r="W198" i="1" s="1"/>
  <c r="L198" i="1"/>
  <c r="M198" i="1"/>
  <c r="N198" i="1"/>
  <c r="O198" i="1"/>
  <c r="P198" i="1"/>
  <c r="R198" i="1"/>
  <c r="J199" i="1"/>
  <c r="K199" i="1"/>
  <c r="W199" i="1" s="1"/>
  <c r="L199" i="1"/>
  <c r="M199" i="1"/>
  <c r="N199" i="1"/>
  <c r="O199" i="1"/>
  <c r="P199" i="1"/>
  <c r="R199" i="1"/>
  <c r="J200" i="1"/>
  <c r="K200" i="1"/>
  <c r="W200" i="1" s="1"/>
  <c r="L200" i="1"/>
  <c r="M200" i="1"/>
  <c r="N200" i="1"/>
  <c r="O200" i="1"/>
  <c r="P200" i="1"/>
  <c r="R200" i="1"/>
  <c r="J201" i="1"/>
  <c r="K201" i="1"/>
  <c r="W201" i="1" s="1"/>
  <c r="L201" i="1"/>
  <c r="M201" i="1"/>
  <c r="N201" i="1"/>
  <c r="O201" i="1"/>
  <c r="P201" i="1"/>
  <c r="R201" i="1"/>
  <c r="J202" i="1"/>
  <c r="K202" i="1"/>
  <c r="L202" i="1"/>
  <c r="M202" i="1"/>
  <c r="N202" i="1"/>
  <c r="O202" i="1"/>
  <c r="P202" i="1"/>
  <c r="R202" i="1"/>
  <c r="W202" i="1"/>
  <c r="J203" i="1"/>
  <c r="K203" i="1"/>
  <c r="W203" i="1"/>
  <c r="L203" i="1"/>
  <c r="M203" i="1"/>
  <c r="N203" i="1"/>
  <c r="O203" i="1"/>
  <c r="P203" i="1"/>
  <c r="R203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L141" i="1"/>
  <c r="M141" i="1"/>
  <c r="N141" i="1"/>
  <c r="O141" i="1"/>
  <c r="P141" i="1"/>
  <c r="R141" i="1"/>
  <c r="S141" i="1"/>
  <c r="W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L156" i="1"/>
  <c r="M156" i="1"/>
  <c r="N156" i="1"/>
  <c r="O156" i="1"/>
  <c r="P156" i="1"/>
  <c r="R156" i="1"/>
  <c r="S156" i="1"/>
  <c r="W156" i="1"/>
  <c r="J157" i="1"/>
  <c r="K157" i="1"/>
  <c r="W157" i="1" s="1"/>
  <c r="L157" i="1"/>
  <c r="M157" i="1"/>
  <c r="N157" i="1"/>
  <c r="O157" i="1"/>
  <c r="P157" i="1"/>
  <c r="R157" i="1"/>
  <c r="S157" i="1"/>
  <c r="J158" i="1"/>
  <c r="K158" i="1"/>
  <c r="W158" i="1" s="1"/>
  <c r="L158" i="1"/>
  <c r="M158" i="1"/>
  <c r="N158" i="1"/>
  <c r="O158" i="1"/>
  <c r="P158" i="1"/>
  <c r="R158" i="1"/>
  <c r="S158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9" i="1"/>
  <c r="K139" i="1"/>
  <c r="W139" i="1" s="1"/>
  <c r="L139" i="1"/>
  <c r="M139" i="1"/>
  <c r="N139" i="1"/>
  <c r="O139" i="1"/>
  <c r="P139" i="1"/>
  <c r="R139" i="1"/>
  <c r="S139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J135" i="1"/>
  <c r="K135" i="1"/>
  <c r="L135" i="1"/>
  <c r="M135" i="1"/>
  <c r="N135" i="1"/>
  <c r="O135" i="1"/>
  <c r="P135" i="1"/>
  <c r="R135" i="1"/>
  <c r="S135" i="1"/>
  <c r="W135" i="1"/>
  <c r="K7" i="1"/>
  <c r="W7" i="1" s="1"/>
  <c r="V8" i="1"/>
  <c r="V34" i="1"/>
  <c r="K8" i="1"/>
  <c r="W8" i="1" s="1"/>
  <c r="K160" i="1"/>
  <c r="W160" i="1" s="1"/>
  <c r="K161" i="1"/>
  <c r="W161" i="1" s="1"/>
  <c r="K162" i="1"/>
  <c r="W162" i="1" s="1"/>
  <c r="K163" i="1"/>
  <c r="W163" i="1" s="1"/>
  <c r="K164" i="1"/>
  <c r="W164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164" i="1"/>
  <c r="L164" i="1"/>
  <c r="M164" i="1"/>
  <c r="N164" i="1"/>
  <c r="O164" i="1"/>
  <c r="P164" i="1"/>
  <c r="R164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/>
  <c r="L125" i="1"/>
  <c r="M125" i="1"/>
  <c r="N125" i="1"/>
  <c r="O125" i="1"/>
  <c r="P125" i="1"/>
  <c r="R125" i="1"/>
  <c r="S125" i="1"/>
  <c r="J126" i="1"/>
  <c r="K126" i="1"/>
  <c r="L126" i="1"/>
  <c r="M126" i="1"/>
  <c r="N126" i="1"/>
  <c r="O126" i="1"/>
  <c r="P126" i="1"/>
  <c r="R126" i="1"/>
  <c r="S126" i="1"/>
  <c r="W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30" i="1"/>
  <c r="K130" i="1"/>
  <c r="W130" i="1" s="1"/>
  <c r="L130" i="1"/>
  <c r="M130" i="1"/>
  <c r="N130" i="1"/>
  <c r="O130" i="1"/>
  <c r="P130" i="1"/>
  <c r="R130" i="1"/>
  <c r="S130" i="1"/>
  <c r="J119" i="1"/>
  <c r="K119" i="1"/>
  <c r="L119" i="1"/>
  <c r="M119" i="1"/>
  <c r="N119" i="1"/>
  <c r="O119" i="1"/>
  <c r="P119" i="1"/>
  <c r="R119" i="1"/>
  <c r="S119" i="1"/>
  <c r="W119" i="1"/>
  <c r="J120" i="1"/>
  <c r="K120" i="1"/>
  <c r="W120" i="1" s="1"/>
  <c r="L120" i="1"/>
  <c r="M120" i="1"/>
  <c r="N120" i="1"/>
  <c r="O120" i="1"/>
  <c r="P120" i="1"/>
  <c r="R120" i="1"/>
  <c r="S120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L103" i="1"/>
  <c r="M103" i="1"/>
  <c r="N103" i="1"/>
  <c r="O103" i="1"/>
  <c r="P103" i="1"/>
  <c r="R103" i="1"/>
  <c r="S103" i="1"/>
  <c r="W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L114" i="1"/>
  <c r="M114" i="1"/>
  <c r="N114" i="1"/>
  <c r="O114" i="1"/>
  <c r="P114" i="1"/>
  <c r="R114" i="1"/>
  <c r="S114" i="1"/>
  <c r="W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118" i="1"/>
  <c r="K118" i="1"/>
  <c r="W118" i="1" s="1"/>
  <c r="L118" i="1"/>
  <c r="M118" i="1"/>
  <c r="N118" i="1"/>
  <c r="O118" i="1"/>
  <c r="P118" i="1"/>
  <c r="R118" i="1"/>
  <c r="S118" i="1"/>
  <c r="J98" i="1"/>
  <c r="K98" i="1"/>
  <c r="W98" i="1"/>
  <c r="L98" i="1"/>
  <c r="M98" i="1"/>
  <c r="N98" i="1"/>
  <c r="O98" i="1"/>
  <c r="P98" i="1"/>
  <c r="R98" i="1"/>
  <c r="S98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L96" i="1"/>
  <c r="M96" i="1"/>
  <c r="N96" i="1"/>
  <c r="O96" i="1"/>
  <c r="P96" i="1"/>
  <c r="R96" i="1"/>
  <c r="S96" i="1"/>
  <c r="W96" i="1"/>
  <c r="J97" i="1"/>
  <c r="K97" i="1"/>
  <c r="W97" i="1" s="1"/>
  <c r="L97" i="1"/>
  <c r="M97" i="1"/>
  <c r="N97" i="1"/>
  <c r="O97" i="1"/>
  <c r="P97" i="1"/>
  <c r="R97" i="1"/>
  <c r="S97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L78" i="1"/>
  <c r="M78" i="1"/>
  <c r="N78" i="1"/>
  <c r="O78" i="1"/>
  <c r="P78" i="1"/>
  <c r="R78" i="1"/>
  <c r="S78" i="1"/>
  <c r="W78" i="1"/>
  <c r="J79" i="1"/>
  <c r="K79" i="1"/>
  <c r="L79" i="1"/>
  <c r="M79" i="1"/>
  <c r="N79" i="1"/>
  <c r="O79" i="1"/>
  <c r="P79" i="1"/>
  <c r="R79" i="1"/>
  <c r="S79" i="1"/>
  <c r="W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R81" i="1"/>
  <c r="S81" i="1"/>
  <c r="J82" i="1"/>
  <c r="K82" i="1"/>
  <c r="W82" i="1" s="1"/>
  <c r="L82" i="1"/>
  <c r="M82" i="1"/>
  <c r="N82" i="1"/>
  <c r="O82" i="1"/>
  <c r="P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85" i="1"/>
  <c r="K85" i="1"/>
  <c r="W85" i="1" s="1"/>
  <c r="L85" i="1"/>
  <c r="M85" i="1"/>
  <c r="N85" i="1"/>
  <c r="O85" i="1"/>
  <c r="P85" i="1"/>
  <c r="R85" i="1"/>
  <c r="S85" i="1"/>
  <c r="J161" i="1"/>
  <c r="L161" i="1"/>
  <c r="M161" i="1"/>
  <c r="N161" i="1"/>
  <c r="O161" i="1"/>
  <c r="P161" i="1"/>
  <c r="R161" i="1"/>
  <c r="J162" i="1"/>
  <c r="L162" i="1"/>
  <c r="M162" i="1"/>
  <c r="N162" i="1"/>
  <c r="O162" i="1"/>
  <c r="P162" i="1"/>
  <c r="R162" i="1"/>
  <c r="J163" i="1"/>
  <c r="L163" i="1"/>
  <c r="M163" i="1"/>
  <c r="N163" i="1"/>
  <c r="O163" i="1"/>
  <c r="P163" i="1"/>
  <c r="R163" i="1"/>
  <c r="R160" i="1"/>
  <c r="L160" i="1"/>
  <c r="M160" i="1"/>
  <c r="N160" i="1"/>
  <c r="O160" i="1"/>
  <c r="P160" i="1"/>
  <c r="J160" i="1"/>
  <c r="K36" i="1"/>
  <c r="W36" i="1" s="1"/>
  <c r="K62" i="1"/>
  <c r="W62" i="1" s="1"/>
  <c r="K34" i="1"/>
  <c r="W34" i="1" s="1"/>
  <c r="K35" i="1"/>
  <c r="W35" i="1" s="1"/>
  <c r="K37" i="1"/>
  <c r="W37" i="1" s="1"/>
  <c r="K38" i="1"/>
  <c r="W38" i="1" s="1"/>
  <c r="K28" i="1"/>
  <c r="W28" i="1" s="1"/>
  <c r="K29" i="1"/>
  <c r="W29" i="1" s="1"/>
  <c r="K30" i="1"/>
  <c r="W30" i="1" s="1"/>
  <c r="K31" i="1"/>
  <c r="W31" i="1" s="1"/>
  <c r="K32" i="1"/>
  <c r="W32" i="1" s="1"/>
  <c r="K33" i="1"/>
  <c r="W33" i="1" s="1"/>
  <c r="K18" i="1"/>
  <c r="W18" i="1" s="1"/>
  <c r="K58" i="1"/>
  <c r="W58" i="1" s="1"/>
  <c r="K59" i="1"/>
  <c r="W59" i="1" s="1"/>
  <c r="K60" i="1"/>
  <c r="W60" i="1" s="1"/>
  <c r="K61" i="1"/>
  <c r="W61" i="1" s="1"/>
  <c r="K51" i="1"/>
  <c r="W51" i="1" s="1"/>
  <c r="K63" i="1"/>
  <c r="W63" i="1" s="1"/>
  <c r="K64" i="1"/>
  <c r="W64" i="1" s="1"/>
  <c r="K65" i="1"/>
  <c r="W65" i="1" s="1"/>
  <c r="K66" i="1"/>
  <c r="W66" i="1" s="1"/>
  <c r="K20" i="1"/>
  <c r="W20" i="1" s="1"/>
  <c r="K23" i="1"/>
  <c r="W23" i="1" s="1"/>
  <c r="K24" i="1"/>
  <c r="W24" i="1" s="1"/>
  <c r="K53" i="1"/>
  <c r="W53" i="1" s="1"/>
  <c r="K54" i="1"/>
  <c r="W54" i="1" s="1"/>
  <c r="K55" i="1"/>
  <c r="W55" i="1" s="1"/>
  <c r="K56" i="1"/>
  <c r="W56" i="1" s="1"/>
  <c r="K57" i="1"/>
  <c r="W57" i="1" s="1"/>
  <c r="K41" i="1"/>
  <c r="W41" i="1" s="1"/>
  <c r="K42" i="1"/>
  <c r="W42" i="1" s="1"/>
  <c r="K46" i="1"/>
  <c r="W46" i="1" s="1"/>
  <c r="K47" i="1"/>
  <c r="W47" i="1" s="1"/>
  <c r="K25" i="1"/>
  <c r="W25" i="1" s="1"/>
  <c r="K26" i="1"/>
  <c r="W26" i="1" s="1"/>
  <c r="K16" i="1"/>
  <c r="W16" i="1" s="1"/>
  <c r="K17" i="1"/>
  <c r="W17" i="1" s="1"/>
  <c r="K50" i="1"/>
  <c r="W50" i="1" s="1"/>
  <c r="K21" i="1"/>
  <c r="W21" i="1" s="1"/>
  <c r="K22" i="1"/>
  <c r="W22" i="1" s="1"/>
  <c r="K27" i="1"/>
  <c r="W27" i="1" s="1"/>
  <c r="K39" i="1"/>
  <c r="W39" i="1" s="1"/>
  <c r="K40" i="1"/>
  <c r="W40" i="1" s="1"/>
  <c r="K43" i="1"/>
  <c r="W43" i="1" s="1"/>
  <c r="K44" i="1"/>
  <c r="W44" i="1" s="1"/>
  <c r="K45" i="1"/>
  <c r="W45" i="1" s="1"/>
  <c r="K48" i="1"/>
  <c r="W48" i="1" s="1"/>
  <c r="K49" i="1"/>
  <c r="W49" i="1" s="1"/>
  <c r="K52" i="1"/>
  <c r="W52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J65" i="1"/>
  <c r="L65" i="1"/>
  <c r="M65" i="1"/>
  <c r="N65" i="1"/>
  <c r="O65" i="1"/>
  <c r="P65" i="1"/>
  <c r="R65" i="1"/>
  <c r="S65" i="1"/>
  <c r="J66" i="1"/>
  <c r="L66" i="1"/>
  <c r="M66" i="1"/>
  <c r="N66" i="1"/>
  <c r="O66" i="1"/>
  <c r="P66" i="1"/>
  <c r="R66" i="1"/>
  <c r="S66" i="1"/>
  <c r="J9" i="7"/>
  <c r="V12" i="1"/>
  <c r="D20" i="1" l="1"/>
  <c r="E20" i="1" s="1"/>
  <c r="F20" i="1" s="1"/>
  <c r="D19" i="1"/>
  <c r="E19" i="1" s="1"/>
  <c r="F19" i="1" s="1"/>
  <c r="B159" i="1" a="1"/>
  <c r="B159" i="1" s="1"/>
  <c r="G159" i="1" s="1" a="1"/>
  <c r="G159" i="1" s="1"/>
  <c r="C158" i="1" a="1"/>
  <c r="C158" i="1" s="1"/>
  <c r="C99" i="1" a="1"/>
  <c r="C99" i="1" s="1"/>
  <c r="B97" i="1" a="1"/>
  <c r="B97" i="1" s="1"/>
  <c r="G97" i="1" s="1" a="1"/>
  <c r="G97" i="1" s="1"/>
  <c r="B196" i="1" a="1"/>
  <c r="B196" i="1" s="1"/>
  <c r="G196" i="1" s="1" a="1"/>
  <c r="G196" i="1" s="1"/>
  <c r="D95" i="1" a="1"/>
  <c r="D95" i="1" s="1"/>
  <c r="C114" i="1" a="1"/>
  <c r="C114" i="1" s="1"/>
  <c r="C89" i="1" a="1"/>
  <c r="C89" i="1" s="1"/>
  <c r="D98" i="1" a="1"/>
  <c r="D98" i="1" s="1"/>
  <c r="B149" i="1" a="1"/>
  <c r="B149" i="1" s="1"/>
  <c r="G149" i="1" s="1" a="1"/>
  <c r="G149" i="1" s="1"/>
  <c r="A153" i="1" a="1"/>
  <c r="A153" i="1" s="1"/>
  <c r="C95" i="1" a="1"/>
  <c r="C95" i="1" s="1"/>
  <c r="C169" i="1" a="1"/>
  <c r="C169" i="1" s="1"/>
  <c r="C141" i="1" a="1"/>
  <c r="C141" i="1" s="1"/>
  <c r="D126" i="1" a="1"/>
  <c r="D126" i="1" s="1"/>
  <c r="D204" i="1" a="1"/>
  <c r="D204" i="1" s="1"/>
  <c r="A133" i="1" a="1"/>
  <c r="A133" i="1" s="1"/>
  <c r="C91" i="1" a="1"/>
  <c r="C91" i="1" s="1"/>
  <c r="B114" i="1" a="1"/>
  <c r="B114" i="1" s="1"/>
  <c r="G114" i="1" s="1" a="1"/>
  <c r="G114" i="1" s="1"/>
  <c r="A141" i="1" a="1"/>
  <c r="A141" i="1" s="1"/>
  <c r="C153" i="1" a="1"/>
  <c r="C153" i="1" s="1"/>
  <c r="B92" i="1" a="1"/>
  <c r="B92" i="1" s="1"/>
  <c r="G92" i="1" s="1" a="1"/>
  <c r="G92" i="1" s="1"/>
  <c r="A138" i="1" a="1"/>
  <c r="A138" i="1" s="1"/>
  <c r="C186" i="1" a="1"/>
  <c r="C186" i="1" s="1"/>
  <c r="C175" i="1" a="1"/>
  <c r="C175" i="1" s="1"/>
  <c r="C132" i="1" a="1"/>
  <c r="C132" i="1" s="1"/>
  <c r="B152" i="1" a="1"/>
  <c r="B152" i="1" s="1"/>
  <c r="G152" i="1" s="1" a="1"/>
  <c r="G152" i="1" s="1"/>
  <c r="A179" i="1" a="1"/>
  <c r="A179" i="1" s="1"/>
  <c r="A142" i="1" a="1"/>
  <c r="A142" i="1" s="1"/>
  <c r="A127" i="1" a="1"/>
  <c r="A127" i="1" s="1"/>
  <c r="A151" i="1" a="1"/>
  <c r="A151" i="1" s="1"/>
  <c r="B174" i="1" a="1"/>
  <c r="B174" i="1" s="1"/>
  <c r="G174" i="1" s="1" a="1"/>
  <c r="G174" i="1" s="1"/>
  <c r="C168" i="1" a="1"/>
  <c r="C168" i="1" s="1"/>
  <c r="B202" i="1" a="1"/>
  <c r="B202" i="1" s="1"/>
  <c r="G202" i="1" s="1" a="1"/>
  <c r="G202" i="1" s="1"/>
  <c r="D182" i="1" a="1"/>
  <c r="D182" i="1" s="1"/>
  <c r="D97" i="1" a="1"/>
  <c r="D97" i="1" s="1"/>
  <c r="B88" i="1" a="1"/>
  <c r="B88" i="1" s="1"/>
  <c r="G88" i="1" s="1" a="1"/>
  <c r="G88" i="1" s="1"/>
  <c r="A115" i="1" a="1"/>
  <c r="A115" i="1" s="1"/>
  <c r="C152" i="1" a="1"/>
  <c r="C152" i="1" s="1"/>
  <c r="C97" i="1" a="1"/>
  <c r="C97" i="1" s="1"/>
  <c r="B132" i="1" a="1"/>
  <c r="B132" i="1" s="1"/>
  <c r="G132" i="1" s="1" a="1"/>
  <c r="G132" i="1" s="1"/>
  <c r="A200" i="1" a="1"/>
  <c r="A200" i="1" s="1"/>
  <c r="E200" i="1" s="1"/>
  <c r="A167" i="1" a="1"/>
  <c r="A167" i="1" s="1"/>
  <c r="A196" i="1" a="1"/>
  <c r="A196" i="1" s="1"/>
  <c r="E196" i="1" s="1"/>
  <c r="D165" i="1" a="1"/>
  <c r="D165" i="1" s="1"/>
  <c r="D130" i="1" a="1"/>
  <c r="D130" i="1" s="1"/>
  <c r="B189" i="1" a="1"/>
  <c r="B189" i="1" s="1"/>
  <c r="G189" i="1" s="1" a="1"/>
  <c r="G189" i="1" s="1"/>
  <c r="D157" i="1" a="1"/>
  <c r="D157" i="1" s="1"/>
  <c r="B86" i="1" a="1"/>
  <c r="B86" i="1" s="1"/>
  <c r="G86" i="1" s="1" a="1"/>
  <c r="G86" i="1" s="1"/>
  <c r="D195" i="1" a="1"/>
  <c r="D195" i="1" s="1"/>
  <c r="A132" i="1" a="1"/>
  <c r="A132" i="1" s="1"/>
  <c r="A128" i="1" a="1"/>
  <c r="A128" i="1" s="1"/>
  <c r="A191" i="1" a="1"/>
  <c r="A191" i="1" s="1"/>
  <c r="D93" i="1" a="1"/>
  <c r="D93" i="1" s="1"/>
  <c r="C178" i="1" a="1"/>
  <c r="C178" i="1" s="1"/>
  <c r="B155" i="1" a="1"/>
  <c r="B155" i="1" s="1"/>
  <c r="G155" i="1" s="1" a="1"/>
  <c r="G155" i="1" s="1"/>
  <c r="B179" i="1" a="1"/>
  <c r="B179" i="1" s="1"/>
  <c r="G179" i="1" s="1" a="1"/>
  <c r="G179" i="1" s="1"/>
  <c r="C163" i="1" a="1"/>
  <c r="C163" i="1" s="1"/>
  <c r="A82" i="1" a="1"/>
  <c r="A82" i="1" s="1"/>
  <c r="C133" i="1" a="1"/>
  <c r="C133" i="1" s="1"/>
  <c r="C155" i="1" a="1"/>
  <c r="C155" i="1" s="1"/>
  <c r="C107" i="1" a="1"/>
  <c r="C107" i="1" s="1"/>
  <c r="C126" i="1" a="1"/>
  <c r="C126" i="1" s="1"/>
  <c r="D31" i="1"/>
  <c r="E31" i="1" s="1"/>
  <c r="F31" i="1" s="1"/>
  <c r="D32" i="1"/>
  <c r="E32" i="1" s="1"/>
  <c r="F32" i="1" s="1"/>
  <c r="D92" i="1" a="1"/>
  <c r="D92" i="1" s="1"/>
  <c r="D191" i="1" a="1"/>
  <c r="D191" i="1" s="1"/>
  <c r="B91" i="1" a="1"/>
  <c r="B91" i="1" s="1"/>
  <c r="G91" i="1" s="1" a="1"/>
  <c r="G91" i="1" s="1"/>
  <c r="D124" i="1" a="1"/>
  <c r="D124" i="1" s="1"/>
  <c r="B181" i="1" a="1"/>
  <c r="B181" i="1" s="1"/>
  <c r="G181" i="1" s="1" a="1"/>
  <c r="G181" i="1" s="1"/>
  <c r="B143" i="1" a="1"/>
  <c r="B143" i="1" s="1"/>
  <c r="G143" i="1" s="1" a="1"/>
  <c r="G143" i="1" s="1"/>
  <c r="B166" i="1" a="1"/>
  <c r="B166" i="1" s="1"/>
  <c r="G166" i="1" s="1" a="1"/>
  <c r="G166" i="1" s="1"/>
  <c r="A94" i="1" a="1"/>
  <c r="A94" i="1" s="1"/>
  <c r="A202" i="1" a="1"/>
  <c r="A202" i="1" s="1"/>
  <c r="E202" i="1" s="1"/>
  <c r="B154" i="1" a="1"/>
  <c r="B154" i="1" s="1"/>
  <c r="G154" i="1" s="1" a="1"/>
  <c r="G154" i="1" s="1"/>
  <c r="D196" i="1" a="1"/>
  <c r="D196" i="1" s="1"/>
  <c r="B141" i="1" a="1"/>
  <c r="B141" i="1" s="1"/>
  <c r="G141" i="1" s="1" a="1"/>
  <c r="G141" i="1" s="1"/>
  <c r="D198" i="1" a="1"/>
  <c r="D198" i="1" s="1"/>
  <c r="A85" i="1" a="1"/>
  <c r="A85" i="1" s="1"/>
  <c r="C166" i="1" a="1"/>
  <c r="C166" i="1" s="1"/>
  <c r="B200" i="1" a="1"/>
  <c r="B200" i="1" s="1"/>
  <c r="G200" i="1" s="1" a="1"/>
  <c r="G200" i="1" s="1"/>
  <c r="A177" i="1" a="1"/>
  <c r="A177" i="1" s="1"/>
  <c r="B164" i="1" a="1"/>
  <c r="B164" i="1" s="1"/>
  <c r="G164" i="1" s="1" a="1"/>
  <c r="G164" i="1" s="1"/>
  <c r="A192" i="1" a="1"/>
  <c r="A192" i="1" s="1"/>
  <c r="D170" i="1" a="1"/>
  <c r="D170" i="1" s="1"/>
  <c r="C96" i="1" a="1"/>
  <c r="C96" i="1" s="1"/>
  <c r="C161" i="1" a="1"/>
  <c r="C161" i="1" s="1"/>
  <c r="A131" i="1" a="1"/>
  <c r="A131" i="1" s="1"/>
  <c r="B104" i="1" a="1"/>
  <c r="B104" i="1" s="1"/>
  <c r="G104" i="1" s="1" a="1"/>
  <c r="G104" i="1" s="1"/>
  <c r="B96" i="1" a="1"/>
  <c r="B96" i="1" s="1"/>
  <c r="G96" i="1" s="1" a="1"/>
  <c r="G96" i="1" s="1"/>
  <c r="D202" i="1" a="1"/>
  <c r="D202" i="1" s="1"/>
  <c r="C205" i="1" a="1"/>
  <c r="C205" i="1" s="1"/>
  <c r="C198" i="1" a="1"/>
  <c r="C198" i="1" s="1"/>
  <c r="A93" i="1" a="1"/>
  <c r="A93" i="1" s="1"/>
  <c r="A149" i="1" a="1"/>
  <c r="A149" i="1" s="1"/>
  <c r="C111" i="1" a="1"/>
  <c r="C111" i="1" s="1"/>
  <c r="A169" i="1" a="1"/>
  <c r="A169" i="1" s="1"/>
  <c r="E169" i="1" s="1"/>
  <c r="A119" i="1" a="1"/>
  <c r="A119" i="1" s="1"/>
  <c r="D177" i="1" a="1"/>
  <c r="D177" i="1" s="1"/>
  <c r="D105" i="1" a="1"/>
  <c r="D105" i="1" s="1"/>
  <c r="A111" i="1" a="1"/>
  <c r="A111" i="1" s="1"/>
  <c r="A190" i="1" a="1"/>
  <c r="A190" i="1" s="1"/>
  <c r="B144" i="1" a="1"/>
  <c r="B144" i="1" s="1"/>
  <c r="G144" i="1" s="1" a="1"/>
  <c r="G144" i="1" s="1"/>
  <c r="B111" i="1" a="1"/>
  <c r="B111" i="1" s="1"/>
  <c r="G111" i="1" s="1" a="1"/>
  <c r="G111" i="1" s="1"/>
  <c r="B129" i="1" a="1"/>
  <c r="B129" i="1" s="1"/>
  <c r="G129" i="1" s="1" a="1"/>
  <c r="G129" i="1" s="1"/>
  <c r="D121" i="1" a="1"/>
  <c r="D121" i="1" s="1"/>
  <c r="A101" i="1" a="1"/>
  <c r="A101" i="1" s="1"/>
  <c r="D127" i="1" a="1"/>
  <c r="D127" i="1" s="1"/>
  <c r="D158" i="1" a="1"/>
  <c r="D158" i="1" s="1"/>
  <c r="A83" i="1" a="1"/>
  <c r="A83" i="1" s="1"/>
  <c r="B108" i="1" a="1"/>
  <c r="B108" i="1" s="1"/>
  <c r="G108" i="1" s="1" a="1"/>
  <c r="G108" i="1" s="1"/>
  <c r="C120" i="1" a="1"/>
  <c r="C120" i="1" s="1"/>
  <c r="D83" i="1" a="1"/>
  <c r="D83" i="1" s="1"/>
  <c r="C159" i="1" a="1"/>
  <c r="C159" i="1" s="1"/>
  <c r="A148" i="1" a="1"/>
  <c r="A148" i="1" s="1"/>
  <c r="C202" i="1" a="1"/>
  <c r="C202" i="1" s="1"/>
  <c r="D117" i="1" a="1"/>
  <c r="D117" i="1" s="1"/>
  <c r="B113" i="1" a="1"/>
  <c r="B113" i="1" s="1"/>
  <c r="G113" i="1" s="1" a="1"/>
  <c r="G113" i="1" s="1"/>
  <c r="C87" i="1" a="1"/>
  <c r="C87" i="1" s="1"/>
  <c r="A86" i="1" a="1"/>
  <c r="A86" i="1" s="1"/>
  <c r="A181" i="1" a="1"/>
  <c r="A181" i="1" s="1"/>
  <c r="D143" i="1" a="1"/>
  <c r="D143" i="1" s="1"/>
  <c r="A126" i="1" a="1"/>
  <c r="A126" i="1" s="1"/>
  <c r="A163" i="1" a="1"/>
  <c r="A163" i="1" s="1"/>
  <c r="D131" i="1" a="1"/>
  <c r="D131" i="1" s="1"/>
  <c r="B117" i="1" a="1"/>
  <c r="B117" i="1" s="1"/>
  <c r="G117" i="1" s="1" a="1"/>
  <c r="G117" i="1" s="1"/>
  <c r="A170" i="1" a="1"/>
  <c r="A170" i="1" s="1"/>
  <c r="D123" i="1" a="1"/>
  <c r="D123" i="1" s="1"/>
  <c r="C118" i="1" a="1"/>
  <c r="C118" i="1" s="1"/>
  <c r="C187" i="1" a="1"/>
  <c r="C187" i="1" s="1"/>
  <c r="D86" i="1" a="1"/>
  <c r="D86" i="1" s="1"/>
  <c r="D189" i="1" a="1"/>
  <c r="D189" i="1" s="1"/>
  <c r="B186" i="1" a="1"/>
  <c r="B186" i="1" s="1"/>
  <c r="G186" i="1" s="1" a="1"/>
  <c r="G186" i="1" s="1"/>
  <c r="D172" i="1" a="1"/>
  <c r="D172" i="1" s="1"/>
  <c r="A145" i="1" a="1"/>
  <c r="A145" i="1" s="1"/>
  <c r="C174" i="1" a="1"/>
  <c r="C174" i="1" s="1"/>
  <c r="A91" i="1" a="1"/>
  <c r="A91" i="1" s="1"/>
  <c r="E91" i="1" s="1"/>
  <c r="A154" i="1" a="1"/>
  <c r="A154" i="1" s="1"/>
  <c r="A84" i="1" a="1"/>
  <c r="A84" i="1" s="1"/>
  <c r="C138" i="1" a="1"/>
  <c r="C138" i="1" s="1"/>
  <c r="C177" i="1" a="1"/>
  <c r="C177" i="1" s="1"/>
  <c r="A172" i="1" a="1"/>
  <c r="A172" i="1" s="1"/>
  <c r="D201" i="1" a="1"/>
  <c r="D201" i="1" s="1"/>
  <c r="D200" i="1" a="1"/>
  <c r="D200" i="1" s="1"/>
  <c r="C102" i="1" a="1"/>
  <c r="C102" i="1" s="1"/>
  <c r="D89" i="1" a="1"/>
  <c r="D89" i="1" s="1"/>
  <c r="C84" i="1" a="1"/>
  <c r="C84" i="1" s="1"/>
  <c r="C171" i="1" a="1"/>
  <c r="C171" i="1" s="1"/>
  <c r="A158" i="1" a="1"/>
  <c r="A158" i="1" s="1"/>
  <c r="E158" i="1" s="1"/>
  <c r="B156" i="1" a="1"/>
  <c r="B156" i="1" s="1"/>
  <c r="G156" i="1" s="1" a="1"/>
  <c r="G156" i="1" s="1"/>
  <c r="C196" i="1" a="1"/>
  <c r="C196" i="1" s="1"/>
  <c r="C94" i="1" a="1"/>
  <c r="C94" i="1" s="1"/>
  <c r="B203" i="1" a="1"/>
  <c r="B203" i="1" s="1"/>
  <c r="G203" i="1" s="1" a="1"/>
  <c r="G203" i="1" s="1"/>
  <c r="B163" i="1" a="1"/>
  <c r="B163" i="1" s="1"/>
  <c r="G163" i="1" s="1" a="1"/>
  <c r="G163" i="1" s="1"/>
  <c r="A120" i="1" a="1"/>
  <c r="A120" i="1" s="1"/>
  <c r="B151" i="1" a="1"/>
  <c r="B151" i="1" s="1"/>
  <c r="G151" i="1" s="1" a="1"/>
  <c r="G151" i="1" s="1"/>
  <c r="C160" i="1" a="1"/>
  <c r="C160" i="1" s="1"/>
  <c r="A156" i="1" a="1"/>
  <c r="A156" i="1" s="1"/>
  <c r="C167" i="1" a="1"/>
  <c r="C167" i="1" s="1"/>
  <c r="A130" i="1" a="1"/>
  <c r="A130" i="1" s="1"/>
  <c r="B122" i="1" a="1"/>
  <c r="B122" i="1" s="1"/>
  <c r="G122" i="1" s="1" a="1"/>
  <c r="G122" i="1" s="1"/>
  <c r="A117" i="1" a="1"/>
  <c r="A117" i="1" s="1"/>
  <c r="C203" i="1" a="1"/>
  <c r="C203" i="1" s="1"/>
  <c r="D190" i="1" a="1"/>
  <c r="D190" i="1" s="1"/>
  <c r="A125" i="1" a="1"/>
  <c r="A125" i="1" s="1"/>
  <c r="B139" i="1" a="1"/>
  <c r="B139" i="1" s="1"/>
  <c r="G139" i="1" s="1" a="1"/>
  <c r="G139" i="1" s="1"/>
  <c r="A171" i="1" a="1"/>
  <c r="A171" i="1" s="1"/>
  <c r="C108" i="1" a="1"/>
  <c r="C108" i="1" s="1"/>
  <c r="A124" i="1" a="1"/>
  <c r="A124" i="1" s="1"/>
  <c r="B112" i="1" a="1"/>
  <c r="B112" i="1" s="1"/>
  <c r="G112" i="1" s="1" a="1"/>
  <c r="G112" i="1" s="1"/>
  <c r="B106" i="1" a="1"/>
  <c r="B106" i="1" s="1"/>
  <c r="G106" i="1" s="1" a="1"/>
  <c r="G106" i="1" s="1"/>
  <c r="C100" i="1" a="1"/>
  <c r="C100" i="1" s="1"/>
  <c r="C123" i="1" a="1"/>
  <c r="C123" i="1" s="1"/>
  <c r="C146" i="1" a="1"/>
  <c r="C146" i="1" s="1"/>
  <c r="D125" i="1" a="1"/>
  <c r="D125" i="1" s="1"/>
  <c r="A173" i="1" a="1"/>
  <c r="A173" i="1" s="1"/>
  <c r="B118" i="1" a="1"/>
  <c r="B118" i="1" s="1"/>
  <c r="G118" i="1" s="1" a="1"/>
  <c r="G118" i="1" s="1"/>
  <c r="D163" i="1" a="1"/>
  <c r="D163" i="1" s="1"/>
  <c r="A90" i="1" a="1"/>
  <c r="A90" i="1" s="1"/>
  <c r="D119" i="1" a="1"/>
  <c r="D119" i="1" s="1"/>
  <c r="B115" i="1" a="1"/>
  <c r="B115" i="1" s="1"/>
  <c r="G115" i="1" s="1" a="1"/>
  <c r="G115" i="1" s="1"/>
  <c r="A136" i="1" a="1"/>
  <c r="A136" i="1" s="1"/>
  <c r="C113" i="1" a="1"/>
  <c r="C113" i="1" s="1"/>
  <c r="A98" i="1" a="1"/>
  <c r="A98" i="1" s="1"/>
  <c r="A108" i="1" a="1"/>
  <c r="A108" i="1" s="1"/>
  <c r="D91" i="1" a="1"/>
  <c r="D91" i="1" s="1"/>
  <c r="C149" i="1" a="1"/>
  <c r="C149" i="1" s="1"/>
  <c r="B142" i="1" a="1"/>
  <c r="B142" i="1" s="1"/>
  <c r="G142" i="1" s="1" a="1"/>
  <c r="G142" i="1" s="1"/>
  <c r="B194" i="1" a="1"/>
  <c r="B194" i="1" s="1"/>
  <c r="G194" i="1" s="1" a="1"/>
  <c r="G194" i="1" s="1"/>
  <c r="D173" i="1" a="1"/>
  <c r="D173" i="1" s="1"/>
  <c r="C104" i="1" a="1"/>
  <c r="C104" i="1" s="1"/>
  <c r="C204" i="1" a="1"/>
  <c r="C204" i="1" s="1"/>
  <c r="D136" i="1" a="1"/>
  <c r="D136" i="1" s="1"/>
  <c r="C140" i="1" a="1"/>
  <c r="C140" i="1" s="1"/>
  <c r="D175" i="1" a="1"/>
  <c r="D175" i="1" s="1"/>
  <c r="B99" i="1" a="1"/>
  <c r="B99" i="1" s="1"/>
  <c r="G99" i="1" s="1" a="1"/>
  <c r="G99" i="1" s="1"/>
  <c r="C122" i="1" a="1"/>
  <c r="C122" i="1" s="1"/>
  <c r="D84" i="1" a="1"/>
  <c r="D84" i="1" s="1"/>
  <c r="A176" i="1" a="1"/>
  <c r="A176" i="1" s="1"/>
  <c r="C116" i="1" a="1"/>
  <c r="C116" i="1" s="1"/>
  <c r="C139" i="1" a="1"/>
  <c r="C139" i="1" s="1"/>
  <c r="D102" i="1" a="1"/>
  <c r="D102" i="1" s="1"/>
  <c r="A135" i="1" a="1"/>
  <c r="A135" i="1" s="1"/>
  <c r="D194" i="1" a="1"/>
  <c r="D194" i="1" s="1"/>
  <c r="A107" i="1" a="1"/>
  <c r="A107" i="1" s="1"/>
  <c r="E107" i="1" s="1"/>
  <c r="B170" i="1" a="1"/>
  <c r="B170" i="1" s="1"/>
  <c r="G170" i="1" s="1" a="1"/>
  <c r="G170" i="1" s="1"/>
  <c r="C103" i="1" a="1"/>
  <c r="C103" i="1" s="1"/>
  <c r="B107" i="1" a="1"/>
  <c r="B107" i="1" s="1"/>
  <c r="G107" i="1" s="1" a="1"/>
  <c r="G107" i="1" s="1"/>
  <c r="A96" i="1" a="1"/>
  <c r="A96" i="1" s="1"/>
  <c r="E96" i="1" s="1"/>
  <c r="B158" i="1" a="1"/>
  <c r="B158" i="1" s="1"/>
  <c r="G158" i="1" s="1" a="1"/>
  <c r="G158" i="1" s="1"/>
  <c r="B188" i="1" a="1"/>
  <c r="B188" i="1" s="1"/>
  <c r="G188" i="1" s="1" a="1"/>
  <c r="G188" i="1" s="1"/>
  <c r="C82" i="1" a="1"/>
  <c r="C82" i="1" s="1"/>
  <c r="E82" i="1" s="1"/>
  <c r="C185" i="1" a="1"/>
  <c r="C185" i="1" s="1"/>
  <c r="A109" i="1" a="1"/>
  <c r="A109" i="1" s="1"/>
  <c r="C148" i="1" a="1"/>
  <c r="C148" i="1" s="1"/>
  <c r="A97" i="1" a="1"/>
  <c r="A97" i="1" s="1"/>
  <c r="E97" i="1" s="1"/>
  <c r="C110" i="1" a="1"/>
  <c r="C110" i="1" s="1"/>
  <c r="C157" i="1" a="1"/>
  <c r="C157" i="1" s="1"/>
  <c r="C92" i="1" a="1"/>
  <c r="C92" i="1" s="1"/>
  <c r="A140" i="1" a="1"/>
  <c r="A140" i="1" s="1"/>
  <c r="A112" i="1" a="1"/>
  <c r="A112" i="1" s="1"/>
  <c r="B176" i="1" a="1"/>
  <c r="B176" i="1" s="1"/>
  <c r="G176" i="1" s="1" a="1"/>
  <c r="G176" i="1" s="1"/>
  <c r="B201" i="1" a="1"/>
  <c r="B201" i="1" s="1"/>
  <c r="G201" i="1" s="1" a="1"/>
  <c r="G201" i="1" s="1"/>
  <c r="C162" i="1" a="1"/>
  <c r="C162" i="1" s="1"/>
  <c r="D185" i="1" a="1"/>
  <c r="D185" i="1" s="1"/>
  <c r="D90" i="1" a="1"/>
  <c r="D90" i="1" s="1"/>
  <c r="C173" i="1" a="1"/>
  <c r="C173" i="1" s="1"/>
  <c r="B105" i="1" a="1"/>
  <c r="B105" i="1" s="1"/>
  <c r="G105" i="1" s="1" a="1"/>
  <c r="G105" i="1" s="1"/>
  <c r="A118" i="1" a="1"/>
  <c r="A118" i="1" s="1"/>
  <c r="E118" i="1" s="1"/>
  <c r="C165" i="1" a="1"/>
  <c r="C165" i="1" s="1"/>
  <c r="B94" i="1" a="1"/>
  <c r="B94" i="1" s="1"/>
  <c r="G94" i="1" s="1" a="1"/>
  <c r="G94" i="1" s="1"/>
  <c r="B120" i="1" a="1"/>
  <c r="B120" i="1" s="1"/>
  <c r="G120" i="1" s="1" a="1"/>
  <c r="G120" i="1" s="1"/>
  <c r="B146" i="1" a="1"/>
  <c r="B146" i="1" s="1"/>
  <c r="G146" i="1" s="1" a="1"/>
  <c r="G146" i="1" s="1"/>
  <c r="D179" i="1" a="1"/>
  <c r="D179" i="1" s="1"/>
  <c r="D106" i="1" a="1"/>
  <c r="D106" i="1" s="1"/>
  <c r="B165" i="1" a="1"/>
  <c r="B165" i="1" s="1"/>
  <c r="G165" i="1" s="1" a="1"/>
  <c r="G165" i="1" s="1"/>
  <c r="B153" i="1" a="1"/>
  <c r="B153" i="1" s="1"/>
  <c r="G153" i="1" s="1" a="1"/>
  <c r="G153" i="1" s="1"/>
  <c r="C179" i="1" a="1"/>
  <c r="C179" i="1" s="1"/>
  <c r="E179" i="1" s="1"/>
  <c r="D183" i="1" a="1"/>
  <c r="D183" i="1" s="1"/>
  <c r="C176" i="1" a="1"/>
  <c r="C176" i="1" s="1"/>
  <c r="D178" i="1" a="1"/>
  <c r="D178" i="1" s="1"/>
  <c r="D155" i="1" a="1"/>
  <c r="D155" i="1" s="1"/>
  <c r="B148" i="1" a="1"/>
  <c r="B148" i="1" s="1"/>
  <c r="G148" i="1" s="1" a="1"/>
  <c r="G148" i="1" s="1"/>
  <c r="A143" i="1" a="1"/>
  <c r="A143" i="1" s="1"/>
  <c r="B130" i="1" a="1"/>
  <c r="B130" i="1" s="1"/>
  <c r="G130" i="1" s="1" a="1"/>
  <c r="G130" i="1" s="1"/>
  <c r="D109" i="1" a="1"/>
  <c r="D109" i="1" s="1"/>
  <c r="A157" i="1" a="1"/>
  <c r="A157" i="1" s="1"/>
  <c r="E157" i="1" s="1"/>
  <c r="B102" i="1" a="1"/>
  <c r="B102" i="1" s="1"/>
  <c r="G102" i="1" s="1" a="1"/>
  <c r="G102" i="1" s="1"/>
  <c r="D108" i="1" a="1"/>
  <c r="D108" i="1" s="1"/>
  <c r="D144" i="1" a="1"/>
  <c r="D144" i="1" s="1"/>
  <c r="B85" i="1" a="1"/>
  <c r="B85" i="1" s="1"/>
  <c r="G85" i="1" s="1" a="1"/>
  <c r="G85" i="1" s="1"/>
  <c r="D103" i="1" a="1"/>
  <c r="D103" i="1" s="1"/>
  <c r="A89" i="1" a="1"/>
  <c r="A89" i="1" s="1"/>
  <c r="E89" i="1" s="1"/>
  <c r="D101" i="1" a="1"/>
  <c r="D101" i="1" s="1"/>
  <c r="B87" i="1" a="1"/>
  <c r="B87" i="1" s="1"/>
  <c r="G87" i="1" s="1" a="1"/>
  <c r="G87" i="1" s="1"/>
  <c r="B161" i="1" a="1"/>
  <c r="B161" i="1" s="1"/>
  <c r="G161" i="1" s="1" a="1"/>
  <c r="G161" i="1" s="1"/>
  <c r="A92" i="1" a="1"/>
  <c r="A92" i="1" s="1"/>
  <c r="E92" i="1" s="1"/>
  <c r="A198" i="1" a="1"/>
  <c r="A198" i="1" s="1"/>
  <c r="E198" i="1" s="1"/>
  <c r="C164" i="1" a="1"/>
  <c r="C164" i="1" s="1"/>
  <c r="C86" i="1" a="1"/>
  <c r="C86" i="1" s="1"/>
  <c r="B126" i="1" a="1"/>
  <c r="B126" i="1" s="1"/>
  <c r="G126" i="1" s="1" a="1"/>
  <c r="G126" i="1" s="1"/>
  <c r="D159" i="1" a="1"/>
  <c r="D159" i="1" s="1"/>
  <c r="D118" i="1" a="1"/>
  <c r="D118" i="1" s="1"/>
  <c r="D166" i="1" a="1"/>
  <c r="D166" i="1" s="1"/>
  <c r="B140" i="1" a="1"/>
  <c r="B140" i="1" s="1"/>
  <c r="G140" i="1" s="1" a="1"/>
  <c r="G140" i="1" s="1"/>
  <c r="C88" i="1" a="1"/>
  <c r="C88" i="1" s="1"/>
  <c r="B125" i="1" a="1"/>
  <c r="B125" i="1" s="1"/>
  <c r="G125" i="1" s="1" a="1"/>
  <c r="G125" i="1" s="1"/>
  <c r="D160" i="1" a="1"/>
  <c r="D160" i="1" s="1"/>
  <c r="C197" i="1" a="1"/>
  <c r="C197" i="1" s="1"/>
  <c r="D145" i="1" a="1"/>
  <c r="D145" i="1" s="1"/>
  <c r="B177" i="1" a="1"/>
  <c r="B177" i="1" s="1"/>
  <c r="G177" i="1" s="1" a="1"/>
  <c r="G177" i="1" s="1"/>
  <c r="B136" i="1" a="1"/>
  <c r="B136" i="1" s="1"/>
  <c r="G136" i="1" s="1" a="1"/>
  <c r="G136" i="1" s="1"/>
  <c r="B162" i="1" a="1"/>
  <c r="B162" i="1" s="1"/>
  <c r="G162" i="1" s="1" a="1"/>
  <c r="G162" i="1" s="1"/>
  <c r="C172" i="1" a="1"/>
  <c r="C172" i="1" s="1"/>
  <c r="C181" i="1" a="1"/>
  <c r="C181" i="1" s="1"/>
  <c r="B110" i="1" a="1"/>
  <c r="B110" i="1" s="1"/>
  <c r="G110" i="1" s="1" a="1"/>
  <c r="G110" i="1" s="1"/>
  <c r="C98" i="1" a="1"/>
  <c r="C98" i="1" s="1"/>
  <c r="D137" i="1" a="1"/>
  <c r="D137" i="1" s="1"/>
  <c r="C190" i="1" a="1"/>
  <c r="C190" i="1" s="1"/>
  <c r="C109" i="1" a="1"/>
  <c r="C109" i="1" s="1"/>
  <c r="A164" i="1" a="1"/>
  <c r="A164" i="1" s="1"/>
  <c r="E164" i="1" s="1"/>
  <c r="A182" i="1" a="1"/>
  <c r="A182" i="1" s="1"/>
  <c r="C101" i="1" a="1"/>
  <c r="C101" i="1" s="1"/>
  <c r="A159" i="1" a="1"/>
  <c r="A159" i="1" s="1"/>
  <c r="E159" i="1" s="1"/>
  <c r="A174" i="1" a="1"/>
  <c r="A174" i="1" s="1"/>
  <c r="E174" i="1" s="1"/>
  <c r="B82" i="1" a="1"/>
  <c r="B82" i="1" s="1"/>
  <c r="G82" i="1" s="1" a="1"/>
  <c r="G82" i="1" s="1"/>
  <c r="C121" i="1" a="1"/>
  <c r="C121" i="1" s="1"/>
  <c r="A183" i="1" a="1"/>
  <c r="A183" i="1" s="1"/>
  <c r="D112" i="1" a="1"/>
  <c r="D112" i="1" s="1"/>
  <c r="B101" i="1" a="1"/>
  <c r="B101" i="1" s="1"/>
  <c r="G101" i="1" s="1" a="1"/>
  <c r="G101" i="1" s="1"/>
  <c r="C93" i="1" a="1"/>
  <c r="C93" i="1" s="1"/>
  <c r="B89" i="1" a="1"/>
  <c r="B89" i="1" s="1"/>
  <c r="G89" i="1" s="1" a="1"/>
  <c r="G89" i="1" s="1"/>
  <c r="C115" i="1" a="1"/>
  <c r="C115" i="1" s="1"/>
  <c r="A105" i="1" a="1"/>
  <c r="A105" i="1" s="1"/>
  <c r="C112" i="1" a="1"/>
  <c r="C112" i="1" s="1"/>
  <c r="C183" i="1" a="1"/>
  <c r="C183" i="1" s="1"/>
  <c r="A150" i="1" a="1"/>
  <c r="A150" i="1" s="1"/>
  <c r="B90" i="1" a="1"/>
  <c r="B90" i="1" s="1"/>
  <c r="G90" i="1" s="1" a="1"/>
  <c r="G90" i="1" s="1"/>
  <c r="B84" i="1" a="1"/>
  <c r="B84" i="1" s="1"/>
  <c r="G84" i="1" s="1" a="1"/>
  <c r="G84" i="1" s="1"/>
  <c r="D199" i="1" a="1"/>
  <c r="D199" i="1" s="1"/>
  <c r="B169" i="1" a="1"/>
  <c r="B169" i="1" s="1"/>
  <c r="G169" i="1" s="1" a="1"/>
  <c r="G169" i="1" s="1"/>
  <c r="D134" i="1" a="1"/>
  <c r="D134" i="1" s="1"/>
  <c r="A195" i="1" a="1"/>
  <c r="A195" i="1" s="1"/>
  <c r="E195" i="1" s="1"/>
  <c r="A139" i="1" a="1"/>
  <c r="A139" i="1" s="1"/>
  <c r="E139" i="1" s="1"/>
  <c r="A203" i="1" a="1"/>
  <c r="A203" i="1" s="1"/>
  <c r="E203" i="1" s="1"/>
  <c r="B137" i="1" a="1"/>
  <c r="B137" i="1" s="1"/>
  <c r="G137" i="1" s="1" a="1"/>
  <c r="G137" i="1" s="1"/>
  <c r="D176" i="1" a="1"/>
  <c r="D176" i="1" s="1"/>
  <c r="B138" i="1" a="1"/>
  <c r="B138" i="1" s="1"/>
  <c r="G138" i="1" s="1" a="1"/>
  <c r="G138" i="1" s="1"/>
  <c r="A197" i="1" a="1"/>
  <c r="A197" i="1" s="1"/>
  <c r="E197" i="1" s="1"/>
  <c r="B150" i="1" a="1"/>
  <c r="B150" i="1" s="1"/>
  <c r="G150" i="1" s="1" a="1"/>
  <c r="G150" i="1" s="1"/>
  <c r="C106" i="1" a="1"/>
  <c r="C106" i="1" s="1"/>
  <c r="D149" i="1" a="1"/>
  <c r="D149" i="1" s="1"/>
  <c r="B185" i="1" a="1"/>
  <c r="B185" i="1" s="1"/>
  <c r="G185" i="1" s="1" a="1"/>
  <c r="G185" i="1" s="1"/>
  <c r="B116" i="1" a="1"/>
  <c r="B116" i="1" s="1"/>
  <c r="G116" i="1" s="1" a="1"/>
  <c r="G116" i="1" s="1"/>
  <c r="A175" i="1" a="1"/>
  <c r="A175" i="1" s="1"/>
  <c r="E175" i="1" s="1"/>
  <c r="B98" i="1" a="1"/>
  <c r="B98" i="1" s="1"/>
  <c r="G98" i="1" s="1" a="1"/>
  <c r="G98" i="1" s="1"/>
  <c r="C135" i="1" a="1"/>
  <c r="C135" i="1" s="1"/>
  <c r="B184" i="1" a="1"/>
  <c r="B184" i="1" s="1"/>
  <c r="G184" i="1" s="1" a="1"/>
  <c r="G184" i="1" s="1"/>
  <c r="C192" i="1" a="1"/>
  <c r="C192" i="1" s="1"/>
  <c r="C180" i="1" a="1"/>
  <c r="C180" i="1" s="1"/>
  <c r="C182" i="1" a="1"/>
  <c r="C182" i="1" s="1"/>
  <c r="A165" i="1" a="1"/>
  <c r="A165" i="1" s="1"/>
  <c r="E165" i="1" s="1"/>
  <c r="A95" i="1" a="1"/>
  <c r="A95" i="1" s="1"/>
  <c r="E95" i="1" s="1"/>
  <c r="A110" i="1" a="1"/>
  <c r="A110" i="1" s="1"/>
  <c r="E110" i="1" s="1"/>
  <c r="B180" i="1" a="1"/>
  <c r="B180" i="1" s="1"/>
  <c r="G180" i="1" s="1" a="1"/>
  <c r="G180" i="1" s="1"/>
  <c r="A193" i="1" a="1"/>
  <c r="A193" i="1" s="1"/>
  <c r="E193" i="1" s="1"/>
  <c r="D169" i="1" a="1"/>
  <c r="D169" i="1" s="1"/>
  <c r="A155" i="1" a="1"/>
  <c r="A155" i="1" s="1"/>
  <c r="E155" i="1" s="1"/>
  <c r="B95" i="1" a="1"/>
  <c r="B95" i="1" s="1"/>
  <c r="G95" i="1" s="1" a="1"/>
  <c r="G95" i="1" s="1"/>
  <c r="D142" i="1" a="1"/>
  <c r="D142" i="1" s="1"/>
  <c r="A201" i="1" a="1"/>
  <c r="A201" i="1" s="1"/>
  <c r="E201" i="1" s="1"/>
  <c r="A162" i="1" a="1"/>
  <c r="A162" i="1" s="1"/>
  <c r="B173" i="1" a="1"/>
  <c r="B173" i="1" s="1"/>
  <c r="G173" i="1" s="1" a="1"/>
  <c r="G173" i="1" s="1"/>
  <c r="D152" i="1" a="1"/>
  <c r="D152" i="1" s="1"/>
  <c r="A102" i="1" a="1"/>
  <c r="A102" i="1" s="1"/>
  <c r="E102" i="1" s="1"/>
  <c r="E153" i="1"/>
  <c r="C85" i="1" a="1"/>
  <c r="C85" i="1" s="1"/>
  <c r="A134" i="1" a="1"/>
  <c r="A134" i="1" s="1"/>
  <c r="B103" i="1" a="1"/>
  <c r="B103" i="1" s="1"/>
  <c r="G103" i="1" s="1" a="1"/>
  <c r="G103" i="1" s="1"/>
  <c r="B175" i="1" a="1"/>
  <c r="B175" i="1" s="1"/>
  <c r="G175" i="1" s="1" a="1"/>
  <c r="G175" i="1" s="1"/>
  <c r="C184" i="1" a="1"/>
  <c r="C184" i="1" s="1"/>
  <c r="B119" i="1" a="1"/>
  <c r="B119" i="1" s="1"/>
  <c r="G119" i="1" s="1" a="1"/>
  <c r="G119" i="1" s="1"/>
  <c r="C150" i="1" a="1"/>
  <c r="C150" i="1" s="1"/>
  <c r="A146" i="1" a="1"/>
  <c r="A146" i="1" s="1"/>
  <c r="E146" i="1" s="1"/>
  <c r="A184" i="1" a="1"/>
  <c r="A184" i="1" s="1"/>
  <c r="A103" i="1" a="1"/>
  <c r="A103" i="1" s="1"/>
  <c r="E103" i="1" s="1"/>
  <c r="C130" i="1" a="1"/>
  <c r="C130" i="1" s="1"/>
  <c r="B167" i="1" a="1"/>
  <c r="B167" i="1" s="1"/>
  <c r="G167" i="1" s="1" a="1"/>
  <c r="G167" i="1" s="1"/>
  <c r="B171" i="1" a="1"/>
  <c r="B171" i="1" s="1"/>
  <c r="G171" i="1" s="1" a="1"/>
  <c r="G171" i="1" s="1"/>
  <c r="D85" i="1" a="1"/>
  <c r="D85" i="1" s="1"/>
  <c r="E167" i="1"/>
  <c r="C105" i="1" a="1"/>
  <c r="C105" i="1" s="1"/>
  <c r="C194" i="1" a="1"/>
  <c r="C194" i="1" s="1"/>
  <c r="D111" i="1" a="1"/>
  <c r="D111" i="1" s="1"/>
  <c r="A144" i="1" a="1"/>
  <c r="A144" i="1" s="1"/>
  <c r="D181" i="1" a="1"/>
  <c r="D181" i="1" s="1"/>
  <c r="A147" i="1" a="1"/>
  <c r="A147" i="1" s="1"/>
  <c r="D30" i="1"/>
  <c r="E30" i="1" s="1"/>
  <c r="F30" i="1" s="1"/>
  <c r="A137" i="1" a="1"/>
  <c r="A137" i="1" s="1"/>
  <c r="E137" i="1" s="1"/>
  <c r="D12" i="1"/>
  <c r="E12" i="1" s="1"/>
  <c r="F12" i="1" s="1"/>
  <c r="D26" i="1"/>
  <c r="E26" i="1" s="1"/>
  <c r="F26" i="1" s="1"/>
  <c r="D33" i="1"/>
  <c r="E33" i="1" s="1"/>
  <c r="F33" i="1" s="1"/>
  <c r="D22" i="1"/>
  <c r="E22" i="1" s="1"/>
  <c r="F22" i="1" s="1"/>
  <c r="D21" i="1"/>
  <c r="E21" i="1" s="1"/>
  <c r="F21" i="1" s="1"/>
  <c r="B135" i="1" a="1"/>
  <c r="B135" i="1" s="1"/>
  <c r="G135" i="1" s="1" a="1"/>
  <c r="G135" i="1" s="1"/>
  <c r="D13" i="1"/>
  <c r="E13" i="1" s="1"/>
  <c r="F13" i="1" s="1"/>
  <c r="D11" i="1"/>
  <c r="E11" i="1" s="1"/>
  <c r="F11" i="1" s="1"/>
  <c r="D7" i="1"/>
  <c r="E7" i="1" s="1"/>
  <c r="F7" i="1" s="1"/>
  <c r="D88" i="1" a="1"/>
  <c r="D88" i="1" s="1"/>
  <c r="C188" i="1" a="1"/>
  <c r="C188" i="1" s="1"/>
  <c r="B145" i="1" a="1"/>
  <c r="B145" i="1" s="1"/>
  <c r="G145" i="1" s="1" a="1"/>
  <c r="G145" i="1" s="1"/>
  <c r="C201" i="1" a="1"/>
  <c r="C201" i="1" s="1"/>
  <c r="B124" i="1" a="1"/>
  <c r="B124" i="1" s="1"/>
  <c r="G124" i="1" s="1" a="1"/>
  <c r="G124" i="1" s="1"/>
  <c r="D193" i="1" a="1"/>
  <c r="D193" i="1" s="1"/>
  <c r="D82" i="1" a="1"/>
  <c r="D82" i="1" s="1"/>
  <c r="A106" i="1" a="1"/>
  <c r="A106" i="1" s="1"/>
  <c r="E106" i="1" s="1"/>
  <c r="D135" i="1" a="1"/>
  <c r="D135" i="1" s="1"/>
  <c r="A121" i="1" a="1"/>
  <c r="A121" i="1" s="1"/>
  <c r="E121" i="1" s="1"/>
  <c r="C90" i="1" a="1"/>
  <c r="C90" i="1" s="1"/>
  <c r="D133" i="1" a="1"/>
  <c r="D133" i="1" s="1"/>
  <c r="A114" i="1" a="1"/>
  <c r="A114" i="1" s="1"/>
  <c r="E114" i="1" s="1"/>
  <c r="D100" i="1" a="1"/>
  <c r="D100" i="1" s="1"/>
  <c r="D120" i="1" a="1"/>
  <c r="D120" i="1" s="1"/>
  <c r="C191" i="1" a="1"/>
  <c r="C191" i="1" s="1"/>
  <c r="D140" i="1" a="1"/>
  <c r="D140" i="1" s="1"/>
  <c r="C151" i="1" a="1"/>
  <c r="C151" i="1" s="1"/>
  <c r="E151" i="1" s="1"/>
  <c r="D115" i="1" a="1"/>
  <c r="D115" i="1" s="1"/>
  <c r="D161" i="1" a="1"/>
  <c r="D161" i="1" s="1"/>
  <c r="A204" i="1" a="1"/>
  <c r="A204" i="1" s="1"/>
  <c r="E204" i="1" s="1"/>
  <c r="D113" i="1" a="1"/>
  <c r="D113" i="1" s="1"/>
  <c r="C199" i="1" a="1"/>
  <c r="C199" i="1" s="1"/>
  <c r="D107" i="1" a="1"/>
  <c r="D107" i="1" s="1"/>
  <c r="B197" i="1" a="1"/>
  <c r="B197" i="1" s="1"/>
  <c r="G197" i="1" s="1" a="1"/>
  <c r="G197" i="1" s="1"/>
  <c r="A187" i="1" a="1"/>
  <c r="A187" i="1" s="1"/>
  <c r="E187" i="1" s="1"/>
  <c r="B183" i="1" a="1"/>
  <c r="B183" i="1" s="1"/>
  <c r="G183" i="1" s="1" a="1"/>
  <c r="G183" i="1" s="1"/>
  <c r="A186" i="1" a="1"/>
  <c r="A186" i="1" s="1"/>
  <c r="E186" i="1" s="1"/>
  <c r="A116" i="1" a="1"/>
  <c r="A116" i="1" s="1"/>
  <c r="E116" i="1" s="1"/>
  <c r="C83" i="1" a="1"/>
  <c r="C83" i="1" s="1"/>
  <c r="D167" i="1" a="1"/>
  <c r="D167" i="1" s="1"/>
  <c r="B168" i="1" a="1"/>
  <c r="B168" i="1" s="1"/>
  <c r="G168" i="1" s="1" a="1"/>
  <c r="G168" i="1" s="1"/>
  <c r="A168" i="1" a="1"/>
  <c r="A168" i="1" s="1"/>
  <c r="E168" i="1" s="1"/>
  <c r="D164" i="1" a="1"/>
  <c r="D164" i="1" s="1"/>
  <c r="B147" i="1" a="1"/>
  <c r="B147" i="1" s="1"/>
  <c r="G147" i="1" s="1" a="1"/>
  <c r="G147" i="1" s="1"/>
  <c r="C144" i="1" a="1"/>
  <c r="C144" i="1" s="1"/>
  <c r="A99" i="1" a="1"/>
  <c r="A99" i="1" s="1"/>
  <c r="E99" i="1" s="1"/>
  <c r="C137" i="1" a="1"/>
  <c r="C137" i="1" s="1"/>
  <c r="C200" i="1" a="1"/>
  <c r="C200" i="1" s="1"/>
  <c r="B134" i="1" a="1"/>
  <c r="B134" i="1" s="1"/>
  <c r="G134" i="1" s="1" a="1"/>
  <c r="G134" i="1" s="1"/>
  <c r="D114" i="1" a="1"/>
  <c r="D114" i="1" s="1"/>
  <c r="C195" i="1" a="1"/>
  <c r="C195" i="1" s="1"/>
  <c r="B131" i="1" a="1"/>
  <c r="B131" i="1" s="1"/>
  <c r="G131" i="1" s="1" a="1"/>
  <c r="G131" i="1" s="1"/>
  <c r="D174" i="1" a="1"/>
  <c r="D174" i="1" s="1"/>
  <c r="B157" i="1" a="1"/>
  <c r="B157" i="1" s="1"/>
  <c r="G157" i="1" s="1" a="1"/>
  <c r="G157" i="1" s="1"/>
  <c r="A152" i="1" a="1"/>
  <c r="A152" i="1" s="1"/>
  <c r="E152" i="1" s="1"/>
  <c r="C193" i="1" a="1"/>
  <c r="C193" i="1" s="1"/>
  <c r="D139" i="1" a="1"/>
  <c r="D139" i="1" s="1"/>
  <c r="A166" i="1" a="1"/>
  <c r="A166" i="1" s="1"/>
  <c r="E166" i="1" s="1"/>
  <c r="B160" i="1" a="1"/>
  <c r="B160" i="1" s="1"/>
  <c r="G160" i="1" s="1" a="1"/>
  <c r="G160" i="1" s="1"/>
  <c r="D122" i="1" a="1"/>
  <c r="D122" i="1" s="1"/>
  <c r="D186" i="1" a="1"/>
  <c r="D186" i="1" s="1"/>
  <c r="D168" i="1" a="1"/>
  <c r="D168" i="1" s="1"/>
  <c r="A113" i="1" a="1"/>
  <c r="A113" i="1" s="1"/>
  <c r="E113" i="1" s="1"/>
  <c r="C127" i="1" a="1"/>
  <c r="C127" i="1" s="1"/>
  <c r="D116" i="1" a="1"/>
  <c r="D116" i="1" s="1"/>
  <c r="A123" i="1" a="1"/>
  <c r="A123" i="1" s="1"/>
  <c r="E123" i="1" s="1"/>
  <c r="A122" i="1" a="1"/>
  <c r="A122" i="1" s="1"/>
  <c r="E122" i="1" s="1"/>
  <c r="B121" i="1" a="1"/>
  <c r="B121" i="1" s="1"/>
  <c r="G121" i="1" s="1" a="1"/>
  <c r="G121" i="1" s="1"/>
  <c r="D151" i="1" a="1"/>
  <c r="D151" i="1" s="1"/>
  <c r="D110" i="1" a="1"/>
  <c r="D110" i="1" s="1"/>
  <c r="A104" i="1" a="1"/>
  <c r="A104" i="1" s="1"/>
  <c r="E104" i="1" s="1"/>
  <c r="C145" i="1" a="1"/>
  <c r="C145" i="1" s="1"/>
  <c r="B191" i="1" a="1"/>
  <c r="B191" i="1" s="1"/>
  <c r="G191" i="1" s="1" a="1"/>
  <c r="G191" i="1" s="1"/>
  <c r="C134" i="1" a="1"/>
  <c r="C134" i="1" s="1"/>
  <c r="C117" i="1" a="1"/>
  <c r="C117" i="1" s="1"/>
  <c r="D187" i="1" a="1"/>
  <c r="D187" i="1" s="1"/>
  <c r="D146" i="1" a="1"/>
  <c r="D146" i="1" s="1"/>
  <c r="B205" i="1" a="1"/>
  <c r="B205" i="1" s="1"/>
  <c r="G205" i="1" s="1" a="1"/>
  <c r="G205" i="1" s="1"/>
  <c r="A205" i="1" a="1"/>
  <c r="A205" i="1" s="1"/>
  <c r="E205" i="1" s="1"/>
  <c r="D205" i="1" a="1"/>
  <c r="D205" i="1" s="1"/>
  <c r="B193" i="1" a="1"/>
  <c r="B193" i="1" s="1"/>
  <c r="G193" i="1" s="1" a="1"/>
  <c r="G193" i="1" s="1"/>
  <c r="A189" i="1" a="1"/>
  <c r="A189" i="1" s="1"/>
  <c r="E189" i="1" s="1"/>
  <c r="C136" i="1" a="1"/>
  <c r="C136" i="1" s="1"/>
  <c r="D96" i="1" a="1"/>
  <c r="D96" i="1" s="1"/>
  <c r="A161" i="1" a="1"/>
  <c r="A161" i="1" s="1"/>
  <c r="E161" i="1" s="1"/>
  <c r="C131" i="1" a="1"/>
  <c r="C131" i="1" s="1"/>
  <c r="D94" i="1" a="1"/>
  <c r="D94" i="1" s="1"/>
  <c r="A88" i="1" a="1"/>
  <c r="A88" i="1" s="1"/>
  <c r="E88" i="1" s="1"/>
  <c r="C129" i="1" a="1"/>
  <c r="C129" i="1" s="1"/>
  <c r="C128" i="1" a="1"/>
  <c r="C128" i="1" s="1"/>
  <c r="E128" i="1" s="1"/>
  <c r="D154" i="1" a="1"/>
  <c r="D154" i="1" s="1"/>
  <c r="D138" i="1" a="1"/>
  <c r="D138" i="1" s="1"/>
  <c r="D128" i="1" a="1"/>
  <c r="D128" i="1" s="1"/>
  <c r="B123" i="1" a="1"/>
  <c r="B123" i="1" s="1"/>
  <c r="G123" i="1" s="1" a="1"/>
  <c r="G123" i="1" s="1"/>
  <c r="D104" i="1" a="1"/>
  <c r="D104" i="1" s="1"/>
  <c r="B204" i="1" a="1"/>
  <c r="B204" i="1" s="1"/>
  <c r="G204" i="1" s="1" a="1"/>
  <c r="G204" i="1" s="1"/>
  <c r="D162" i="1" a="1"/>
  <c r="D162" i="1" s="1"/>
  <c r="D156" i="1" a="1"/>
  <c r="D156" i="1" s="1"/>
  <c r="A129" i="1" a="1"/>
  <c r="A129" i="1" s="1"/>
  <c r="B133" i="1" a="1"/>
  <c r="B133" i="1" s="1"/>
  <c r="G133" i="1" s="1" a="1"/>
  <c r="G133" i="1" s="1"/>
  <c r="C189" i="1" a="1"/>
  <c r="C189" i="1" s="1"/>
  <c r="B127" i="1" a="1"/>
  <c r="B127" i="1" s="1"/>
  <c r="G127" i="1" s="1" a="1"/>
  <c r="G127" i="1" s="1"/>
  <c r="C124" i="1" a="1"/>
  <c r="C124" i="1" s="1"/>
  <c r="D87" i="1" a="1"/>
  <c r="D87" i="1" s="1"/>
  <c r="C170" i="1" a="1"/>
  <c r="C170" i="1" s="1"/>
  <c r="B109" i="1" a="1"/>
  <c r="B109" i="1" s="1"/>
  <c r="G109" i="1" s="1" a="1"/>
  <c r="G109" i="1" s="1"/>
  <c r="D150" i="1" a="1"/>
  <c r="D150" i="1" s="1"/>
  <c r="B199" i="1" a="1"/>
  <c r="B199" i="1" s="1"/>
  <c r="G199" i="1" s="1" a="1"/>
  <c r="G199" i="1" s="1"/>
  <c r="A194" i="1" a="1"/>
  <c r="A194" i="1" s="1"/>
  <c r="E194" i="1" s="1"/>
  <c r="D184" i="1" a="1"/>
  <c r="D184" i="1" s="1"/>
  <c r="B190" i="1" a="1"/>
  <c r="B190" i="1" s="1"/>
  <c r="G190" i="1" s="1" a="1"/>
  <c r="G190" i="1" s="1"/>
  <c r="A87" i="1" a="1"/>
  <c r="A87" i="1" s="1"/>
  <c r="E87" i="1" s="1"/>
  <c r="D147" i="1" a="1"/>
  <c r="D147" i="1" s="1"/>
  <c r="D148" i="1" a="1"/>
  <c r="D148" i="1" s="1"/>
  <c r="B83" i="1" a="1"/>
  <c r="B83" i="1" s="1"/>
  <c r="G83" i="1" s="1" a="1"/>
  <c r="G83" i="1" s="1"/>
  <c r="D141" i="1" a="1"/>
  <c r="D141" i="1" s="1"/>
  <c r="B198" i="1" a="1"/>
  <c r="B198" i="1" s="1"/>
  <c r="G198" i="1" s="1" a="1"/>
  <c r="G198" i="1" s="1"/>
  <c r="A199" i="1" a="1"/>
  <c r="A199" i="1" s="1"/>
  <c r="E199" i="1" s="1"/>
  <c r="C156" i="1" a="1"/>
  <c r="C156" i="1" s="1"/>
  <c r="D188" i="1" a="1"/>
  <c r="D188" i="1" s="1"/>
  <c r="A100" i="1" a="1"/>
  <c r="A100" i="1" s="1"/>
  <c r="E100" i="1" s="1"/>
  <c r="B195" i="1" a="1"/>
  <c r="B195" i="1" s="1"/>
  <c r="G195" i="1" s="1" a="1"/>
  <c r="G195" i="1" s="1"/>
  <c r="A185" i="1" a="1"/>
  <c r="A185" i="1" s="1"/>
  <c r="E185" i="1" s="1"/>
  <c r="C154" i="1" a="1"/>
  <c r="C154" i="1" s="1"/>
  <c r="B93" i="1" a="1"/>
  <c r="B93" i="1" s="1"/>
  <c r="G93" i="1" s="1" a="1"/>
  <c r="G93" i="1" s="1"/>
  <c r="D197" i="1" a="1"/>
  <c r="D197" i="1" s="1"/>
  <c r="B187" i="1" a="1"/>
  <c r="B187" i="1" s="1"/>
  <c r="G187" i="1" s="1" a="1"/>
  <c r="G187" i="1" s="1"/>
  <c r="A178" i="1" a="1"/>
  <c r="A178" i="1" s="1"/>
  <c r="E178" i="1" s="1"/>
  <c r="B192" i="1" a="1"/>
  <c r="B192" i="1" s="1"/>
  <c r="G192" i="1" s="1" a="1"/>
  <c r="G192" i="1" s="1"/>
  <c r="A188" i="1" a="1"/>
  <c r="A188" i="1" s="1"/>
  <c r="E188" i="1" s="1"/>
  <c r="D203" i="1" a="1"/>
  <c r="D203" i="1" s="1"/>
  <c r="D180" i="1" a="1"/>
  <c r="D180" i="1" s="1"/>
  <c r="B178" i="1" a="1"/>
  <c r="B178" i="1" s="1"/>
  <c r="G178" i="1" s="1" a="1"/>
  <c r="G178" i="1" s="1"/>
  <c r="A160" i="1" a="1"/>
  <c r="A160" i="1" s="1"/>
  <c r="E160" i="1" s="1"/>
  <c r="B100" i="1" a="1"/>
  <c r="B100" i="1" s="1"/>
  <c r="G100" i="1" s="1" a="1"/>
  <c r="G100" i="1" s="1"/>
  <c r="B128" i="1" a="1"/>
  <c r="B128" i="1" s="1"/>
  <c r="G128" i="1" s="1" a="1"/>
  <c r="G128" i="1" s="1"/>
  <c r="D171" i="1" a="1"/>
  <c r="D171" i="1" s="1"/>
  <c r="D99" i="1" a="1"/>
  <c r="D99" i="1" s="1"/>
  <c r="D129" i="1" a="1"/>
  <c r="D129" i="1" s="1"/>
  <c r="D132" i="1" a="1"/>
  <c r="D132" i="1" s="1"/>
  <c r="C143" i="1" a="1"/>
  <c r="C143" i="1" s="1"/>
  <c r="C119" i="1" a="1"/>
  <c r="C119" i="1" s="1"/>
  <c r="C142" i="1" a="1"/>
  <c r="C142" i="1" s="1"/>
  <c r="E142" i="1" s="1"/>
  <c r="C125" i="1" a="1"/>
  <c r="C125" i="1" s="1"/>
  <c r="B182" i="1" a="1"/>
  <c r="B182" i="1" s="1"/>
  <c r="G182" i="1" s="1" a="1"/>
  <c r="G182" i="1" s="1"/>
  <c r="A180" i="1" a="1"/>
  <c r="A180" i="1" s="1"/>
  <c r="C147" i="1" a="1"/>
  <c r="C147" i="1" s="1"/>
  <c r="B172" i="1" a="1"/>
  <c r="B172" i="1" s="1"/>
  <c r="G172" i="1" s="1" a="1"/>
  <c r="G172" i="1" s="1"/>
  <c r="D9" i="1"/>
  <c r="E9" i="1" s="1"/>
  <c r="F9" i="1" s="1"/>
  <c r="D8" i="1"/>
  <c r="E8" i="1" s="1"/>
  <c r="D29" i="1"/>
  <c r="E29" i="1" s="1"/>
  <c r="F29" i="1" s="1"/>
  <c r="D28" i="1"/>
  <c r="E28" i="1" s="1"/>
  <c r="F28" i="1" s="1"/>
  <c r="D27" i="1"/>
  <c r="E27" i="1" s="1"/>
  <c r="F27" i="1" s="1"/>
  <c r="D18" i="1"/>
  <c r="E18" i="1" s="1"/>
  <c r="F18" i="1" s="1"/>
  <c r="D153" i="1" a="1"/>
  <c r="D153" i="1" s="1"/>
  <c r="D17" i="1"/>
  <c r="E17" i="1" s="1"/>
  <c r="F17" i="1" s="1"/>
  <c r="D16" i="1"/>
  <c r="E16" i="1" s="1"/>
  <c r="F16" i="1" s="1"/>
  <c r="D15" i="1"/>
  <c r="E15" i="1" s="1"/>
  <c r="F15" i="1" s="1"/>
  <c r="D14" i="1"/>
  <c r="E14" i="1" s="1"/>
  <c r="F14" i="1" s="1"/>
  <c r="D192" i="1" a="1"/>
  <c r="D192" i="1" s="1"/>
  <c r="D37" i="1"/>
  <c r="E37" i="1" s="1"/>
  <c r="F37" i="1" s="1"/>
  <c r="D36" i="1"/>
  <c r="E36" i="1" s="1"/>
  <c r="F36" i="1" s="1"/>
  <c r="D35" i="1"/>
  <c r="E35" i="1" s="1"/>
  <c r="F35" i="1" s="1"/>
  <c r="D34" i="1"/>
  <c r="E34" i="1" s="1"/>
  <c r="F34" i="1" s="1"/>
  <c r="D25" i="1"/>
  <c r="E25" i="1" s="1"/>
  <c r="F25" i="1" s="1"/>
  <c r="D24" i="1"/>
  <c r="E24" i="1" s="1"/>
  <c r="F24" i="1" s="1"/>
  <c r="D23" i="1"/>
  <c r="E23" i="1" s="1"/>
  <c r="F23" i="1" s="1"/>
  <c r="D10" i="1"/>
  <c r="E10" i="1" s="1"/>
  <c r="F10" i="1" s="1"/>
  <c r="E127" i="1" l="1"/>
  <c r="E132" i="1"/>
  <c r="E115" i="1"/>
  <c r="E138" i="1"/>
  <c r="E190" i="1"/>
  <c r="E111" i="1"/>
  <c r="E191" i="1"/>
  <c r="E162" i="1"/>
  <c r="E140" i="1"/>
  <c r="E163" i="1"/>
  <c r="E192" i="1"/>
  <c r="E141" i="1"/>
  <c r="E144" i="1"/>
  <c r="E126" i="1"/>
  <c r="E180" i="1"/>
  <c r="E133" i="1"/>
  <c r="E176" i="1"/>
  <c r="E171" i="1"/>
  <c r="E145" i="1"/>
  <c r="E170" i="1"/>
  <c r="E149" i="1"/>
  <c r="E177" i="1"/>
  <c r="E105" i="1"/>
  <c r="E109" i="1"/>
  <c r="E136" i="1"/>
  <c r="E156" i="1"/>
  <c r="E172" i="1"/>
  <c r="E83" i="1"/>
  <c r="E93" i="1"/>
  <c r="E131" i="1"/>
  <c r="E94" i="1"/>
  <c r="E147" i="1"/>
  <c r="E112" i="1"/>
  <c r="E125" i="1"/>
  <c r="E143" i="1"/>
  <c r="E85" i="1"/>
  <c r="E135" i="1"/>
  <c r="E90" i="1"/>
  <c r="E120" i="1"/>
  <c r="E84" i="1"/>
  <c r="E148" i="1"/>
  <c r="E101" i="1"/>
  <c r="E129" i="1"/>
  <c r="E134" i="1"/>
  <c r="E182" i="1"/>
  <c r="E117" i="1"/>
  <c r="E154" i="1"/>
  <c r="E119" i="1"/>
  <c r="E184" i="1"/>
  <c r="E150" i="1"/>
  <c r="E108" i="1"/>
  <c r="E124" i="1"/>
  <c r="E181" i="1"/>
  <c r="E183" i="1"/>
  <c r="E98" i="1"/>
  <c r="E173" i="1"/>
  <c r="E130" i="1"/>
  <c r="E86" i="1"/>
  <c r="F8" i="1"/>
  <c r="E40" i="1"/>
  <c r="I39" i="1"/>
  <c r="G39" i="1"/>
  <c r="E39" i="1"/>
  <c r="G40" i="1"/>
  <c r="G41" i="1" l="1"/>
</calcChain>
</file>

<file path=xl/sharedStrings.xml><?xml version="1.0" encoding="utf-8"?>
<sst xmlns="http://schemas.openxmlformats.org/spreadsheetml/2006/main" count="1331" uniqueCount="250">
  <si>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</si>
  <si>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</si>
  <si>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</si>
  <si>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</si>
  <si>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</si>
  <si>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</si>
  <si>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</si>
  <si>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</si>
  <si>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</si>
  <si>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</si>
  <si>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</si>
  <si>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</si>
  <si>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</si>
  <si>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</si>
  <si>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</si>
  <si>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</si>
  <si>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</si>
  <si>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</si>
  <si>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</si>
  <si>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</si>
  <si>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</si>
  <si>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</si>
  <si>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</si>
  <si>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</si>
  <si>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</si>
  <si>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</si>
  <si>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</si>
  <si>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</si>
  <si>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</si>
  <si>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</si>
  <si>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</si>
  <si>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</si>
  <si>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</si>
  <si>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</si>
  <si>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</si>
  <si>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</si>
  <si>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</si>
  <si>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</si>
  <si>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</si>
  <si>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</si>
  <si>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</si>
  <si>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</si>
  <si>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</si>
  <si>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</si>
  <si>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</si>
  <si>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</si>
  <si>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</si>
  <si>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</si>
  <si>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</si>
  <si>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</si>
  <si>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</si>
  <si>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</si>
  <si>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</si>
  <si>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</si>
  <si>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</si>
  <si>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</si>
  <si>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ENSP00000331897:p.Thr146fs</t>
  </si>
  <si>
    <t>ENSP00000288135:p.Asn400Ser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</si>
  <si>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</si>
  <si>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</si>
  <si>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</si>
  <si>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</si>
  <si>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</si>
  <si>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</si>
  <si>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</si>
  <si>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</si>
  <si>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</si>
  <si>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</si>
  <si>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</si>
  <si>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</si>
  <si>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</si>
  <si>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</si>
  <si>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</si>
  <si>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</si>
  <si>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</si>
  <si>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Raw Data</t>
  </si>
  <si>
    <t>aaa</t>
  </si>
  <si>
    <t>False Positives</t>
  </si>
  <si>
    <t>Amino Acid Change</t>
  </si>
  <si>
    <t>Gene</t>
  </si>
  <si>
    <t>Average Quality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</si>
  <si>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</si>
  <si>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</si>
  <si>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</si>
  <si>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</si>
  <si>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</si>
  <si>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</si>
  <si>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</si>
  <si>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</si>
  <si>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</si>
  <si>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</si>
  <si>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</si>
  <si>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</si>
  <si>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</si>
  <si>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</si>
  <si>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</si>
  <si>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</si>
  <si>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</si>
  <si>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Notes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</si>
  <si>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</si>
  <si>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</si>
  <si>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</si>
  <si>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</si>
  <si>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</si>
  <si>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</si>
  <si>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</si>
  <si>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</si>
  <si>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</si>
  <si>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</si>
  <si>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</si>
  <si>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</si>
  <si>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</si>
  <si>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</si>
  <si>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</si>
  <si>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</si>
  <si>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</si>
  <si>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</si>
  <si>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</si>
  <si>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</si>
  <si>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</si>
  <si>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</si>
  <si>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</si>
  <si>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</si>
  <si>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</si>
  <si>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</si>
  <si>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</si>
  <si>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</si>
  <si>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</si>
  <si>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</si>
  <si>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</si>
  <si>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</si>
  <si>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</si>
  <si>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</si>
  <si>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</si>
  <si>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</si>
  <si>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</si>
  <si>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</si>
  <si>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</si>
  <si>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</si>
  <si>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</si>
  <si>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</si>
  <si>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</si>
  <si>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</si>
  <si>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</si>
  <si>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</si>
  <si>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</si>
  <si>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</si>
  <si>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</si>
  <si>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</si>
  <si>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</si>
  <si>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</si>
  <si>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</si>
  <si>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</si>
  <si>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</si>
  <si>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</si>
  <si>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</si>
  <si>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</si>
  <si>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</si>
  <si>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</si>
  <si>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</si>
  <si>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</si>
  <si>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</si>
  <si>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</si>
  <si>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</si>
  <si>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</si>
  <si>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</si>
  <si>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</si>
  <si>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</si>
  <si>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</si>
  <si>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</si>
  <si>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</si>
  <si>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</si>
  <si>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</si>
  <si>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</si>
  <si>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</si>
  <si>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</si>
  <si>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</si>
  <si>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</si>
  <si>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</si>
  <si>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</si>
  <si>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</si>
  <si>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</si>
  <si>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</si>
  <si>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</si>
  <si>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</si>
  <si>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</si>
  <si>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</si>
  <si>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</si>
  <si>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</si>
  <si>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</si>
  <si>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</si>
  <si>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</si>
  <si>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</si>
  <si>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</si>
  <si>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</si>
  <si>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</si>
  <si>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</si>
  <si>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</si>
  <si>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</si>
  <si>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</si>
  <si>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</si>
  <si>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</si>
  <si>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</si>
  <si>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</si>
  <si>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</si>
  <si>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</si>
  <si>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</si>
  <si>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</si>
  <si>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</si>
  <si>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</si>
  <si>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</si>
  <si>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</si>
  <si>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</si>
  <si>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</si>
  <si>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t>Column1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</si>
  <si>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</si>
  <si>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</si>
  <si>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</si>
  <si>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</si>
  <si>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</si>
  <si>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</si>
  <si>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</si>
  <si>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</si>
  <si>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</si>
  <si>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</si>
  <si>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</si>
  <si>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</si>
  <si>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</si>
  <si>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</si>
  <si>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</si>
  <si>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</si>
  <si>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</si>
  <si>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</si>
  <si>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</si>
  <si>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</si>
  <si>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</si>
  <si>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</si>
  <si>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</si>
  <si>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</si>
  <si>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</si>
  <si>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</si>
  <si>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</si>
  <si>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</si>
  <si>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TP</t>
  </si>
  <si>
    <t>TN</t>
  </si>
  <si>
    <t>FP</t>
  </si>
  <si>
    <t>FN</t>
  </si>
  <si>
    <t>BGW 5.0, CMOL Heme V5.1.3, COMP 5.0</t>
  </si>
  <si>
    <t>Analyzed by:</t>
  </si>
  <si>
    <t>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</si>
</sst>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1" fontId="0" fillId="0" borderId="0" xfId="0" applyNumberFormat="1"/>
    <xf numFmtId="0" fontId="5" fillId="3" borderId="0" xfId="0" applyFont="1" applyFill="1"/>
    <xf numFmtId="0" fontId="0" fillId="3" borderId="0" xfId="0" applyFill="1"/>
    <xf numFmtId="0" fontId="1" fillId="3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4" borderId="7" xfId="0" applyFill="1" applyBorder="1" applyAlignment="1">
      <alignment wrapText="1"/>
    </xf>
    <xf numFmtId="0" fontId="0" fillId="0" borderId="7" xfId="0" applyBorder="1"/>
    <xf numFmtId="0" fontId="2" fillId="2" borderId="0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8" fillId="2" borderId="0" xfId="0" applyNumberFormat="1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2" fontId="8" fillId="2" borderId="17" xfId="0" applyNumberFormat="1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171450</xdr:colOff>
          <xdr:row>12</xdr:row>
          <xdr:rowOff>209550</xdr:rowOff>
        </xdr:from>
        <xdr:to>
          <xdr:col>31</xdr:col>
          <xdr:colOff>504825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180975</xdr:colOff>
          <xdr:row>17</xdr:row>
          <xdr:rowOff>28575</xdr:rowOff>
        </xdr:from>
        <xdr:to>
          <xdr:col>31</xdr:col>
          <xdr:colOff>514350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alsePositives" displayName="FalsePositives" ref="A81:G205" totalsRowShown="0" headerRowDxfId="13" dataDxfId="11" headerRowBorderDxfId="12" tableBorderDxfId="10" totalsRowBorderDxfId="9">
  <autoFilter ref="A81:G205" xr:uid="{00000000-0009-0000-0100-000002000000}"/>
  <tableColumns count="7">
    <tableColumn id="1" xr3:uid="{00000000-0010-0000-0000-000001000000}" name="Gene" dataDxfId="8">
      <calculatedColumnFormula array="1">IFERROR(INDEX(S$7:S$300, SMALL(IF($V$7:$V$300="Missing", ROW(S7:S$300)-ROW(S7)+1), ROW(1:1))), "")</calculatedColumnFormula>
    </tableColumn>
    <tableColumn id="2" xr3:uid="{00000000-0010-0000-0000-000002000000}" name="Amino Acid Change" dataDxfId="7">
      <calculatedColumnFormula array="1">IFERROR(INDEX(T$7:T$300, SMALL(IF($V$7:$V$300="Missing", ROW(T7:T$300)-ROW(T7)+1), ROW(1:1))), "")</calculatedColumnFormula>
    </tableColumn>
    <tableColumn id="3" xr3:uid="{00000000-0010-0000-0000-000003000000}" name="Average Quality" dataDxfId="6">
      <calculatedColumnFormula array="1">IFERROR(INDEX(R$7:R$300, SMALL(IF($V$7:$V$2300="Missing", ROW(R7:R$300)-ROW(R7)+1), ROW(1:1))), "")</calculatedColumnFormula>
    </tableColumn>
    <tableColumn id="4" xr3:uid="{00000000-0010-0000-0000-000004000000}" name="Frequency" dataDxfId="5">
      <calculatedColumnFormula array="1">IFERROR(INDEX(Q$7:Q$300, SMALL(IF($V$7:$V$300="Missing", ROW(Q7:Q$300)-ROW(Q7)+1), ROW(1:1))), "")</calculatedColumnFormula>
    </tableColumn>
    <tableColumn id="5" xr3:uid="{00000000-0010-0000-0000-000005000000}" name="QC" dataDxfId="4">
      <calculatedColumnFormula>IF(FalsePositives[[#This Row],[Gene]]="", "", IF(C82&lt;40,"Pass","Inspect"))</calculatedColumnFormula>
    </tableColumn>
    <tableColumn id="6" xr3:uid="{00000000-0010-0000-0000-000006000000}" name="Notes" dataDxfId="3"/>
    <tableColumn id="7" xr3:uid="{00000000-0010-0000-0000-000007000000}" name="Region" dataDxfId="2">
      <calculatedColumnFormula array="1">IFERROR(VLOOKUP(B82,$T$7:$W$300,COLUMN($W$7:$W$300)-COLUMN($T$7:$W$300)+1,0), 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248"/>
  <sheetViews>
    <sheetView showZeros="0" tabSelected="1" zoomScale="68" zoomScaleNormal="68" workbookViewId="0">
      <selection activeCell="AD9" sqref="AD9"/>
    </sheetView>
  </sheetViews>
  <sheetFormatPr defaultColWidth="8.7109375" defaultRowHeight="18" x14ac:dyDescent="0.25"/>
  <cols>
    <col min="1" max="1" width="31.7109375" style="1" customWidth="1"/>
    <col min="2" max="2" width="45.28515625" style="9" customWidth="1"/>
    <col min="3" max="3" width="27.5703125" style="1" customWidth="1"/>
    <col min="4" max="4" width="36.7109375" style="1" customWidth="1"/>
    <col min="5" max="5" width="33.42578125" style="1" customWidth="1"/>
    <col min="6" max="6" width="28.42578125" style="23" customWidth="1"/>
    <col min="7" max="8" width="28.42578125" style="15" customWidth="1"/>
    <col min="9" max="9" width="28.42578125" style="15" hidden="1" customWidth="1"/>
    <col min="10" max="10" width="15.7109375" style="1" hidden="1" customWidth="1"/>
    <col min="11" max="11" width="24.7109375" style="1" hidden="1" customWidth="1"/>
    <col min="12" max="12" width="8.7109375" style="1" hidden="1" customWidth="1"/>
    <col min="13" max="13" width="12.5703125" style="1" hidden="1" customWidth="1"/>
    <col min="14" max="14" width="17.42578125" style="1" hidden="1" customWidth="1"/>
    <col min="15" max="15" width="8.7109375" style="1" hidden="1" customWidth="1"/>
    <col min="16" max="16" width="12.28515625" style="1" hidden="1" customWidth="1"/>
    <col min="17" max="17" width="12.7109375" style="1" hidden="1" customWidth="1"/>
    <col min="18" max="18" width="26.28515625" style="1" hidden="1" customWidth="1"/>
    <col min="19" max="19" width="37" style="1" hidden="1" customWidth="1"/>
    <col min="20" max="20" width="61.5703125" style="1" hidden="1" customWidth="1"/>
    <col min="21" max="21" width="15" style="1" hidden="1" customWidth="1"/>
    <col min="22" max="22" width="19.28515625" style="1" hidden="1" customWidth="1"/>
    <col min="23" max="23" width="12.7109375" style="1" hidden="1" customWidth="1"/>
    <col min="24" max="26" width="8.7109375" style="1" customWidth="1"/>
    <col min="27" max="16384" width="8.7109375" style="1"/>
  </cols>
  <sheetData>
    <row r="1" spans="1:23" x14ac:dyDescent="0.25">
      <c r="A1" s="5" t="s">
        <v>4</v>
      </c>
      <c r="B1" s="8"/>
      <c r="C1" s="5" t="s">
        <v>106</v>
      </c>
      <c r="D1" s="6" t="s">
        <v>211</v>
      </c>
    </row>
    <row r="2" spans="1:23" x14ac:dyDescent="0.25">
      <c r="A2" s="5" t="s">
        <v>248</v>
      </c>
      <c r="B2" s="8"/>
      <c r="C2" s="5" t="s">
        <v>5</v>
      </c>
      <c r="D2" s="7"/>
    </row>
    <row r="3" spans="1:23" x14ac:dyDescent="0.25">
      <c r="A3" s="5" t="s">
        <v>7</v>
      </c>
      <c r="B3" s="8" t="s">
        <v>249</v>
      </c>
      <c r="C3" s="5" t="s">
        <v>6</v>
      </c>
      <c r="D3" s="6">
        <v>5</v>
      </c>
    </row>
    <row r="4" spans="1:23" x14ac:dyDescent="0.25">
      <c r="A4" s="5" t="s">
        <v>9</v>
      </c>
      <c r="B4" s="8">
        <f>'Coverage Reports'!B5</f>
        <v>0</v>
      </c>
      <c r="C4" s="5" t="s">
        <v>105</v>
      </c>
      <c r="D4" s="6" t="s">
        <v>247</v>
      </c>
    </row>
    <row r="5" spans="1:23" x14ac:dyDescent="0.25">
      <c r="A5" s="4"/>
      <c r="B5" s="10"/>
      <c r="J5" s="3" t="s">
        <v>75</v>
      </c>
    </row>
    <row r="6" spans="1:23" x14ac:dyDescent="0.25">
      <c r="A6" s="35" t="s">
        <v>0</v>
      </c>
      <c r="B6" s="36" t="s">
        <v>78</v>
      </c>
      <c r="C6" s="35" t="s">
        <v>1</v>
      </c>
      <c r="D6" s="35" t="s">
        <v>2</v>
      </c>
      <c r="E6" s="35" t="s">
        <v>3</v>
      </c>
      <c r="F6" s="37" t="s">
        <v>98</v>
      </c>
      <c r="G6" s="35" t="s">
        <v>11</v>
      </c>
      <c r="H6" s="35"/>
      <c r="I6" s="38" t="s">
        <v>214</v>
      </c>
      <c r="J6" s="13" t="s">
        <v>10</v>
      </c>
      <c r="K6" s="11" t="s">
        <v>11</v>
      </c>
      <c r="L6" s="11" t="s">
        <v>12</v>
      </c>
      <c r="M6" s="11" t="s">
        <v>13</v>
      </c>
      <c r="N6" s="11" t="s">
        <v>14</v>
      </c>
      <c r="O6" s="11" t="s">
        <v>15</v>
      </c>
      <c r="P6" s="11" t="s">
        <v>16</v>
      </c>
      <c r="Q6" s="11" t="s">
        <v>17</v>
      </c>
      <c r="R6" s="11" t="s">
        <v>18</v>
      </c>
      <c r="S6" s="11" t="s">
        <v>19</v>
      </c>
      <c r="T6" s="11" t="s">
        <v>20</v>
      </c>
      <c r="U6" s="11" t="str">
        <f>Q6</f>
        <v>Frequency</v>
      </c>
      <c r="V6" s="6" t="s">
        <v>97</v>
      </c>
      <c r="W6" s="1" t="s">
        <v>11</v>
      </c>
    </row>
    <row r="7" spans="1:23" x14ac:dyDescent="0.25">
      <c r="A7" s="35" t="s">
        <v>215</v>
      </c>
      <c r="B7" s="36" t="s">
        <v>31</v>
      </c>
      <c r="C7" s="35">
        <v>8</v>
      </c>
      <c r="D7" s="39" t="e">
        <f>VLOOKUP(B7,$T$7:$U$300,COLUMN($U$7:$U$300)-COLUMN($T$7:$U$300)+1,0)</f>
        <v>#N/A</v>
      </c>
      <c r="E7" s="35" t="e">
        <f>IF(AND(C7&gt;=5,D7&gt;=3.5),"TP",IF(AND(C7&gt;=5,D7&lt;3.5),"FN",IF(AND(C7&lt;5,D7&lt;3.5),"TN",IF(AND(C7&lt;5,D7&gt;=3.5),"FP","Check"))))</f>
        <v>#N/A</v>
      </c>
      <c r="F7" s="37" t="e">
        <f>IF('C00026'!$E7="Pass","-","")</f>
        <v>#N/A</v>
      </c>
      <c r="G7" s="35">
        <v>140453136</v>
      </c>
      <c r="H7" s="35"/>
      <c r="I7" s="40"/>
      <c r="J7" s="14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6" si="0">Q7</f>
        <v>0</v>
      </c>
      <c r="V7" s="12" t="str">
        <f>IF($T7=0, "", IF(COUNTIF('C00026'!$B$7:$B$41, $T7)=0, "Missing", "Y"))</f>
        <v/>
      </c>
      <c r="W7" s="1">
        <f>K7</f>
        <v>0</v>
      </c>
    </row>
    <row r="8" spans="1:23" x14ac:dyDescent="0.25">
      <c r="A8" s="35" t="s">
        <v>216</v>
      </c>
      <c r="B8" s="36" t="s">
        <v>34</v>
      </c>
      <c r="C8" s="35">
        <v>4</v>
      </c>
      <c r="D8" s="39" t="e">
        <f t="shared" ref="D8:D37" si="1">VLOOKUP(B8,$T$7:$U$300,COLUMN($U$7:$U$300)-COLUMN($T$7:$U$300)+1,0)</f>
        <v>#N/A</v>
      </c>
      <c r="E8" s="35" t="e">
        <f t="shared" ref="E8:E37" si="2">IF(AND(C8&gt;=5,D8&gt;=3.5),"TP",IF(AND(C8&gt;=5,D8&lt;3.5),"FN",IF(AND(C8&lt;5,D8&lt;3.5),"TN",IF(AND(C8&lt;5,D8&gt;=3.5),"FP","Check"))))</f>
        <v>#N/A</v>
      </c>
      <c r="F8" s="37" t="e">
        <f>IF('C00026'!$E8="Pass","-","")</f>
        <v>#N/A</v>
      </c>
      <c r="G8" s="35" t="s">
        <v>32</v>
      </c>
      <c r="H8" s="41"/>
      <c r="I8" s="42"/>
      <c r="J8" s="14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2" t="str">
        <f>IF($T8=0, "", IF(COUNTIF('C00026'!$B$7:$B$41, $T8)=0, "Missing", "Y"))</f>
        <v/>
      </c>
      <c r="W8" s="1">
        <f t="shared" ref="W8:W66" si="3">K8</f>
        <v>0</v>
      </c>
    </row>
    <row r="9" spans="1:23" x14ac:dyDescent="0.25">
      <c r="A9" s="35" t="s">
        <v>217</v>
      </c>
      <c r="B9" s="36" t="s">
        <v>35</v>
      </c>
      <c r="C9" s="35">
        <v>25</v>
      </c>
      <c r="D9" s="39" t="e">
        <f t="shared" si="1"/>
        <v>#N/A</v>
      </c>
      <c r="E9" s="35" t="e">
        <f t="shared" si="2"/>
        <v>#N/A</v>
      </c>
      <c r="F9" s="37" t="e">
        <f>IF('C00026'!$E9="Pass","-","")</f>
        <v>#N/A</v>
      </c>
      <c r="G9" s="35">
        <v>13051383</v>
      </c>
      <c r="H9" s="41"/>
      <c r="I9" s="42"/>
      <c r="J9" s="14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2" t="str">
        <f>IF($T9=0, "", IF(COUNTIF('C00026'!$B$7:$B$41, $T9)=0, "Missing", "Y"))</f>
        <v/>
      </c>
      <c r="W9" s="1">
        <f t="shared" si="3"/>
        <v>0</v>
      </c>
    </row>
    <row r="10" spans="1:23" x14ac:dyDescent="0.25">
      <c r="A10" s="35" t="s">
        <v>218</v>
      </c>
      <c r="B10" s="36" t="s">
        <v>37</v>
      </c>
      <c r="C10" s="35">
        <v>16.7</v>
      </c>
      <c r="D10" s="39" t="e">
        <f t="shared" si="1"/>
        <v>#N/A</v>
      </c>
      <c r="E10" s="35" t="e">
        <f t="shared" si="2"/>
        <v>#N/A</v>
      </c>
      <c r="F10" s="37" t="e">
        <f>IF('C00026'!$E10="Pass","-","")</f>
        <v>#N/A</v>
      </c>
      <c r="G10" s="35">
        <v>55241707</v>
      </c>
      <c r="H10" s="41"/>
      <c r="I10" s="42"/>
      <c r="J10" s="14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2" t="str">
        <f>IF($T10=0, "", IF(COUNTIF('C00026'!$B$7:$B$41, $T10)=0, "Missing", "Y"))</f>
        <v/>
      </c>
      <c r="W10" s="1">
        <f t="shared" si="3"/>
        <v>0</v>
      </c>
    </row>
    <row r="11" spans="1:23" x14ac:dyDescent="0.25">
      <c r="A11" s="35" t="s">
        <v>219</v>
      </c>
      <c r="B11" s="36" t="s">
        <v>41</v>
      </c>
      <c r="C11" s="35">
        <v>16</v>
      </c>
      <c r="D11" s="39" t="e">
        <f t="shared" si="1"/>
        <v>#N/A</v>
      </c>
      <c r="E11" s="35" t="e">
        <f t="shared" si="2"/>
        <v>#N/A</v>
      </c>
      <c r="F11" s="37" t="e">
        <f>IF('C00026'!$E11="Pass","-","")</f>
        <v>#N/A</v>
      </c>
      <c r="G11" s="35">
        <v>55268980</v>
      </c>
      <c r="H11" s="41"/>
      <c r="I11" s="42"/>
      <c r="J11" s="14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2" t="str">
        <f>IF($T11=0, "", IF(COUNTIF('C00026'!$B$7:$B$41, $T11)=0, "Missing", "Y"))</f>
        <v/>
      </c>
      <c r="W11" s="1">
        <f t="shared" si="3"/>
        <v>0</v>
      </c>
    </row>
    <row r="12" spans="1:23" x14ac:dyDescent="0.25">
      <c r="A12" s="35" t="s">
        <v>220</v>
      </c>
      <c r="B12" s="35" t="s">
        <v>102</v>
      </c>
      <c r="C12" s="35">
        <v>4.2</v>
      </c>
      <c r="D12" s="39" t="e">
        <f t="shared" si="1"/>
        <v>#N/A</v>
      </c>
      <c r="E12" s="35" t="e">
        <f t="shared" si="2"/>
        <v>#N/A</v>
      </c>
      <c r="F12" s="37" t="e">
        <f>IF('C00026'!$E12="Pass","-","")</f>
        <v>#N/A</v>
      </c>
      <c r="G12" s="35">
        <v>55249071</v>
      </c>
      <c r="H12" s="41"/>
      <c r="I12" s="42"/>
      <c r="J12" s="14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2" t="str">
        <f>IF($T12=0, "", IF(COUNTIF('C00026'!$B$7:$B$41, $T12)=0, "Missing", "Y"))</f>
        <v/>
      </c>
      <c r="W12" s="1">
        <f t="shared" si="3"/>
        <v>0</v>
      </c>
    </row>
    <row r="13" spans="1:23" x14ac:dyDescent="0.25">
      <c r="A13" s="35" t="s">
        <v>221</v>
      </c>
      <c r="B13" s="36" t="s">
        <v>42</v>
      </c>
      <c r="C13" s="35">
        <v>20</v>
      </c>
      <c r="D13" s="39" t="e">
        <f t="shared" si="1"/>
        <v>#N/A</v>
      </c>
      <c r="E13" s="35" t="e">
        <f t="shared" si="2"/>
        <v>#N/A</v>
      </c>
      <c r="F13" s="37" t="e">
        <f>IF('C00026'!$E13="Pass","-","")</f>
        <v>#N/A</v>
      </c>
      <c r="G13" s="35">
        <v>55138600</v>
      </c>
      <c r="H13" s="41"/>
      <c r="I13" s="42"/>
      <c r="J13" s="14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2" t="str">
        <f>IF($T13=0, "", IF(COUNTIF('C00026'!$B$7:$B$41, $T13)=0, "Missing", "Y"))</f>
        <v/>
      </c>
      <c r="W13" s="1">
        <f t="shared" si="3"/>
        <v>0</v>
      </c>
    </row>
    <row r="14" spans="1:23" x14ac:dyDescent="0.25">
      <c r="A14" s="35" t="s">
        <v>222</v>
      </c>
      <c r="B14" s="36" t="s">
        <v>43</v>
      </c>
      <c r="C14" s="35">
        <v>10</v>
      </c>
      <c r="D14" s="39" t="e">
        <f t="shared" si="1"/>
        <v>#N/A</v>
      </c>
      <c r="E14" s="35" t="e">
        <f t="shared" si="2"/>
        <v>#N/A</v>
      </c>
      <c r="F14" s="37" t="e">
        <f>IF('C00026'!$E14="Pass","-","")</f>
        <v>#N/A</v>
      </c>
      <c r="G14" s="35">
        <v>55155059</v>
      </c>
      <c r="H14" s="41"/>
      <c r="I14" s="42"/>
      <c r="J14" s="14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2" t="str">
        <f>IF($T14=0, "", IF(COUNTIF('C00026'!$B$7:$B$41, $T14)=0, "Missing", "Y"))</f>
        <v/>
      </c>
      <c r="W14" s="1">
        <f t="shared" si="3"/>
        <v>0</v>
      </c>
    </row>
    <row r="15" spans="1:23" x14ac:dyDescent="0.25">
      <c r="A15" s="35" t="s">
        <v>223</v>
      </c>
      <c r="B15" s="36" t="s">
        <v>46</v>
      </c>
      <c r="C15" s="35">
        <v>25</v>
      </c>
      <c r="D15" s="39" t="e">
        <f t="shared" si="1"/>
        <v>#N/A</v>
      </c>
      <c r="E15" s="35" t="e">
        <f t="shared" si="2"/>
        <v>#N/A</v>
      </c>
      <c r="F15" s="37" t="e">
        <f>IF('C00026'!$E15="Pass","-","")</f>
        <v>#N/A</v>
      </c>
      <c r="G15" s="35" t="s">
        <v>44</v>
      </c>
      <c r="H15" s="41"/>
      <c r="I15" s="42"/>
      <c r="J15" s="14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2" t="str">
        <f>IF($T15=0, "", IF(COUNTIF('C00026'!$B$7:$B$41, $T15)=0, "Missing", "Y"))</f>
        <v/>
      </c>
      <c r="W15" s="1">
        <f t="shared" si="3"/>
        <v>0</v>
      </c>
    </row>
    <row r="16" spans="1:23" x14ac:dyDescent="0.25">
      <c r="A16" s="35" t="s">
        <v>224</v>
      </c>
      <c r="B16" s="36" t="s">
        <v>49</v>
      </c>
      <c r="C16" s="35">
        <v>5</v>
      </c>
      <c r="D16" s="39" t="e">
        <f t="shared" si="1"/>
        <v>#N/A</v>
      </c>
      <c r="E16" s="35" t="e">
        <f t="shared" si="2"/>
        <v>#N/A</v>
      </c>
      <c r="F16" s="37" t="e">
        <f>IF('C00026'!$E16="Pass","-","")</f>
        <v>#N/A</v>
      </c>
      <c r="G16" s="35" t="s">
        <v>47</v>
      </c>
      <c r="H16" s="41"/>
      <c r="I16" s="42"/>
      <c r="J16" s="14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2" t="str">
        <f>IF($T16=0, "", IF(COUNTIF('C00026'!$B$7:$B$41, $T16)=0, "Missing", "Y"))</f>
        <v/>
      </c>
      <c r="W16" s="1">
        <f t="shared" si="3"/>
        <v>0</v>
      </c>
    </row>
    <row r="17" spans="1:23" x14ac:dyDescent="0.25">
      <c r="A17" s="35" t="s">
        <v>225</v>
      </c>
      <c r="B17" s="36" t="s">
        <v>50</v>
      </c>
      <c r="C17" s="35">
        <v>25</v>
      </c>
      <c r="D17" s="39" t="e">
        <f t="shared" si="1"/>
        <v>#N/A</v>
      </c>
      <c r="E17" s="35" t="e">
        <f t="shared" si="2"/>
        <v>#N/A</v>
      </c>
      <c r="F17" s="37" t="e">
        <f>IF('C00026'!$E17="Pass","-","")</f>
        <v>#N/A</v>
      </c>
      <c r="G17" s="35">
        <v>28626706</v>
      </c>
      <c r="H17" s="41"/>
      <c r="I17" s="42"/>
      <c r="J17" s="14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2" t="str">
        <f>IF($T17=0, "", IF(COUNTIF('C00026'!$B$7:$B$41, $T17)=0, "Missing", "Y"))</f>
        <v/>
      </c>
      <c r="W17" s="1">
        <f t="shared" si="3"/>
        <v>0</v>
      </c>
    </row>
    <row r="18" spans="1:23" x14ac:dyDescent="0.25">
      <c r="A18" s="35" t="s">
        <v>226</v>
      </c>
      <c r="B18" s="36" t="s">
        <v>51</v>
      </c>
      <c r="C18" s="35">
        <v>20</v>
      </c>
      <c r="D18" s="39" t="e">
        <f t="shared" si="1"/>
        <v>#N/A</v>
      </c>
      <c r="E18" s="35" t="e">
        <f t="shared" si="2"/>
        <v>#N/A</v>
      </c>
      <c r="F18" s="37" t="e">
        <f>IF('C00026'!$E18="Pass","-","")</f>
        <v>#N/A</v>
      </c>
      <c r="G18" s="35">
        <v>533328</v>
      </c>
      <c r="H18" s="41"/>
      <c r="I18" s="42"/>
      <c r="J18" s="14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2" t="str">
        <f>IF($T18=0, "", IF(COUNTIF('C00026'!$B$7:$B$41, $T18)=0, "Missing", "Y"))</f>
        <v/>
      </c>
      <c r="W18" s="1">
        <f t="shared" si="3"/>
        <v>0</v>
      </c>
    </row>
    <row r="19" spans="1:23" x14ac:dyDescent="0.25">
      <c r="A19" s="35" t="s">
        <v>227</v>
      </c>
      <c r="B19" s="36" t="s">
        <v>53</v>
      </c>
      <c r="C19" s="35">
        <v>25</v>
      </c>
      <c r="D19" s="39" t="e">
        <f t="shared" si="1"/>
        <v>#N/A</v>
      </c>
      <c r="E19" s="35" t="e">
        <f t="shared" si="2"/>
        <v>#N/A</v>
      </c>
      <c r="F19" s="37" t="e">
        <f>IF('C00026'!$E19="Pass","-","")</f>
        <v>#N/A</v>
      </c>
      <c r="G19" s="35">
        <v>209106786</v>
      </c>
      <c r="H19" s="41"/>
      <c r="I19" s="42"/>
      <c r="J19" s="14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2" t="str">
        <f>IF($T19=0, "", IF(COUNTIF('C00026'!$B$7:$B$41, $T19)=0, "Missing", "Y"))</f>
        <v/>
      </c>
      <c r="W19" s="1">
        <f t="shared" si="3"/>
        <v>0</v>
      </c>
    </row>
    <row r="20" spans="1:23" x14ac:dyDescent="0.25">
      <c r="A20" s="35" t="s">
        <v>228</v>
      </c>
      <c r="B20" s="36" t="s">
        <v>54</v>
      </c>
      <c r="C20" s="35">
        <v>5</v>
      </c>
      <c r="D20" s="39" t="e">
        <f t="shared" si="1"/>
        <v>#N/A</v>
      </c>
      <c r="E20" s="35" t="e">
        <f t="shared" si="2"/>
        <v>#N/A</v>
      </c>
      <c r="F20" s="37" t="e">
        <f>IF('C00026'!$E20="Pass","-","")</f>
        <v>#N/A</v>
      </c>
      <c r="G20" s="35">
        <v>209113113</v>
      </c>
      <c r="H20" s="41"/>
      <c r="I20" s="42"/>
      <c r="J20" s="14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 t="shared" si="0"/>
        <v>0</v>
      </c>
      <c r="V20" s="12" t="str">
        <f>IF($T20=0, "", IF(COUNTIF('C00026'!$B$7:$B$41, $T20)=0, "Missing", "Y"))</f>
        <v/>
      </c>
      <c r="W20" s="1">
        <f t="shared" si="3"/>
        <v>0</v>
      </c>
    </row>
    <row r="21" spans="1:23" x14ac:dyDescent="0.25">
      <c r="A21" s="35" t="s">
        <v>229</v>
      </c>
      <c r="B21" s="36" t="s">
        <v>55</v>
      </c>
      <c r="C21" s="35">
        <v>10</v>
      </c>
      <c r="D21" s="39" t="e">
        <f t="shared" si="1"/>
        <v>#N/A</v>
      </c>
      <c r="E21" s="35" t="e">
        <f t="shared" si="2"/>
        <v>#N/A</v>
      </c>
      <c r="F21" s="37" t="e">
        <f>IF('C00026'!$E21="Pass","-","")</f>
        <v>#N/A</v>
      </c>
      <c r="G21" s="35">
        <v>90631700</v>
      </c>
      <c r="H21" s="41"/>
      <c r="I21" s="42"/>
      <c r="J21" s="14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2" t="str">
        <f>IF($T21=0, "", IF(COUNTIF('C00026'!$B$7:$B$41, $T21)=0, "Missing", "Y"))</f>
        <v/>
      </c>
      <c r="W21" s="1">
        <f t="shared" si="3"/>
        <v>0</v>
      </c>
    </row>
    <row r="22" spans="1:23" x14ac:dyDescent="0.25">
      <c r="A22" s="35" t="s">
        <v>230</v>
      </c>
      <c r="B22" s="36" t="s">
        <v>56</v>
      </c>
      <c r="C22" s="35">
        <v>15</v>
      </c>
      <c r="D22" s="39" t="e">
        <f t="shared" si="1"/>
        <v>#N/A</v>
      </c>
      <c r="E22" s="35" t="e">
        <f t="shared" si="2"/>
        <v>#N/A</v>
      </c>
      <c r="F22" s="37" t="e">
        <f>IF('C00026'!$E22="Pass","-","")</f>
        <v>#N/A</v>
      </c>
      <c r="G22" s="35">
        <v>90631918</v>
      </c>
      <c r="H22" s="41"/>
      <c r="I22" s="42"/>
      <c r="J22" s="14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2" t="str">
        <f>IF($T22=0, "", IF(COUNTIF('C00026'!$B$7:$B$41, $T22)=0, "Missing", "Y"))</f>
        <v/>
      </c>
      <c r="W22" s="1">
        <f t="shared" si="3"/>
        <v>0</v>
      </c>
    </row>
    <row r="23" spans="1:23" x14ac:dyDescent="0.25">
      <c r="A23" s="35" t="s">
        <v>231</v>
      </c>
      <c r="B23" s="36" t="s">
        <v>107</v>
      </c>
      <c r="C23" s="35">
        <v>5</v>
      </c>
      <c r="D23" s="39" t="e">
        <f t="shared" si="1"/>
        <v>#N/A</v>
      </c>
      <c r="E23" s="35" t="e">
        <f t="shared" si="2"/>
        <v>#N/A</v>
      </c>
      <c r="F23" s="37" t="e">
        <f>IF('C00026'!$E23="Pass","-","")</f>
        <v>#N/A</v>
      </c>
      <c r="G23" s="35">
        <v>5073770</v>
      </c>
      <c r="H23" s="41"/>
      <c r="I23" s="42"/>
      <c r="J23" s="14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2" t="str">
        <f>IF($T23=0, "", IF(COUNTIF('C00026'!$B$7:$B$41, $T23)=0, "Missing", "Y"))</f>
        <v/>
      </c>
      <c r="W23" s="1">
        <f t="shared" si="3"/>
        <v>0</v>
      </c>
    </row>
    <row r="24" spans="1:23" x14ac:dyDescent="0.25">
      <c r="A24" s="35" t="s">
        <v>232</v>
      </c>
      <c r="B24" s="36" t="s">
        <v>57</v>
      </c>
      <c r="C24" s="35">
        <v>5</v>
      </c>
      <c r="D24" s="39" t="e">
        <f t="shared" si="1"/>
        <v>#N/A</v>
      </c>
      <c r="E24" s="35" t="e">
        <f t="shared" si="2"/>
        <v>#N/A</v>
      </c>
      <c r="F24" s="37" t="e">
        <f>IF('C00026'!$E24="Pass","-","")</f>
        <v>#N/A</v>
      </c>
      <c r="G24" s="35">
        <v>55575673</v>
      </c>
      <c r="H24" s="41"/>
      <c r="I24" s="42"/>
      <c r="J24" s="14">
        <f>'Raw Data Cut 5'!A19</f>
        <v>0</v>
      </c>
      <c r="K24" s="2">
        <f>'Raw Data Cut 5'!B19</f>
        <v>0</v>
      </c>
      <c r="L24" s="2">
        <f>'Raw Data Cut 5'!C19</f>
        <v>0</v>
      </c>
      <c r="M24" s="2">
        <f>'Raw Data Cut 5'!D19</f>
        <v>0</v>
      </c>
      <c r="N24" s="2">
        <f>'Raw Data Cut 5'!E19</f>
        <v>0</v>
      </c>
      <c r="O24" s="2">
        <f>'Raw Data Cut 5'!G19</f>
        <v>0</v>
      </c>
      <c r="P24" s="2">
        <f>'Raw Data Cut 5'!H19</f>
        <v>0</v>
      </c>
      <c r="Q24" s="2">
        <f>'Raw Data Cut 5'!I19</f>
        <v>0</v>
      </c>
      <c r="R24" s="2">
        <f>'Raw Data Cut 5'!J19</f>
        <v>0</v>
      </c>
      <c r="S24" s="2">
        <f>'Raw Data Cut 5'!K19</f>
        <v>0</v>
      </c>
      <c r="T24" s="2">
        <f>'Raw Data Cut 5'!N19</f>
        <v>0</v>
      </c>
      <c r="U24" s="2">
        <f t="shared" si="0"/>
        <v>0</v>
      </c>
      <c r="V24" s="12" t="str">
        <f>IF($T24=0, "", IF(COUNTIF('C00026'!$B$7:$B$41, $T24)=0, "Missing", "Y"))</f>
        <v/>
      </c>
      <c r="W24" s="1">
        <f t="shared" si="3"/>
        <v>0</v>
      </c>
    </row>
    <row r="25" spans="1:23" x14ac:dyDescent="0.25">
      <c r="A25" s="35" t="s">
        <v>233</v>
      </c>
      <c r="B25" s="36" t="s">
        <v>59</v>
      </c>
      <c r="C25" s="35">
        <v>25</v>
      </c>
      <c r="D25" s="39" t="e">
        <f t="shared" si="1"/>
        <v>#N/A</v>
      </c>
      <c r="E25" s="35" t="e">
        <f t="shared" si="2"/>
        <v>#N/A</v>
      </c>
      <c r="F25" s="37" t="e">
        <f>IF('C00026'!$E25="Pass","-","")</f>
        <v>#N/A</v>
      </c>
      <c r="G25" s="35">
        <v>25398281</v>
      </c>
      <c r="H25" s="41"/>
      <c r="I25" s="42"/>
      <c r="J25" s="14">
        <f>'Raw Data Cut 5'!A20</f>
        <v>0</v>
      </c>
      <c r="K25" s="2">
        <f>'Raw Data Cut 5'!B20</f>
        <v>0</v>
      </c>
      <c r="L25" s="2">
        <f>'Raw Data Cut 5'!C20</f>
        <v>0</v>
      </c>
      <c r="M25" s="2">
        <f>'Raw Data Cut 5'!D20</f>
        <v>0</v>
      </c>
      <c r="N25" s="2">
        <f>'Raw Data Cut 5'!E20</f>
        <v>0</v>
      </c>
      <c r="O25" s="2">
        <f>'Raw Data Cut 5'!G20</f>
        <v>0</v>
      </c>
      <c r="P25" s="2">
        <f>'Raw Data Cut 5'!H20</f>
        <v>0</v>
      </c>
      <c r="Q25" s="2">
        <f>'Raw Data Cut 5'!I20</f>
        <v>0</v>
      </c>
      <c r="R25" s="2">
        <f>'Raw Data Cut 5'!J20</f>
        <v>0</v>
      </c>
      <c r="S25" s="2">
        <f>'Raw Data Cut 5'!K20</f>
        <v>0</v>
      </c>
      <c r="T25" s="2">
        <f>'Raw Data Cut 5'!N20</f>
        <v>0</v>
      </c>
      <c r="U25" s="2">
        <f t="shared" si="0"/>
        <v>0</v>
      </c>
      <c r="V25" s="12" t="str">
        <f>IF($T25=0, "", IF(COUNTIF('C00026'!$B$7:$B$41, $T25)=0, "Missing", "Y"))</f>
        <v/>
      </c>
      <c r="W25" s="1">
        <f t="shared" si="3"/>
        <v>0</v>
      </c>
    </row>
    <row r="26" spans="1:23" x14ac:dyDescent="0.25">
      <c r="A26" s="35" t="s">
        <v>234</v>
      </c>
      <c r="B26" s="35" t="s">
        <v>103</v>
      </c>
      <c r="C26" s="35">
        <v>5</v>
      </c>
      <c r="D26" s="39" t="e">
        <f t="shared" si="1"/>
        <v>#N/A</v>
      </c>
      <c r="E26" s="35" t="e">
        <f t="shared" si="2"/>
        <v>#N/A</v>
      </c>
      <c r="F26" s="37" t="e">
        <f>IF('C00026'!$E26="Pass","-","")</f>
        <v>#N/A</v>
      </c>
      <c r="G26" s="35">
        <v>25398284</v>
      </c>
      <c r="H26" s="41"/>
      <c r="I26" s="42"/>
      <c r="J26" s="14">
        <f>'Raw Data Cut 5'!A21</f>
        <v>0</v>
      </c>
      <c r="K26" s="2">
        <f>'Raw Data Cut 5'!B21</f>
        <v>0</v>
      </c>
      <c r="L26" s="2">
        <f>'Raw Data Cut 5'!C21</f>
        <v>0</v>
      </c>
      <c r="M26" s="2">
        <f>'Raw Data Cut 5'!D21</f>
        <v>0</v>
      </c>
      <c r="N26" s="2">
        <f>'Raw Data Cut 5'!E21</f>
        <v>0</v>
      </c>
      <c r="O26" s="2">
        <f>'Raw Data Cut 5'!G21</f>
        <v>0</v>
      </c>
      <c r="P26" s="2">
        <f>'Raw Data Cut 5'!H21</f>
        <v>0</v>
      </c>
      <c r="Q26" s="2">
        <f>'Raw Data Cut 5'!I21</f>
        <v>0</v>
      </c>
      <c r="R26" s="2">
        <f>'Raw Data Cut 5'!J21</f>
        <v>0</v>
      </c>
      <c r="S26" s="2">
        <f>'Raw Data Cut 5'!K21</f>
        <v>0</v>
      </c>
      <c r="T26" s="2">
        <f>'Raw Data Cut 5'!N21</f>
        <v>0</v>
      </c>
      <c r="U26" s="2">
        <f t="shared" si="0"/>
        <v>0</v>
      </c>
      <c r="V26" s="12" t="str">
        <f>IF($T26=0, "", IF(COUNTIF('C00026'!$B$7:$B$41, $T26)=0, "Missing", "Y"))</f>
        <v/>
      </c>
      <c r="W26" s="1">
        <f t="shared" si="3"/>
        <v>0</v>
      </c>
    </row>
    <row r="27" spans="1:23" x14ac:dyDescent="0.25">
      <c r="A27" s="35" t="s">
        <v>235</v>
      </c>
      <c r="B27" s="36" t="s">
        <v>108</v>
      </c>
      <c r="C27" s="35">
        <v>5</v>
      </c>
      <c r="D27" s="39" t="e">
        <f t="shared" si="1"/>
        <v>#N/A</v>
      </c>
      <c r="E27" s="35" t="e">
        <f t="shared" si="2"/>
        <v>#N/A</v>
      </c>
      <c r="F27" s="37" t="e">
        <f>IF('C00026'!$E27="Pass","-","")</f>
        <v>#N/A</v>
      </c>
      <c r="G27" s="35">
        <v>25398285</v>
      </c>
      <c r="H27" s="41"/>
      <c r="I27" s="42"/>
      <c r="J27" s="14">
        <f>'Raw Data Cut 5'!A22</f>
        <v>0</v>
      </c>
      <c r="K27" s="2">
        <f>'Raw Data Cut 5'!B22</f>
        <v>0</v>
      </c>
      <c r="L27" s="2">
        <f>'Raw Data Cut 5'!C22</f>
        <v>0</v>
      </c>
      <c r="M27" s="2">
        <f>'Raw Data Cut 5'!D22</f>
        <v>0</v>
      </c>
      <c r="N27" s="2">
        <f>'Raw Data Cut 5'!E22</f>
        <v>0</v>
      </c>
      <c r="O27" s="2">
        <f>'Raw Data Cut 5'!G22</f>
        <v>0</v>
      </c>
      <c r="P27" s="2">
        <f>'Raw Data Cut 5'!H22</f>
        <v>0</v>
      </c>
      <c r="Q27" s="2">
        <f>'Raw Data Cut 5'!I22</f>
        <v>0</v>
      </c>
      <c r="R27" s="2">
        <f>'Raw Data Cut 5'!J22</f>
        <v>0</v>
      </c>
      <c r="S27" s="2">
        <f>'Raw Data Cut 5'!K22</f>
        <v>0</v>
      </c>
      <c r="T27" s="2">
        <f>'Raw Data Cut 5'!N22</f>
        <v>0</v>
      </c>
      <c r="U27" s="2">
        <f t="shared" si="0"/>
        <v>0</v>
      </c>
      <c r="V27" s="12" t="str">
        <f>IF($T27=0, "", IF(COUNTIF('C00026'!$B$7:$B$41, $T27)=0, "Missing", "Y"))</f>
        <v/>
      </c>
      <c r="W27" s="1">
        <f t="shared" si="3"/>
        <v>0</v>
      </c>
    </row>
    <row r="28" spans="1:23" x14ac:dyDescent="0.25">
      <c r="A28" s="35" t="s">
        <v>236</v>
      </c>
      <c r="B28" s="36" t="s">
        <v>62</v>
      </c>
      <c r="C28" s="35">
        <v>20</v>
      </c>
      <c r="D28" s="39" t="e">
        <f t="shared" si="1"/>
        <v>#N/A</v>
      </c>
      <c r="E28" s="35" t="e">
        <f t="shared" si="2"/>
        <v>#N/A</v>
      </c>
      <c r="F28" s="37" t="e">
        <f>IF('C00026'!$E28="Pass","-","")</f>
        <v>#N/A</v>
      </c>
      <c r="G28" s="35">
        <v>139396746</v>
      </c>
      <c r="H28" s="41"/>
      <c r="I28" s="42"/>
      <c r="J28" s="14">
        <f>'Raw Data Cut 5'!A23</f>
        <v>0</v>
      </c>
      <c r="K28" s="2">
        <f>'Raw Data Cut 5'!B23</f>
        <v>0</v>
      </c>
      <c r="L28" s="2">
        <f>'Raw Data Cut 5'!C23</f>
        <v>0</v>
      </c>
      <c r="M28" s="2">
        <f>'Raw Data Cut 5'!D23</f>
        <v>0</v>
      </c>
      <c r="N28" s="2">
        <f>'Raw Data Cut 5'!E23</f>
        <v>0</v>
      </c>
      <c r="O28" s="2">
        <f>'Raw Data Cut 5'!G23</f>
        <v>0</v>
      </c>
      <c r="P28" s="2">
        <f>'Raw Data Cut 5'!H23</f>
        <v>0</v>
      </c>
      <c r="Q28" s="2">
        <f>'Raw Data Cut 5'!I23</f>
        <v>0</v>
      </c>
      <c r="R28" s="2">
        <f>'Raw Data Cut 5'!J23</f>
        <v>0</v>
      </c>
      <c r="S28" s="2">
        <f>'Raw Data Cut 5'!K23</f>
        <v>0</v>
      </c>
      <c r="T28" s="2">
        <f>'Raw Data Cut 5'!N23</f>
        <v>0</v>
      </c>
      <c r="U28" s="2">
        <f t="shared" si="0"/>
        <v>0</v>
      </c>
      <c r="V28" s="12" t="str">
        <f>IF($T28=0, "", IF(COUNTIF('C00026'!$B$7:$B$41, $T28)=0, "Missing", "Y"))</f>
        <v/>
      </c>
      <c r="W28" s="1">
        <f t="shared" si="3"/>
        <v>0</v>
      </c>
    </row>
    <row r="29" spans="1:23" x14ac:dyDescent="0.25">
      <c r="A29" s="35" t="s">
        <v>237</v>
      </c>
      <c r="B29" s="36" t="s">
        <v>63</v>
      </c>
      <c r="C29" s="35">
        <v>4.8</v>
      </c>
      <c r="D29" s="39" t="e">
        <f t="shared" si="1"/>
        <v>#N/A</v>
      </c>
      <c r="E29" s="35" t="e">
        <f t="shared" si="2"/>
        <v>#N/A</v>
      </c>
      <c r="F29" s="37" t="e">
        <f>IF('C00026'!$E29="Pass","-","")</f>
        <v>#N/A</v>
      </c>
      <c r="G29" s="35">
        <v>139399344</v>
      </c>
      <c r="H29" s="41"/>
      <c r="I29" s="42"/>
      <c r="J29" s="14">
        <f>'Raw Data Cut 5'!A24</f>
        <v>0</v>
      </c>
      <c r="K29" s="2">
        <f>'Raw Data Cut 5'!B24</f>
        <v>0</v>
      </c>
      <c r="L29" s="2">
        <f>'Raw Data Cut 5'!C24</f>
        <v>0</v>
      </c>
      <c r="M29" s="2">
        <f>'Raw Data Cut 5'!D24</f>
        <v>0</v>
      </c>
      <c r="N29" s="2">
        <f>'Raw Data Cut 5'!E24</f>
        <v>0</v>
      </c>
      <c r="O29" s="2">
        <f>'Raw Data Cut 5'!G24</f>
        <v>0</v>
      </c>
      <c r="P29" s="2">
        <f>'Raw Data Cut 5'!H24</f>
        <v>0</v>
      </c>
      <c r="Q29" s="2">
        <f>'Raw Data Cut 5'!I24</f>
        <v>0</v>
      </c>
      <c r="R29" s="2">
        <f>'Raw Data Cut 5'!J24</f>
        <v>0</v>
      </c>
      <c r="S29" s="2">
        <f>'Raw Data Cut 5'!K24</f>
        <v>0</v>
      </c>
      <c r="T29" s="2">
        <f>'Raw Data Cut 5'!N24</f>
        <v>0</v>
      </c>
      <c r="U29" s="2">
        <f t="shared" si="0"/>
        <v>0</v>
      </c>
      <c r="V29" s="12" t="str">
        <f>IF($T29=0, "", IF(COUNTIF('C00026'!$B$7:$B$41, $T29)=0, "Missing", "Y"))</f>
        <v/>
      </c>
      <c r="W29" s="1">
        <f t="shared" si="3"/>
        <v>0</v>
      </c>
    </row>
    <row r="30" spans="1:23" x14ac:dyDescent="0.25">
      <c r="A30" s="35" t="s">
        <v>238</v>
      </c>
      <c r="B30" s="36" t="s">
        <v>64</v>
      </c>
      <c r="C30" s="35">
        <v>19</v>
      </c>
      <c r="D30" s="39" t="e">
        <f t="shared" si="1"/>
        <v>#N/A</v>
      </c>
      <c r="E30" s="35" t="e">
        <f t="shared" si="2"/>
        <v>#N/A</v>
      </c>
      <c r="F30" s="37" t="e">
        <f>IF('C00026'!$E30="Pass","-","")</f>
        <v>#N/A</v>
      </c>
      <c r="G30" s="35">
        <v>139409754</v>
      </c>
      <c r="H30" s="41"/>
      <c r="I30" s="42"/>
      <c r="J30" s="14">
        <f>'Raw Data Cut 5'!A25</f>
        <v>0</v>
      </c>
      <c r="K30" s="2">
        <f>'Raw Data Cut 5'!B25</f>
        <v>0</v>
      </c>
      <c r="L30" s="2">
        <f>'Raw Data Cut 5'!C25</f>
        <v>0</v>
      </c>
      <c r="M30" s="2">
        <f>'Raw Data Cut 5'!D25</f>
        <v>0</v>
      </c>
      <c r="N30" s="2">
        <f>'Raw Data Cut 5'!E25</f>
        <v>0</v>
      </c>
      <c r="O30" s="2">
        <f>'Raw Data Cut 5'!G25</f>
        <v>0</v>
      </c>
      <c r="P30" s="2">
        <f>'Raw Data Cut 5'!H25</f>
        <v>0</v>
      </c>
      <c r="Q30" s="2">
        <f>'Raw Data Cut 5'!I25</f>
        <v>0</v>
      </c>
      <c r="R30" s="2">
        <f>'Raw Data Cut 5'!J25</f>
        <v>0</v>
      </c>
      <c r="S30" s="2">
        <f>'Raw Data Cut 5'!K25</f>
        <v>0</v>
      </c>
      <c r="T30" s="2">
        <f>'Raw Data Cut 5'!N25</f>
        <v>0</v>
      </c>
      <c r="U30" s="2">
        <f t="shared" si="0"/>
        <v>0</v>
      </c>
      <c r="V30" s="12" t="str">
        <f>IF($T30=0, "", IF(COUNTIF('C00026'!$B$7:$B$41, $T30)=0, "Missing", "Y"))</f>
        <v/>
      </c>
      <c r="W30" s="1">
        <f t="shared" si="3"/>
        <v>0</v>
      </c>
    </row>
    <row r="31" spans="1:23" x14ac:dyDescent="0.25">
      <c r="A31" s="35" t="s">
        <v>239</v>
      </c>
      <c r="B31" s="36" t="s">
        <v>72</v>
      </c>
      <c r="C31" s="35">
        <v>5</v>
      </c>
      <c r="D31" s="39" t="e">
        <f t="shared" si="1"/>
        <v>#N/A</v>
      </c>
      <c r="E31" s="35" t="e">
        <f t="shared" si="2"/>
        <v>#N/A</v>
      </c>
      <c r="F31" s="37" t="e">
        <f>IF('C00026'!$E31="Pass","-","")</f>
        <v>#N/A</v>
      </c>
      <c r="G31" s="35">
        <v>115256530</v>
      </c>
      <c r="H31" s="41"/>
      <c r="I31" s="42"/>
      <c r="J31" s="14">
        <f>'Raw Data Cut 5'!A26</f>
        <v>0</v>
      </c>
      <c r="K31" s="2">
        <f>'Raw Data Cut 5'!B26</f>
        <v>0</v>
      </c>
      <c r="L31" s="2">
        <f>'Raw Data Cut 5'!C26</f>
        <v>0</v>
      </c>
      <c r="M31" s="2">
        <f>'Raw Data Cut 5'!D26</f>
        <v>0</v>
      </c>
      <c r="N31" s="2">
        <f>'Raw Data Cut 5'!E26</f>
        <v>0</v>
      </c>
      <c r="O31" s="2">
        <f>'Raw Data Cut 5'!G26</f>
        <v>0</v>
      </c>
      <c r="P31" s="2">
        <f>'Raw Data Cut 5'!H26</f>
        <v>0</v>
      </c>
      <c r="Q31" s="2">
        <f>'Raw Data Cut 5'!I26</f>
        <v>0</v>
      </c>
      <c r="R31" s="2">
        <f>'Raw Data Cut 5'!J26</f>
        <v>0</v>
      </c>
      <c r="S31" s="2">
        <f>'Raw Data Cut 5'!K26</f>
        <v>0</v>
      </c>
      <c r="T31" s="2">
        <f>'Raw Data Cut 5'!N26</f>
        <v>0</v>
      </c>
      <c r="U31" s="2">
        <f t="shared" si="0"/>
        <v>0</v>
      </c>
      <c r="V31" s="12" t="str">
        <f>IF($T31=0, "", IF(COUNTIF('C00026'!$B$7:$B$41, $T31)=0, "Missing", "Y"))</f>
        <v/>
      </c>
      <c r="W31" s="1">
        <f t="shared" si="3"/>
        <v>0</v>
      </c>
    </row>
    <row r="32" spans="1:23" x14ac:dyDescent="0.25">
      <c r="A32" s="35" t="s">
        <v>239</v>
      </c>
      <c r="B32" s="36" t="s">
        <v>72</v>
      </c>
      <c r="C32" s="35">
        <v>5</v>
      </c>
      <c r="D32" s="39" t="e">
        <f t="shared" si="1"/>
        <v>#N/A</v>
      </c>
      <c r="E32" s="35" t="e">
        <f t="shared" si="2"/>
        <v>#N/A</v>
      </c>
      <c r="F32" s="37" t="e">
        <f>IF('C00026'!$E32="Pass","-","")</f>
        <v>#N/A</v>
      </c>
      <c r="G32" s="35">
        <v>115256530</v>
      </c>
      <c r="H32" s="41"/>
      <c r="I32" s="42"/>
      <c r="J32" s="14">
        <f>'Raw Data Cut 5'!A27</f>
        <v>0</v>
      </c>
      <c r="K32" s="2">
        <f>'Raw Data Cut 5'!B27</f>
        <v>0</v>
      </c>
      <c r="L32" s="2">
        <f>'Raw Data Cut 5'!C27</f>
        <v>0</v>
      </c>
      <c r="M32" s="2">
        <f>'Raw Data Cut 5'!D27</f>
        <v>0</v>
      </c>
      <c r="N32" s="2">
        <f>'Raw Data Cut 5'!E27</f>
        <v>0</v>
      </c>
      <c r="O32" s="2">
        <f>'Raw Data Cut 5'!G27</f>
        <v>0</v>
      </c>
      <c r="P32" s="2">
        <f>'Raw Data Cut 5'!H27</f>
        <v>0</v>
      </c>
      <c r="Q32" s="2">
        <f>'Raw Data Cut 5'!I27</f>
        <v>0</v>
      </c>
      <c r="R32" s="2">
        <f>'Raw Data Cut 5'!J27</f>
        <v>0</v>
      </c>
      <c r="S32" s="2">
        <f>'Raw Data Cut 5'!K27</f>
        <v>0</v>
      </c>
      <c r="T32" s="2">
        <f>'Raw Data Cut 5'!N27</f>
        <v>0</v>
      </c>
      <c r="U32" s="2">
        <f t="shared" si="0"/>
        <v>0</v>
      </c>
      <c r="V32" s="12" t="str">
        <f>IF($T32=0, "", IF(COUNTIF('C00026'!$B$7:$B$41, $T32)=0, "Missing", "Y"))</f>
        <v/>
      </c>
      <c r="W32" s="1">
        <f t="shared" si="3"/>
        <v>0</v>
      </c>
    </row>
    <row r="33" spans="1:23" x14ac:dyDescent="0.25">
      <c r="A33" s="35" t="s">
        <v>240</v>
      </c>
      <c r="B33" s="36" t="s">
        <v>207</v>
      </c>
      <c r="C33" s="35">
        <v>20</v>
      </c>
      <c r="D33" s="39" t="e">
        <f t="shared" si="1"/>
        <v>#N/A</v>
      </c>
      <c r="E33" s="35" t="e">
        <f t="shared" si="2"/>
        <v>#N/A</v>
      </c>
      <c r="F33" s="37" t="e">
        <f>IF('C00026'!$E33="Pass","-","")</f>
        <v>#N/A</v>
      </c>
      <c r="G33" s="35">
        <v>32913559</v>
      </c>
      <c r="H33" s="41"/>
      <c r="I33" s="42"/>
      <c r="J33" s="14">
        <f>'Raw Data Cut 5'!A28</f>
        <v>0</v>
      </c>
      <c r="K33" s="2">
        <f>'Raw Data Cut 5'!B28</f>
        <v>0</v>
      </c>
      <c r="L33" s="2">
        <f>'Raw Data Cut 5'!C28</f>
        <v>0</v>
      </c>
      <c r="M33" s="2">
        <f>'Raw Data Cut 5'!D28</f>
        <v>0</v>
      </c>
      <c r="N33" s="2">
        <f>'Raw Data Cut 5'!E28</f>
        <v>0</v>
      </c>
      <c r="O33" s="2">
        <f>'Raw Data Cut 5'!G28</f>
        <v>0</v>
      </c>
      <c r="P33" s="2">
        <f>'Raw Data Cut 5'!H28</f>
        <v>0</v>
      </c>
      <c r="Q33" s="2">
        <f>'Raw Data Cut 5'!I28</f>
        <v>0</v>
      </c>
      <c r="R33" s="2">
        <f>'Raw Data Cut 5'!J28</f>
        <v>0</v>
      </c>
      <c r="S33" s="2">
        <f>'Raw Data Cut 5'!K28</f>
        <v>0</v>
      </c>
      <c r="T33" s="2">
        <f>'Raw Data Cut 5'!N28</f>
        <v>0</v>
      </c>
      <c r="U33" s="2">
        <f t="shared" si="0"/>
        <v>0</v>
      </c>
      <c r="V33" s="12" t="str">
        <f>IF($T33=0, "", IF(COUNTIF('C00026'!$B$7:$B$41, $T33)=0, "Missing", "Y"))</f>
        <v/>
      </c>
      <c r="W33" s="1">
        <f t="shared" si="3"/>
        <v>0</v>
      </c>
    </row>
    <row r="34" spans="1:23" x14ac:dyDescent="0.25">
      <c r="A34" s="35" t="s">
        <v>241</v>
      </c>
      <c r="B34" s="36" t="s">
        <v>209</v>
      </c>
      <c r="C34" s="35">
        <v>5</v>
      </c>
      <c r="D34" s="39" t="e">
        <f t="shared" si="1"/>
        <v>#N/A</v>
      </c>
      <c r="E34" s="35" t="e">
        <f t="shared" si="2"/>
        <v>#N/A</v>
      </c>
      <c r="F34" s="37" t="e">
        <f>IF('C00026'!$E34="Pass","-","")</f>
        <v>#N/A</v>
      </c>
      <c r="G34" s="35">
        <v>41522009</v>
      </c>
      <c r="H34" s="41"/>
      <c r="I34" s="42"/>
      <c r="J34" s="14">
        <f>'Raw Data Cut 5'!A29</f>
        <v>0</v>
      </c>
      <c r="K34" s="2">
        <f>'Raw Data Cut 5'!B29</f>
        <v>0</v>
      </c>
      <c r="L34" s="2">
        <f>'Raw Data Cut 5'!C29</f>
        <v>0</v>
      </c>
      <c r="M34" s="2">
        <f>'Raw Data Cut 5'!D29</f>
        <v>0</v>
      </c>
      <c r="N34" s="2">
        <f>'Raw Data Cut 5'!E29</f>
        <v>0</v>
      </c>
      <c r="O34" s="2">
        <f>'Raw Data Cut 5'!G29</f>
        <v>0</v>
      </c>
      <c r="P34" s="2">
        <f>'Raw Data Cut 5'!H29</f>
        <v>0</v>
      </c>
      <c r="Q34" s="2">
        <f>'Raw Data Cut 5'!I29</f>
        <v>0</v>
      </c>
      <c r="R34" s="2">
        <f>'Raw Data Cut 5'!J29</f>
        <v>0</v>
      </c>
      <c r="S34" s="2">
        <f>'Raw Data Cut 5'!K29</f>
        <v>0</v>
      </c>
      <c r="T34" s="2">
        <f>'Raw Data Cut 5'!N29</f>
        <v>0</v>
      </c>
      <c r="U34" s="2">
        <f t="shared" si="0"/>
        <v>0</v>
      </c>
      <c r="V34" s="12" t="str">
        <f>IF($T34=0, "", IF(COUNTIF('C00026'!$B$7:$B$41, $T34)=0, "Missing", "Y"))</f>
        <v/>
      </c>
      <c r="W34" s="1">
        <f t="shared" si="3"/>
        <v>0</v>
      </c>
    </row>
    <row r="35" spans="1:23" x14ac:dyDescent="0.25">
      <c r="A35" s="35" t="s">
        <v>242</v>
      </c>
      <c r="B35" s="36" t="s">
        <v>206</v>
      </c>
      <c r="C35" s="35">
        <v>20</v>
      </c>
      <c r="D35" s="39" t="e">
        <f t="shared" si="1"/>
        <v>#N/A</v>
      </c>
      <c r="E35" s="35" t="e">
        <f t="shared" si="2"/>
        <v>#N/A</v>
      </c>
      <c r="F35" s="37" t="e">
        <f>IF('C00026'!$E35="Pass","-","")</f>
        <v>#N/A</v>
      </c>
      <c r="G35" s="35">
        <v>153244156</v>
      </c>
      <c r="H35" s="41"/>
      <c r="I35" s="42"/>
      <c r="J35" s="14">
        <f>'Raw Data Cut 5'!A30</f>
        <v>0</v>
      </c>
      <c r="K35" s="2">
        <f>'Raw Data Cut 5'!B30</f>
        <v>0</v>
      </c>
      <c r="L35" s="2">
        <f>'Raw Data Cut 5'!C30</f>
        <v>0</v>
      </c>
      <c r="M35" s="2">
        <f>'Raw Data Cut 5'!D30</f>
        <v>0</v>
      </c>
      <c r="N35" s="2">
        <f>'Raw Data Cut 5'!E30</f>
        <v>0</v>
      </c>
      <c r="O35" s="2">
        <f>'Raw Data Cut 5'!G30</f>
        <v>0</v>
      </c>
      <c r="P35" s="2">
        <f>'Raw Data Cut 5'!H30</f>
        <v>0</v>
      </c>
      <c r="Q35" s="2">
        <f>'Raw Data Cut 5'!I30</f>
        <v>0</v>
      </c>
      <c r="R35" s="2">
        <f>'Raw Data Cut 5'!J30</f>
        <v>0</v>
      </c>
      <c r="S35" s="2">
        <f>'Raw Data Cut 5'!K30</f>
        <v>0</v>
      </c>
      <c r="T35" s="2">
        <f>'Raw Data Cut 5'!N30</f>
        <v>0</v>
      </c>
      <c r="U35" s="2">
        <f t="shared" si="0"/>
        <v>0</v>
      </c>
      <c r="V35" s="12" t="str">
        <f>IF($T35=0, "", IF(COUNTIF('C00026'!$B$7:$B$41, $T35)=0, "Missing", "Y"))</f>
        <v/>
      </c>
      <c r="W35" s="1">
        <f t="shared" si="3"/>
        <v>0</v>
      </c>
    </row>
    <row r="36" spans="1:23" x14ac:dyDescent="0.25">
      <c r="A36" s="35" t="s">
        <v>212</v>
      </c>
      <c r="B36" s="36" t="s">
        <v>210</v>
      </c>
      <c r="C36" s="35">
        <v>5</v>
      </c>
      <c r="D36" s="39" t="e">
        <f t="shared" si="1"/>
        <v>#N/A</v>
      </c>
      <c r="E36" s="35" t="e">
        <f t="shared" si="2"/>
        <v>#N/A</v>
      </c>
      <c r="F36" s="37" t="e">
        <f>IF('C00026'!$E36="Pass","-","")</f>
        <v>#N/A</v>
      </c>
      <c r="G36" s="35">
        <v>37061883</v>
      </c>
      <c r="H36" s="41"/>
      <c r="I36" s="42"/>
      <c r="J36" s="14">
        <f>'Raw Data Cut 5'!A31</f>
        <v>0</v>
      </c>
      <c r="K36" s="2">
        <f>'Raw Data Cut 5'!B31</f>
        <v>0</v>
      </c>
      <c r="L36" s="2">
        <f>'Raw Data Cut 5'!C31</f>
        <v>0</v>
      </c>
      <c r="M36" s="2">
        <f>'Raw Data Cut 5'!D31</f>
        <v>0</v>
      </c>
      <c r="N36" s="2">
        <f>'Raw Data Cut 5'!E31</f>
        <v>0</v>
      </c>
      <c r="O36" s="2">
        <f>'Raw Data Cut 5'!G31</f>
        <v>0</v>
      </c>
      <c r="P36" s="2">
        <f>'Raw Data Cut 5'!H31</f>
        <v>0</v>
      </c>
      <c r="Q36" s="2">
        <f>'Raw Data Cut 5'!I31</f>
        <v>0</v>
      </c>
      <c r="R36" s="2">
        <f>'Raw Data Cut 5'!J31</f>
        <v>0</v>
      </c>
      <c r="S36" s="2">
        <f>'Raw Data Cut 5'!K31</f>
        <v>0</v>
      </c>
      <c r="T36" s="2">
        <f>'Raw Data Cut 5'!N31</f>
        <v>0</v>
      </c>
      <c r="U36" s="2">
        <f t="shared" si="0"/>
        <v>0</v>
      </c>
      <c r="V36" s="12" t="str">
        <f>IF($T36=0, "", IF(COUNTIF('C00026'!$B$7:$B$41, $T36)=0, "Missing", "Y"))</f>
        <v/>
      </c>
      <c r="W36" s="1">
        <f t="shared" si="3"/>
        <v>0</v>
      </c>
    </row>
    <row r="37" spans="1:23" ht="18.75" thickBot="1" x14ac:dyDescent="0.3">
      <c r="A37" s="35" t="s">
        <v>213</v>
      </c>
      <c r="B37" s="36" t="s">
        <v>208</v>
      </c>
      <c r="C37" s="35">
        <v>5</v>
      </c>
      <c r="D37" s="39" t="e">
        <f t="shared" si="1"/>
        <v>#N/A</v>
      </c>
      <c r="E37" s="35" t="e">
        <f t="shared" si="2"/>
        <v>#N/A</v>
      </c>
      <c r="F37" s="37" t="e">
        <f>IF('C00026'!$E37="Pass","-","")</f>
        <v>#N/A</v>
      </c>
      <c r="G37" s="35">
        <v>29552144</v>
      </c>
      <c r="H37" s="41"/>
      <c r="I37" s="42"/>
      <c r="J37" s="14">
        <f>'Raw Data Cut 5'!A32</f>
        <v>0</v>
      </c>
      <c r="K37" s="2">
        <f>'Raw Data Cut 5'!B32</f>
        <v>0</v>
      </c>
      <c r="L37" s="2">
        <f>'Raw Data Cut 5'!C32</f>
        <v>0</v>
      </c>
      <c r="M37" s="2">
        <f>'Raw Data Cut 5'!D32</f>
        <v>0</v>
      </c>
      <c r="N37" s="2">
        <f>'Raw Data Cut 5'!E32</f>
        <v>0</v>
      </c>
      <c r="O37" s="2">
        <f>'Raw Data Cut 5'!G32</f>
        <v>0</v>
      </c>
      <c r="P37" s="2">
        <f>'Raw Data Cut 5'!H32</f>
        <v>0</v>
      </c>
      <c r="Q37" s="2">
        <f>'Raw Data Cut 5'!I32</f>
        <v>0</v>
      </c>
      <c r="R37" s="2">
        <f>'Raw Data Cut 5'!J32</f>
        <v>0</v>
      </c>
      <c r="S37" s="2">
        <f>'Raw Data Cut 5'!K32</f>
        <v>0</v>
      </c>
      <c r="T37" s="2">
        <f>'Raw Data Cut 5'!N32</f>
        <v>0</v>
      </c>
      <c r="U37" s="2">
        <f t="shared" si="0"/>
        <v>0</v>
      </c>
      <c r="V37" s="12" t="str">
        <f>IF($T37=0, "", IF(COUNTIF('C00026'!$B$7:$B$41, $T37)=0, "Missing", "Y"))</f>
        <v/>
      </c>
      <c r="W37" s="1">
        <f t="shared" si="3"/>
        <v>0</v>
      </c>
    </row>
    <row r="38" spans="1:23" ht="18.75" thickBot="1" x14ac:dyDescent="0.3">
      <c r="A38" s="61"/>
      <c r="B38" s="62"/>
      <c r="C38" s="62"/>
      <c r="D38" s="62"/>
      <c r="E38" s="62"/>
      <c r="F38" s="62"/>
      <c r="G38" s="63"/>
      <c r="H38" s="45"/>
      <c r="I38" s="42"/>
      <c r="J38" s="14">
        <f>'Raw Data Cut 5'!A33</f>
        <v>0</v>
      </c>
      <c r="K38" s="2">
        <f>'Raw Data Cut 5'!B33</f>
        <v>0</v>
      </c>
      <c r="L38" s="2">
        <f>'Raw Data Cut 5'!C33</f>
        <v>0</v>
      </c>
      <c r="M38" s="2">
        <f>'Raw Data Cut 5'!D33</f>
        <v>0</v>
      </c>
      <c r="N38" s="2">
        <f>'Raw Data Cut 5'!E33</f>
        <v>0</v>
      </c>
      <c r="O38" s="2">
        <f>'Raw Data Cut 5'!G33</f>
        <v>0</v>
      </c>
      <c r="P38" s="2">
        <f>'Raw Data Cut 5'!H33</f>
        <v>0</v>
      </c>
      <c r="Q38" s="2">
        <f>'Raw Data Cut 5'!I33</f>
        <v>0</v>
      </c>
      <c r="R38" s="2">
        <f>'Raw Data Cut 5'!J33</f>
        <v>0</v>
      </c>
      <c r="S38" s="2">
        <f>'Raw Data Cut 5'!K33</f>
        <v>0</v>
      </c>
      <c r="T38" s="2">
        <f>'Raw Data Cut 5'!N33</f>
        <v>0</v>
      </c>
      <c r="U38" s="2">
        <f t="shared" si="0"/>
        <v>0</v>
      </c>
      <c r="V38" s="12" t="str">
        <f>IF($T38=0, "", IF(COUNTIF('C00026'!$B$7:$B$41, $T38)=0, "Missing", "Y"))</f>
        <v/>
      </c>
      <c r="W38" s="1">
        <f t="shared" si="3"/>
        <v>0</v>
      </c>
    </row>
    <row r="39" spans="1:23" x14ac:dyDescent="0.25">
      <c r="A39" s="64"/>
      <c r="B39" s="64"/>
      <c r="C39" s="15"/>
      <c r="D39" s="49" t="s">
        <v>243</v>
      </c>
      <c r="E39" s="50">
        <f>COUNTIF(E7:E37, "*TP*")</f>
        <v>0</v>
      </c>
      <c r="F39" s="51" t="s">
        <v>245</v>
      </c>
      <c r="G39" s="52">
        <f>COUNTIF(E7:E37, "*FP*")</f>
        <v>0</v>
      </c>
      <c r="H39" s="45"/>
      <c r="I39" s="42">
        <f>COUNTIF(E7:E37,"Pass")</f>
        <v>0</v>
      </c>
      <c r="J39" s="14">
        <f>'Raw Data Cut 5'!A34</f>
        <v>0</v>
      </c>
      <c r="K39" s="2">
        <f>'Raw Data Cut 5'!B34</f>
        <v>0</v>
      </c>
      <c r="L39" s="2">
        <f>'Raw Data Cut 5'!C34</f>
        <v>0</v>
      </c>
      <c r="M39" s="2">
        <f>'Raw Data Cut 5'!D34</f>
        <v>0</v>
      </c>
      <c r="N39" s="2">
        <f>'Raw Data Cut 5'!E34</f>
        <v>0</v>
      </c>
      <c r="O39" s="2">
        <f>'Raw Data Cut 5'!G34</f>
        <v>0</v>
      </c>
      <c r="P39" s="2">
        <f>'Raw Data Cut 5'!H34</f>
        <v>0</v>
      </c>
      <c r="Q39" s="2">
        <f>'Raw Data Cut 5'!I34</f>
        <v>0</v>
      </c>
      <c r="R39" s="2">
        <f>'Raw Data Cut 5'!J34</f>
        <v>0</v>
      </c>
      <c r="S39" s="2">
        <f>'Raw Data Cut 5'!K34</f>
        <v>0</v>
      </c>
      <c r="T39" s="2">
        <f>'Raw Data Cut 5'!N34</f>
        <v>0</v>
      </c>
      <c r="U39" s="2">
        <f t="shared" si="0"/>
        <v>0</v>
      </c>
      <c r="V39" s="12" t="str">
        <f>IF($T39=0, "", IF(COUNTIF('C00026'!$B$7:$B$41, $T39)=0, "Missing", "Y"))</f>
        <v/>
      </c>
      <c r="W39" s="1">
        <f t="shared" si="3"/>
        <v>0</v>
      </c>
    </row>
    <row r="40" spans="1:23" x14ac:dyDescent="0.25">
      <c r="A40" s="64"/>
      <c r="B40" s="64"/>
      <c r="C40" s="15"/>
      <c r="D40" s="53" t="s">
        <v>244</v>
      </c>
      <c r="E40" s="48">
        <f>COUNTIF(E7:E37, "*TN*")</f>
        <v>0</v>
      </c>
      <c r="F40" s="47" t="s">
        <v>246</v>
      </c>
      <c r="G40" s="54">
        <f>COUNTIF(E7:E37, "*FN*")</f>
        <v>0</v>
      </c>
      <c r="H40" s="45"/>
      <c r="I40" s="42"/>
      <c r="J40" s="14">
        <f>'Raw Data Cut 5'!A35</f>
        <v>0</v>
      </c>
      <c r="K40" s="2">
        <f>'Raw Data Cut 5'!B35</f>
        <v>0</v>
      </c>
      <c r="L40" s="2">
        <f>'Raw Data Cut 5'!C35</f>
        <v>0</v>
      </c>
      <c r="M40" s="2">
        <f>'Raw Data Cut 5'!D35</f>
        <v>0</v>
      </c>
      <c r="N40" s="2">
        <f>'Raw Data Cut 5'!E35</f>
        <v>0</v>
      </c>
      <c r="O40" s="2">
        <f>'Raw Data Cut 5'!G35</f>
        <v>0</v>
      </c>
      <c r="P40" s="2">
        <f>'Raw Data Cut 5'!H35</f>
        <v>0</v>
      </c>
      <c r="Q40" s="2">
        <f>'Raw Data Cut 5'!I35</f>
        <v>0</v>
      </c>
      <c r="R40" s="2">
        <f>'Raw Data Cut 5'!J35</f>
        <v>0</v>
      </c>
      <c r="S40" s="2">
        <f>'Raw Data Cut 5'!K35</f>
        <v>0</v>
      </c>
      <c r="T40" s="2">
        <f>'Raw Data Cut 5'!N35</f>
        <v>0</v>
      </c>
      <c r="U40" s="2">
        <f t="shared" si="0"/>
        <v>0</v>
      </c>
      <c r="V40" s="12" t="str">
        <f>IF($T40=0, "", IF(COUNTIF('C00026'!$B$7:$B$41, $T40)=0, "Missing", "Y"))</f>
        <v/>
      </c>
      <c r="W40" s="1">
        <f t="shared" si="3"/>
        <v>0</v>
      </c>
    </row>
    <row r="41" spans="1:23" ht="18.75" thickBot="1" x14ac:dyDescent="0.3">
      <c r="A41" s="64"/>
      <c r="B41" s="64"/>
      <c r="D41" s="55"/>
      <c r="E41" s="56"/>
      <c r="F41" s="57" t="s">
        <v>3</v>
      </c>
      <c r="G41" s="58" t="str">
        <f>IF((G39+G40)&lt;5,"Pass","Inspect")</f>
        <v>Pass</v>
      </c>
      <c r="H41" s="46"/>
      <c r="I41" s="20"/>
      <c r="J41" s="14">
        <f>'Raw Data Cut 5'!A36</f>
        <v>0</v>
      </c>
      <c r="K41" s="2">
        <f>'Raw Data Cut 5'!B36</f>
        <v>0</v>
      </c>
      <c r="L41" s="2">
        <f>'Raw Data Cut 5'!C36</f>
        <v>0</v>
      </c>
      <c r="M41" s="2">
        <f>'Raw Data Cut 5'!D36</f>
        <v>0</v>
      </c>
      <c r="N41" s="2">
        <f>'Raw Data Cut 5'!E36</f>
        <v>0</v>
      </c>
      <c r="O41" s="2">
        <f>'Raw Data Cut 5'!G36</f>
        <v>0</v>
      </c>
      <c r="P41" s="2">
        <f>'Raw Data Cut 5'!H36</f>
        <v>0</v>
      </c>
      <c r="Q41" s="2">
        <f>'Raw Data Cut 5'!I36</f>
        <v>0</v>
      </c>
      <c r="R41" s="2">
        <f>'Raw Data Cut 5'!J36</f>
        <v>0</v>
      </c>
      <c r="S41" s="2">
        <f>'Raw Data Cut 5'!K36</f>
        <v>0</v>
      </c>
      <c r="T41" s="2">
        <f>'Raw Data Cut 5'!N36</f>
        <v>0</v>
      </c>
      <c r="U41" s="2">
        <f t="shared" si="0"/>
        <v>0</v>
      </c>
      <c r="V41" s="12" t="str">
        <f>IF($T41=0, "", IF(COUNTIF('C00026'!$B$7:$B$41, $T41)=0, "Missing", "Y"))</f>
        <v/>
      </c>
      <c r="W41" s="1">
        <f t="shared" si="3"/>
        <v>0</v>
      </c>
    </row>
    <row r="42" spans="1:23" x14ac:dyDescent="0.25">
      <c r="I42" s="16"/>
      <c r="J42" s="14">
        <f>'Raw Data Cut 5'!A37</f>
        <v>0</v>
      </c>
      <c r="K42" s="2">
        <f>'Raw Data Cut 5'!B37</f>
        <v>0</v>
      </c>
      <c r="L42" s="2">
        <f>'Raw Data Cut 5'!C37</f>
        <v>0</v>
      </c>
      <c r="M42" s="2">
        <f>'Raw Data Cut 5'!D37</f>
        <v>0</v>
      </c>
      <c r="N42" s="2">
        <f>'Raw Data Cut 5'!E37</f>
        <v>0</v>
      </c>
      <c r="O42" s="2">
        <f>'Raw Data Cut 5'!G37</f>
        <v>0</v>
      </c>
      <c r="P42" s="2">
        <f>'Raw Data Cut 5'!H37</f>
        <v>0</v>
      </c>
      <c r="Q42" s="2">
        <f>'Raw Data Cut 5'!I37</f>
        <v>0</v>
      </c>
      <c r="R42" s="2">
        <f>'Raw Data Cut 5'!J37</f>
        <v>0</v>
      </c>
      <c r="S42" s="2">
        <f>'Raw Data Cut 5'!K37</f>
        <v>0</v>
      </c>
      <c r="T42" s="2">
        <f>'Raw Data Cut 5'!N37</f>
        <v>0</v>
      </c>
      <c r="U42" s="2">
        <f t="shared" si="0"/>
        <v>0</v>
      </c>
      <c r="V42" s="12" t="str">
        <f>IF($T42=0, "", IF(COUNTIF('C00026'!$B$7:$B$41, $T42)=0, "Missing", "Y"))</f>
        <v/>
      </c>
      <c r="W42" s="1">
        <f t="shared" si="3"/>
        <v>0</v>
      </c>
    </row>
    <row r="43" spans="1:23" x14ac:dyDescent="0.25">
      <c r="I43" s="16"/>
      <c r="J43" s="14">
        <f>'Raw Data Cut 5'!A38</f>
        <v>0</v>
      </c>
      <c r="K43" s="2">
        <f>'Raw Data Cut 5'!B38</f>
        <v>0</v>
      </c>
      <c r="L43" s="2">
        <f>'Raw Data Cut 5'!C38</f>
        <v>0</v>
      </c>
      <c r="M43" s="2">
        <f>'Raw Data Cut 5'!D38</f>
        <v>0</v>
      </c>
      <c r="N43" s="2">
        <f>'Raw Data Cut 5'!E38</f>
        <v>0</v>
      </c>
      <c r="O43" s="2">
        <f>'Raw Data Cut 5'!G38</f>
        <v>0</v>
      </c>
      <c r="P43" s="2">
        <f>'Raw Data Cut 5'!H38</f>
        <v>0</v>
      </c>
      <c r="Q43" s="2">
        <f>'Raw Data Cut 5'!I38</f>
        <v>0</v>
      </c>
      <c r="R43" s="2">
        <f>'Raw Data Cut 5'!J38</f>
        <v>0</v>
      </c>
      <c r="S43" s="2">
        <f>'Raw Data Cut 5'!K38</f>
        <v>0</v>
      </c>
      <c r="T43" s="2">
        <f>'Raw Data Cut 5'!N38</f>
        <v>0</v>
      </c>
      <c r="U43" s="2">
        <f t="shared" si="0"/>
        <v>0</v>
      </c>
      <c r="V43" s="12" t="str">
        <f>IF($T43=0, "", IF(COUNTIF('C00026'!$B$7:$B$41, $T43)=0, "Missing", "Y"))</f>
        <v/>
      </c>
      <c r="W43" s="1">
        <f t="shared" si="3"/>
        <v>0</v>
      </c>
    </row>
    <row r="44" spans="1:23" x14ac:dyDescent="0.25">
      <c r="I44" s="16"/>
      <c r="J44" s="14">
        <f>'Raw Data Cut 5'!A39</f>
        <v>0</v>
      </c>
      <c r="K44" s="2">
        <f>'Raw Data Cut 5'!B39</f>
        <v>0</v>
      </c>
      <c r="L44" s="2">
        <f>'Raw Data Cut 5'!C39</f>
        <v>0</v>
      </c>
      <c r="M44" s="2">
        <f>'Raw Data Cut 5'!D39</f>
        <v>0</v>
      </c>
      <c r="N44" s="2">
        <f>'Raw Data Cut 5'!E39</f>
        <v>0</v>
      </c>
      <c r="O44" s="2">
        <f>'Raw Data Cut 5'!G39</f>
        <v>0</v>
      </c>
      <c r="P44" s="2">
        <f>'Raw Data Cut 5'!H39</f>
        <v>0</v>
      </c>
      <c r="Q44" s="2">
        <f>'Raw Data Cut 5'!I39</f>
        <v>0</v>
      </c>
      <c r="R44" s="2">
        <f>'Raw Data Cut 5'!J39</f>
        <v>0</v>
      </c>
      <c r="S44" s="2">
        <f>'Raw Data Cut 5'!K39</f>
        <v>0</v>
      </c>
      <c r="T44" s="2">
        <f>'Raw Data Cut 5'!N39</f>
        <v>0</v>
      </c>
      <c r="U44" s="2">
        <f>Q44</f>
        <v>0</v>
      </c>
      <c r="V44" s="12" t="str">
        <f>IF($T44=0, "", IF(COUNTIF('C00026'!$B$7:$B$41, $T44)=0, "Missing", "Y"))</f>
        <v/>
      </c>
      <c r="W44" s="1">
        <f t="shared" si="3"/>
        <v>0</v>
      </c>
    </row>
    <row r="45" spans="1:23" x14ac:dyDescent="0.25">
      <c r="I45" s="16"/>
      <c r="J45" s="14">
        <f>'Raw Data Cut 5'!A40</f>
        <v>0</v>
      </c>
      <c r="K45" s="2">
        <f>'Raw Data Cut 5'!B40</f>
        <v>0</v>
      </c>
      <c r="L45" s="2">
        <f>'Raw Data Cut 5'!C40</f>
        <v>0</v>
      </c>
      <c r="M45" s="2">
        <f>'Raw Data Cut 5'!D40</f>
        <v>0</v>
      </c>
      <c r="N45" s="2">
        <f>'Raw Data Cut 5'!E40</f>
        <v>0</v>
      </c>
      <c r="O45" s="2">
        <f>'Raw Data Cut 5'!G40</f>
        <v>0</v>
      </c>
      <c r="P45" s="2">
        <f>'Raw Data Cut 5'!H40</f>
        <v>0</v>
      </c>
      <c r="Q45" s="2">
        <f>'Raw Data Cut 5'!I40</f>
        <v>0</v>
      </c>
      <c r="R45" s="2">
        <f>'Raw Data Cut 5'!J40</f>
        <v>0</v>
      </c>
      <c r="S45" s="2">
        <f>'Raw Data Cut 5'!K40</f>
        <v>0</v>
      </c>
      <c r="T45" s="2">
        <f>'Raw Data Cut 5'!N40</f>
        <v>0</v>
      </c>
      <c r="U45" s="2">
        <f t="shared" si="0"/>
        <v>0</v>
      </c>
      <c r="V45" s="12" t="str">
        <f>IF($T45=0, "", IF(COUNTIF('C00026'!$B$7:$B$41, $T45)=0, "Missing", "Y"))</f>
        <v/>
      </c>
      <c r="W45" s="1">
        <f t="shared" si="3"/>
        <v>0</v>
      </c>
    </row>
    <row r="46" spans="1:23" x14ac:dyDescent="0.25">
      <c r="I46" s="16"/>
      <c r="J46" s="14">
        <f>'Raw Data Cut 5'!A41</f>
        <v>0</v>
      </c>
      <c r="K46" s="2">
        <f>'Raw Data Cut 5'!B41</f>
        <v>0</v>
      </c>
      <c r="L46" s="2">
        <f>'Raw Data Cut 5'!C41</f>
        <v>0</v>
      </c>
      <c r="M46" s="2">
        <f>'Raw Data Cut 5'!D41</f>
        <v>0</v>
      </c>
      <c r="N46" s="2">
        <f>'Raw Data Cut 5'!E41</f>
        <v>0</v>
      </c>
      <c r="O46" s="2">
        <f>'Raw Data Cut 5'!G41</f>
        <v>0</v>
      </c>
      <c r="P46" s="2">
        <f>'Raw Data Cut 5'!H41</f>
        <v>0</v>
      </c>
      <c r="Q46" s="2">
        <f>'Raw Data Cut 5'!I41</f>
        <v>0</v>
      </c>
      <c r="R46" s="2">
        <f>'Raw Data Cut 5'!J41</f>
        <v>0</v>
      </c>
      <c r="S46" s="2">
        <f>'Raw Data Cut 5'!K41</f>
        <v>0</v>
      </c>
      <c r="T46" s="2">
        <f>'Raw Data Cut 5'!N41</f>
        <v>0</v>
      </c>
      <c r="U46" s="2">
        <f t="shared" si="0"/>
        <v>0</v>
      </c>
      <c r="V46" s="12" t="str">
        <f>IF($T46=0, "", IF(COUNTIF('C00026'!$B$7:$B$41, $T46)=0, "Missing", "Y"))</f>
        <v/>
      </c>
      <c r="W46" s="1">
        <f t="shared" si="3"/>
        <v>0</v>
      </c>
    </row>
    <row r="47" spans="1:23" x14ac:dyDescent="0.25">
      <c r="I47" s="16"/>
      <c r="J47" s="14">
        <f>'Raw Data Cut 5'!A42</f>
        <v>0</v>
      </c>
      <c r="K47" s="2">
        <f>'Raw Data Cut 5'!B42</f>
        <v>0</v>
      </c>
      <c r="L47" s="2">
        <f>'Raw Data Cut 5'!C42</f>
        <v>0</v>
      </c>
      <c r="M47" s="2">
        <f>'Raw Data Cut 5'!D42</f>
        <v>0</v>
      </c>
      <c r="N47" s="2">
        <f>'Raw Data Cut 5'!E42</f>
        <v>0</v>
      </c>
      <c r="O47" s="2">
        <f>'Raw Data Cut 5'!G42</f>
        <v>0</v>
      </c>
      <c r="P47" s="2">
        <f>'Raw Data Cut 5'!H42</f>
        <v>0</v>
      </c>
      <c r="Q47" s="2">
        <f>'Raw Data Cut 5'!I42</f>
        <v>0</v>
      </c>
      <c r="R47" s="2">
        <f>'Raw Data Cut 5'!J42</f>
        <v>0</v>
      </c>
      <c r="S47" s="2">
        <f>'Raw Data Cut 5'!K42</f>
        <v>0</v>
      </c>
      <c r="T47" s="2">
        <f>'Raw Data Cut 5'!N42</f>
        <v>0</v>
      </c>
      <c r="U47" s="2">
        <f t="shared" si="0"/>
        <v>0</v>
      </c>
      <c r="V47" s="12" t="str">
        <f>IF($T47=0, "", IF(COUNTIF('C00026'!$B$7:$B$41, $T47)=0, "Missing", "Y"))</f>
        <v/>
      </c>
      <c r="W47" s="1">
        <f t="shared" si="3"/>
        <v>0</v>
      </c>
    </row>
    <row r="48" spans="1:23" x14ac:dyDescent="0.25">
      <c r="I48" s="16"/>
      <c r="J48" s="14">
        <f>'Raw Data Cut 5'!A43</f>
        <v>0</v>
      </c>
      <c r="K48" s="2">
        <f>'Raw Data Cut 5'!B43</f>
        <v>0</v>
      </c>
      <c r="L48" s="2">
        <f>'Raw Data Cut 5'!C43</f>
        <v>0</v>
      </c>
      <c r="M48" s="2">
        <f>'Raw Data Cut 5'!D43</f>
        <v>0</v>
      </c>
      <c r="N48" s="2">
        <f>'Raw Data Cut 5'!E43</f>
        <v>0</v>
      </c>
      <c r="O48" s="2">
        <f>'Raw Data Cut 5'!G43</f>
        <v>0</v>
      </c>
      <c r="P48" s="2">
        <f>'Raw Data Cut 5'!H43</f>
        <v>0</v>
      </c>
      <c r="Q48" s="2">
        <f>'Raw Data Cut 5'!I43</f>
        <v>0</v>
      </c>
      <c r="R48" s="2">
        <f>'Raw Data Cut 5'!J43</f>
        <v>0</v>
      </c>
      <c r="S48" s="2">
        <f>'Raw Data Cut 5'!K43</f>
        <v>0</v>
      </c>
      <c r="T48" s="2">
        <f>'Raw Data Cut 5'!N43</f>
        <v>0</v>
      </c>
      <c r="U48" s="2">
        <f t="shared" si="0"/>
        <v>0</v>
      </c>
      <c r="V48" s="12" t="str">
        <f>IF($T48=0, "", IF(COUNTIF('C00026'!$B$7:$B$41, $T48)=0, "Missing", "Y"))</f>
        <v/>
      </c>
      <c r="W48" s="1">
        <f t="shared" si="3"/>
        <v>0</v>
      </c>
    </row>
    <row r="49" spans="9:23" x14ac:dyDescent="0.25">
      <c r="I49" s="16"/>
      <c r="J49" s="14">
        <f>'Raw Data Cut 5'!A44</f>
        <v>0</v>
      </c>
      <c r="K49" s="2">
        <f>'Raw Data Cut 5'!B44</f>
        <v>0</v>
      </c>
      <c r="L49" s="2">
        <f>'Raw Data Cut 5'!C44</f>
        <v>0</v>
      </c>
      <c r="M49" s="2">
        <f>'Raw Data Cut 5'!D44</f>
        <v>0</v>
      </c>
      <c r="N49" s="2">
        <f>'Raw Data Cut 5'!E44</f>
        <v>0</v>
      </c>
      <c r="O49" s="2">
        <f>'Raw Data Cut 5'!G44</f>
        <v>0</v>
      </c>
      <c r="P49" s="2">
        <f>'Raw Data Cut 5'!H44</f>
        <v>0</v>
      </c>
      <c r="Q49" s="2">
        <f>'Raw Data Cut 5'!I44</f>
        <v>0</v>
      </c>
      <c r="R49" s="2">
        <f>'Raw Data Cut 5'!J44</f>
        <v>0</v>
      </c>
      <c r="S49" s="2">
        <f>'Raw Data Cut 5'!K44</f>
        <v>0</v>
      </c>
      <c r="T49" s="2">
        <f>'Raw Data Cut 5'!N44</f>
        <v>0</v>
      </c>
      <c r="U49" s="2">
        <f t="shared" si="0"/>
        <v>0</v>
      </c>
      <c r="V49" s="12" t="str">
        <f>IF($T49=0, "", IF(COUNTIF('C00026'!$B$7:$B$41, $T49)=0, "Missing", "Y"))</f>
        <v/>
      </c>
      <c r="W49" s="1">
        <f t="shared" si="3"/>
        <v>0</v>
      </c>
    </row>
    <row r="50" spans="9:23" x14ac:dyDescent="0.25">
      <c r="I50" s="16"/>
      <c r="J50" s="14">
        <f>'Raw Data Cut 5'!A45</f>
        <v>0</v>
      </c>
      <c r="K50" s="2">
        <f>'Raw Data Cut 5'!B45</f>
        <v>0</v>
      </c>
      <c r="L50" s="2">
        <f>'Raw Data Cut 5'!C45</f>
        <v>0</v>
      </c>
      <c r="M50" s="2">
        <f>'Raw Data Cut 5'!D45</f>
        <v>0</v>
      </c>
      <c r="N50" s="2">
        <f>'Raw Data Cut 5'!E45</f>
        <v>0</v>
      </c>
      <c r="O50" s="2">
        <f>'Raw Data Cut 5'!G45</f>
        <v>0</v>
      </c>
      <c r="P50" s="2">
        <f>'Raw Data Cut 5'!H45</f>
        <v>0</v>
      </c>
      <c r="Q50" s="2">
        <f>'Raw Data Cut 5'!I45</f>
        <v>0</v>
      </c>
      <c r="R50" s="2">
        <f>'Raw Data Cut 5'!J45</f>
        <v>0</v>
      </c>
      <c r="S50" s="2">
        <f>'Raw Data Cut 5'!K45</f>
        <v>0</v>
      </c>
      <c r="T50" s="2">
        <f>'Raw Data Cut 5'!N45</f>
        <v>0</v>
      </c>
      <c r="U50" s="2">
        <f t="shared" si="0"/>
        <v>0</v>
      </c>
      <c r="V50" s="12" t="str">
        <f>IF($T50=0, "", IF(COUNTIF('C00026'!$B$7:$B$41, $T50)=0, "Missing", "Y"))</f>
        <v/>
      </c>
      <c r="W50" s="1">
        <f t="shared" si="3"/>
        <v>0</v>
      </c>
    </row>
    <row r="51" spans="9:23" x14ac:dyDescent="0.25">
      <c r="I51" s="16"/>
      <c r="J51" s="14">
        <f>'Raw Data Cut 5'!A46</f>
        <v>0</v>
      </c>
      <c r="K51" s="2">
        <f>'Raw Data Cut 5'!B46</f>
        <v>0</v>
      </c>
      <c r="L51" s="2">
        <f>'Raw Data Cut 5'!C46</f>
        <v>0</v>
      </c>
      <c r="M51" s="2">
        <f>'Raw Data Cut 5'!D46</f>
        <v>0</v>
      </c>
      <c r="N51" s="2">
        <f>'Raw Data Cut 5'!E46</f>
        <v>0</v>
      </c>
      <c r="O51" s="2">
        <f>'Raw Data Cut 5'!G46</f>
        <v>0</v>
      </c>
      <c r="P51" s="2">
        <f>'Raw Data Cut 5'!H46</f>
        <v>0</v>
      </c>
      <c r="Q51" s="2">
        <f>'Raw Data Cut 5'!I46</f>
        <v>0</v>
      </c>
      <c r="R51" s="2">
        <f>'Raw Data Cut 5'!J46</f>
        <v>0</v>
      </c>
      <c r="S51" s="2">
        <f>'Raw Data Cut 5'!K46</f>
        <v>0</v>
      </c>
      <c r="T51" s="2">
        <f>'Raw Data Cut 5'!N46</f>
        <v>0</v>
      </c>
      <c r="U51" s="2">
        <f t="shared" si="0"/>
        <v>0</v>
      </c>
      <c r="V51" s="12" t="str">
        <f>IF($T51=0, "", IF(COUNTIF('C00026'!$B$7:$B$41, $T51)=0, "Missing", "Y"))</f>
        <v/>
      </c>
      <c r="W51" s="1">
        <f t="shared" si="3"/>
        <v>0</v>
      </c>
    </row>
    <row r="52" spans="9:23" x14ac:dyDescent="0.25">
      <c r="I52" s="16"/>
      <c r="J52" s="14">
        <f>'Raw Data Cut 5'!A47</f>
        <v>0</v>
      </c>
      <c r="K52" s="2">
        <f>'Raw Data Cut 5'!B47</f>
        <v>0</v>
      </c>
      <c r="L52" s="2">
        <f>'Raw Data Cut 5'!C47</f>
        <v>0</v>
      </c>
      <c r="M52" s="2">
        <f>'Raw Data Cut 5'!D47</f>
        <v>0</v>
      </c>
      <c r="N52" s="2">
        <f>'Raw Data Cut 5'!E47</f>
        <v>0</v>
      </c>
      <c r="O52" s="2">
        <f>'Raw Data Cut 5'!G47</f>
        <v>0</v>
      </c>
      <c r="P52" s="2">
        <f>'Raw Data Cut 5'!H47</f>
        <v>0</v>
      </c>
      <c r="Q52" s="2">
        <f>'Raw Data Cut 5'!I47</f>
        <v>0</v>
      </c>
      <c r="R52" s="2">
        <f>'Raw Data Cut 5'!J47</f>
        <v>0</v>
      </c>
      <c r="S52" s="2">
        <f>'Raw Data Cut 5'!K47</f>
        <v>0</v>
      </c>
      <c r="T52" s="2">
        <f>'Raw Data Cut 5'!N47</f>
        <v>0</v>
      </c>
      <c r="U52" s="2">
        <f t="shared" si="0"/>
        <v>0</v>
      </c>
      <c r="V52" s="12" t="str">
        <f>IF($T52=0, "", IF(COUNTIF('C00026'!$B$7:$B$41, $T52)=0, "Missing", "Y"))</f>
        <v/>
      </c>
      <c r="W52" s="1">
        <f t="shared" si="3"/>
        <v>0</v>
      </c>
    </row>
    <row r="53" spans="9:23" x14ac:dyDescent="0.25">
      <c r="I53" s="16"/>
      <c r="J53" s="14">
        <f>'Raw Data Cut 5'!A48</f>
        <v>0</v>
      </c>
      <c r="K53" s="2">
        <f>'Raw Data Cut 5'!B48</f>
        <v>0</v>
      </c>
      <c r="L53" s="2">
        <f>'Raw Data Cut 5'!C48</f>
        <v>0</v>
      </c>
      <c r="M53" s="2">
        <f>'Raw Data Cut 5'!D48</f>
        <v>0</v>
      </c>
      <c r="N53" s="2">
        <f>'Raw Data Cut 5'!E48</f>
        <v>0</v>
      </c>
      <c r="O53" s="2">
        <f>'Raw Data Cut 5'!G48</f>
        <v>0</v>
      </c>
      <c r="P53" s="2">
        <f>'Raw Data Cut 5'!H48</f>
        <v>0</v>
      </c>
      <c r="Q53" s="2">
        <f>'Raw Data Cut 5'!I48</f>
        <v>0</v>
      </c>
      <c r="R53" s="2">
        <f>'Raw Data Cut 5'!J48</f>
        <v>0</v>
      </c>
      <c r="S53" s="2">
        <f>'Raw Data Cut 5'!K48</f>
        <v>0</v>
      </c>
      <c r="T53" s="2">
        <f>'Raw Data Cut 5'!N48</f>
        <v>0</v>
      </c>
      <c r="U53" s="2">
        <f t="shared" si="0"/>
        <v>0</v>
      </c>
      <c r="V53" s="12" t="str">
        <f>IF($T53=0, "", IF(COUNTIF('C00026'!$B$7:$B$41, $T53)=0, "Missing", "Y"))</f>
        <v/>
      </c>
      <c r="W53" s="1">
        <f t="shared" si="3"/>
        <v>0</v>
      </c>
    </row>
    <row r="54" spans="9:23" x14ac:dyDescent="0.25">
      <c r="I54" s="16"/>
      <c r="J54" s="14">
        <f>'Raw Data Cut 5'!A49</f>
        <v>0</v>
      </c>
      <c r="K54" s="2">
        <f>'Raw Data Cut 5'!B49</f>
        <v>0</v>
      </c>
      <c r="L54" s="2">
        <f>'Raw Data Cut 5'!C49</f>
        <v>0</v>
      </c>
      <c r="M54" s="2">
        <f>'Raw Data Cut 5'!D49</f>
        <v>0</v>
      </c>
      <c r="N54" s="2">
        <f>'Raw Data Cut 5'!E49</f>
        <v>0</v>
      </c>
      <c r="O54" s="2">
        <f>'Raw Data Cut 5'!G49</f>
        <v>0</v>
      </c>
      <c r="P54" s="2">
        <f>'Raw Data Cut 5'!H49</f>
        <v>0</v>
      </c>
      <c r="Q54" s="2">
        <f>'Raw Data Cut 5'!I49</f>
        <v>0</v>
      </c>
      <c r="R54" s="2">
        <f>'Raw Data Cut 5'!J49</f>
        <v>0</v>
      </c>
      <c r="S54" s="2">
        <f>'Raw Data Cut 5'!K49</f>
        <v>0</v>
      </c>
      <c r="T54" s="2">
        <f>'Raw Data Cut 5'!N49</f>
        <v>0</v>
      </c>
      <c r="U54" s="2">
        <f t="shared" si="0"/>
        <v>0</v>
      </c>
      <c r="V54" s="12" t="str">
        <f>IF($T54=0, "", IF(COUNTIF('C00026'!$B$7:$B$41, $T54)=0, "Missing", "Y"))</f>
        <v/>
      </c>
      <c r="W54" s="1">
        <f t="shared" si="3"/>
        <v>0</v>
      </c>
    </row>
    <row r="55" spans="9:23" x14ac:dyDescent="0.25">
      <c r="I55" s="16"/>
      <c r="J55" s="14">
        <f>'Raw Data Cut 5'!A50</f>
        <v>0</v>
      </c>
      <c r="K55" s="2">
        <f>'Raw Data Cut 5'!B50</f>
        <v>0</v>
      </c>
      <c r="L55" s="2">
        <f>'Raw Data Cut 5'!C50</f>
        <v>0</v>
      </c>
      <c r="M55" s="2">
        <f>'Raw Data Cut 5'!D50</f>
        <v>0</v>
      </c>
      <c r="N55" s="2">
        <f>'Raw Data Cut 5'!E50</f>
        <v>0</v>
      </c>
      <c r="O55" s="2">
        <f>'Raw Data Cut 5'!G50</f>
        <v>0</v>
      </c>
      <c r="P55" s="2">
        <f>'Raw Data Cut 5'!H50</f>
        <v>0</v>
      </c>
      <c r="Q55" s="2">
        <f>'Raw Data Cut 5'!I50</f>
        <v>0</v>
      </c>
      <c r="R55" s="2">
        <f>'Raw Data Cut 5'!J50</f>
        <v>0</v>
      </c>
      <c r="S55" s="2">
        <f>'Raw Data Cut 5'!K50</f>
        <v>0</v>
      </c>
      <c r="T55" s="2">
        <f>'Raw Data Cut 5'!N50</f>
        <v>0</v>
      </c>
      <c r="U55" s="2">
        <f t="shared" si="0"/>
        <v>0</v>
      </c>
      <c r="V55" s="12" t="str">
        <f>IF($T55=0, "", IF(COUNTIF('C00026'!$B$7:$B$41, $T55)=0, "Missing", "Y"))</f>
        <v/>
      </c>
      <c r="W55" s="1">
        <f t="shared" si="3"/>
        <v>0</v>
      </c>
    </row>
    <row r="56" spans="9:23" x14ac:dyDescent="0.25">
      <c r="I56" s="16"/>
      <c r="J56" s="14">
        <f>'Raw Data Cut 5'!A51</f>
        <v>0</v>
      </c>
      <c r="K56" s="2">
        <f>'Raw Data Cut 5'!B51</f>
        <v>0</v>
      </c>
      <c r="L56" s="2">
        <f>'Raw Data Cut 5'!C51</f>
        <v>0</v>
      </c>
      <c r="M56" s="2">
        <f>'Raw Data Cut 5'!D51</f>
        <v>0</v>
      </c>
      <c r="N56" s="2">
        <f>'Raw Data Cut 5'!E51</f>
        <v>0</v>
      </c>
      <c r="O56" s="2">
        <f>'Raw Data Cut 5'!G51</f>
        <v>0</v>
      </c>
      <c r="P56" s="2">
        <f>'Raw Data Cut 5'!H51</f>
        <v>0</v>
      </c>
      <c r="Q56" s="2">
        <f>'Raw Data Cut 5'!I51</f>
        <v>0</v>
      </c>
      <c r="R56" s="2">
        <f>'Raw Data Cut 5'!J51</f>
        <v>0</v>
      </c>
      <c r="S56" s="2">
        <f>'Raw Data Cut 5'!K51</f>
        <v>0</v>
      </c>
      <c r="T56" s="2">
        <f>'Raw Data Cut 5'!N51</f>
        <v>0</v>
      </c>
      <c r="U56" s="2">
        <f t="shared" si="0"/>
        <v>0</v>
      </c>
      <c r="V56" s="12" t="str">
        <f>IF($T56=0, "", IF(COUNTIF('C00026'!$B$7:$B$41, $T56)=0, "Missing", "Y"))</f>
        <v/>
      </c>
      <c r="W56" s="1">
        <f t="shared" si="3"/>
        <v>0</v>
      </c>
    </row>
    <row r="57" spans="9:23" x14ac:dyDescent="0.25">
      <c r="I57" s="16"/>
      <c r="J57" s="14">
        <f>'Raw Data Cut 5'!A52</f>
        <v>0</v>
      </c>
      <c r="K57" s="2">
        <f>'Raw Data Cut 5'!B52</f>
        <v>0</v>
      </c>
      <c r="L57" s="2">
        <f>'Raw Data Cut 5'!C52</f>
        <v>0</v>
      </c>
      <c r="M57" s="2">
        <f>'Raw Data Cut 5'!D52</f>
        <v>0</v>
      </c>
      <c r="N57" s="2">
        <f>'Raw Data Cut 5'!E52</f>
        <v>0</v>
      </c>
      <c r="O57" s="2">
        <f>'Raw Data Cut 5'!G52</f>
        <v>0</v>
      </c>
      <c r="P57" s="2">
        <f>'Raw Data Cut 5'!H52</f>
        <v>0</v>
      </c>
      <c r="Q57" s="2">
        <f>'Raw Data Cut 5'!I52</f>
        <v>0</v>
      </c>
      <c r="R57" s="2">
        <f>'Raw Data Cut 5'!J52</f>
        <v>0</v>
      </c>
      <c r="S57" s="2">
        <f>'Raw Data Cut 5'!K52</f>
        <v>0</v>
      </c>
      <c r="T57" s="2">
        <f>'Raw Data Cut 5'!N52</f>
        <v>0</v>
      </c>
      <c r="U57" s="2">
        <f t="shared" si="0"/>
        <v>0</v>
      </c>
      <c r="V57" s="12" t="str">
        <f>IF($T57=0, "", IF(COUNTIF('C00026'!$B$7:$B$41, $T57)=0, "Missing", "Y"))</f>
        <v/>
      </c>
      <c r="W57" s="1">
        <f t="shared" si="3"/>
        <v>0</v>
      </c>
    </row>
    <row r="58" spans="9:23" x14ac:dyDescent="0.25">
      <c r="I58" s="16"/>
      <c r="J58" s="14">
        <f>'Raw Data Cut 5'!A53</f>
        <v>0</v>
      </c>
      <c r="K58" s="2">
        <f>'Raw Data Cut 5'!B53</f>
        <v>0</v>
      </c>
      <c r="L58" s="2">
        <f>'Raw Data Cut 5'!C53</f>
        <v>0</v>
      </c>
      <c r="M58" s="2">
        <f>'Raw Data Cut 5'!D53</f>
        <v>0</v>
      </c>
      <c r="N58" s="2">
        <f>'Raw Data Cut 5'!E53</f>
        <v>0</v>
      </c>
      <c r="O58" s="2">
        <f>'Raw Data Cut 5'!G53</f>
        <v>0</v>
      </c>
      <c r="P58" s="2">
        <f>'Raw Data Cut 5'!H53</f>
        <v>0</v>
      </c>
      <c r="Q58" s="2">
        <f>'Raw Data Cut 5'!I53</f>
        <v>0</v>
      </c>
      <c r="R58" s="2">
        <f>'Raw Data Cut 5'!J53</f>
        <v>0</v>
      </c>
      <c r="S58" s="2">
        <f>'Raw Data Cut 5'!K53</f>
        <v>0</v>
      </c>
      <c r="T58" s="2">
        <f>'Raw Data Cut 5'!N53</f>
        <v>0</v>
      </c>
      <c r="U58" s="2">
        <f t="shared" si="0"/>
        <v>0</v>
      </c>
      <c r="V58" s="12" t="str">
        <f>IF($T58=0, "", IF(COUNTIF('C00026'!$B$7:$B$41, $T58)=0, "Missing", "Y"))</f>
        <v/>
      </c>
      <c r="W58" s="1">
        <f t="shared" si="3"/>
        <v>0</v>
      </c>
    </row>
    <row r="59" spans="9:23" x14ac:dyDescent="0.25">
      <c r="I59" s="16"/>
      <c r="J59" s="14">
        <f>'Raw Data Cut 5'!A54</f>
        <v>0</v>
      </c>
      <c r="K59" s="2">
        <f>'Raw Data Cut 5'!B54</f>
        <v>0</v>
      </c>
      <c r="L59" s="2">
        <f>'Raw Data Cut 5'!C54</f>
        <v>0</v>
      </c>
      <c r="M59" s="2">
        <f>'Raw Data Cut 5'!D54</f>
        <v>0</v>
      </c>
      <c r="N59" s="2">
        <f>'Raw Data Cut 5'!E54</f>
        <v>0</v>
      </c>
      <c r="O59" s="2">
        <f>'Raw Data Cut 5'!G54</f>
        <v>0</v>
      </c>
      <c r="P59" s="2">
        <f>'Raw Data Cut 5'!H54</f>
        <v>0</v>
      </c>
      <c r="Q59" s="2">
        <f>'Raw Data Cut 5'!I54</f>
        <v>0</v>
      </c>
      <c r="R59" s="2">
        <f>'Raw Data Cut 5'!J54</f>
        <v>0</v>
      </c>
      <c r="S59" s="2">
        <f>'Raw Data Cut 5'!K54</f>
        <v>0</v>
      </c>
      <c r="T59" s="2">
        <f>'Raw Data Cut 5'!N54</f>
        <v>0</v>
      </c>
      <c r="U59" s="2">
        <f t="shared" si="0"/>
        <v>0</v>
      </c>
      <c r="V59" s="12" t="str">
        <f>IF($T59=0, "", IF(COUNTIF('C00026'!$B$7:$B$41, $T59)=0, "Missing", "Y"))</f>
        <v/>
      </c>
      <c r="W59" s="1">
        <f t="shared" si="3"/>
        <v>0</v>
      </c>
    </row>
    <row r="60" spans="9:23" x14ac:dyDescent="0.25">
      <c r="I60" s="16"/>
      <c r="J60" s="14">
        <f>'Raw Data Cut 5'!A55</f>
        <v>0</v>
      </c>
      <c r="K60" s="2">
        <f>'Raw Data Cut 5'!B55</f>
        <v>0</v>
      </c>
      <c r="L60" s="2">
        <f>'Raw Data Cut 5'!C55</f>
        <v>0</v>
      </c>
      <c r="M60" s="2">
        <f>'Raw Data Cut 5'!D55</f>
        <v>0</v>
      </c>
      <c r="N60" s="2">
        <f>'Raw Data Cut 5'!E55</f>
        <v>0</v>
      </c>
      <c r="O60" s="2">
        <f>'Raw Data Cut 5'!G55</f>
        <v>0</v>
      </c>
      <c r="P60" s="2">
        <f>'Raw Data Cut 5'!H55</f>
        <v>0</v>
      </c>
      <c r="Q60" s="2">
        <f>'Raw Data Cut 5'!I55</f>
        <v>0</v>
      </c>
      <c r="R60" s="2">
        <f>'Raw Data Cut 5'!J55</f>
        <v>0</v>
      </c>
      <c r="S60" s="2">
        <f>'Raw Data Cut 5'!K55</f>
        <v>0</v>
      </c>
      <c r="T60" s="2">
        <f>'Raw Data Cut 5'!N55</f>
        <v>0</v>
      </c>
      <c r="U60" s="2">
        <f t="shared" si="0"/>
        <v>0</v>
      </c>
      <c r="V60" s="12" t="str">
        <f>IF($T60=0, "", IF(COUNTIF('C00026'!$B$7:$B$41, $T60)=0, "Missing", "Y"))</f>
        <v/>
      </c>
      <c r="W60" s="1">
        <f t="shared" si="3"/>
        <v>0</v>
      </c>
    </row>
    <row r="61" spans="9:23" x14ac:dyDescent="0.25">
      <c r="I61" s="16"/>
      <c r="J61" s="14">
        <f>'Raw Data Cut 5'!A56</f>
        <v>0</v>
      </c>
      <c r="K61" s="2">
        <f>'Raw Data Cut 5'!B56</f>
        <v>0</v>
      </c>
      <c r="L61" s="2">
        <f>'Raw Data Cut 5'!C56</f>
        <v>0</v>
      </c>
      <c r="M61" s="2">
        <f>'Raw Data Cut 5'!D56</f>
        <v>0</v>
      </c>
      <c r="N61" s="2">
        <f>'Raw Data Cut 5'!E56</f>
        <v>0</v>
      </c>
      <c r="O61" s="2">
        <f>'Raw Data Cut 5'!G56</f>
        <v>0</v>
      </c>
      <c r="P61" s="2">
        <f>'Raw Data Cut 5'!H56</f>
        <v>0</v>
      </c>
      <c r="Q61" s="2">
        <f>'Raw Data Cut 5'!I56</f>
        <v>0</v>
      </c>
      <c r="R61" s="2">
        <f>'Raw Data Cut 5'!J56</f>
        <v>0</v>
      </c>
      <c r="S61" s="2">
        <f>'Raw Data Cut 5'!K56</f>
        <v>0</v>
      </c>
      <c r="T61" s="2">
        <f>'Raw Data Cut 5'!N56</f>
        <v>0</v>
      </c>
      <c r="U61" s="2">
        <f t="shared" si="0"/>
        <v>0</v>
      </c>
      <c r="V61" s="12" t="str">
        <f>IF($T61=0, "", IF(COUNTIF('C00026'!$B$7:$B$41, $T61)=0, "Missing", "Y"))</f>
        <v/>
      </c>
      <c r="W61" s="1">
        <f t="shared" si="3"/>
        <v>0</v>
      </c>
    </row>
    <row r="62" spans="9:23" x14ac:dyDescent="0.25">
      <c r="I62" s="16"/>
      <c r="J62" s="14">
        <f>'Raw Data Cut 5'!A57</f>
        <v>0</v>
      </c>
      <c r="K62" s="2">
        <f>'Raw Data Cut 5'!B57</f>
        <v>0</v>
      </c>
      <c r="L62" s="2">
        <f>'Raw Data Cut 5'!C57</f>
        <v>0</v>
      </c>
      <c r="M62" s="2">
        <f>'Raw Data Cut 5'!D57</f>
        <v>0</v>
      </c>
      <c r="N62" s="2">
        <f>'Raw Data Cut 5'!E57</f>
        <v>0</v>
      </c>
      <c r="O62" s="2">
        <f>'Raw Data Cut 5'!G57</f>
        <v>0</v>
      </c>
      <c r="P62" s="2">
        <f>'Raw Data Cut 5'!H57</f>
        <v>0</v>
      </c>
      <c r="Q62" s="2">
        <f>'Raw Data Cut 5'!I57</f>
        <v>0</v>
      </c>
      <c r="R62" s="2">
        <f>'Raw Data Cut 5'!J57</f>
        <v>0</v>
      </c>
      <c r="S62" s="2">
        <f>'Raw Data Cut 5'!K57</f>
        <v>0</v>
      </c>
      <c r="T62" s="2">
        <f>'Raw Data Cut 5'!N57</f>
        <v>0</v>
      </c>
      <c r="U62" s="2">
        <f t="shared" si="0"/>
        <v>0</v>
      </c>
      <c r="V62" s="12" t="str">
        <f>IF($T62=0, "", IF(COUNTIF('C00026'!$B$7:$B$41, $T62)=0, "Missing", "Y"))</f>
        <v/>
      </c>
      <c r="W62" s="1">
        <f t="shared" si="3"/>
        <v>0</v>
      </c>
    </row>
    <row r="63" spans="9:23" x14ac:dyDescent="0.25">
      <c r="I63" s="16"/>
      <c r="J63" s="14">
        <f>'Raw Data Cut 5'!A58</f>
        <v>0</v>
      </c>
      <c r="K63" s="2">
        <f>'Raw Data Cut 5'!B58</f>
        <v>0</v>
      </c>
      <c r="L63" s="2">
        <f>'Raw Data Cut 5'!C58</f>
        <v>0</v>
      </c>
      <c r="M63" s="2">
        <f>'Raw Data Cut 5'!D58</f>
        <v>0</v>
      </c>
      <c r="N63" s="2">
        <f>'Raw Data Cut 5'!E58</f>
        <v>0</v>
      </c>
      <c r="O63" s="2">
        <f>'Raw Data Cut 5'!G58</f>
        <v>0</v>
      </c>
      <c r="P63" s="2">
        <f>'Raw Data Cut 5'!H58</f>
        <v>0</v>
      </c>
      <c r="Q63" s="2">
        <f>'Raw Data Cut 5'!I58</f>
        <v>0</v>
      </c>
      <c r="R63" s="2">
        <f>'Raw Data Cut 5'!J58</f>
        <v>0</v>
      </c>
      <c r="S63" s="2">
        <f>'Raw Data Cut 5'!K58</f>
        <v>0</v>
      </c>
      <c r="T63" s="2">
        <f>'Raw Data Cut 5'!N58</f>
        <v>0</v>
      </c>
      <c r="U63" s="2">
        <f t="shared" si="0"/>
        <v>0</v>
      </c>
      <c r="V63" s="12" t="str">
        <f>IF($T63=0, "", IF(COUNTIF('C00026'!$B$7:$B$41, $T63)=0, "Missing", "Y"))</f>
        <v/>
      </c>
      <c r="W63" s="1">
        <f t="shared" si="3"/>
        <v>0</v>
      </c>
    </row>
    <row r="64" spans="9:23" x14ac:dyDescent="0.25">
      <c r="I64" s="16"/>
      <c r="J64" s="14">
        <f>'Raw Data Cut 5'!A59</f>
        <v>0</v>
      </c>
      <c r="K64" s="2">
        <f>'Raw Data Cut 5'!B59</f>
        <v>0</v>
      </c>
      <c r="L64" s="2">
        <f>'Raw Data Cut 5'!C59</f>
        <v>0</v>
      </c>
      <c r="M64" s="2">
        <f>'Raw Data Cut 5'!D59</f>
        <v>0</v>
      </c>
      <c r="N64" s="2">
        <f>'Raw Data Cut 5'!E59</f>
        <v>0</v>
      </c>
      <c r="O64" s="2">
        <f>'Raw Data Cut 5'!G59</f>
        <v>0</v>
      </c>
      <c r="P64" s="2">
        <f>'Raw Data Cut 5'!H59</f>
        <v>0</v>
      </c>
      <c r="Q64" s="2">
        <f>'Raw Data Cut 5'!I59</f>
        <v>0</v>
      </c>
      <c r="R64" s="2">
        <f>'Raw Data Cut 5'!J59</f>
        <v>0</v>
      </c>
      <c r="S64" s="2">
        <f>'Raw Data Cut 5'!K59</f>
        <v>0</v>
      </c>
      <c r="T64" s="2">
        <f>'Raw Data Cut 5'!N59</f>
        <v>0</v>
      </c>
      <c r="U64" s="2">
        <f t="shared" si="0"/>
        <v>0</v>
      </c>
      <c r="V64" s="12" t="str">
        <f>IF($T64=0, "", IF(COUNTIF('C00026'!$B$7:$B$41, $T64)=0, "Missing", "Y"))</f>
        <v/>
      </c>
      <c r="W64" s="1">
        <f t="shared" si="3"/>
        <v>0</v>
      </c>
    </row>
    <row r="65" spans="1:23" x14ac:dyDescent="0.25">
      <c r="J65" s="14">
        <f>'Raw Data Cut 5'!A60</f>
        <v>0</v>
      </c>
      <c r="K65" s="2">
        <f>'Raw Data Cut 5'!B60</f>
        <v>0</v>
      </c>
      <c r="L65" s="2">
        <f>'Raw Data Cut 5'!C60</f>
        <v>0</v>
      </c>
      <c r="M65" s="2">
        <f>'Raw Data Cut 5'!D60</f>
        <v>0</v>
      </c>
      <c r="N65" s="2">
        <f>'Raw Data Cut 5'!E60</f>
        <v>0</v>
      </c>
      <c r="O65" s="2">
        <f>'Raw Data Cut 5'!G60</f>
        <v>0</v>
      </c>
      <c r="P65" s="2">
        <f>'Raw Data Cut 5'!H60</f>
        <v>0</v>
      </c>
      <c r="Q65" s="2">
        <f>'Raw Data Cut 5'!I60</f>
        <v>0</v>
      </c>
      <c r="R65" s="2">
        <f>'Raw Data Cut 5'!J60</f>
        <v>0</v>
      </c>
      <c r="S65" s="2">
        <f>'Raw Data Cut 5'!K60</f>
        <v>0</v>
      </c>
      <c r="T65" s="2">
        <f>'Raw Data Cut 5'!N60</f>
        <v>0</v>
      </c>
      <c r="U65" s="2">
        <f t="shared" si="0"/>
        <v>0</v>
      </c>
      <c r="V65" s="12" t="str">
        <f>IF($T65=0, "", IF(COUNTIF('C00026'!$B$7:$B$41, $T65)=0, "Missing", "Y"))</f>
        <v/>
      </c>
      <c r="W65" s="1">
        <f t="shared" si="3"/>
        <v>0</v>
      </c>
    </row>
    <row r="66" spans="1:23" x14ac:dyDescent="0.25">
      <c r="J66" s="14">
        <f>'Raw Data Cut 5'!A61</f>
        <v>0</v>
      </c>
      <c r="K66" s="2">
        <f>'Raw Data Cut 5'!B61</f>
        <v>0</v>
      </c>
      <c r="L66" s="2">
        <f>'Raw Data Cut 5'!C61</f>
        <v>0</v>
      </c>
      <c r="M66" s="2">
        <f>'Raw Data Cut 5'!D61</f>
        <v>0</v>
      </c>
      <c r="N66" s="2">
        <f>'Raw Data Cut 5'!E61</f>
        <v>0</v>
      </c>
      <c r="O66" s="2">
        <f>'Raw Data Cut 5'!G61</f>
        <v>0</v>
      </c>
      <c r="P66" s="2">
        <f>'Raw Data Cut 5'!H61</f>
        <v>0</v>
      </c>
      <c r="Q66" s="2">
        <f>'Raw Data Cut 5'!I61</f>
        <v>0</v>
      </c>
      <c r="R66" s="2">
        <f>'Raw Data Cut 5'!J61</f>
        <v>0</v>
      </c>
      <c r="S66" s="2">
        <f>'Raw Data Cut 5'!K61</f>
        <v>0</v>
      </c>
      <c r="T66" s="2">
        <f>'Raw Data Cut 5'!N61</f>
        <v>0</v>
      </c>
      <c r="U66" s="2">
        <f t="shared" si="0"/>
        <v>0</v>
      </c>
      <c r="V66" s="12" t="str">
        <f>IF($T66=0, "", IF(COUNTIF('C00026'!$B$7:$B$41, $T66)=0, "Missing", "Y"))</f>
        <v/>
      </c>
      <c r="W66" s="1">
        <f t="shared" si="3"/>
        <v>0</v>
      </c>
    </row>
    <row r="67" spans="1:23" x14ac:dyDescent="0.25">
      <c r="J67" s="14">
        <f>'Raw Data Cut 5'!A62</f>
        <v>0</v>
      </c>
      <c r="K67" s="2">
        <f>'Raw Data Cut 5'!B62</f>
        <v>0</v>
      </c>
      <c r="L67" s="2">
        <f>'Raw Data Cut 5'!C62</f>
        <v>0</v>
      </c>
      <c r="M67" s="2">
        <f>'Raw Data Cut 5'!D62</f>
        <v>0</v>
      </c>
      <c r="N67" s="2">
        <f>'Raw Data Cut 5'!E62</f>
        <v>0</v>
      </c>
      <c r="O67" s="2">
        <f>'Raw Data Cut 5'!G62</f>
        <v>0</v>
      </c>
      <c r="P67" s="2">
        <f>'Raw Data Cut 5'!H62</f>
        <v>0</v>
      </c>
      <c r="Q67" s="2">
        <f>'Raw Data Cut 5'!I62</f>
        <v>0</v>
      </c>
      <c r="R67" s="2">
        <f>'Raw Data Cut 5'!J62</f>
        <v>0</v>
      </c>
      <c r="S67" s="2">
        <f>'Raw Data Cut 5'!K62</f>
        <v>0</v>
      </c>
      <c r="T67" s="2">
        <f>'Raw Data Cut 5'!N62</f>
        <v>0</v>
      </c>
      <c r="U67" s="2">
        <f t="shared" ref="U67:U86" si="4">Q67</f>
        <v>0</v>
      </c>
      <c r="V67" s="12" t="str">
        <f>IF($T67=0, "", IF(COUNTIF('C00026'!$B$7:$B$41, $T67)=0, "Missing", "Y"))</f>
        <v/>
      </c>
      <c r="W67" s="1">
        <f t="shared" ref="W67:W86" si="5">K67</f>
        <v>0</v>
      </c>
    </row>
    <row r="68" spans="1:23" x14ac:dyDescent="0.25">
      <c r="J68" s="14">
        <f>'Raw Data Cut 5'!A63</f>
        <v>0</v>
      </c>
      <c r="K68" s="2">
        <f>'Raw Data Cut 5'!B63</f>
        <v>0</v>
      </c>
      <c r="L68" s="2">
        <f>'Raw Data Cut 5'!C63</f>
        <v>0</v>
      </c>
      <c r="M68" s="2">
        <f>'Raw Data Cut 5'!D63</f>
        <v>0</v>
      </c>
      <c r="N68" s="2">
        <f>'Raw Data Cut 5'!E63</f>
        <v>0</v>
      </c>
      <c r="O68" s="2">
        <f>'Raw Data Cut 5'!G63</f>
        <v>0</v>
      </c>
      <c r="P68" s="2">
        <f>'Raw Data Cut 5'!H63</f>
        <v>0</v>
      </c>
      <c r="Q68" s="2">
        <f>'Raw Data Cut 5'!I63</f>
        <v>0</v>
      </c>
      <c r="R68" s="2">
        <f>'Raw Data Cut 5'!J63</f>
        <v>0</v>
      </c>
      <c r="S68" s="2">
        <f>'Raw Data Cut 5'!K63</f>
        <v>0</v>
      </c>
      <c r="T68" s="2">
        <f>'Raw Data Cut 5'!N63</f>
        <v>0</v>
      </c>
      <c r="U68" s="2">
        <f t="shared" si="4"/>
        <v>0</v>
      </c>
      <c r="V68" s="12" t="str">
        <f>IF($T68=0, "", IF(COUNTIF('C00026'!$B$7:$B$41, $T68)=0, "Missing", "Y"))</f>
        <v/>
      </c>
      <c r="W68" s="1">
        <f t="shared" si="5"/>
        <v>0</v>
      </c>
    </row>
    <row r="69" spans="1:23" x14ac:dyDescent="0.25">
      <c r="J69" s="14">
        <f>'Raw Data Cut 5'!A64</f>
        <v>0</v>
      </c>
      <c r="K69" s="2">
        <f>'Raw Data Cut 5'!B64</f>
        <v>0</v>
      </c>
      <c r="L69" s="2">
        <f>'Raw Data Cut 5'!C64</f>
        <v>0</v>
      </c>
      <c r="M69" s="2">
        <f>'Raw Data Cut 5'!D64</f>
        <v>0</v>
      </c>
      <c r="N69" s="2">
        <f>'Raw Data Cut 5'!E64</f>
        <v>0</v>
      </c>
      <c r="O69" s="2">
        <f>'Raw Data Cut 5'!G64</f>
        <v>0</v>
      </c>
      <c r="P69" s="2">
        <f>'Raw Data Cut 5'!H64</f>
        <v>0</v>
      </c>
      <c r="Q69" s="2">
        <f>'Raw Data Cut 5'!I64</f>
        <v>0</v>
      </c>
      <c r="R69" s="2">
        <f>'Raw Data Cut 5'!J64</f>
        <v>0</v>
      </c>
      <c r="S69" s="2">
        <f>'Raw Data Cut 5'!K64</f>
        <v>0</v>
      </c>
      <c r="T69" s="2">
        <f>'Raw Data Cut 5'!N64</f>
        <v>0</v>
      </c>
      <c r="U69" s="2">
        <f t="shared" si="4"/>
        <v>0</v>
      </c>
      <c r="V69" s="12" t="str">
        <f>IF($T69=0, "", IF(COUNTIF('C00026'!$B$7:$B$41, $T69)=0, "Missing", "Y"))</f>
        <v/>
      </c>
      <c r="W69" s="1">
        <f t="shared" si="5"/>
        <v>0</v>
      </c>
    </row>
    <row r="70" spans="1:23" x14ac:dyDescent="0.25">
      <c r="J70" s="14">
        <f>'Raw Data Cut 5'!A65</f>
        <v>0</v>
      </c>
      <c r="K70" s="2">
        <f>'Raw Data Cut 5'!B65</f>
        <v>0</v>
      </c>
      <c r="L70" s="2">
        <f>'Raw Data Cut 5'!C65</f>
        <v>0</v>
      </c>
      <c r="M70" s="2">
        <f>'Raw Data Cut 5'!D65</f>
        <v>0</v>
      </c>
      <c r="N70" s="2">
        <f>'Raw Data Cut 5'!E65</f>
        <v>0</v>
      </c>
      <c r="O70" s="2">
        <f>'Raw Data Cut 5'!G65</f>
        <v>0</v>
      </c>
      <c r="P70" s="2">
        <f>'Raw Data Cut 5'!H65</f>
        <v>0</v>
      </c>
      <c r="Q70" s="2">
        <f>'Raw Data Cut 5'!I65</f>
        <v>0</v>
      </c>
      <c r="R70" s="2">
        <f>'Raw Data Cut 5'!J65</f>
        <v>0</v>
      </c>
      <c r="S70" s="2">
        <f>'Raw Data Cut 5'!K65</f>
        <v>0</v>
      </c>
      <c r="T70" s="2">
        <f>'Raw Data Cut 5'!N65</f>
        <v>0</v>
      </c>
      <c r="U70" s="2">
        <f t="shared" si="4"/>
        <v>0</v>
      </c>
      <c r="V70" s="12" t="str">
        <f>IF($T70=0, "", IF(COUNTIF('C00026'!$B$7:$B$41, $T70)=0, "Missing", "Y"))</f>
        <v/>
      </c>
      <c r="W70" s="1">
        <f t="shared" si="5"/>
        <v>0</v>
      </c>
    </row>
    <row r="71" spans="1:23" x14ac:dyDescent="0.25">
      <c r="J71" s="14">
        <f>'Raw Data Cut 5'!A66</f>
        <v>0</v>
      </c>
      <c r="K71" s="2">
        <f>'Raw Data Cut 5'!B66</f>
        <v>0</v>
      </c>
      <c r="L71" s="2">
        <f>'Raw Data Cut 5'!C66</f>
        <v>0</v>
      </c>
      <c r="M71" s="2">
        <f>'Raw Data Cut 5'!D66</f>
        <v>0</v>
      </c>
      <c r="N71" s="2">
        <f>'Raw Data Cut 5'!E66</f>
        <v>0</v>
      </c>
      <c r="O71" s="2">
        <f>'Raw Data Cut 5'!G66</f>
        <v>0</v>
      </c>
      <c r="P71" s="2">
        <f>'Raw Data Cut 5'!H66</f>
        <v>0</v>
      </c>
      <c r="Q71" s="2">
        <f>'Raw Data Cut 5'!I66</f>
        <v>0</v>
      </c>
      <c r="R71" s="2">
        <f>'Raw Data Cut 5'!J66</f>
        <v>0</v>
      </c>
      <c r="S71" s="2">
        <f>'Raw Data Cut 5'!K66</f>
        <v>0</v>
      </c>
      <c r="T71" s="2">
        <f>'Raw Data Cut 5'!N66</f>
        <v>0</v>
      </c>
      <c r="U71" s="2">
        <f t="shared" si="4"/>
        <v>0</v>
      </c>
      <c r="V71" s="12" t="str">
        <f>IF($T71=0, "", IF(COUNTIF('C00026'!$B$7:$B$41, $T71)=0, "Missing", "Y"))</f>
        <v/>
      </c>
      <c r="W71" s="1">
        <f t="shared" si="5"/>
        <v>0</v>
      </c>
    </row>
    <row r="72" spans="1:23" x14ac:dyDescent="0.25">
      <c r="J72" s="14">
        <f>'Raw Data Cut 5'!A67</f>
        <v>0</v>
      </c>
      <c r="K72" s="2">
        <f>'Raw Data Cut 5'!B67</f>
        <v>0</v>
      </c>
      <c r="L72" s="2">
        <f>'Raw Data Cut 5'!C67</f>
        <v>0</v>
      </c>
      <c r="M72" s="2">
        <f>'Raw Data Cut 5'!D67</f>
        <v>0</v>
      </c>
      <c r="N72" s="2">
        <f>'Raw Data Cut 5'!E67</f>
        <v>0</v>
      </c>
      <c r="O72" s="2">
        <f>'Raw Data Cut 5'!G67</f>
        <v>0</v>
      </c>
      <c r="P72" s="2">
        <f>'Raw Data Cut 5'!H67</f>
        <v>0</v>
      </c>
      <c r="Q72" s="2">
        <f>'Raw Data Cut 5'!I67</f>
        <v>0</v>
      </c>
      <c r="R72" s="2">
        <f>'Raw Data Cut 5'!J67</f>
        <v>0</v>
      </c>
      <c r="S72" s="2">
        <f>'Raw Data Cut 5'!K67</f>
        <v>0</v>
      </c>
      <c r="T72" s="2">
        <f>'Raw Data Cut 5'!N67</f>
        <v>0</v>
      </c>
      <c r="U72" s="2">
        <f t="shared" si="4"/>
        <v>0</v>
      </c>
      <c r="V72" s="12" t="str">
        <f>IF($T72=0, "", IF(COUNTIF('C00026'!$B$7:$B$41, $T72)=0, "Missing", "Y"))</f>
        <v/>
      </c>
      <c r="W72" s="1">
        <f t="shared" si="5"/>
        <v>0</v>
      </c>
    </row>
    <row r="73" spans="1:23" x14ac:dyDescent="0.25">
      <c r="J73" s="14">
        <f>'Raw Data Cut 5'!A68</f>
        <v>0</v>
      </c>
      <c r="K73" s="2">
        <f>'Raw Data Cut 5'!B68</f>
        <v>0</v>
      </c>
      <c r="L73" s="2">
        <f>'Raw Data Cut 5'!C68</f>
        <v>0</v>
      </c>
      <c r="M73" s="2">
        <f>'Raw Data Cut 5'!D68</f>
        <v>0</v>
      </c>
      <c r="N73" s="2">
        <f>'Raw Data Cut 5'!E68</f>
        <v>0</v>
      </c>
      <c r="O73" s="2">
        <f>'Raw Data Cut 5'!G68</f>
        <v>0</v>
      </c>
      <c r="P73" s="2">
        <f>'Raw Data Cut 5'!H68</f>
        <v>0</v>
      </c>
      <c r="Q73" s="2">
        <f>'Raw Data Cut 5'!I68</f>
        <v>0</v>
      </c>
      <c r="R73" s="2">
        <f>'Raw Data Cut 5'!J68</f>
        <v>0</v>
      </c>
      <c r="S73" s="2">
        <f>'Raw Data Cut 5'!K68</f>
        <v>0</v>
      </c>
      <c r="T73" s="2">
        <f>'Raw Data Cut 5'!N68</f>
        <v>0</v>
      </c>
      <c r="U73" s="2">
        <f t="shared" si="4"/>
        <v>0</v>
      </c>
      <c r="V73" s="12" t="str">
        <f>IF($T73=0, "", IF(COUNTIF('C00026'!$B$7:$B$41, $T73)=0, "Missing", "Y"))</f>
        <v/>
      </c>
      <c r="W73" s="1">
        <f t="shared" si="5"/>
        <v>0</v>
      </c>
    </row>
    <row r="74" spans="1:23" x14ac:dyDescent="0.25">
      <c r="J74" s="14">
        <f>'Raw Data Cut 5'!A69</f>
        <v>0</v>
      </c>
      <c r="K74" s="2">
        <f>'Raw Data Cut 5'!B69</f>
        <v>0</v>
      </c>
      <c r="L74" s="2">
        <f>'Raw Data Cut 5'!C69</f>
        <v>0</v>
      </c>
      <c r="M74" s="2">
        <f>'Raw Data Cut 5'!D69</f>
        <v>0</v>
      </c>
      <c r="N74" s="2">
        <f>'Raw Data Cut 5'!E69</f>
        <v>0</v>
      </c>
      <c r="O74" s="2">
        <f>'Raw Data Cut 5'!G69</f>
        <v>0</v>
      </c>
      <c r="P74" s="2">
        <f>'Raw Data Cut 5'!H69</f>
        <v>0</v>
      </c>
      <c r="Q74" s="2">
        <f>'Raw Data Cut 5'!I69</f>
        <v>0</v>
      </c>
      <c r="R74" s="2">
        <f>'Raw Data Cut 5'!J69</f>
        <v>0</v>
      </c>
      <c r="S74" s="2">
        <f>'Raw Data Cut 5'!K69</f>
        <v>0</v>
      </c>
      <c r="T74" s="2">
        <f>'Raw Data Cut 5'!N69</f>
        <v>0</v>
      </c>
      <c r="U74" s="2">
        <f t="shared" si="4"/>
        <v>0</v>
      </c>
      <c r="V74" s="12" t="str">
        <f>IF($T74=0, "", IF(COUNTIF('C00026'!$B$7:$B$41, $T74)=0, "Missing", "Y"))</f>
        <v/>
      </c>
      <c r="W74" s="1">
        <f t="shared" si="5"/>
        <v>0</v>
      </c>
    </row>
    <row r="75" spans="1:23" x14ac:dyDescent="0.25">
      <c r="J75" s="14">
        <f>'Raw Data Cut 5'!A70</f>
        <v>0</v>
      </c>
      <c r="K75" s="2">
        <f>'Raw Data Cut 5'!B70</f>
        <v>0</v>
      </c>
      <c r="L75" s="2">
        <f>'Raw Data Cut 5'!C70</f>
        <v>0</v>
      </c>
      <c r="M75" s="2">
        <f>'Raw Data Cut 5'!D70</f>
        <v>0</v>
      </c>
      <c r="N75" s="2">
        <f>'Raw Data Cut 5'!E70</f>
        <v>0</v>
      </c>
      <c r="O75" s="2">
        <f>'Raw Data Cut 5'!G70</f>
        <v>0</v>
      </c>
      <c r="P75" s="2">
        <f>'Raw Data Cut 5'!H70</f>
        <v>0</v>
      </c>
      <c r="Q75" s="2">
        <f>'Raw Data Cut 5'!I70</f>
        <v>0</v>
      </c>
      <c r="R75" s="2">
        <f>'Raw Data Cut 5'!J70</f>
        <v>0</v>
      </c>
      <c r="S75" s="2">
        <f>'Raw Data Cut 5'!K70</f>
        <v>0</v>
      </c>
      <c r="T75" s="2">
        <f>'Raw Data Cut 5'!N70</f>
        <v>0</v>
      </c>
      <c r="U75" s="2">
        <f t="shared" si="4"/>
        <v>0</v>
      </c>
      <c r="V75" s="12" t="str">
        <f>IF($T75=0, "", IF(COUNTIF('C00026'!$B$7:$B$41, $T75)=0, "Missing", "Y"))</f>
        <v/>
      </c>
      <c r="W75" s="1">
        <f t="shared" si="5"/>
        <v>0</v>
      </c>
    </row>
    <row r="76" spans="1:23" x14ac:dyDescent="0.25">
      <c r="J76" s="14">
        <f>'Raw Data Cut 5'!A71</f>
        <v>0</v>
      </c>
      <c r="K76" s="2">
        <f>'Raw Data Cut 5'!B71</f>
        <v>0</v>
      </c>
      <c r="L76" s="2">
        <f>'Raw Data Cut 5'!C71</f>
        <v>0</v>
      </c>
      <c r="M76" s="2">
        <f>'Raw Data Cut 5'!D71</f>
        <v>0</v>
      </c>
      <c r="N76" s="2">
        <f>'Raw Data Cut 5'!E71</f>
        <v>0</v>
      </c>
      <c r="O76" s="2">
        <f>'Raw Data Cut 5'!G71</f>
        <v>0</v>
      </c>
      <c r="P76" s="2">
        <f>'Raw Data Cut 5'!H71</f>
        <v>0</v>
      </c>
      <c r="Q76" s="2">
        <f>'Raw Data Cut 5'!I71</f>
        <v>0</v>
      </c>
      <c r="R76" s="2">
        <f>'Raw Data Cut 5'!J71</f>
        <v>0</v>
      </c>
      <c r="S76" s="2">
        <f>'Raw Data Cut 5'!K71</f>
        <v>0</v>
      </c>
      <c r="T76" s="2">
        <f>'Raw Data Cut 5'!N71</f>
        <v>0</v>
      </c>
      <c r="U76" s="2">
        <f t="shared" si="4"/>
        <v>0</v>
      </c>
      <c r="V76" s="12" t="str">
        <f>IF($T76=0, "", IF(COUNTIF('C00026'!$B$7:$B$41, $T76)=0, "Missing", "Y"))</f>
        <v/>
      </c>
      <c r="W76" s="1">
        <f t="shared" si="5"/>
        <v>0</v>
      </c>
    </row>
    <row r="77" spans="1:23" x14ac:dyDescent="0.25">
      <c r="J77" s="14">
        <f>'Raw Data Cut 5'!A72</f>
        <v>0</v>
      </c>
      <c r="K77" s="2">
        <f>'Raw Data Cut 5'!B72</f>
        <v>0</v>
      </c>
      <c r="L77" s="2">
        <f>'Raw Data Cut 5'!C72</f>
        <v>0</v>
      </c>
      <c r="M77" s="2">
        <f>'Raw Data Cut 5'!D72</f>
        <v>0</v>
      </c>
      <c r="N77" s="2">
        <f>'Raw Data Cut 5'!E72</f>
        <v>0</v>
      </c>
      <c r="O77" s="2">
        <f>'Raw Data Cut 5'!G72</f>
        <v>0</v>
      </c>
      <c r="P77" s="2">
        <f>'Raw Data Cut 5'!H72</f>
        <v>0</v>
      </c>
      <c r="Q77" s="2">
        <f>'Raw Data Cut 5'!I72</f>
        <v>0</v>
      </c>
      <c r="R77" s="2">
        <f>'Raw Data Cut 5'!J72</f>
        <v>0</v>
      </c>
      <c r="S77" s="2">
        <f>'Raw Data Cut 5'!K72</f>
        <v>0</v>
      </c>
      <c r="T77" s="2">
        <f>'Raw Data Cut 5'!N72</f>
        <v>0</v>
      </c>
      <c r="U77" s="2">
        <f t="shared" si="4"/>
        <v>0</v>
      </c>
      <c r="V77" s="12" t="str">
        <f>IF($T77=0, "", IF(COUNTIF('C00026'!$B$7:$B$41, $T77)=0, "Missing", "Y"))</f>
        <v/>
      </c>
      <c r="W77" s="1">
        <f t="shared" si="5"/>
        <v>0</v>
      </c>
    </row>
    <row r="78" spans="1:23" x14ac:dyDescent="0.25">
      <c r="J78" s="14">
        <f>'Raw Data Cut 5'!A73</f>
        <v>0</v>
      </c>
      <c r="K78" s="2">
        <f>'Raw Data Cut 5'!B73</f>
        <v>0</v>
      </c>
      <c r="L78" s="2">
        <f>'Raw Data Cut 5'!C73</f>
        <v>0</v>
      </c>
      <c r="M78" s="2">
        <f>'Raw Data Cut 5'!D73</f>
        <v>0</v>
      </c>
      <c r="N78" s="2">
        <f>'Raw Data Cut 5'!E73</f>
        <v>0</v>
      </c>
      <c r="O78" s="2">
        <f>'Raw Data Cut 5'!G73</f>
        <v>0</v>
      </c>
      <c r="P78" s="2">
        <f>'Raw Data Cut 5'!H73</f>
        <v>0</v>
      </c>
      <c r="Q78" s="2">
        <f>'Raw Data Cut 5'!I73</f>
        <v>0</v>
      </c>
      <c r="R78" s="2">
        <f>'Raw Data Cut 5'!J73</f>
        <v>0</v>
      </c>
      <c r="S78" s="2">
        <f>'Raw Data Cut 5'!K73</f>
        <v>0</v>
      </c>
      <c r="T78" s="2">
        <f>'Raw Data Cut 5'!N73</f>
        <v>0</v>
      </c>
      <c r="U78" s="2">
        <f t="shared" si="4"/>
        <v>0</v>
      </c>
      <c r="V78" s="12" t="str">
        <f>IF($T78=0, "", IF(COUNTIF('C00026'!$B$7:$B$41, $T78)=0, "Missing", "Y"))</f>
        <v/>
      </c>
      <c r="W78" s="1">
        <f t="shared" si="5"/>
        <v>0</v>
      </c>
    </row>
    <row r="79" spans="1:23" x14ac:dyDescent="0.25">
      <c r="J79" s="14">
        <f>'Raw Data Cut 5'!A74</f>
        <v>0</v>
      </c>
      <c r="K79" s="2">
        <f>'Raw Data Cut 5'!B74</f>
        <v>0</v>
      </c>
      <c r="L79" s="2">
        <f>'Raw Data Cut 5'!C74</f>
        <v>0</v>
      </c>
      <c r="M79" s="2">
        <f>'Raw Data Cut 5'!D74</f>
        <v>0</v>
      </c>
      <c r="N79" s="2">
        <f>'Raw Data Cut 5'!E74</f>
        <v>0</v>
      </c>
      <c r="O79" s="2">
        <f>'Raw Data Cut 5'!G74</f>
        <v>0</v>
      </c>
      <c r="P79" s="2">
        <f>'Raw Data Cut 5'!H74</f>
        <v>0</v>
      </c>
      <c r="Q79" s="2">
        <f>'Raw Data Cut 5'!I74</f>
        <v>0</v>
      </c>
      <c r="R79" s="2">
        <f>'Raw Data Cut 5'!J74</f>
        <v>0</v>
      </c>
      <c r="S79" s="2">
        <f>'Raw Data Cut 5'!K74</f>
        <v>0</v>
      </c>
      <c r="T79" s="2">
        <f>'Raw Data Cut 5'!N74</f>
        <v>0</v>
      </c>
      <c r="U79" s="2">
        <f t="shared" si="4"/>
        <v>0</v>
      </c>
      <c r="V79" s="12" t="str">
        <f>IF($T79=0, "", IF(COUNTIF('C00026'!$B$7:$B$41, $T79)=0, "Missing", "Y"))</f>
        <v/>
      </c>
      <c r="W79" s="1">
        <f t="shared" si="5"/>
        <v>0</v>
      </c>
    </row>
    <row r="80" spans="1:23" x14ac:dyDescent="0.25">
      <c r="A80" s="3" t="s">
        <v>77</v>
      </c>
      <c r="J80" s="14">
        <f>'Raw Data Cut 5'!A75</f>
        <v>0</v>
      </c>
      <c r="K80" s="2">
        <f>'Raw Data Cut 5'!B75</f>
        <v>0</v>
      </c>
      <c r="L80" s="2">
        <f>'Raw Data Cut 5'!C75</f>
        <v>0</v>
      </c>
      <c r="M80" s="2">
        <f>'Raw Data Cut 5'!D75</f>
        <v>0</v>
      </c>
      <c r="N80" s="2">
        <f>'Raw Data Cut 5'!E75</f>
        <v>0</v>
      </c>
      <c r="O80" s="2">
        <f>'Raw Data Cut 5'!G75</f>
        <v>0</v>
      </c>
      <c r="P80" s="2">
        <f>'Raw Data Cut 5'!H75</f>
        <v>0</v>
      </c>
      <c r="Q80" s="2">
        <f>'Raw Data Cut 5'!I75</f>
        <v>0</v>
      </c>
      <c r="R80" s="2">
        <f>'Raw Data Cut 5'!J75</f>
        <v>0</v>
      </c>
      <c r="S80" s="2">
        <f>'Raw Data Cut 5'!K75</f>
        <v>0</v>
      </c>
      <c r="T80" s="2">
        <f>'Raw Data Cut 5'!N75</f>
        <v>0</v>
      </c>
      <c r="U80" s="2">
        <f t="shared" si="4"/>
        <v>0</v>
      </c>
      <c r="V80" s="12" t="str">
        <f>IF($T80=0, "", IF(COUNTIF('C00026'!$B$7:$B$41, $T80)=0, "Missing", "Y"))</f>
        <v/>
      </c>
      <c r="W80" s="1">
        <f t="shared" si="5"/>
        <v>0</v>
      </c>
    </row>
    <row r="81" spans="1:23" x14ac:dyDescent="0.25">
      <c r="A81" s="20" t="s">
        <v>79</v>
      </c>
      <c r="B81" s="21" t="s">
        <v>78</v>
      </c>
      <c r="C81" s="22" t="s">
        <v>80</v>
      </c>
      <c r="D81" s="22" t="s">
        <v>17</v>
      </c>
      <c r="E81" s="22" t="s">
        <v>3</v>
      </c>
      <c r="F81" s="25" t="s">
        <v>98</v>
      </c>
      <c r="G81" s="27" t="s">
        <v>11</v>
      </c>
      <c r="H81" s="32"/>
      <c r="J81" s="14">
        <f>'Raw Data Cut 5'!A76</f>
        <v>0</v>
      </c>
      <c r="K81" s="2">
        <f>'Raw Data Cut 5'!B76</f>
        <v>0</v>
      </c>
      <c r="L81" s="2">
        <f>'Raw Data Cut 5'!C76</f>
        <v>0</v>
      </c>
      <c r="M81" s="2">
        <f>'Raw Data Cut 5'!D76</f>
        <v>0</v>
      </c>
      <c r="N81" s="2">
        <f>'Raw Data Cut 5'!E76</f>
        <v>0</v>
      </c>
      <c r="O81" s="2">
        <f>'Raw Data Cut 5'!G76</f>
        <v>0</v>
      </c>
      <c r="P81" s="2">
        <f>'Raw Data Cut 5'!H76</f>
        <v>0</v>
      </c>
      <c r="Q81" s="2">
        <f>'Raw Data Cut 5'!I76</f>
        <v>0</v>
      </c>
      <c r="R81" s="2">
        <f>'Raw Data Cut 5'!J76</f>
        <v>0</v>
      </c>
      <c r="S81" s="2">
        <f>'Raw Data Cut 5'!K76</f>
        <v>0</v>
      </c>
      <c r="T81" s="2">
        <f>'Raw Data Cut 5'!N76</f>
        <v>0</v>
      </c>
      <c r="U81" s="2">
        <f t="shared" si="4"/>
        <v>0</v>
      </c>
      <c r="V81" s="12" t="str">
        <f>IF($T81=0, "", IF(COUNTIF('C00026'!$B$7:$B$41, $T81)=0, "Missing", "Y"))</f>
        <v/>
      </c>
      <c r="W81" s="1">
        <f t="shared" si="5"/>
        <v>0</v>
      </c>
    </row>
    <row r="82" spans="1:23" x14ac:dyDescent="0.25">
      <c r="A82" s="18" t="str">
        <f t="array" ref="A82">IFERROR(INDEX(S$7:S$300, SMALL(IF($V$7:$V$300="Missing", ROW(S7:S$300)-ROW(S7)+1), ROW(1:1))), "")</f>
        <v/>
      </c>
      <c r="B82" s="19" t="str">
        <f t="array" ref="B82">IFERROR(INDEX(T$7:T$300, SMALL(IF($V$7:$V$300="Missing", ROW(T7:T$300)-ROW(T7)+1), ROW(1:1))), "")</f>
        <v/>
      </c>
      <c r="C82" s="19" t="str">
        <f t="array" ref="C82">IFERROR(INDEX(R$7:R$300, SMALL(IF($V$7:$V$2300="Missing", ROW(R7:R$300)-ROW(R7)+1), ROW(1:1))), "")</f>
        <v/>
      </c>
      <c r="D82" s="19" t="str">
        <f t="array" ref="D82">IFERROR(INDEX(Q$7:Q$300, SMALL(IF($V$7:$V$300="Missing", ROW(Q7:Q$300)-ROW(Q7)+1), ROW(1:1))), "")</f>
        <v/>
      </c>
      <c r="E82" s="19" t="str">
        <f>IF(FalsePositives[[#This Row],[Gene]]="", "", IF(C82&lt;40,"Pass","Inspect"))</f>
        <v/>
      </c>
      <c r="F82" s="24"/>
      <c r="G82" s="26" t="str">
        <f t="array" ref="G82">IFERROR(VLOOKUP(B82,$T$7:$W$300,COLUMN($W$7:$W$300)-COLUMN($T$7:$W$300)+1,0), "")</f>
        <v/>
      </c>
      <c r="H82" s="33"/>
      <c r="J82" s="14">
        <f>'Raw Data Cut 5'!A77</f>
        <v>0</v>
      </c>
      <c r="K82" s="2">
        <f>'Raw Data Cut 5'!B77</f>
        <v>0</v>
      </c>
      <c r="L82" s="2">
        <f>'Raw Data Cut 5'!C77</f>
        <v>0</v>
      </c>
      <c r="M82" s="2">
        <f>'Raw Data Cut 5'!D77</f>
        <v>0</v>
      </c>
      <c r="N82" s="2">
        <f>'Raw Data Cut 5'!E77</f>
        <v>0</v>
      </c>
      <c r="O82" s="2">
        <f>'Raw Data Cut 5'!G77</f>
        <v>0</v>
      </c>
      <c r="P82" s="2">
        <f>'Raw Data Cut 5'!H77</f>
        <v>0</v>
      </c>
      <c r="Q82" s="2">
        <f>'Raw Data Cut 5'!I77</f>
        <v>0</v>
      </c>
      <c r="R82" s="2">
        <f>'Raw Data Cut 5'!J77</f>
        <v>0</v>
      </c>
      <c r="S82" s="2">
        <f>'Raw Data Cut 5'!K77</f>
        <v>0</v>
      </c>
      <c r="T82" s="2">
        <f>'Raw Data Cut 5'!N77</f>
        <v>0</v>
      </c>
      <c r="U82" s="2">
        <f t="shared" si="4"/>
        <v>0</v>
      </c>
      <c r="V82" s="12" t="str">
        <f>IF($T82=0, "", IF(COUNTIF('C00026'!$B$7:$B$41, $T82)=0, "Missing", "Y"))</f>
        <v/>
      </c>
      <c r="W82" s="1">
        <f t="shared" si="5"/>
        <v>0</v>
      </c>
    </row>
    <row r="83" spans="1:23" x14ac:dyDescent="0.25">
      <c r="A83" s="18" t="str">
        <f t="array" ref="A83">IFERROR(INDEX(S$7:S$300, SMALL(IF($V$7:$V$300="Missing", ROW(S8:S$300)-ROW(S8)+1), ROW(2:2))), "")</f>
        <v/>
      </c>
      <c r="B83" s="19" t="str">
        <f t="array" ref="B83">IFERROR(INDEX(T$7:T$300, SMALL(IF($V$7:$V$300="Missing", ROW(T8:T$300)-ROW(T8)+1), ROW(2:2))), "")</f>
        <v/>
      </c>
      <c r="C83" s="19" t="str">
        <f t="array" ref="C83">IFERROR(INDEX(R$7:R$300, SMALL(IF($V$7:$V$2300="Missing", ROW(R8:R$300)-ROW(R8)+1), ROW(2:2))), "")</f>
        <v/>
      </c>
      <c r="D83" s="19" t="str">
        <f t="array" ref="D83">IFERROR(INDEX(Q$7:Q$300, SMALL(IF($V$7:$V$300="Missing", ROW(Q8:Q$300)-ROW(Q8)+1), ROW(2:2))), "")</f>
        <v/>
      </c>
      <c r="E83" s="19" t="str">
        <f>IF(FalsePositives[[#This Row],[Gene]]="", "", IF(C83&lt;40,"Pass","Inspect"))</f>
        <v/>
      </c>
      <c r="F83" s="24"/>
      <c r="G83" s="17" t="str">
        <f t="array" ref="G83">IFERROR(VLOOKUP(B83,$T$7:$W$300,COLUMN($W$7:$W$300)-COLUMN($T$7:$W$300)+1,0), "")</f>
        <v/>
      </c>
      <c r="H83" s="34"/>
      <c r="J83" s="14">
        <f>'Raw Data Cut 5'!A78</f>
        <v>0</v>
      </c>
      <c r="K83" s="2">
        <f>'Raw Data Cut 5'!B78</f>
        <v>0</v>
      </c>
      <c r="L83" s="2">
        <f>'Raw Data Cut 5'!C78</f>
        <v>0</v>
      </c>
      <c r="M83" s="2">
        <f>'Raw Data Cut 5'!D78</f>
        <v>0</v>
      </c>
      <c r="N83" s="2">
        <f>'Raw Data Cut 5'!E78</f>
        <v>0</v>
      </c>
      <c r="O83" s="2">
        <f>'Raw Data Cut 5'!G78</f>
        <v>0</v>
      </c>
      <c r="P83" s="2">
        <f>'Raw Data Cut 5'!H78</f>
        <v>0</v>
      </c>
      <c r="Q83" s="2">
        <f>'Raw Data Cut 5'!I78</f>
        <v>0</v>
      </c>
      <c r="R83" s="2">
        <f>'Raw Data Cut 5'!J78</f>
        <v>0</v>
      </c>
      <c r="S83" s="2">
        <f>'Raw Data Cut 5'!K78</f>
        <v>0</v>
      </c>
      <c r="T83" s="2">
        <f>'Raw Data Cut 5'!N78</f>
        <v>0</v>
      </c>
      <c r="U83" s="2">
        <f t="shared" si="4"/>
        <v>0</v>
      </c>
      <c r="V83" s="12" t="str">
        <f>IF($T83=0, "", IF(COUNTIF('C00026'!$B$7:$B$41, $T83)=0, "Missing", "Y"))</f>
        <v/>
      </c>
      <c r="W83" s="1">
        <f t="shared" si="5"/>
        <v>0</v>
      </c>
    </row>
    <row r="84" spans="1:23" x14ac:dyDescent="0.25">
      <c r="A84" s="18" t="str">
        <f t="array" ref="A84">IFERROR(INDEX(S$7:S$300, SMALL(IF($V$7:$V$300="Missing", ROW(S9:S$300)-ROW(S9)+1), ROW(3:3))), "")</f>
        <v/>
      </c>
      <c r="B84" s="19" t="str">
        <f t="array" ref="B84">IFERROR(INDEX(T$7:T$300, SMALL(IF($V$7:$V$300="Missing", ROW(T9:T$300)-ROW(T9)+1), ROW(3:3))), "")</f>
        <v/>
      </c>
      <c r="C84" s="19" t="str">
        <f t="array" ref="C84">IFERROR(INDEX(R$7:R$300, SMALL(IF($V$7:$V$2300="Missing", ROW(R9:R$300)-ROW(R9)+1), ROW(3:3))), "")</f>
        <v/>
      </c>
      <c r="D84" s="19" t="str">
        <f t="array" ref="D84">IFERROR(INDEX(Q$7:Q$300, SMALL(IF($V$7:$V$300="Missing", ROW(Q9:Q$300)-ROW(Q9)+1), ROW(3:3))), "")</f>
        <v/>
      </c>
      <c r="E84" s="19" t="str">
        <f>IF(FalsePositives[[#This Row],[Gene]]="", "", IF(C84&lt;40,"Pass","Inspect"))</f>
        <v/>
      </c>
      <c r="F84" s="24"/>
      <c r="G84" s="26" t="str">
        <f t="array" ref="G84">IFERROR(VLOOKUP(B84,$T$7:$W$300,COLUMN($W$7:$W$300)-COLUMN($T$7:$W$300)+1,0), "")</f>
        <v/>
      </c>
      <c r="H84" s="33"/>
      <c r="J84" s="14">
        <f>'Raw Data Cut 5'!A79</f>
        <v>0</v>
      </c>
      <c r="K84" s="2">
        <f>'Raw Data Cut 5'!B79</f>
        <v>0</v>
      </c>
      <c r="L84" s="2">
        <f>'Raw Data Cut 5'!C79</f>
        <v>0</v>
      </c>
      <c r="M84" s="2">
        <f>'Raw Data Cut 5'!D79</f>
        <v>0</v>
      </c>
      <c r="N84" s="2">
        <f>'Raw Data Cut 5'!E79</f>
        <v>0</v>
      </c>
      <c r="O84" s="2">
        <f>'Raw Data Cut 5'!G79</f>
        <v>0</v>
      </c>
      <c r="P84" s="2">
        <f>'Raw Data Cut 5'!H79</f>
        <v>0</v>
      </c>
      <c r="Q84" s="2">
        <f>'Raw Data Cut 5'!I79</f>
        <v>0</v>
      </c>
      <c r="R84" s="2">
        <f>'Raw Data Cut 5'!J79</f>
        <v>0</v>
      </c>
      <c r="S84" s="2">
        <f>'Raw Data Cut 5'!K79</f>
        <v>0</v>
      </c>
      <c r="T84" s="2">
        <f>'Raw Data Cut 5'!N79</f>
        <v>0</v>
      </c>
      <c r="U84" s="2">
        <f t="shared" si="4"/>
        <v>0</v>
      </c>
      <c r="V84" s="12" t="str">
        <f>IF($T84=0, "", IF(COUNTIF('C00026'!$B$7:$B$41, $T84)=0, "Missing", "Y"))</f>
        <v/>
      </c>
      <c r="W84" s="1">
        <f t="shared" si="5"/>
        <v>0</v>
      </c>
    </row>
    <row r="85" spans="1:23" x14ac:dyDescent="0.25">
      <c r="A85" s="18" t="str">
        <f t="array" ref="A85">IFERROR(INDEX(S$7:S$300, SMALL(IF($V$7:$V$300="Missing", ROW(S10:S$300)-ROW(S10)+1), ROW(4:4))), "")</f>
        <v/>
      </c>
      <c r="B85" s="19" t="str">
        <f t="array" ref="B85">IFERROR(INDEX(T$7:T$300, SMALL(IF($V$7:$V$300="Missing", ROW(T10:T$300)-ROW(T10)+1), ROW(4:4))), "")</f>
        <v/>
      </c>
      <c r="C85" s="19" t="str">
        <f t="array" ref="C85">IFERROR(INDEX(R$7:R$300, SMALL(IF($V$7:$V$2300="Missing", ROW(R10:R$300)-ROW(R10)+1), ROW(4:4))), "")</f>
        <v/>
      </c>
      <c r="D85" s="19" t="str">
        <f t="array" ref="D85">IFERROR(INDEX(Q$7:Q$300, SMALL(IF($V$7:$V$300="Missing", ROW(Q10:Q$300)-ROW(Q10)+1), ROW(4:4))), "")</f>
        <v/>
      </c>
      <c r="E85" s="19" t="str">
        <f>IF(FalsePositives[[#This Row],[Gene]]="", "", IF(C85&lt;40,"Pass","Inspect"))</f>
        <v/>
      </c>
      <c r="F85" s="24"/>
      <c r="G85" s="26" t="str">
        <f t="array" ref="G85">IFERROR(VLOOKUP(B85,$T$7:$W$300,COLUMN($W$7:$W$300)-COLUMN($T$7:$W$300)+1,0), "")</f>
        <v/>
      </c>
      <c r="H85" s="33"/>
      <c r="J85" s="14">
        <f>'Raw Data Cut 5'!A80</f>
        <v>0</v>
      </c>
      <c r="K85" s="2">
        <f>'Raw Data Cut 5'!B80</f>
        <v>0</v>
      </c>
      <c r="L85" s="2">
        <f>'Raw Data Cut 5'!C80</f>
        <v>0</v>
      </c>
      <c r="M85" s="2">
        <f>'Raw Data Cut 5'!D80</f>
        <v>0</v>
      </c>
      <c r="N85" s="2">
        <f>'Raw Data Cut 5'!E80</f>
        <v>0</v>
      </c>
      <c r="O85" s="2">
        <f>'Raw Data Cut 5'!G80</f>
        <v>0</v>
      </c>
      <c r="P85" s="2">
        <f>'Raw Data Cut 5'!H80</f>
        <v>0</v>
      </c>
      <c r="Q85" s="2">
        <f>'Raw Data Cut 5'!I80</f>
        <v>0</v>
      </c>
      <c r="R85" s="2">
        <f>'Raw Data Cut 5'!J80</f>
        <v>0</v>
      </c>
      <c r="S85" s="2">
        <f>'Raw Data Cut 5'!K80</f>
        <v>0</v>
      </c>
      <c r="T85" s="2">
        <f>'Raw Data Cut 5'!N80</f>
        <v>0</v>
      </c>
      <c r="U85" s="2">
        <f t="shared" si="4"/>
        <v>0</v>
      </c>
      <c r="V85" s="12" t="str">
        <f>IF($T85=0, "", IF(COUNTIF('C00026'!$B$7:$B$41, $T85)=0, "Missing", "Y"))</f>
        <v/>
      </c>
      <c r="W85" s="1">
        <f t="shared" si="5"/>
        <v>0</v>
      </c>
    </row>
    <row r="86" spans="1:23" x14ac:dyDescent="0.25">
      <c r="A86" s="18" t="str">
        <f t="array" ref="A86">IFERROR(INDEX(S$7:S$300, SMALL(IF($V$7:$V$300="Missing", ROW(S11:S$300)-ROW(S11)+1), ROW(5:5))), "")</f>
        <v/>
      </c>
      <c r="B86" s="19" t="str">
        <f t="array" ref="B86">IFERROR(INDEX(T$7:T$300, SMALL(IF($V$7:$V$300="Missing", ROW(T11:T$300)-ROW(T11)+1), ROW(5:5))), "")</f>
        <v/>
      </c>
      <c r="C86" s="19" t="str">
        <f t="array" ref="C86">IFERROR(INDEX(R$7:R$300, SMALL(IF($V$7:$V$2300="Missing", ROW(R11:R$300)-ROW(R11)+1), ROW(5:5))), "")</f>
        <v/>
      </c>
      <c r="D86" s="19" t="str">
        <f t="array" ref="D86">IFERROR(INDEX(Q$7:Q$300, SMALL(IF($V$7:$V$300="Missing", ROW(Q11:Q$300)-ROW(Q11)+1), ROW(5:5))), "")</f>
        <v/>
      </c>
      <c r="E86" s="19" t="str">
        <f>IF(FalsePositives[[#This Row],[Gene]]="", "", IF(C86&lt;40,"Pass","Inspect"))</f>
        <v/>
      </c>
      <c r="F86" s="24"/>
      <c r="G86" s="26" t="str">
        <f t="array" ref="G86">IFERROR(VLOOKUP(B86,$T$7:$W$300,COLUMN($W$7:$W$300)-COLUMN($T$7:$W$300)+1,0), "")</f>
        <v/>
      </c>
      <c r="H86" s="33"/>
      <c r="J86" s="14">
        <f>'Raw Data Cut 5'!A81</f>
        <v>0</v>
      </c>
      <c r="K86" s="2">
        <f>'Raw Data Cut 5'!B81</f>
        <v>0</v>
      </c>
      <c r="L86" s="2">
        <f>'Raw Data Cut 5'!C81</f>
        <v>0</v>
      </c>
      <c r="M86" s="2">
        <f>'Raw Data Cut 5'!D81</f>
        <v>0</v>
      </c>
      <c r="N86" s="2">
        <f>'Raw Data Cut 5'!E81</f>
        <v>0</v>
      </c>
      <c r="O86" s="2">
        <f>'Raw Data Cut 5'!G81</f>
        <v>0</v>
      </c>
      <c r="P86" s="2">
        <f>'Raw Data Cut 5'!H81</f>
        <v>0</v>
      </c>
      <c r="Q86" s="2">
        <f>'Raw Data Cut 5'!I81</f>
        <v>0</v>
      </c>
      <c r="R86" s="2">
        <f>'Raw Data Cut 5'!J81</f>
        <v>0</v>
      </c>
      <c r="S86" s="2">
        <f>'Raw Data Cut 5'!K81</f>
        <v>0</v>
      </c>
      <c r="T86" s="2">
        <f>'Raw Data Cut 5'!N81</f>
        <v>0</v>
      </c>
      <c r="U86" s="2">
        <f t="shared" si="4"/>
        <v>0</v>
      </c>
      <c r="V86" s="12" t="str">
        <f>IF($T86=0, "", IF(COUNTIF('C00026'!$B$7:$B$41, $T86)=0, "Missing", "Y"))</f>
        <v/>
      </c>
      <c r="W86" s="1">
        <f t="shared" si="5"/>
        <v>0</v>
      </c>
    </row>
    <row r="87" spans="1:23" x14ac:dyDescent="0.25">
      <c r="A87" s="18" t="str">
        <f t="array" ref="A87">IFERROR(INDEX(S$7:S$300, SMALL(IF($V$7:$V$300="Missing", ROW(S12:S$300)-ROW(S12)+1), ROW(6:6))), "")</f>
        <v/>
      </c>
      <c r="B87" s="19" t="str">
        <f t="array" ref="B87">IFERROR(INDEX(T$7:T$300, SMALL(IF($V$7:$V$300="Missing", ROW(T12:T$300)-ROW(T12)+1), ROW(6:6))), "")</f>
        <v/>
      </c>
      <c r="C87" s="19" t="str">
        <f t="array" ref="C87">IFERROR(INDEX(R$7:R$300, SMALL(IF($V$7:$V$2300="Missing", ROW(R12:R$300)-ROW(R12)+1), ROW(6:6))), "")</f>
        <v/>
      </c>
      <c r="D87" s="19" t="str">
        <f t="array" ref="D87">IFERROR(INDEX(Q$7:Q$300, SMALL(IF($V$7:$V$300="Missing", ROW(Q12:Q$300)-ROW(Q12)+1), ROW(6:6))), "")</f>
        <v/>
      </c>
      <c r="E87" s="19" t="str">
        <f>IF(FalsePositives[[#This Row],[Gene]]="", "", IF(C87&lt;40,"Pass","Inspect"))</f>
        <v/>
      </c>
      <c r="F87" s="24"/>
      <c r="G87" s="26" t="str">
        <f t="array" ref="G87">IFERROR(VLOOKUP(B87,$T$7:$W$300,COLUMN($W$7:$W$300)-COLUMN($T$7:$W$300)+1,0), "")</f>
        <v/>
      </c>
      <c r="H87" s="33"/>
      <c r="J87" s="14">
        <f>'Raw Data Cut 5'!A82</f>
        <v>0</v>
      </c>
      <c r="K87" s="2">
        <f>'Raw Data Cut 5'!B82</f>
        <v>0</v>
      </c>
      <c r="L87" s="2">
        <f>'Raw Data Cut 5'!C82</f>
        <v>0</v>
      </c>
      <c r="M87" s="2">
        <f>'Raw Data Cut 5'!D82</f>
        <v>0</v>
      </c>
      <c r="N87" s="2">
        <f>'Raw Data Cut 5'!E82</f>
        <v>0</v>
      </c>
      <c r="O87" s="2">
        <f>'Raw Data Cut 5'!G82</f>
        <v>0</v>
      </c>
      <c r="P87" s="2">
        <f>'Raw Data Cut 5'!H82</f>
        <v>0</v>
      </c>
      <c r="Q87" s="2">
        <f>'Raw Data Cut 5'!I82</f>
        <v>0</v>
      </c>
      <c r="R87" s="2">
        <f>'Raw Data Cut 5'!J82</f>
        <v>0</v>
      </c>
      <c r="S87" s="2">
        <f>'Raw Data Cut 5'!K82</f>
        <v>0</v>
      </c>
      <c r="T87" s="2">
        <f>'Raw Data Cut 5'!N82</f>
        <v>0</v>
      </c>
      <c r="U87" s="2">
        <f t="shared" ref="U87:U98" si="6">Q87</f>
        <v>0</v>
      </c>
      <c r="V87" s="12" t="str">
        <f>IF($T87=0, "", IF(COUNTIF('C00026'!$B$7:$B$41, $T87)=0, "Missing", "Y"))</f>
        <v/>
      </c>
      <c r="W87" s="1">
        <f t="shared" ref="W87:W98" si="7">K87</f>
        <v>0</v>
      </c>
    </row>
    <row r="88" spans="1:23" x14ac:dyDescent="0.25">
      <c r="A88" s="18" t="str">
        <f t="array" ref="A88">IFERROR(INDEX(S$7:S$300, SMALL(IF($V$7:$V$300="Missing", ROW(S13:S$300)-ROW(S13)+1), ROW(7:7))), "")</f>
        <v/>
      </c>
      <c r="B88" s="19" t="str">
        <f t="array" ref="B88">IFERROR(INDEX(T$7:T$300, SMALL(IF($V$7:$V$300="Missing", ROW(T13:T$300)-ROW(T13)+1), ROW(7:7))), "")</f>
        <v/>
      </c>
      <c r="C88" s="19" t="str">
        <f t="array" ref="C88">IFERROR(INDEX(R$7:R$300, SMALL(IF($V$7:$V$2300="Missing", ROW(R13:R$300)-ROW(R13)+1), ROW(7:7))), "")</f>
        <v/>
      </c>
      <c r="D88" s="19" t="str">
        <f t="array" ref="D88">IFERROR(INDEX(Q$7:Q$300, SMALL(IF($V$7:$V$300="Missing", ROW(Q13:Q$300)-ROW(Q13)+1), ROW(7:7))), "")</f>
        <v/>
      </c>
      <c r="E88" s="19" t="str">
        <f>IF(FalsePositives[[#This Row],[Gene]]="", "", IF(C88&lt;40,"Pass","Inspect"))</f>
        <v/>
      </c>
      <c r="F88" s="24"/>
      <c r="G88" s="26" t="str">
        <f t="array" ref="G88">IFERROR(VLOOKUP(B88,$T$7:$W$300,COLUMN($W$7:$W$300)-COLUMN($T$7:$W$300)+1,0), "")</f>
        <v/>
      </c>
      <c r="H88" s="33"/>
      <c r="J88" s="14">
        <f>'Raw Data Cut 5'!A83</f>
        <v>0</v>
      </c>
      <c r="K88" s="2">
        <f>'Raw Data Cut 5'!B83</f>
        <v>0</v>
      </c>
      <c r="L88" s="2">
        <f>'Raw Data Cut 5'!C83</f>
        <v>0</v>
      </c>
      <c r="M88" s="2">
        <f>'Raw Data Cut 5'!D83</f>
        <v>0</v>
      </c>
      <c r="N88" s="2">
        <f>'Raw Data Cut 5'!E83</f>
        <v>0</v>
      </c>
      <c r="O88" s="2">
        <f>'Raw Data Cut 5'!G83</f>
        <v>0</v>
      </c>
      <c r="P88" s="2">
        <f>'Raw Data Cut 5'!H83</f>
        <v>0</v>
      </c>
      <c r="Q88" s="2">
        <f>'Raw Data Cut 5'!I83</f>
        <v>0</v>
      </c>
      <c r="R88" s="2">
        <f>'Raw Data Cut 5'!J83</f>
        <v>0</v>
      </c>
      <c r="S88" s="2">
        <f>'Raw Data Cut 5'!K83</f>
        <v>0</v>
      </c>
      <c r="T88" s="2">
        <f>'Raw Data Cut 5'!N83</f>
        <v>0</v>
      </c>
      <c r="U88" s="2">
        <f t="shared" si="6"/>
        <v>0</v>
      </c>
      <c r="V88" s="12" t="str">
        <f>IF($T88=0, "", IF(COUNTIF('C00026'!$B$7:$B$41, $T88)=0, "Missing", "Y"))</f>
        <v/>
      </c>
      <c r="W88" s="1">
        <f t="shared" si="7"/>
        <v>0</v>
      </c>
    </row>
    <row r="89" spans="1:23" x14ac:dyDescent="0.25">
      <c r="A89" s="18" t="str">
        <f t="array" ref="A89">IFERROR(INDEX(S$7:S$300, SMALL(IF($V$7:$V$300="Missing", ROW(S14:S$300)-ROW(S14)+1), ROW(8:8))), "")</f>
        <v/>
      </c>
      <c r="B89" s="19" t="str">
        <f t="array" ref="B89">IFERROR(INDEX(T$7:T$300, SMALL(IF($V$7:$V$300="Missing", ROW(T14:T$300)-ROW(T14)+1), ROW(8:8))), "")</f>
        <v/>
      </c>
      <c r="C89" s="19" t="str">
        <f t="array" ref="C89">IFERROR(INDEX(R$7:R$300, SMALL(IF($V$7:$V$2300="Missing", ROW(R14:R$300)-ROW(R14)+1), ROW(8:8))), "")</f>
        <v/>
      </c>
      <c r="D89" s="19" t="str">
        <f t="array" ref="D89">IFERROR(INDEX(Q$7:Q$300, SMALL(IF($V$7:$V$300="Missing", ROW(Q14:Q$300)-ROW(Q14)+1), ROW(8:8))), "")</f>
        <v/>
      </c>
      <c r="E89" s="19" t="str">
        <f>IF(FalsePositives[[#This Row],[Gene]]="", "", IF(C89&lt;40,"Pass","Inspect"))</f>
        <v/>
      </c>
      <c r="F89" s="24"/>
      <c r="G89" s="26" t="str">
        <f t="array" ref="G89">IFERROR(VLOOKUP(B89,$T$7:$W$300,COLUMN($W$7:$W$300)-COLUMN($T$7:$W$300)+1,0), "")</f>
        <v/>
      </c>
      <c r="H89" s="33"/>
      <c r="J89" s="14">
        <f>'Raw Data Cut 5'!A84</f>
        <v>0</v>
      </c>
      <c r="K89" s="2">
        <f>'Raw Data Cut 5'!B84</f>
        <v>0</v>
      </c>
      <c r="L89" s="2">
        <f>'Raw Data Cut 5'!C84</f>
        <v>0</v>
      </c>
      <c r="M89" s="2">
        <f>'Raw Data Cut 5'!D84</f>
        <v>0</v>
      </c>
      <c r="N89" s="2">
        <f>'Raw Data Cut 5'!E84</f>
        <v>0</v>
      </c>
      <c r="O89" s="2">
        <f>'Raw Data Cut 5'!G84</f>
        <v>0</v>
      </c>
      <c r="P89" s="2">
        <f>'Raw Data Cut 5'!H84</f>
        <v>0</v>
      </c>
      <c r="Q89" s="2">
        <f>'Raw Data Cut 5'!I84</f>
        <v>0</v>
      </c>
      <c r="R89" s="2">
        <f>'Raw Data Cut 5'!J84</f>
        <v>0</v>
      </c>
      <c r="S89" s="2">
        <f>'Raw Data Cut 5'!K84</f>
        <v>0</v>
      </c>
      <c r="T89" s="2">
        <f>'Raw Data Cut 5'!N84</f>
        <v>0</v>
      </c>
      <c r="U89" s="2">
        <f t="shared" si="6"/>
        <v>0</v>
      </c>
      <c r="V89" s="12" t="str">
        <f>IF($T89=0, "", IF(COUNTIF('C00026'!$B$7:$B$41, $T89)=0, "Missing", "Y"))</f>
        <v/>
      </c>
      <c r="W89" s="1">
        <f t="shared" si="7"/>
        <v>0</v>
      </c>
    </row>
    <row r="90" spans="1:23" x14ac:dyDescent="0.25">
      <c r="A90" s="18" t="str">
        <f t="array" ref="A90">IFERROR(INDEX(S$7:S$300, SMALL(IF($V$7:$V$300="Missing", ROW(S15:S$300)-ROW(S15)+1), ROW(9:9))), "")</f>
        <v/>
      </c>
      <c r="B90" s="19" t="str">
        <f t="array" ref="B90">IFERROR(INDEX(T$7:T$300, SMALL(IF($V$7:$V$300="Missing", ROW(T15:T$300)-ROW(T15)+1), ROW(9:9))), "")</f>
        <v/>
      </c>
      <c r="C90" s="19" t="str">
        <f t="array" ref="C90">IFERROR(INDEX(R$7:R$300, SMALL(IF($V$7:$V$2300="Missing", ROW(R15:R$300)-ROW(R15)+1), ROW(9:9))), "")</f>
        <v/>
      </c>
      <c r="D90" s="19" t="str">
        <f t="array" ref="D90">IFERROR(INDEX(Q$7:Q$300, SMALL(IF($V$7:$V$300="Missing", ROW(Q15:Q$300)-ROW(Q15)+1), ROW(9:9))), "")</f>
        <v/>
      </c>
      <c r="E90" s="19" t="str">
        <f>IF(FalsePositives[[#This Row],[Gene]]="", "", IF(C90&lt;40,"Pass","Inspect"))</f>
        <v/>
      </c>
      <c r="F90" s="24"/>
      <c r="G90" s="26" t="str">
        <f t="array" ref="G90">IFERROR(VLOOKUP(B90,$T$7:$W$300,COLUMN($W$7:$W$300)-COLUMN($T$7:$W$300)+1,0), "")</f>
        <v/>
      </c>
      <c r="H90" s="33"/>
      <c r="J90" s="14">
        <f>'Raw Data Cut 5'!A85</f>
        <v>0</v>
      </c>
      <c r="K90" s="2">
        <f>'Raw Data Cut 5'!B85</f>
        <v>0</v>
      </c>
      <c r="L90" s="2">
        <f>'Raw Data Cut 5'!C85</f>
        <v>0</v>
      </c>
      <c r="M90" s="2">
        <f>'Raw Data Cut 5'!D85</f>
        <v>0</v>
      </c>
      <c r="N90" s="2">
        <f>'Raw Data Cut 5'!E85</f>
        <v>0</v>
      </c>
      <c r="O90" s="2">
        <f>'Raw Data Cut 5'!G85</f>
        <v>0</v>
      </c>
      <c r="P90" s="2">
        <f>'Raw Data Cut 5'!H85</f>
        <v>0</v>
      </c>
      <c r="Q90" s="2">
        <f>'Raw Data Cut 5'!I85</f>
        <v>0</v>
      </c>
      <c r="R90" s="2">
        <f>'Raw Data Cut 5'!J85</f>
        <v>0</v>
      </c>
      <c r="S90" s="2">
        <f>'Raw Data Cut 5'!K85</f>
        <v>0</v>
      </c>
      <c r="T90" s="2">
        <f>'Raw Data Cut 5'!N85</f>
        <v>0</v>
      </c>
      <c r="U90" s="2">
        <f t="shared" si="6"/>
        <v>0</v>
      </c>
      <c r="V90" s="12" t="str">
        <f>IF($T90=0, "", IF(COUNTIF('C00026'!$B$7:$B$41, $T90)=0, "Missing", "Y"))</f>
        <v/>
      </c>
      <c r="W90" s="1">
        <f t="shared" si="7"/>
        <v>0</v>
      </c>
    </row>
    <row r="91" spans="1:23" x14ac:dyDescent="0.25">
      <c r="A91" s="18" t="str">
        <f t="array" ref="A91">IFERROR(INDEX(S$7:S$300, SMALL(IF($V$7:$V$300="Missing", ROW(S16:S$300)-ROW(S16)+1), ROW(10:10))), "")</f>
        <v/>
      </c>
      <c r="B91" s="19" t="str">
        <f t="array" ref="B91">IFERROR(INDEX(T$7:T$300, SMALL(IF($V$7:$V$300="Missing", ROW(T16:T$300)-ROW(T16)+1), ROW(10:10))), "")</f>
        <v/>
      </c>
      <c r="C91" s="19" t="str">
        <f t="array" ref="C91">IFERROR(INDEX(R$7:R$300, SMALL(IF($V$7:$V$2300="Missing", ROW(R16:R$300)-ROW(R16)+1), ROW(10:10))), "")</f>
        <v/>
      </c>
      <c r="D91" s="19" t="str">
        <f t="array" ref="D91">IFERROR(INDEX(Q$7:Q$300, SMALL(IF($V$7:$V$300="Missing", ROW(Q16:Q$300)-ROW(Q16)+1), ROW(10:10))), "")</f>
        <v/>
      </c>
      <c r="E91" s="19" t="str">
        <f>IF(FalsePositives[[#This Row],[Gene]]="", "", IF(C91&lt;40,"Pass","Inspect"))</f>
        <v/>
      </c>
      <c r="F91" s="24"/>
      <c r="G91" s="26" t="str">
        <f t="array" ref="G91">IFERROR(VLOOKUP(B91,$T$7:$W$300,COLUMN($W$7:$W$300)-COLUMN($T$7:$W$300)+1,0), "")</f>
        <v/>
      </c>
      <c r="H91" s="33"/>
      <c r="J91" s="14">
        <f>'Raw Data Cut 5'!A86</f>
        <v>0</v>
      </c>
      <c r="K91" s="2">
        <f>'Raw Data Cut 5'!B86</f>
        <v>0</v>
      </c>
      <c r="L91" s="2">
        <f>'Raw Data Cut 5'!C86</f>
        <v>0</v>
      </c>
      <c r="M91" s="2">
        <f>'Raw Data Cut 5'!D86</f>
        <v>0</v>
      </c>
      <c r="N91" s="2">
        <f>'Raw Data Cut 5'!E86</f>
        <v>0</v>
      </c>
      <c r="O91" s="2">
        <f>'Raw Data Cut 5'!G86</f>
        <v>0</v>
      </c>
      <c r="P91" s="2">
        <f>'Raw Data Cut 5'!H86</f>
        <v>0</v>
      </c>
      <c r="Q91" s="2">
        <f>'Raw Data Cut 5'!I86</f>
        <v>0</v>
      </c>
      <c r="R91" s="2">
        <f>'Raw Data Cut 5'!J86</f>
        <v>0</v>
      </c>
      <c r="S91" s="2">
        <f>'Raw Data Cut 5'!K86</f>
        <v>0</v>
      </c>
      <c r="T91" s="2">
        <f>'Raw Data Cut 5'!N86</f>
        <v>0</v>
      </c>
      <c r="U91" s="2">
        <f t="shared" si="6"/>
        <v>0</v>
      </c>
      <c r="V91" s="12" t="str">
        <f>IF($T91=0, "", IF(COUNTIF('C00026'!$B$7:$B$41, $T91)=0, "Missing", "Y"))</f>
        <v/>
      </c>
      <c r="W91" s="1">
        <f t="shared" si="7"/>
        <v>0</v>
      </c>
    </row>
    <row r="92" spans="1:23" x14ac:dyDescent="0.25">
      <c r="A92" s="18" t="str">
        <f t="array" ref="A92">IFERROR(INDEX(S$7:S$300, SMALL(IF($V$7:$V$300="Missing", ROW(S17:S$300)-ROW(S17)+1), ROW(11:11))), "")</f>
        <v/>
      </c>
      <c r="B92" s="19" t="str">
        <f t="array" ref="B92">IFERROR(INDEX(T$7:T$300, SMALL(IF($V$7:$V$300="Missing", ROW(T17:T$300)-ROW(T17)+1), ROW(11:11))), "")</f>
        <v/>
      </c>
      <c r="C92" s="19" t="str">
        <f t="array" ref="C92">IFERROR(INDEX(R$7:R$300, SMALL(IF($V$7:$V$2300="Missing", ROW(R17:R$300)-ROW(R17)+1), ROW(11:11))), "")</f>
        <v/>
      </c>
      <c r="D92" s="19" t="str">
        <f t="array" ref="D92">IFERROR(INDEX(Q$7:Q$300, SMALL(IF($V$7:$V$300="Missing", ROW(Q17:Q$300)-ROW(Q17)+1), ROW(11:11))), "")</f>
        <v/>
      </c>
      <c r="E92" s="19" t="str">
        <f>IF(FalsePositives[[#This Row],[Gene]]="", "", IF(C92&lt;40,"Pass","Inspect"))</f>
        <v/>
      </c>
      <c r="F92" s="24"/>
      <c r="G92" s="26" t="str">
        <f t="array" ref="G92">IFERROR(VLOOKUP(B92,$T$7:$W$300,COLUMN($W$7:$W$300)-COLUMN($T$7:$W$300)+1,0), "")</f>
        <v/>
      </c>
      <c r="H92" s="33"/>
      <c r="J92" s="14">
        <f>'Raw Data Cut 5'!A87</f>
        <v>0</v>
      </c>
      <c r="K92" s="2">
        <f>'Raw Data Cut 5'!B87</f>
        <v>0</v>
      </c>
      <c r="L92" s="2">
        <f>'Raw Data Cut 5'!C87</f>
        <v>0</v>
      </c>
      <c r="M92" s="2">
        <f>'Raw Data Cut 5'!D87</f>
        <v>0</v>
      </c>
      <c r="N92" s="2">
        <f>'Raw Data Cut 5'!E87</f>
        <v>0</v>
      </c>
      <c r="O92" s="2">
        <f>'Raw Data Cut 5'!G87</f>
        <v>0</v>
      </c>
      <c r="P92" s="2">
        <f>'Raw Data Cut 5'!H87</f>
        <v>0</v>
      </c>
      <c r="Q92" s="2">
        <f>'Raw Data Cut 5'!I87</f>
        <v>0</v>
      </c>
      <c r="R92" s="2">
        <f>'Raw Data Cut 5'!J87</f>
        <v>0</v>
      </c>
      <c r="S92" s="2">
        <f>'Raw Data Cut 5'!K87</f>
        <v>0</v>
      </c>
      <c r="T92" s="2">
        <f>'Raw Data Cut 5'!N87</f>
        <v>0</v>
      </c>
      <c r="U92" s="2">
        <f t="shared" si="6"/>
        <v>0</v>
      </c>
      <c r="V92" s="12" t="str">
        <f>IF($T92=0, "", IF(COUNTIF('C00026'!$B$7:$B$41, $T92)=0, "Missing", "Y"))</f>
        <v/>
      </c>
      <c r="W92" s="1">
        <f t="shared" si="7"/>
        <v>0</v>
      </c>
    </row>
    <row r="93" spans="1:23" x14ac:dyDescent="0.25">
      <c r="A93" s="18" t="str">
        <f t="array" ref="A93">IFERROR(INDEX(S$7:S$300, SMALL(IF($V$7:$V$300="Missing", ROW(S18:S$300)-ROW(S18)+1), ROW(12:12))), "")</f>
        <v/>
      </c>
      <c r="B93" s="19" t="str">
        <f t="array" ref="B93">IFERROR(INDEX(T$7:T$300, SMALL(IF($V$7:$V$300="Missing", ROW(T18:T$300)-ROW(T18)+1), ROW(12:12))), "")</f>
        <v/>
      </c>
      <c r="C93" s="19" t="str">
        <f t="array" ref="C93">IFERROR(INDEX(R$7:R$300, SMALL(IF($V$7:$V$2300="Missing", ROW(R18:R$300)-ROW(R18)+1), ROW(12:12))), "")</f>
        <v/>
      </c>
      <c r="D93" s="19" t="str">
        <f t="array" ref="D93">IFERROR(INDEX(Q$7:Q$300, SMALL(IF($V$7:$V$300="Missing", ROW(Q18:Q$300)-ROW(Q18)+1), ROW(12:12))), "")</f>
        <v/>
      </c>
      <c r="E93" s="19" t="str">
        <f>IF(FalsePositives[[#This Row],[Gene]]="", "", IF(C93&lt;40,"Pass","Inspect"))</f>
        <v/>
      </c>
      <c r="F93" s="24"/>
      <c r="G93" s="26" t="str">
        <f t="array" ref="G93">IFERROR(VLOOKUP(B93,$T$7:$W$300,COLUMN($W$7:$W$300)-COLUMN($T$7:$W$300)+1,0), "")</f>
        <v/>
      </c>
      <c r="H93" s="33"/>
      <c r="J93" s="14">
        <f>'Raw Data Cut 5'!A88</f>
        <v>0</v>
      </c>
      <c r="K93" s="2">
        <f>'Raw Data Cut 5'!B88</f>
        <v>0</v>
      </c>
      <c r="L93" s="2">
        <f>'Raw Data Cut 5'!C88</f>
        <v>0</v>
      </c>
      <c r="M93" s="2">
        <f>'Raw Data Cut 5'!D88</f>
        <v>0</v>
      </c>
      <c r="N93" s="2">
        <f>'Raw Data Cut 5'!E88</f>
        <v>0</v>
      </c>
      <c r="O93" s="2">
        <f>'Raw Data Cut 5'!G88</f>
        <v>0</v>
      </c>
      <c r="P93" s="2">
        <f>'Raw Data Cut 5'!H88</f>
        <v>0</v>
      </c>
      <c r="Q93" s="2">
        <f>'Raw Data Cut 5'!I88</f>
        <v>0</v>
      </c>
      <c r="R93" s="2">
        <f>'Raw Data Cut 5'!J88</f>
        <v>0</v>
      </c>
      <c r="S93" s="2">
        <f>'Raw Data Cut 5'!K88</f>
        <v>0</v>
      </c>
      <c r="T93" s="2">
        <f>'Raw Data Cut 5'!N88</f>
        <v>0</v>
      </c>
      <c r="U93" s="2">
        <f t="shared" si="6"/>
        <v>0</v>
      </c>
      <c r="V93" s="12" t="str">
        <f>IF($T93=0, "", IF(COUNTIF('C00026'!$B$7:$B$41, $T93)=0, "Missing", "Y"))</f>
        <v/>
      </c>
      <c r="W93" s="1">
        <f t="shared" si="7"/>
        <v>0</v>
      </c>
    </row>
    <row r="94" spans="1:23" x14ac:dyDescent="0.25">
      <c r="A94" s="18" t="str">
        <f t="array" ref="A94">IFERROR(INDEX(S$7:S$300, SMALL(IF($V$7:$V$300="Missing", ROW(S19:S$300)-ROW(S19)+1), ROW(13:13))), "")</f>
        <v/>
      </c>
      <c r="B94" s="19" t="str">
        <f t="array" ref="B94">IFERROR(INDEX(T$7:T$300, SMALL(IF($V$7:$V$300="Missing", ROW(T19:T$300)-ROW(T19)+1), ROW(13:13))), "")</f>
        <v/>
      </c>
      <c r="C94" s="19" t="str">
        <f t="array" ref="C94">IFERROR(INDEX(R$7:R$300, SMALL(IF($V$7:$V$2300="Missing", ROW(R19:R$300)-ROW(R19)+1), ROW(13:13))), "")</f>
        <v/>
      </c>
      <c r="D94" s="19" t="str">
        <f t="array" ref="D94">IFERROR(INDEX(Q$7:Q$300, SMALL(IF($V$7:$V$300="Missing", ROW(Q19:Q$300)-ROW(Q19)+1), ROW(13:13))), "")</f>
        <v/>
      </c>
      <c r="E94" s="19" t="str">
        <f>IF(FalsePositives[[#This Row],[Gene]]="", "", IF(C94&lt;40,"Pass","Inspect"))</f>
        <v/>
      </c>
      <c r="F94" s="24"/>
      <c r="G94" s="26" t="str">
        <f t="array" ref="G94">IFERROR(VLOOKUP(B94,$T$7:$W$300,COLUMN($W$7:$W$300)-COLUMN($T$7:$W$300)+1,0), "")</f>
        <v/>
      </c>
      <c r="H94" s="33"/>
      <c r="J94" s="14">
        <f>'Raw Data Cut 5'!A89</f>
        <v>0</v>
      </c>
      <c r="K94" s="2">
        <f>'Raw Data Cut 5'!B89</f>
        <v>0</v>
      </c>
      <c r="L94" s="2">
        <f>'Raw Data Cut 5'!C89</f>
        <v>0</v>
      </c>
      <c r="M94" s="2">
        <f>'Raw Data Cut 5'!D89</f>
        <v>0</v>
      </c>
      <c r="N94" s="2">
        <f>'Raw Data Cut 5'!E89</f>
        <v>0</v>
      </c>
      <c r="O94" s="2">
        <f>'Raw Data Cut 5'!G89</f>
        <v>0</v>
      </c>
      <c r="P94" s="2">
        <f>'Raw Data Cut 5'!H89</f>
        <v>0</v>
      </c>
      <c r="Q94" s="2">
        <f>'Raw Data Cut 5'!I89</f>
        <v>0</v>
      </c>
      <c r="R94" s="2">
        <f>'Raw Data Cut 5'!J89</f>
        <v>0</v>
      </c>
      <c r="S94" s="2">
        <f>'Raw Data Cut 5'!K89</f>
        <v>0</v>
      </c>
      <c r="T94" s="2">
        <f>'Raw Data Cut 5'!N89</f>
        <v>0</v>
      </c>
      <c r="U94" s="2">
        <f t="shared" si="6"/>
        <v>0</v>
      </c>
      <c r="V94" s="12" t="str">
        <f>IF($T94=0, "", IF(COUNTIF('C00026'!$B$7:$B$41, $T94)=0, "Missing", "Y"))</f>
        <v/>
      </c>
      <c r="W94" s="1">
        <f t="shared" si="7"/>
        <v>0</v>
      </c>
    </row>
    <row r="95" spans="1:23" x14ac:dyDescent="0.25">
      <c r="A95" s="18" t="str">
        <f t="array" ref="A95">IFERROR(INDEX(S$7:S$300, SMALL(IF($V$7:$V$300="Missing", ROW(S20:S$300)-ROW(S20)+1), ROW(14:14))), "")</f>
        <v/>
      </c>
      <c r="B95" s="19" t="str">
        <f t="array" ref="B95">IFERROR(INDEX(T$7:T$300, SMALL(IF($V$7:$V$300="Missing", ROW(T20:T$300)-ROW(T20)+1), ROW(14:14))), "")</f>
        <v/>
      </c>
      <c r="C95" s="19" t="str">
        <f t="array" ref="C95">IFERROR(INDEX(R$7:R$300, SMALL(IF($V$7:$V$2300="Missing", ROW(R20:R$300)-ROW(R20)+1), ROW(14:14))), "")</f>
        <v/>
      </c>
      <c r="D95" s="19" t="str">
        <f t="array" ref="D95">IFERROR(INDEX(Q$7:Q$300, SMALL(IF($V$7:$V$300="Missing", ROW(Q20:Q$300)-ROW(Q20)+1), ROW(14:14))), "")</f>
        <v/>
      </c>
      <c r="E95" s="19" t="str">
        <f>IF(FalsePositives[[#This Row],[Gene]]="", "", IF(C95&lt;40,"Pass","Inspect"))</f>
        <v/>
      </c>
      <c r="F95" s="24"/>
      <c r="G95" s="26" t="str">
        <f t="array" ref="G95">IFERROR(VLOOKUP(B95,$T$7:$W$300,COLUMN($W$7:$W$300)-COLUMN($T$7:$W$300)+1,0), "")</f>
        <v/>
      </c>
      <c r="H95" s="33"/>
      <c r="J95" s="14">
        <f>'Raw Data Cut 5'!A90</f>
        <v>0</v>
      </c>
      <c r="K95" s="2">
        <f>'Raw Data Cut 5'!B90</f>
        <v>0</v>
      </c>
      <c r="L95" s="2">
        <f>'Raw Data Cut 5'!C90</f>
        <v>0</v>
      </c>
      <c r="M95" s="2">
        <f>'Raw Data Cut 5'!D90</f>
        <v>0</v>
      </c>
      <c r="N95" s="2">
        <f>'Raw Data Cut 5'!E90</f>
        <v>0</v>
      </c>
      <c r="O95" s="2">
        <f>'Raw Data Cut 5'!G90</f>
        <v>0</v>
      </c>
      <c r="P95" s="2">
        <f>'Raw Data Cut 5'!H90</f>
        <v>0</v>
      </c>
      <c r="Q95" s="2">
        <f>'Raw Data Cut 5'!I90</f>
        <v>0</v>
      </c>
      <c r="R95" s="2">
        <f>'Raw Data Cut 5'!J90</f>
        <v>0</v>
      </c>
      <c r="S95" s="2">
        <f>'Raw Data Cut 5'!K90</f>
        <v>0</v>
      </c>
      <c r="T95" s="2">
        <f>'Raw Data Cut 5'!N90</f>
        <v>0</v>
      </c>
      <c r="U95" s="2">
        <f t="shared" si="6"/>
        <v>0</v>
      </c>
      <c r="V95" s="12" t="str">
        <f>IF($T95=0, "", IF(COUNTIF('C00026'!$B$7:$B$41, $T95)=0, "Missing", "Y"))</f>
        <v/>
      </c>
      <c r="W95" s="1">
        <f t="shared" si="7"/>
        <v>0</v>
      </c>
    </row>
    <row r="96" spans="1:23" x14ac:dyDescent="0.25">
      <c r="A96" s="18" t="str">
        <f t="array" ref="A96">IFERROR(INDEX(S$7:S$300, SMALL(IF($V$7:$V$300="Missing", ROW(S21:S$300)-ROW(S21)+1), ROW(15:15))), "")</f>
        <v/>
      </c>
      <c r="B96" s="19" t="str">
        <f t="array" ref="B96">IFERROR(INDEX(T$7:T$300, SMALL(IF($V$7:$V$300="Missing", ROW(T21:T$300)-ROW(T21)+1), ROW(15:15))), "")</f>
        <v/>
      </c>
      <c r="C96" s="19" t="str">
        <f t="array" ref="C96">IFERROR(INDEX(R$7:R$300, SMALL(IF($V$7:$V$2300="Missing", ROW(R21:R$300)-ROW(R21)+1), ROW(15:15))), "")</f>
        <v/>
      </c>
      <c r="D96" s="19" t="str">
        <f t="array" ref="D96">IFERROR(INDEX(Q$7:Q$300, SMALL(IF($V$7:$V$300="Missing", ROW(Q21:Q$300)-ROW(Q21)+1), ROW(15:15))), "")</f>
        <v/>
      </c>
      <c r="E96" s="19" t="str">
        <f>IF(FalsePositives[[#This Row],[Gene]]="", "", IF(C96&lt;40,"Pass","Inspect"))</f>
        <v/>
      </c>
      <c r="F96" s="24"/>
      <c r="G96" s="26" t="str">
        <f t="array" ref="G96">IFERROR(VLOOKUP(B96,$T$7:$W$300,COLUMN($W$7:$W$300)-COLUMN($T$7:$W$300)+1,0), "")</f>
        <v/>
      </c>
      <c r="H96" s="33"/>
      <c r="J96" s="14">
        <f>'Raw Data Cut 5'!A91</f>
        <v>0</v>
      </c>
      <c r="K96" s="2">
        <f>'Raw Data Cut 5'!B91</f>
        <v>0</v>
      </c>
      <c r="L96" s="2">
        <f>'Raw Data Cut 5'!C91</f>
        <v>0</v>
      </c>
      <c r="M96" s="2">
        <f>'Raw Data Cut 5'!D91</f>
        <v>0</v>
      </c>
      <c r="N96" s="2">
        <f>'Raw Data Cut 5'!E91</f>
        <v>0</v>
      </c>
      <c r="O96" s="2">
        <f>'Raw Data Cut 5'!G91</f>
        <v>0</v>
      </c>
      <c r="P96" s="2">
        <f>'Raw Data Cut 5'!H91</f>
        <v>0</v>
      </c>
      <c r="Q96" s="2">
        <f>'Raw Data Cut 5'!I91</f>
        <v>0</v>
      </c>
      <c r="R96" s="2">
        <f>'Raw Data Cut 5'!J91</f>
        <v>0</v>
      </c>
      <c r="S96" s="2">
        <f>'Raw Data Cut 5'!K91</f>
        <v>0</v>
      </c>
      <c r="T96" s="2">
        <f>'Raw Data Cut 5'!N91</f>
        <v>0</v>
      </c>
      <c r="U96" s="2">
        <f t="shared" si="6"/>
        <v>0</v>
      </c>
      <c r="V96" s="12" t="str">
        <f>IF($T96=0, "", IF(COUNTIF('C00026'!$B$7:$B$41, $T96)=0, "Missing", "Y"))</f>
        <v/>
      </c>
      <c r="W96" s="1">
        <f t="shared" si="7"/>
        <v>0</v>
      </c>
    </row>
    <row r="97" spans="1:23" x14ac:dyDescent="0.25">
      <c r="A97" s="18" t="str">
        <f t="array" ref="A97">IFERROR(INDEX(S$7:S$300, SMALL(IF($V$7:$V$300="Missing", ROW(S22:S$300)-ROW(S22)+1), ROW(16:16))), "")</f>
        <v/>
      </c>
      <c r="B97" s="19" t="str">
        <f t="array" ref="B97">IFERROR(INDEX(T$7:T$300, SMALL(IF($V$7:$V$300="Missing", ROW(T22:T$300)-ROW(T22)+1), ROW(16:16))), "")</f>
        <v/>
      </c>
      <c r="C97" s="19" t="str">
        <f t="array" ref="C97">IFERROR(INDEX(R$7:R$300, SMALL(IF($V$7:$V$2300="Missing", ROW(R22:R$300)-ROW(R22)+1), ROW(16:16))), "")</f>
        <v/>
      </c>
      <c r="D97" s="19" t="str">
        <f t="array" ref="D97">IFERROR(INDEX(Q$7:Q$300, SMALL(IF($V$7:$V$300="Missing", ROW(Q22:Q$300)-ROW(Q22)+1), ROW(16:16))), "")</f>
        <v/>
      </c>
      <c r="E97" s="19" t="str">
        <f>IF(FalsePositives[[#This Row],[Gene]]="", "", IF(C97&lt;40,"Pass","Inspect"))</f>
        <v/>
      </c>
      <c r="F97" s="24"/>
      <c r="G97" s="26" t="str">
        <f t="array" ref="G97">IFERROR(VLOOKUP(B97,$T$7:$W$300,COLUMN($W$7:$W$300)-COLUMN($T$7:$W$300)+1,0), "")</f>
        <v/>
      </c>
      <c r="H97" s="33"/>
      <c r="J97" s="14">
        <f>'Raw Data Cut 5'!A92</f>
        <v>0</v>
      </c>
      <c r="K97" s="2">
        <f>'Raw Data Cut 5'!B92</f>
        <v>0</v>
      </c>
      <c r="L97" s="2">
        <f>'Raw Data Cut 5'!C92</f>
        <v>0</v>
      </c>
      <c r="M97" s="2">
        <f>'Raw Data Cut 5'!D92</f>
        <v>0</v>
      </c>
      <c r="N97" s="2">
        <f>'Raw Data Cut 5'!E92</f>
        <v>0</v>
      </c>
      <c r="O97" s="2">
        <f>'Raw Data Cut 5'!G92</f>
        <v>0</v>
      </c>
      <c r="P97" s="2">
        <f>'Raw Data Cut 5'!H92</f>
        <v>0</v>
      </c>
      <c r="Q97" s="2">
        <f>'Raw Data Cut 5'!I92</f>
        <v>0</v>
      </c>
      <c r="R97" s="2">
        <f>'Raw Data Cut 5'!J92</f>
        <v>0</v>
      </c>
      <c r="S97" s="2">
        <f>'Raw Data Cut 5'!K92</f>
        <v>0</v>
      </c>
      <c r="T97" s="2">
        <f>'Raw Data Cut 5'!N92</f>
        <v>0</v>
      </c>
      <c r="U97" s="2">
        <f t="shared" si="6"/>
        <v>0</v>
      </c>
      <c r="V97" s="12" t="str">
        <f>IF($T97=0, "", IF(COUNTIF('C00026'!$B$7:$B$41, $T97)=0, "Missing", "Y"))</f>
        <v/>
      </c>
      <c r="W97" s="1">
        <f t="shared" si="7"/>
        <v>0</v>
      </c>
    </row>
    <row r="98" spans="1:23" x14ac:dyDescent="0.25">
      <c r="A98" s="18" t="str">
        <f t="array" ref="A98">IFERROR(INDEX(S$7:S$300, SMALL(IF($V$7:$V$300="Missing", ROW(S23:S$300)-ROW(S23)+1), ROW(17:17))), "")</f>
        <v/>
      </c>
      <c r="B98" s="19" t="str">
        <f t="array" ref="B98">IFERROR(INDEX(T$7:T$300, SMALL(IF($V$7:$V$300="Missing", ROW(T23:T$300)-ROW(T23)+1), ROW(17:17))), "")</f>
        <v/>
      </c>
      <c r="C98" s="19" t="str">
        <f t="array" ref="C98">IFERROR(INDEX(R$7:R$300, SMALL(IF($V$7:$V$2300="Missing", ROW(R23:R$300)-ROW(R23)+1), ROW(17:17))), "")</f>
        <v/>
      </c>
      <c r="D98" s="19" t="str">
        <f t="array" ref="D98">IFERROR(INDEX(Q$7:Q$300, SMALL(IF($V$7:$V$300="Missing", ROW(Q23:Q$300)-ROW(Q23)+1), ROW(17:17))), "")</f>
        <v/>
      </c>
      <c r="E98" s="19" t="str">
        <f>IF(FalsePositives[[#This Row],[Gene]]="", "", IF(C98&lt;40,"Pass","Inspect"))</f>
        <v/>
      </c>
      <c r="F98" s="24"/>
      <c r="G98" s="26" t="str">
        <f t="array" ref="G98">IFERROR(VLOOKUP(B98,$T$7:$W$300,COLUMN($W$7:$W$300)-COLUMN($T$7:$W$300)+1,0), "")</f>
        <v/>
      </c>
      <c r="H98" s="33"/>
      <c r="J98" s="14">
        <f>'Raw Data Cut 5'!A93</f>
        <v>0</v>
      </c>
      <c r="K98" s="2">
        <f>'Raw Data Cut 5'!B93</f>
        <v>0</v>
      </c>
      <c r="L98" s="2">
        <f>'Raw Data Cut 5'!C93</f>
        <v>0</v>
      </c>
      <c r="M98" s="2">
        <f>'Raw Data Cut 5'!D93</f>
        <v>0</v>
      </c>
      <c r="N98" s="2">
        <f>'Raw Data Cut 5'!E93</f>
        <v>0</v>
      </c>
      <c r="O98" s="2">
        <f>'Raw Data Cut 5'!G93</f>
        <v>0</v>
      </c>
      <c r="P98" s="2">
        <f>'Raw Data Cut 5'!H93</f>
        <v>0</v>
      </c>
      <c r="Q98" s="2">
        <f>'Raw Data Cut 5'!I93</f>
        <v>0</v>
      </c>
      <c r="R98" s="2">
        <f>'Raw Data Cut 5'!J93</f>
        <v>0</v>
      </c>
      <c r="S98" s="2">
        <f>'Raw Data Cut 5'!K93</f>
        <v>0</v>
      </c>
      <c r="T98" s="2">
        <f>'Raw Data Cut 5'!N93</f>
        <v>0</v>
      </c>
      <c r="U98" s="2">
        <f t="shared" si="6"/>
        <v>0</v>
      </c>
      <c r="V98" s="12" t="str">
        <f>IF($T98=0, "", IF(COUNTIF('C00026'!$B$7:$B$41, $T98)=0, "Missing", "Y"))</f>
        <v/>
      </c>
      <c r="W98" s="1">
        <f t="shared" si="7"/>
        <v>0</v>
      </c>
    </row>
    <row r="99" spans="1:23" x14ac:dyDescent="0.25">
      <c r="A99" s="18" t="str">
        <f t="array" ref="A99">IFERROR(INDEX(S$7:S$300, SMALL(IF($V$7:$V$300="Missing", ROW(S24:S$300)-ROW(S24)+1), ROW(18:18))), "")</f>
        <v/>
      </c>
      <c r="B99" s="19" t="str">
        <f t="array" ref="B99">IFERROR(INDEX(T$7:T$300, SMALL(IF($V$7:$V$300="Missing", ROW(T24:T$300)-ROW(T24)+1), ROW(18:18))), "")</f>
        <v/>
      </c>
      <c r="C99" s="19" t="str">
        <f t="array" ref="C99">IFERROR(INDEX(R$7:R$300, SMALL(IF($V$7:$V$2300="Missing", ROW(R24:R$300)-ROW(R24)+1), ROW(18:18))), "")</f>
        <v/>
      </c>
      <c r="D99" s="19" t="str">
        <f t="array" ref="D99">IFERROR(INDEX(Q$7:Q$300, SMALL(IF($V$7:$V$300="Missing", ROW(Q24:Q$300)-ROW(Q24)+1), ROW(18:18))), "")</f>
        <v/>
      </c>
      <c r="E99" s="19" t="str">
        <f>IF(FalsePositives[[#This Row],[Gene]]="", "", IF(C99&lt;40,"Pass","Inspect"))</f>
        <v/>
      </c>
      <c r="F99" s="24"/>
      <c r="G99" s="26" t="str">
        <f t="array" ref="G99">IFERROR(VLOOKUP(B99,$T$7:$W$300,COLUMN($W$7:$W$300)-COLUMN($T$7:$W$300)+1,0), "")</f>
        <v/>
      </c>
      <c r="H99" s="33"/>
      <c r="J99" s="14">
        <f>'Raw Data Cut 5'!A94</f>
        <v>0</v>
      </c>
      <c r="K99" s="2">
        <f>'Raw Data Cut 5'!B94</f>
        <v>0</v>
      </c>
      <c r="L99" s="2">
        <f>'Raw Data Cut 5'!C94</f>
        <v>0</v>
      </c>
      <c r="M99" s="2">
        <f>'Raw Data Cut 5'!D94</f>
        <v>0</v>
      </c>
      <c r="N99" s="2">
        <f>'Raw Data Cut 5'!E94</f>
        <v>0</v>
      </c>
      <c r="O99" s="2">
        <f>'Raw Data Cut 5'!G94</f>
        <v>0</v>
      </c>
      <c r="P99" s="2">
        <f>'Raw Data Cut 5'!H94</f>
        <v>0</v>
      </c>
      <c r="Q99" s="2">
        <f>'Raw Data Cut 5'!I94</f>
        <v>0</v>
      </c>
      <c r="R99" s="2">
        <f>'Raw Data Cut 5'!J94</f>
        <v>0</v>
      </c>
      <c r="S99" s="2">
        <f>'Raw Data Cut 5'!K94</f>
        <v>0</v>
      </c>
      <c r="T99" s="2">
        <f>'Raw Data Cut 5'!N94</f>
        <v>0</v>
      </c>
      <c r="U99" s="2">
        <f t="shared" ref="U99:U118" si="8">Q99</f>
        <v>0</v>
      </c>
      <c r="V99" s="12" t="str">
        <f>IF($T99=0, "", IF(COUNTIF('C00026'!$B$7:$B$41, $T99)=0, "Missing", "Y"))</f>
        <v/>
      </c>
      <c r="W99" s="1">
        <f t="shared" ref="W99:W118" si="9">K99</f>
        <v>0</v>
      </c>
    </row>
    <row r="100" spans="1:23" x14ac:dyDescent="0.25">
      <c r="A100" s="18" t="str">
        <f t="array" ref="A100">IFERROR(INDEX(S$7:S$300, SMALL(IF($V$7:$V$300="Missing", ROW(S25:S$300)-ROW(S25)+1), ROW(19:19))), "")</f>
        <v/>
      </c>
      <c r="B100" s="19" t="str">
        <f t="array" ref="B100">IFERROR(INDEX(T$7:T$300, SMALL(IF($V$7:$V$300="Missing", ROW(T25:T$300)-ROW(T25)+1), ROW(19:19))), "")</f>
        <v/>
      </c>
      <c r="C100" s="19" t="str">
        <f t="array" ref="C100">IFERROR(INDEX(R$7:R$300, SMALL(IF($V$7:$V$2300="Missing", ROW(R25:R$300)-ROW(R25)+1), ROW(19:19))), "")</f>
        <v/>
      </c>
      <c r="D100" s="19" t="str">
        <f t="array" ref="D100">IFERROR(INDEX(Q$7:Q$300, SMALL(IF($V$7:$V$300="Missing", ROW(Q25:Q$300)-ROW(Q25)+1), ROW(19:19))), "")</f>
        <v/>
      </c>
      <c r="E100" s="19" t="str">
        <f>IF(FalsePositives[[#This Row],[Gene]]="", "", IF(C100&lt;40,"Pass","Inspect"))</f>
        <v/>
      </c>
      <c r="F100" s="24"/>
      <c r="G100" s="26" t="str">
        <f t="array" ref="G100">IFERROR(VLOOKUP(B100,$T$7:$W$300,COLUMN($W$7:$W$300)-COLUMN($T$7:$W$300)+1,0), "")</f>
        <v/>
      </c>
      <c r="H100" s="33"/>
      <c r="J100" s="14">
        <f>'Raw Data Cut 5'!A95</f>
        <v>0</v>
      </c>
      <c r="K100" s="2">
        <f>'Raw Data Cut 5'!B95</f>
        <v>0</v>
      </c>
      <c r="L100" s="2">
        <f>'Raw Data Cut 5'!C95</f>
        <v>0</v>
      </c>
      <c r="M100" s="2">
        <f>'Raw Data Cut 5'!D95</f>
        <v>0</v>
      </c>
      <c r="N100" s="2">
        <f>'Raw Data Cut 5'!E95</f>
        <v>0</v>
      </c>
      <c r="O100" s="2">
        <f>'Raw Data Cut 5'!G95</f>
        <v>0</v>
      </c>
      <c r="P100" s="2">
        <f>'Raw Data Cut 5'!H95</f>
        <v>0</v>
      </c>
      <c r="Q100" s="2">
        <f>'Raw Data Cut 5'!I95</f>
        <v>0</v>
      </c>
      <c r="R100" s="2">
        <f>'Raw Data Cut 5'!J95</f>
        <v>0</v>
      </c>
      <c r="S100" s="2">
        <f>'Raw Data Cut 5'!K95</f>
        <v>0</v>
      </c>
      <c r="T100" s="2">
        <f>'Raw Data Cut 5'!N95</f>
        <v>0</v>
      </c>
      <c r="U100" s="2">
        <f t="shared" si="8"/>
        <v>0</v>
      </c>
      <c r="V100" s="12" t="str">
        <f>IF($T100=0, "", IF(COUNTIF('C00026'!$B$7:$B$41, $T100)=0, "Missing", "Y"))</f>
        <v/>
      </c>
      <c r="W100" s="1">
        <f t="shared" si="9"/>
        <v>0</v>
      </c>
    </row>
    <row r="101" spans="1:23" x14ac:dyDescent="0.25">
      <c r="A101" s="18" t="str">
        <f t="array" ref="A101">IFERROR(INDEX(S$7:S$300, SMALL(IF($V$7:$V$300="Missing", ROW(S26:S$300)-ROW(S26)+1), ROW(20:20))), "")</f>
        <v/>
      </c>
      <c r="B101" s="19" t="str">
        <f t="array" ref="B101">IFERROR(INDEX(T$7:T$300, SMALL(IF($V$7:$V$300="Missing", ROW(T26:T$300)-ROW(T26)+1), ROW(20:20))), "")</f>
        <v/>
      </c>
      <c r="C101" s="19" t="str">
        <f t="array" ref="C101">IFERROR(INDEX(R$7:R$300, SMALL(IF($V$7:$V$2300="Missing", ROW(R26:R$300)-ROW(R26)+1), ROW(20:20))), "")</f>
        <v/>
      </c>
      <c r="D101" s="19" t="str">
        <f t="array" ref="D101">IFERROR(INDEX(Q$7:Q$300, SMALL(IF($V$7:$V$300="Missing", ROW(Q26:Q$300)-ROW(Q26)+1), ROW(20:20))), "")</f>
        <v/>
      </c>
      <c r="E101" s="19" t="str">
        <f>IF(FalsePositives[[#This Row],[Gene]]="", "", IF(C101&lt;40,"Pass","Inspect"))</f>
        <v/>
      </c>
      <c r="F101" s="24"/>
      <c r="G101" s="26" t="str">
        <f t="array" ref="G101">IFERROR(VLOOKUP(B101,$T$7:$W$300,COLUMN($W$7:$W$300)-COLUMN($T$7:$W$300)+1,0), "")</f>
        <v/>
      </c>
      <c r="H101" s="33"/>
      <c r="J101" s="14">
        <f>'Raw Data Cut 5'!A96</f>
        <v>0</v>
      </c>
      <c r="K101" s="2">
        <f>'Raw Data Cut 5'!B96</f>
        <v>0</v>
      </c>
      <c r="L101" s="2">
        <f>'Raw Data Cut 5'!C96</f>
        <v>0</v>
      </c>
      <c r="M101" s="2">
        <f>'Raw Data Cut 5'!D96</f>
        <v>0</v>
      </c>
      <c r="N101" s="2">
        <f>'Raw Data Cut 5'!E96</f>
        <v>0</v>
      </c>
      <c r="O101" s="2">
        <f>'Raw Data Cut 5'!G96</f>
        <v>0</v>
      </c>
      <c r="P101" s="2">
        <f>'Raw Data Cut 5'!H96</f>
        <v>0</v>
      </c>
      <c r="Q101" s="2">
        <f>'Raw Data Cut 5'!I96</f>
        <v>0</v>
      </c>
      <c r="R101" s="2">
        <f>'Raw Data Cut 5'!J96</f>
        <v>0</v>
      </c>
      <c r="S101" s="2">
        <f>'Raw Data Cut 5'!K96</f>
        <v>0</v>
      </c>
      <c r="T101" s="2">
        <f>'Raw Data Cut 5'!N96</f>
        <v>0</v>
      </c>
      <c r="U101" s="2">
        <f t="shared" si="8"/>
        <v>0</v>
      </c>
      <c r="V101" s="12" t="str">
        <f>IF($T101=0, "", IF(COUNTIF('C00026'!$B$7:$B$41, $T101)=0, "Missing", "Y"))</f>
        <v/>
      </c>
      <c r="W101" s="1">
        <f t="shared" si="9"/>
        <v>0</v>
      </c>
    </row>
    <row r="102" spans="1:23" x14ac:dyDescent="0.25">
      <c r="A102" s="18" t="str">
        <f t="array" ref="A102">IFERROR(INDEX(S$7:S$300, SMALL(IF($V$7:$V$300="Missing", ROW(S27:S$300)-ROW(S27)+1), ROW(21:21))), "")</f>
        <v/>
      </c>
      <c r="B102" s="19" t="str">
        <f t="array" ref="B102">IFERROR(INDEX(T$7:T$300, SMALL(IF($V$7:$V$300="Missing", ROW(T27:T$300)-ROW(T27)+1), ROW(21:21))), "")</f>
        <v/>
      </c>
      <c r="C102" s="19" t="str">
        <f t="array" ref="C102">IFERROR(INDEX(R$7:R$300, SMALL(IF($V$7:$V$2300="Missing", ROW(R27:R$300)-ROW(R27)+1), ROW(21:21))), "")</f>
        <v/>
      </c>
      <c r="D102" s="19" t="str">
        <f t="array" ref="D102">IFERROR(INDEX(Q$7:Q$300, SMALL(IF($V$7:$V$300="Missing", ROW(Q27:Q$300)-ROW(Q27)+1), ROW(21:21))), "")</f>
        <v/>
      </c>
      <c r="E102" s="19" t="str">
        <f>IF(FalsePositives[[#This Row],[Gene]]="", "", IF(C102&lt;40,"Pass","Inspect"))</f>
        <v/>
      </c>
      <c r="F102" s="24"/>
      <c r="G102" s="26" t="str">
        <f t="array" ref="G102">IFERROR(VLOOKUP(B102,$T$7:$W$300,COLUMN($W$7:$W$300)-COLUMN($T$7:$W$300)+1,0), "")</f>
        <v/>
      </c>
      <c r="H102" s="33"/>
      <c r="J102" s="14">
        <f>'Raw Data Cut 5'!A97</f>
        <v>0</v>
      </c>
      <c r="K102" s="2">
        <f>'Raw Data Cut 5'!B97</f>
        <v>0</v>
      </c>
      <c r="L102" s="2">
        <f>'Raw Data Cut 5'!C97</f>
        <v>0</v>
      </c>
      <c r="M102" s="2">
        <f>'Raw Data Cut 5'!D97</f>
        <v>0</v>
      </c>
      <c r="N102" s="2">
        <f>'Raw Data Cut 5'!E97</f>
        <v>0</v>
      </c>
      <c r="O102" s="2">
        <f>'Raw Data Cut 5'!G97</f>
        <v>0</v>
      </c>
      <c r="P102" s="2">
        <f>'Raw Data Cut 5'!H97</f>
        <v>0</v>
      </c>
      <c r="Q102" s="2">
        <f>'Raw Data Cut 5'!I97</f>
        <v>0</v>
      </c>
      <c r="R102" s="2">
        <f>'Raw Data Cut 5'!J97</f>
        <v>0</v>
      </c>
      <c r="S102" s="2">
        <f>'Raw Data Cut 5'!K97</f>
        <v>0</v>
      </c>
      <c r="T102" s="2">
        <f>'Raw Data Cut 5'!N97</f>
        <v>0</v>
      </c>
      <c r="U102" s="2">
        <f t="shared" si="8"/>
        <v>0</v>
      </c>
      <c r="V102" s="12" t="str">
        <f>IF($T102=0, "", IF(COUNTIF('C00026'!$B$7:$B$41, $T102)=0, "Missing", "Y"))</f>
        <v/>
      </c>
      <c r="W102" s="1">
        <f t="shared" si="9"/>
        <v>0</v>
      </c>
    </row>
    <row r="103" spans="1:23" x14ac:dyDescent="0.25">
      <c r="A103" s="18" t="str">
        <f t="array" ref="A103">IFERROR(INDEX(S$7:S$300, SMALL(IF($V$7:$V$300="Missing", ROW(S28:S$300)-ROW(S28)+1), ROW(22:22))), "")</f>
        <v/>
      </c>
      <c r="B103" s="19" t="str">
        <f t="array" ref="B103">IFERROR(INDEX(T$7:T$300, SMALL(IF($V$7:$V$300="Missing", ROW(T28:T$300)-ROW(T28)+1), ROW(22:22))), "")</f>
        <v/>
      </c>
      <c r="C103" s="19" t="str">
        <f t="array" ref="C103">IFERROR(INDEX(R$7:R$300, SMALL(IF($V$7:$V$2300="Missing", ROW(R28:R$300)-ROW(R28)+1), ROW(22:22))), "")</f>
        <v/>
      </c>
      <c r="D103" s="19" t="str">
        <f t="array" ref="D103">IFERROR(INDEX(Q$7:Q$300, SMALL(IF($V$7:$V$300="Missing", ROW(Q28:Q$300)-ROW(Q28)+1), ROW(22:22))), "")</f>
        <v/>
      </c>
      <c r="E103" s="19" t="str">
        <f>IF(FalsePositives[[#This Row],[Gene]]="", "", IF(C103&lt;40,"Pass","Inspect"))</f>
        <v/>
      </c>
      <c r="F103" s="24"/>
      <c r="G103" s="26" t="str">
        <f t="array" ref="G103">IFERROR(VLOOKUP(B103,$T$7:$W$300,COLUMN($W$7:$W$300)-COLUMN($T$7:$W$300)+1,0), "")</f>
        <v/>
      </c>
      <c r="H103" s="33"/>
      <c r="J103" s="14">
        <f>'Raw Data Cut 5'!A98</f>
        <v>0</v>
      </c>
      <c r="K103" s="2">
        <f>'Raw Data Cut 5'!B98</f>
        <v>0</v>
      </c>
      <c r="L103" s="2">
        <f>'Raw Data Cut 5'!C98</f>
        <v>0</v>
      </c>
      <c r="M103" s="2">
        <f>'Raw Data Cut 5'!D98</f>
        <v>0</v>
      </c>
      <c r="N103" s="2">
        <f>'Raw Data Cut 5'!E98</f>
        <v>0</v>
      </c>
      <c r="O103" s="2">
        <f>'Raw Data Cut 5'!G98</f>
        <v>0</v>
      </c>
      <c r="P103" s="2">
        <f>'Raw Data Cut 5'!H98</f>
        <v>0</v>
      </c>
      <c r="Q103" s="2">
        <f>'Raw Data Cut 5'!I98</f>
        <v>0</v>
      </c>
      <c r="R103" s="2">
        <f>'Raw Data Cut 5'!J98</f>
        <v>0</v>
      </c>
      <c r="S103" s="2">
        <f>'Raw Data Cut 5'!K98</f>
        <v>0</v>
      </c>
      <c r="T103" s="2">
        <f>'Raw Data Cut 5'!N98</f>
        <v>0</v>
      </c>
      <c r="U103" s="2">
        <f t="shared" si="8"/>
        <v>0</v>
      </c>
      <c r="V103" s="12" t="str">
        <f>IF($T103=0, "", IF(COUNTIF('C00026'!$B$7:$B$41, $T103)=0, "Missing", "Y"))</f>
        <v/>
      </c>
      <c r="W103" s="1">
        <f t="shared" si="9"/>
        <v>0</v>
      </c>
    </row>
    <row r="104" spans="1:23" x14ac:dyDescent="0.25">
      <c r="A104" s="18" t="str">
        <f t="array" ref="A104">IFERROR(INDEX(S$7:S$300, SMALL(IF($V$7:$V$300="Missing", ROW(S29:S$300)-ROW(S29)+1), ROW(23:23))), "")</f>
        <v/>
      </c>
      <c r="B104" s="19" t="str">
        <f t="array" ref="B104">IFERROR(INDEX(T$7:T$300, SMALL(IF($V$7:$V$300="Missing", ROW(T29:T$300)-ROW(T29)+1), ROW(23:23))), "")</f>
        <v/>
      </c>
      <c r="C104" s="19" t="str">
        <f t="array" ref="C104">IFERROR(INDEX(R$7:R$300, SMALL(IF($V$7:$V$2300="Missing", ROW(R29:R$300)-ROW(R29)+1), ROW(23:23))), "")</f>
        <v/>
      </c>
      <c r="D104" s="19" t="str">
        <f t="array" ref="D104">IFERROR(INDEX(Q$7:Q$300, SMALL(IF($V$7:$V$300="Missing", ROW(Q29:Q$300)-ROW(Q29)+1), ROW(23:23))), "")</f>
        <v/>
      </c>
      <c r="E104" s="19" t="str">
        <f>IF(FalsePositives[[#This Row],[Gene]]="", "", IF(C104&lt;40,"Pass","Inspect"))</f>
        <v/>
      </c>
      <c r="F104" s="24"/>
      <c r="G104" s="26" t="str">
        <f t="array" ref="G104">IFERROR(VLOOKUP(B104,$T$7:$W$300,COLUMN($W$7:$W$300)-COLUMN($T$7:$W$300)+1,0), "")</f>
        <v/>
      </c>
      <c r="H104" s="33"/>
      <c r="J104" s="14">
        <f>'Raw Data Cut 5'!A99</f>
        <v>0</v>
      </c>
      <c r="K104" s="2">
        <f>'Raw Data Cut 5'!B99</f>
        <v>0</v>
      </c>
      <c r="L104" s="2">
        <f>'Raw Data Cut 5'!C99</f>
        <v>0</v>
      </c>
      <c r="M104" s="2">
        <f>'Raw Data Cut 5'!D99</f>
        <v>0</v>
      </c>
      <c r="N104" s="2">
        <f>'Raw Data Cut 5'!E99</f>
        <v>0</v>
      </c>
      <c r="O104" s="2">
        <f>'Raw Data Cut 5'!G99</f>
        <v>0</v>
      </c>
      <c r="P104" s="2">
        <f>'Raw Data Cut 5'!H99</f>
        <v>0</v>
      </c>
      <c r="Q104" s="2">
        <f>'Raw Data Cut 5'!I99</f>
        <v>0</v>
      </c>
      <c r="R104" s="2">
        <f>'Raw Data Cut 5'!J99</f>
        <v>0</v>
      </c>
      <c r="S104" s="2">
        <f>'Raw Data Cut 5'!K99</f>
        <v>0</v>
      </c>
      <c r="T104" s="2">
        <f>'Raw Data Cut 5'!N99</f>
        <v>0</v>
      </c>
      <c r="U104" s="2">
        <f t="shared" si="8"/>
        <v>0</v>
      </c>
      <c r="V104" s="12" t="str">
        <f>IF($T104=0, "", IF(COUNTIF('C00026'!$B$7:$B$41, $T104)=0, "Missing", "Y"))</f>
        <v/>
      </c>
      <c r="W104" s="1">
        <f t="shared" si="9"/>
        <v>0</v>
      </c>
    </row>
    <row r="105" spans="1:23" x14ac:dyDescent="0.25">
      <c r="A105" s="18" t="str">
        <f t="array" ref="A105">IFERROR(INDEX(S$7:S$300, SMALL(IF($V$7:$V$300="Missing", ROW(S30:S$300)-ROW(S30)+1), ROW(24:24))), "")</f>
        <v/>
      </c>
      <c r="B105" s="19" t="str">
        <f t="array" ref="B105">IFERROR(INDEX(T$7:T$300, SMALL(IF($V$7:$V$300="Missing", ROW(T30:T$300)-ROW(T30)+1), ROW(24:24))), "")</f>
        <v/>
      </c>
      <c r="C105" s="19" t="str">
        <f t="array" ref="C105">IFERROR(INDEX(R$7:R$300, SMALL(IF($V$7:$V$2300="Missing", ROW(R30:R$300)-ROW(R30)+1), ROW(24:24))), "")</f>
        <v/>
      </c>
      <c r="D105" s="19" t="str">
        <f t="array" ref="D105">IFERROR(INDEX(Q$7:Q$300, SMALL(IF($V$7:$V$300="Missing", ROW(Q30:Q$300)-ROW(Q30)+1), ROW(24:24))), "")</f>
        <v/>
      </c>
      <c r="E105" s="19" t="str">
        <f>IF(FalsePositives[[#This Row],[Gene]]="", "", IF(C105&lt;40,"Pass","Inspect"))</f>
        <v/>
      </c>
      <c r="F105" s="24"/>
      <c r="G105" s="26" t="str">
        <f t="array" ref="G105">IFERROR(VLOOKUP(B105,$T$7:$W$300,COLUMN($W$7:$W$300)-COLUMN($T$7:$W$300)+1,0), "")</f>
        <v/>
      </c>
      <c r="H105" s="33"/>
      <c r="J105" s="14">
        <f>'Raw Data Cut 5'!A100</f>
        <v>0</v>
      </c>
      <c r="K105" s="2">
        <f>'Raw Data Cut 5'!B100</f>
        <v>0</v>
      </c>
      <c r="L105" s="2">
        <f>'Raw Data Cut 5'!C100</f>
        <v>0</v>
      </c>
      <c r="M105" s="2">
        <f>'Raw Data Cut 5'!D100</f>
        <v>0</v>
      </c>
      <c r="N105" s="2">
        <f>'Raw Data Cut 5'!E100</f>
        <v>0</v>
      </c>
      <c r="O105" s="2">
        <f>'Raw Data Cut 5'!G100</f>
        <v>0</v>
      </c>
      <c r="P105" s="2">
        <f>'Raw Data Cut 5'!H100</f>
        <v>0</v>
      </c>
      <c r="Q105" s="2">
        <f>'Raw Data Cut 5'!I100</f>
        <v>0</v>
      </c>
      <c r="R105" s="2">
        <f>'Raw Data Cut 5'!J100</f>
        <v>0</v>
      </c>
      <c r="S105" s="2">
        <f>'Raw Data Cut 5'!K100</f>
        <v>0</v>
      </c>
      <c r="T105" s="2">
        <f>'Raw Data Cut 5'!N100</f>
        <v>0</v>
      </c>
      <c r="U105" s="2">
        <f t="shared" si="8"/>
        <v>0</v>
      </c>
      <c r="V105" s="12" t="str">
        <f>IF($T105=0, "", IF(COUNTIF('C00026'!$B$7:$B$41, $T105)=0, "Missing", "Y"))</f>
        <v/>
      </c>
      <c r="W105" s="1">
        <f t="shared" si="9"/>
        <v>0</v>
      </c>
    </row>
    <row r="106" spans="1:23" x14ac:dyDescent="0.25">
      <c r="A106" s="18" t="str">
        <f t="array" ref="A106">IFERROR(INDEX(S$7:S$300, SMALL(IF($V$7:$V$300="Missing", ROW(S31:S$300)-ROW(S31)+1), ROW(25:25))), "")</f>
        <v/>
      </c>
      <c r="B106" s="19" t="str">
        <f t="array" ref="B106">IFERROR(INDEX(T$7:T$300, SMALL(IF($V$7:$V$300="Missing", ROW(T31:T$300)-ROW(T31)+1), ROW(25:25))), "")</f>
        <v/>
      </c>
      <c r="C106" s="19" t="str">
        <f t="array" ref="C106">IFERROR(INDEX(R$7:R$300, SMALL(IF($V$7:$V$2300="Missing", ROW(R31:R$300)-ROW(R31)+1), ROW(25:25))), "")</f>
        <v/>
      </c>
      <c r="D106" s="19" t="str">
        <f t="array" ref="D106">IFERROR(INDEX(Q$7:Q$300, SMALL(IF($V$7:$V$300="Missing", ROW(Q31:Q$300)-ROW(Q31)+1), ROW(25:25))), "")</f>
        <v/>
      </c>
      <c r="E106" s="19" t="str">
        <f>IF(FalsePositives[[#This Row],[Gene]]="", "", IF(C106&lt;40,"Pass","Inspect"))</f>
        <v/>
      </c>
      <c r="F106" s="24"/>
      <c r="G106" s="26" t="str">
        <f t="array" ref="G106">IFERROR(VLOOKUP(B106,$T$7:$W$300,COLUMN($W$7:$W$300)-COLUMN($T$7:$W$300)+1,0), "")</f>
        <v/>
      </c>
      <c r="H106" s="33"/>
      <c r="J106" s="14">
        <f>'Raw Data Cut 5'!A101</f>
        <v>0</v>
      </c>
      <c r="K106" s="2">
        <f>'Raw Data Cut 5'!B101</f>
        <v>0</v>
      </c>
      <c r="L106" s="2">
        <f>'Raw Data Cut 5'!C101</f>
        <v>0</v>
      </c>
      <c r="M106" s="2">
        <f>'Raw Data Cut 5'!D101</f>
        <v>0</v>
      </c>
      <c r="N106" s="2">
        <f>'Raw Data Cut 5'!E101</f>
        <v>0</v>
      </c>
      <c r="O106" s="2">
        <f>'Raw Data Cut 5'!G101</f>
        <v>0</v>
      </c>
      <c r="P106" s="2">
        <f>'Raw Data Cut 5'!H101</f>
        <v>0</v>
      </c>
      <c r="Q106" s="2">
        <f>'Raw Data Cut 5'!I101</f>
        <v>0</v>
      </c>
      <c r="R106" s="2">
        <f>'Raw Data Cut 5'!J101</f>
        <v>0</v>
      </c>
      <c r="S106" s="2">
        <f>'Raw Data Cut 5'!K101</f>
        <v>0</v>
      </c>
      <c r="T106" s="2">
        <f>'Raw Data Cut 5'!N101</f>
        <v>0</v>
      </c>
      <c r="U106" s="2">
        <f t="shared" si="8"/>
        <v>0</v>
      </c>
      <c r="V106" s="12" t="str">
        <f>IF($T106=0, "", IF(COUNTIF('C00026'!$B$7:$B$41, $T106)=0, "Missing", "Y"))</f>
        <v/>
      </c>
      <c r="W106" s="1">
        <f t="shared" si="9"/>
        <v>0</v>
      </c>
    </row>
    <row r="107" spans="1:23" x14ac:dyDescent="0.25">
      <c r="A107" s="18" t="str">
        <f t="array" ref="A107">IFERROR(INDEX(S$7:S$300, SMALL(IF($V$7:$V$300="Missing", ROW(S32:S$300)-ROW(S32)+1), ROW(26:26))), "")</f>
        <v/>
      </c>
      <c r="B107" s="19" t="str">
        <f t="array" ref="B107">IFERROR(INDEX(T$7:T$300, SMALL(IF($V$7:$V$300="Missing", ROW(T32:T$300)-ROW(T32)+1), ROW(26:26))), "")</f>
        <v/>
      </c>
      <c r="C107" s="19" t="str">
        <f t="array" ref="C107">IFERROR(INDEX(R$7:R$300, SMALL(IF($V$7:$V$2300="Missing", ROW(R32:R$300)-ROW(R32)+1), ROW(26:26))), "")</f>
        <v/>
      </c>
      <c r="D107" s="19" t="str">
        <f t="array" ref="D107">IFERROR(INDEX(Q$7:Q$300, SMALL(IF($V$7:$V$300="Missing", ROW(Q32:Q$300)-ROW(Q32)+1), ROW(26:26))), "")</f>
        <v/>
      </c>
      <c r="E107" s="19" t="str">
        <f>IF(FalsePositives[[#This Row],[Gene]]="", "", IF(C107&lt;40,"Pass","Inspect"))</f>
        <v/>
      </c>
      <c r="F107" s="24"/>
      <c r="G107" s="26" t="str">
        <f t="array" ref="G107">IFERROR(VLOOKUP(B107,$T$7:$W$300,COLUMN($W$7:$W$300)-COLUMN($T$7:$W$300)+1,0), "")</f>
        <v/>
      </c>
      <c r="H107" s="33"/>
      <c r="J107" s="14">
        <f>'Raw Data Cut 5'!A102</f>
        <v>0</v>
      </c>
      <c r="K107" s="2">
        <f>'Raw Data Cut 5'!B102</f>
        <v>0</v>
      </c>
      <c r="L107" s="2">
        <f>'Raw Data Cut 5'!C102</f>
        <v>0</v>
      </c>
      <c r="M107" s="2">
        <f>'Raw Data Cut 5'!D102</f>
        <v>0</v>
      </c>
      <c r="N107" s="2">
        <f>'Raw Data Cut 5'!E102</f>
        <v>0</v>
      </c>
      <c r="O107" s="2">
        <f>'Raw Data Cut 5'!G102</f>
        <v>0</v>
      </c>
      <c r="P107" s="2">
        <f>'Raw Data Cut 5'!H102</f>
        <v>0</v>
      </c>
      <c r="Q107" s="2">
        <f>'Raw Data Cut 5'!I102</f>
        <v>0</v>
      </c>
      <c r="R107" s="2">
        <f>'Raw Data Cut 5'!J102</f>
        <v>0</v>
      </c>
      <c r="S107" s="2">
        <f>'Raw Data Cut 5'!K102</f>
        <v>0</v>
      </c>
      <c r="T107" s="2">
        <f>'Raw Data Cut 5'!N102</f>
        <v>0</v>
      </c>
      <c r="U107" s="2">
        <f t="shared" si="8"/>
        <v>0</v>
      </c>
      <c r="V107" s="12" t="str">
        <f>IF($T107=0, "", IF(COUNTIF('C00026'!$B$7:$B$41, $T107)=0, "Missing", "Y"))</f>
        <v/>
      </c>
      <c r="W107" s="1">
        <f t="shared" si="9"/>
        <v>0</v>
      </c>
    </row>
    <row r="108" spans="1:23" x14ac:dyDescent="0.25">
      <c r="A108" s="18" t="str">
        <f t="array" ref="A108">IFERROR(INDEX(S$7:S$300, SMALL(IF($V$7:$V$300="Missing", ROW(S33:S$300)-ROW(S33)+1), ROW(27:27))), "")</f>
        <v/>
      </c>
      <c r="B108" s="19" t="str">
        <f t="array" ref="B108">IFERROR(INDEX(T$7:T$300, SMALL(IF($V$7:$V$300="Missing", ROW(T33:T$300)-ROW(T33)+1), ROW(27:27))), "")</f>
        <v/>
      </c>
      <c r="C108" s="19" t="str">
        <f t="array" ref="C108">IFERROR(INDEX(R$7:R$300, SMALL(IF($V$7:$V$2300="Missing", ROW(R33:R$300)-ROW(R33)+1), ROW(27:27))), "")</f>
        <v/>
      </c>
      <c r="D108" s="19" t="str">
        <f t="array" ref="D108">IFERROR(INDEX(Q$7:Q$300, SMALL(IF($V$7:$V$300="Missing", ROW(Q33:Q$300)-ROW(Q33)+1), ROW(27:27))), "")</f>
        <v/>
      </c>
      <c r="E108" s="19" t="str">
        <f>IF(FalsePositives[[#This Row],[Gene]]="", "", IF(C108&lt;40,"Pass","Inspect"))</f>
        <v/>
      </c>
      <c r="F108" s="24"/>
      <c r="G108" s="26" t="str">
        <f t="array" ref="G108">IFERROR(VLOOKUP(B108,$T$7:$W$300,COLUMN($W$7:$W$300)-COLUMN($T$7:$W$300)+1,0), "")</f>
        <v/>
      </c>
      <c r="H108" s="33"/>
      <c r="J108" s="14">
        <f>'Raw Data Cut 5'!A103</f>
        <v>0</v>
      </c>
      <c r="K108" s="2">
        <f>'Raw Data Cut 5'!B103</f>
        <v>0</v>
      </c>
      <c r="L108" s="2">
        <f>'Raw Data Cut 5'!C103</f>
        <v>0</v>
      </c>
      <c r="M108" s="2">
        <f>'Raw Data Cut 5'!D103</f>
        <v>0</v>
      </c>
      <c r="N108" s="2">
        <f>'Raw Data Cut 5'!E103</f>
        <v>0</v>
      </c>
      <c r="O108" s="2">
        <f>'Raw Data Cut 5'!G103</f>
        <v>0</v>
      </c>
      <c r="P108" s="2">
        <f>'Raw Data Cut 5'!H103</f>
        <v>0</v>
      </c>
      <c r="Q108" s="2">
        <f>'Raw Data Cut 5'!I103</f>
        <v>0</v>
      </c>
      <c r="R108" s="2">
        <f>'Raw Data Cut 5'!J103</f>
        <v>0</v>
      </c>
      <c r="S108" s="2">
        <f>'Raw Data Cut 5'!K103</f>
        <v>0</v>
      </c>
      <c r="T108" s="2">
        <f>'Raw Data Cut 5'!N103</f>
        <v>0</v>
      </c>
      <c r="U108" s="2">
        <f t="shared" si="8"/>
        <v>0</v>
      </c>
      <c r="V108" s="12" t="str">
        <f>IF($T108=0, "", IF(COUNTIF('C00026'!$B$7:$B$41, $T108)=0, "Missing", "Y"))</f>
        <v/>
      </c>
      <c r="W108" s="1">
        <f t="shared" si="9"/>
        <v>0</v>
      </c>
    </row>
    <row r="109" spans="1:23" x14ac:dyDescent="0.25">
      <c r="A109" s="18" t="str">
        <f t="array" ref="A109">IFERROR(INDEX(S$7:S$300, SMALL(IF($V$7:$V$300="Missing", ROW(S34:S$300)-ROW(S34)+1), ROW(28:28))), "")</f>
        <v/>
      </c>
      <c r="B109" s="19" t="str">
        <f t="array" ref="B109">IFERROR(INDEX(T$7:T$300, SMALL(IF($V$7:$V$300="Missing", ROW(T34:T$300)-ROW(T34)+1), ROW(28:28))), "")</f>
        <v/>
      </c>
      <c r="C109" s="19" t="str">
        <f t="array" ref="C109">IFERROR(INDEX(R$7:R$300, SMALL(IF($V$7:$V$2300="Missing", ROW(R34:R$300)-ROW(R34)+1), ROW(28:28))), "")</f>
        <v/>
      </c>
      <c r="D109" s="19" t="str">
        <f t="array" ref="D109">IFERROR(INDEX(Q$7:Q$300, SMALL(IF($V$7:$V$300="Missing", ROW(Q34:Q$300)-ROW(Q34)+1), ROW(28:28))), "")</f>
        <v/>
      </c>
      <c r="E109" s="19" t="str">
        <f>IF(FalsePositives[[#This Row],[Gene]]="", "", IF(C109&lt;40,"Pass","Inspect"))</f>
        <v/>
      </c>
      <c r="F109" s="24"/>
      <c r="G109" s="26" t="str">
        <f t="array" ref="G109">IFERROR(VLOOKUP(B109,$T$7:$W$300,COLUMN($W$7:$W$300)-COLUMN($T$7:$W$300)+1,0), "")</f>
        <v/>
      </c>
      <c r="H109" s="33"/>
      <c r="J109" s="14">
        <f>'Raw Data Cut 5'!A104</f>
        <v>0</v>
      </c>
      <c r="K109" s="2">
        <f>'Raw Data Cut 5'!B104</f>
        <v>0</v>
      </c>
      <c r="L109" s="2">
        <f>'Raw Data Cut 5'!C104</f>
        <v>0</v>
      </c>
      <c r="M109" s="2">
        <f>'Raw Data Cut 5'!D104</f>
        <v>0</v>
      </c>
      <c r="N109" s="2">
        <f>'Raw Data Cut 5'!E104</f>
        <v>0</v>
      </c>
      <c r="O109" s="2">
        <f>'Raw Data Cut 5'!G104</f>
        <v>0</v>
      </c>
      <c r="P109" s="2">
        <f>'Raw Data Cut 5'!H104</f>
        <v>0</v>
      </c>
      <c r="Q109" s="2">
        <f>'Raw Data Cut 5'!I104</f>
        <v>0</v>
      </c>
      <c r="R109" s="2">
        <f>'Raw Data Cut 5'!J104</f>
        <v>0</v>
      </c>
      <c r="S109" s="2">
        <f>'Raw Data Cut 5'!K104</f>
        <v>0</v>
      </c>
      <c r="T109" s="2">
        <f>'Raw Data Cut 5'!N104</f>
        <v>0</v>
      </c>
      <c r="U109" s="2">
        <f t="shared" si="8"/>
        <v>0</v>
      </c>
      <c r="V109" s="12" t="str">
        <f>IF($T109=0, "", IF(COUNTIF('C00026'!$B$7:$B$41, $T109)=0, "Missing", "Y"))</f>
        <v/>
      </c>
      <c r="W109" s="1">
        <f t="shared" si="9"/>
        <v>0</v>
      </c>
    </row>
    <row r="110" spans="1:23" x14ac:dyDescent="0.25">
      <c r="A110" s="18" t="str">
        <f t="array" ref="A110">IFERROR(INDEX(S$7:S$300, SMALL(IF($V$7:$V$300="Missing", ROW(S35:S$300)-ROW(S35)+1), ROW(29:29))), "")</f>
        <v/>
      </c>
      <c r="B110" s="19" t="str">
        <f t="array" ref="B110">IFERROR(INDEX(T$7:T$300, SMALL(IF($V$7:$V$300="Missing", ROW(T35:T$300)-ROW(T35)+1), ROW(29:29))), "")</f>
        <v/>
      </c>
      <c r="C110" s="19" t="str">
        <f t="array" ref="C110">IFERROR(INDEX(R$7:R$300, SMALL(IF($V$7:$V$2300="Missing", ROW(R35:R$300)-ROW(R35)+1), ROW(29:29))), "")</f>
        <v/>
      </c>
      <c r="D110" s="19" t="str">
        <f t="array" ref="D110">IFERROR(INDEX(Q$7:Q$300, SMALL(IF($V$7:$V$300="Missing", ROW(Q35:Q$300)-ROW(Q35)+1), ROW(29:29))), "")</f>
        <v/>
      </c>
      <c r="E110" s="19" t="str">
        <f>IF(FalsePositives[[#This Row],[Gene]]="", "", IF(C110&lt;40,"Pass","Inspect"))</f>
        <v/>
      </c>
      <c r="F110" s="24"/>
      <c r="G110" s="26" t="str">
        <f t="array" ref="G110">IFERROR(VLOOKUP(B110,$T$7:$W$300,COLUMN($W$7:$W$300)-COLUMN($T$7:$W$300)+1,0), "")</f>
        <v/>
      </c>
      <c r="H110" s="33"/>
      <c r="J110" s="14">
        <f>'Raw Data Cut 5'!A105</f>
        <v>0</v>
      </c>
      <c r="K110" s="2">
        <f>'Raw Data Cut 5'!B105</f>
        <v>0</v>
      </c>
      <c r="L110" s="2">
        <f>'Raw Data Cut 5'!C105</f>
        <v>0</v>
      </c>
      <c r="M110" s="2">
        <f>'Raw Data Cut 5'!D105</f>
        <v>0</v>
      </c>
      <c r="N110" s="2">
        <f>'Raw Data Cut 5'!E105</f>
        <v>0</v>
      </c>
      <c r="O110" s="2">
        <f>'Raw Data Cut 5'!G105</f>
        <v>0</v>
      </c>
      <c r="P110" s="2">
        <f>'Raw Data Cut 5'!H105</f>
        <v>0</v>
      </c>
      <c r="Q110" s="2">
        <f>'Raw Data Cut 5'!I105</f>
        <v>0</v>
      </c>
      <c r="R110" s="2">
        <f>'Raw Data Cut 5'!J105</f>
        <v>0</v>
      </c>
      <c r="S110" s="2">
        <f>'Raw Data Cut 5'!K105</f>
        <v>0</v>
      </c>
      <c r="T110" s="2">
        <f>'Raw Data Cut 5'!N105</f>
        <v>0</v>
      </c>
      <c r="U110" s="2">
        <f t="shared" si="8"/>
        <v>0</v>
      </c>
      <c r="V110" s="12" t="str">
        <f>IF($T110=0, "", IF(COUNTIF('C00026'!$B$7:$B$41, $T110)=0, "Missing", "Y"))</f>
        <v/>
      </c>
      <c r="W110" s="1">
        <f t="shared" si="9"/>
        <v>0</v>
      </c>
    </row>
    <row r="111" spans="1:23" x14ac:dyDescent="0.25">
      <c r="A111" s="18" t="str">
        <f t="array" ref="A111">IFERROR(INDEX(S$7:S$300, SMALL(IF($V$7:$V$300="Missing", ROW(S36:S$300)-ROW(S36)+1), ROW(30:30))), "")</f>
        <v/>
      </c>
      <c r="B111" s="19" t="str">
        <f t="array" ref="B111">IFERROR(INDEX(T$7:T$300, SMALL(IF($V$7:$V$300="Missing", ROW(T36:T$300)-ROW(T36)+1), ROW(30:30))), "")</f>
        <v/>
      </c>
      <c r="C111" s="19" t="str">
        <f t="array" ref="C111">IFERROR(INDEX(R$7:R$300, SMALL(IF($V$7:$V$2300="Missing", ROW(R36:R$300)-ROW(R36)+1), ROW(30:30))), "")</f>
        <v/>
      </c>
      <c r="D111" s="19" t="str">
        <f t="array" ref="D111">IFERROR(INDEX(Q$7:Q$300, SMALL(IF($V$7:$V$300="Missing", ROW(Q36:Q$300)-ROW(Q36)+1), ROW(30:30))), "")</f>
        <v/>
      </c>
      <c r="E111" s="19" t="str">
        <f>IF(FalsePositives[[#This Row],[Gene]]="", "", IF(C111&lt;40,"Pass","Inspect"))</f>
        <v/>
      </c>
      <c r="F111" s="24"/>
      <c r="G111" s="26" t="str">
        <f t="array" ref="G111">IFERROR(VLOOKUP(B111,$T$7:$W$300,COLUMN($W$7:$W$300)-COLUMN($T$7:$W$300)+1,0), "")</f>
        <v/>
      </c>
      <c r="H111" s="33"/>
      <c r="J111" s="14">
        <f>'Raw Data Cut 5'!A106</f>
        <v>0</v>
      </c>
      <c r="K111" s="2">
        <f>'Raw Data Cut 5'!B106</f>
        <v>0</v>
      </c>
      <c r="L111" s="2">
        <f>'Raw Data Cut 5'!C106</f>
        <v>0</v>
      </c>
      <c r="M111" s="2">
        <f>'Raw Data Cut 5'!D106</f>
        <v>0</v>
      </c>
      <c r="N111" s="2">
        <f>'Raw Data Cut 5'!E106</f>
        <v>0</v>
      </c>
      <c r="O111" s="2">
        <f>'Raw Data Cut 5'!G106</f>
        <v>0</v>
      </c>
      <c r="P111" s="2">
        <f>'Raw Data Cut 5'!H106</f>
        <v>0</v>
      </c>
      <c r="Q111" s="2">
        <f>'Raw Data Cut 5'!I106</f>
        <v>0</v>
      </c>
      <c r="R111" s="2">
        <f>'Raw Data Cut 5'!J106</f>
        <v>0</v>
      </c>
      <c r="S111" s="2">
        <f>'Raw Data Cut 5'!K106</f>
        <v>0</v>
      </c>
      <c r="T111" s="2">
        <f>'Raw Data Cut 5'!N106</f>
        <v>0</v>
      </c>
      <c r="U111" s="2">
        <f t="shared" si="8"/>
        <v>0</v>
      </c>
      <c r="V111" s="12" t="str">
        <f>IF($T111=0, "", IF(COUNTIF('C00026'!$B$7:$B$41, $T111)=0, "Missing", "Y"))</f>
        <v/>
      </c>
      <c r="W111" s="1">
        <f t="shared" si="9"/>
        <v>0</v>
      </c>
    </row>
    <row r="112" spans="1:23" x14ac:dyDescent="0.25">
      <c r="A112" s="18" t="str">
        <f t="array" ref="A112">IFERROR(INDEX(S$7:S$300, SMALL(IF($V$7:$V$300="Missing", ROW(S37:S$300)-ROW(S37)+1), ROW(31:31))), "")</f>
        <v/>
      </c>
      <c r="B112" s="19" t="str">
        <f t="array" ref="B112">IFERROR(INDEX(T$7:T$300, SMALL(IF($V$7:$V$300="Missing", ROW(T37:T$300)-ROW(T37)+1), ROW(31:31))), "")</f>
        <v/>
      </c>
      <c r="C112" s="19" t="str">
        <f t="array" ref="C112">IFERROR(INDEX(R$7:R$300, SMALL(IF($V$7:$V$2300="Missing", ROW(R37:R$300)-ROW(R37)+1), ROW(31:31))), "")</f>
        <v/>
      </c>
      <c r="D112" s="19" t="str">
        <f t="array" ref="D112">IFERROR(INDEX(Q$7:Q$300, SMALL(IF($V$7:$V$300="Missing", ROW(Q37:Q$300)-ROW(Q37)+1), ROW(31:31))), "")</f>
        <v/>
      </c>
      <c r="E112" s="19" t="str">
        <f>IF(FalsePositives[[#This Row],[Gene]]="", "", IF(C112&lt;40,"Pass","Inspect"))</f>
        <v/>
      </c>
      <c r="F112" s="24"/>
      <c r="G112" s="26" t="str">
        <f t="array" ref="G112">IFERROR(VLOOKUP(B112,$T$7:$W$300,COLUMN($W$7:$W$300)-COLUMN($T$7:$W$300)+1,0), "")</f>
        <v/>
      </c>
      <c r="H112" s="33"/>
      <c r="J112" s="14">
        <f>'Raw Data Cut 5'!A107</f>
        <v>0</v>
      </c>
      <c r="K112" s="2">
        <f>'Raw Data Cut 5'!B107</f>
        <v>0</v>
      </c>
      <c r="L112" s="2">
        <f>'Raw Data Cut 5'!C107</f>
        <v>0</v>
      </c>
      <c r="M112" s="2">
        <f>'Raw Data Cut 5'!D107</f>
        <v>0</v>
      </c>
      <c r="N112" s="2">
        <f>'Raw Data Cut 5'!E107</f>
        <v>0</v>
      </c>
      <c r="O112" s="2">
        <f>'Raw Data Cut 5'!G107</f>
        <v>0</v>
      </c>
      <c r="P112" s="2">
        <f>'Raw Data Cut 5'!H107</f>
        <v>0</v>
      </c>
      <c r="Q112" s="2">
        <f>'Raw Data Cut 5'!I107</f>
        <v>0</v>
      </c>
      <c r="R112" s="2">
        <f>'Raw Data Cut 5'!J107</f>
        <v>0</v>
      </c>
      <c r="S112" s="2">
        <f>'Raw Data Cut 5'!K107</f>
        <v>0</v>
      </c>
      <c r="T112" s="2">
        <f>'Raw Data Cut 5'!N107</f>
        <v>0</v>
      </c>
      <c r="U112" s="2">
        <f t="shared" si="8"/>
        <v>0</v>
      </c>
      <c r="V112" s="12" t="str">
        <f>IF($T112=0, "", IF(COUNTIF('C00026'!$B$7:$B$41, $T112)=0, "Missing", "Y"))</f>
        <v/>
      </c>
      <c r="W112" s="1">
        <f t="shared" si="9"/>
        <v>0</v>
      </c>
    </row>
    <row r="113" spans="1:23" x14ac:dyDescent="0.25">
      <c r="A113" s="18" t="str">
        <f t="array" ref="A113">IFERROR(INDEX(S$7:S$300, SMALL(IF($V$7:$V$300="Missing", ROW(S38:S$300)-ROW(S38)+1), ROW(32:32))), "")</f>
        <v/>
      </c>
      <c r="B113" s="19" t="str">
        <f t="array" ref="B113">IFERROR(INDEX(T$7:T$300, SMALL(IF($V$7:$V$300="Missing", ROW(T38:T$300)-ROW(T38)+1), ROW(32:32))), "")</f>
        <v/>
      </c>
      <c r="C113" s="19" t="str">
        <f t="array" ref="C113">IFERROR(INDEX(R$7:R$300, SMALL(IF($V$7:$V$2300="Missing", ROW(R38:R$300)-ROW(R38)+1), ROW(32:32))), "")</f>
        <v/>
      </c>
      <c r="D113" s="19" t="str">
        <f t="array" ref="D113">IFERROR(INDEX(Q$7:Q$300, SMALL(IF($V$7:$V$300="Missing", ROW(Q38:Q$300)-ROW(Q38)+1), ROW(32:32))), "")</f>
        <v/>
      </c>
      <c r="E113" s="19" t="str">
        <f>IF(FalsePositives[[#This Row],[Gene]]="", "", IF(C113&lt;40,"Pass","Inspect"))</f>
        <v/>
      </c>
      <c r="F113" s="24"/>
      <c r="G113" s="26" t="str">
        <f t="array" ref="G113">IFERROR(VLOOKUP(B113,$T$7:$W$300,COLUMN($W$7:$W$300)-COLUMN($T$7:$W$300)+1,0), "")</f>
        <v/>
      </c>
      <c r="H113" s="33"/>
      <c r="J113" s="14">
        <f>'Raw Data Cut 5'!A108</f>
        <v>0</v>
      </c>
      <c r="K113" s="2">
        <f>'Raw Data Cut 5'!B108</f>
        <v>0</v>
      </c>
      <c r="L113" s="2">
        <f>'Raw Data Cut 5'!C108</f>
        <v>0</v>
      </c>
      <c r="M113" s="2">
        <f>'Raw Data Cut 5'!D108</f>
        <v>0</v>
      </c>
      <c r="N113" s="2">
        <f>'Raw Data Cut 5'!E108</f>
        <v>0</v>
      </c>
      <c r="O113" s="2">
        <f>'Raw Data Cut 5'!G108</f>
        <v>0</v>
      </c>
      <c r="P113" s="2">
        <f>'Raw Data Cut 5'!H108</f>
        <v>0</v>
      </c>
      <c r="Q113" s="2">
        <f>'Raw Data Cut 5'!I108</f>
        <v>0</v>
      </c>
      <c r="R113" s="2">
        <f>'Raw Data Cut 5'!J108</f>
        <v>0</v>
      </c>
      <c r="S113" s="2">
        <f>'Raw Data Cut 5'!K108</f>
        <v>0</v>
      </c>
      <c r="T113" s="2">
        <f>'Raw Data Cut 5'!N108</f>
        <v>0</v>
      </c>
      <c r="U113" s="2">
        <f t="shared" si="8"/>
        <v>0</v>
      </c>
      <c r="V113" s="12" t="str">
        <f>IF($T113=0, "", IF(COUNTIF('C00026'!$B$7:$B$41, $T113)=0, "Missing", "Y"))</f>
        <v/>
      </c>
      <c r="W113" s="1">
        <f t="shared" si="9"/>
        <v>0</v>
      </c>
    </row>
    <row r="114" spans="1:23" x14ac:dyDescent="0.25">
      <c r="A114" s="18" t="str">
        <f t="array" ref="A114">IFERROR(INDEX(S$7:S$300, SMALL(IF($V$7:$V$300="Missing", ROW(S39:S$300)-ROW(S39)+1), ROW(33:33))), "")</f>
        <v/>
      </c>
      <c r="B114" s="19" t="str">
        <f t="array" ref="B114">IFERROR(INDEX(T$7:T$300, SMALL(IF($V$7:$V$300="Missing", ROW(T39:T$300)-ROW(T39)+1), ROW(33:33))), "")</f>
        <v/>
      </c>
      <c r="C114" s="19" t="str">
        <f t="array" ref="C114">IFERROR(INDEX(R$7:R$300, SMALL(IF($V$7:$V$2300="Missing", ROW(R39:R$300)-ROW(R39)+1), ROW(33:33))), "")</f>
        <v/>
      </c>
      <c r="D114" s="19" t="str">
        <f t="array" ref="D114">IFERROR(INDEX(Q$7:Q$300, SMALL(IF($V$7:$V$300="Missing", ROW(Q39:Q$300)-ROW(Q39)+1), ROW(33:33))), "")</f>
        <v/>
      </c>
      <c r="E114" s="19" t="str">
        <f>IF(FalsePositives[[#This Row],[Gene]]="", "", IF(C114&lt;40,"Pass","Inspect"))</f>
        <v/>
      </c>
      <c r="F114" s="24"/>
      <c r="G114" s="26" t="str">
        <f t="array" ref="G114">IFERROR(VLOOKUP(B114,$T$7:$W$300,COLUMN($W$7:$W$300)-COLUMN($T$7:$W$300)+1,0), "")</f>
        <v/>
      </c>
      <c r="H114" s="33"/>
      <c r="J114" s="14">
        <f>'Raw Data Cut 5'!A109</f>
        <v>0</v>
      </c>
      <c r="K114" s="2">
        <f>'Raw Data Cut 5'!B109</f>
        <v>0</v>
      </c>
      <c r="L114" s="2">
        <f>'Raw Data Cut 5'!C109</f>
        <v>0</v>
      </c>
      <c r="M114" s="2">
        <f>'Raw Data Cut 5'!D109</f>
        <v>0</v>
      </c>
      <c r="N114" s="2">
        <f>'Raw Data Cut 5'!E109</f>
        <v>0</v>
      </c>
      <c r="O114" s="2">
        <f>'Raw Data Cut 5'!G109</f>
        <v>0</v>
      </c>
      <c r="P114" s="2">
        <f>'Raw Data Cut 5'!H109</f>
        <v>0</v>
      </c>
      <c r="Q114" s="2">
        <f>'Raw Data Cut 5'!I109</f>
        <v>0</v>
      </c>
      <c r="R114" s="2">
        <f>'Raw Data Cut 5'!J109</f>
        <v>0</v>
      </c>
      <c r="S114" s="2">
        <f>'Raw Data Cut 5'!K109</f>
        <v>0</v>
      </c>
      <c r="T114" s="2">
        <f>'Raw Data Cut 5'!N109</f>
        <v>0</v>
      </c>
      <c r="U114" s="2">
        <f t="shared" si="8"/>
        <v>0</v>
      </c>
      <c r="V114" s="12" t="str">
        <f>IF($T114=0, "", IF(COUNTIF('C00026'!$B$7:$B$41, $T114)=0, "Missing", "Y"))</f>
        <v/>
      </c>
      <c r="W114" s="1">
        <f t="shared" si="9"/>
        <v>0</v>
      </c>
    </row>
    <row r="115" spans="1:23" x14ac:dyDescent="0.25">
      <c r="A115" s="18" t="str">
        <f t="array" ref="A115">IFERROR(INDEX(S$7:S$300, SMALL(IF($V$7:$V$300="Missing", ROW(S40:S$300)-ROW(S40)+1), ROW(34:34))), "")</f>
        <v/>
      </c>
      <c r="B115" s="19" t="str">
        <f t="array" ref="B115">IFERROR(INDEX(T$7:T$300, SMALL(IF($V$7:$V$300="Missing", ROW(T40:T$300)-ROW(T40)+1), ROW(34:34))), "")</f>
        <v/>
      </c>
      <c r="C115" s="19" t="str">
        <f t="array" ref="C115">IFERROR(INDEX(R$7:R$300, SMALL(IF($V$7:$V$2300="Missing", ROW(R40:R$300)-ROW(R40)+1), ROW(34:34))), "")</f>
        <v/>
      </c>
      <c r="D115" s="19" t="str">
        <f t="array" ref="D115">IFERROR(INDEX(Q$7:Q$300, SMALL(IF($V$7:$V$300="Missing", ROW(Q40:Q$300)-ROW(Q40)+1), ROW(34:34))), "")</f>
        <v/>
      </c>
      <c r="E115" s="19" t="str">
        <f>IF(FalsePositives[[#This Row],[Gene]]="", "", IF(C115&lt;40,"Pass","Inspect"))</f>
        <v/>
      </c>
      <c r="F115" s="24"/>
      <c r="G115" s="26" t="str">
        <f t="array" ref="G115">IFERROR(VLOOKUP(B115,$T$7:$W$300,COLUMN($W$7:$W$300)-COLUMN($T$7:$W$300)+1,0), "")</f>
        <v/>
      </c>
      <c r="H115" s="33"/>
      <c r="J115" s="14">
        <f>'Raw Data Cut 5'!A110</f>
        <v>0</v>
      </c>
      <c r="K115" s="2">
        <f>'Raw Data Cut 5'!B110</f>
        <v>0</v>
      </c>
      <c r="L115" s="2">
        <f>'Raw Data Cut 5'!C110</f>
        <v>0</v>
      </c>
      <c r="M115" s="2">
        <f>'Raw Data Cut 5'!D110</f>
        <v>0</v>
      </c>
      <c r="N115" s="2">
        <f>'Raw Data Cut 5'!E110</f>
        <v>0</v>
      </c>
      <c r="O115" s="2">
        <f>'Raw Data Cut 5'!G110</f>
        <v>0</v>
      </c>
      <c r="P115" s="2">
        <f>'Raw Data Cut 5'!H110</f>
        <v>0</v>
      </c>
      <c r="Q115" s="2">
        <f>'Raw Data Cut 5'!I110</f>
        <v>0</v>
      </c>
      <c r="R115" s="2">
        <f>'Raw Data Cut 5'!J110</f>
        <v>0</v>
      </c>
      <c r="S115" s="2">
        <f>'Raw Data Cut 5'!K110</f>
        <v>0</v>
      </c>
      <c r="T115" s="2">
        <f>'Raw Data Cut 5'!N110</f>
        <v>0</v>
      </c>
      <c r="U115" s="2">
        <f t="shared" si="8"/>
        <v>0</v>
      </c>
      <c r="V115" s="12" t="str">
        <f>IF($T115=0, "", IF(COUNTIF('C00026'!$B$7:$B$41, $T115)=0, "Missing", "Y"))</f>
        <v/>
      </c>
      <c r="W115" s="1">
        <f t="shared" si="9"/>
        <v>0</v>
      </c>
    </row>
    <row r="116" spans="1:23" x14ac:dyDescent="0.25">
      <c r="A116" s="18" t="str">
        <f t="array" ref="A116">IFERROR(INDEX(S$7:S$300, SMALL(IF($V$7:$V$300="Missing", ROW(S41:S$300)-ROW(S41)+1), ROW(35:35))), "")</f>
        <v/>
      </c>
      <c r="B116" s="19" t="str">
        <f t="array" ref="B116">IFERROR(INDEX(T$7:T$300, SMALL(IF($V$7:$V$300="Missing", ROW(T41:T$300)-ROW(T41)+1), ROW(35:35))), "")</f>
        <v/>
      </c>
      <c r="C116" s="19" t="str">
        <f t="array" ref="C116">IFERROR(INDEX(R$7:R$300, SMALL(IF($V$7:$V$2300="Missing", ROW(R41:R$300)-ROW(R41)+1), ROW(35:35))), "")</f>
        <v/>
      </c>
      <c r="D116" s="19" t="str">
        <f t="array" ref="D116">IFERROR(INDEX(Q$7:Q$300, SMALL(IF($V$7:$V$300="Missing", ROW(Q41:Q$300)-ROW(Q41)+1), ROW(35:35))), "")</f>
        <v/>
      </c>
      <c r="E116" s="19" t="str">
        <f>IF(FalsePositives[[#This Row],[Gene]]="", "", IF(C116&lt;40,"Pass","Inspect"))</f>
        <v/>
      </c>
      <c r="F116" s="24"/>
      <c r="G116" s="26" t="str">
        <f t="array" ref="G116">IFERROR(VLOOKUP(B116,$T$7:$W$300,COLUMN($W$7:$W$300)-COLUMN($T$7:$W$300)+1,0), "")</f>
        <v/>
      </c>
      <c r="H116" s="33"/>
      <c r="J116" s="14">
        <f>'Raw Data Cut 5'!A111</f>
        <v>0</v>
      </c>
      <c r="K116" s="2">
        <f>'Raw Data Cut 5'!B111</f>
        <v>0</v>
      </c>
      <c r="L116" s="2">
        <f>'Raw Data Cut 5'!C111</f>
        <v>0</v>
      </c>
      <c r="M116" s="2">
        <f>'Raw Data Cut 5'!D111</f>
        <v>0</v>
      </c>
      <c r="N116" s="2">
        <f>'Raw Data Cut 5'!E111</f>
        <v>0</v>
      </c>
      <c r="O116" s="2">
        <f>'Raw Data Cut 5'!G111</f>
        <v>0</v>
      </c>
      <c r="P116" s="2">
        <f>'Raw Data Cut 5'!H111</f>
        <v>0</v>
      </c>
      <c r="Q116" s="2">
        <f>'Raw Data Cut 5'!I111</f>
        <v>0</v>
      </c>
      <c r="R116" s="2">
        <f>'Raw Data Cut 5'!J111</f>
        <v>0</v>
      </c>
      <c r="S116" s="2">
        <f>'Raw Data Cut 5'!K111</f>
        <v>0</v>
      </c>
      <c r="T116" s="2">
        <f>'Raw Data Cut 5'!N111</f>
        <v>0</v>
      </c>
      <c r="U116" s="2">
        <f t="shared" si="8"/>
        <v>0</v>
      </c>
      <c r="V116" s="12" t="str">
        <f>IF($T116=0, "", IF(COUNTIF('C00026'!$B$7:$B$41, $T116)=0, "Missing", "Y"))</f>
        <v/>
      </c>
      <c r="W116" s="1">
        <f t="shared" si="9"/>
        <v>0</v>
      </c>
    </row>
    <row r="117" spans="1:23" x14ac:dyDescent="0.25">
      <c r="A117" s="18" t="str">
        <f t="array" ref="A117">IFERROR(INDEX(S$7:S$300, SMALL(IF($V$7:$V$300="Missing", ROW(S42:S$300)-ROW(S42)+1), ROW(36:36))), "")</f>
        <v/>
      </c>
      <c r="B117" s="19" t="str">
        <f t="array" ref="B117">IFERROR(INDEX(T$7:T$300, SMALL(IF($V$7:$V$300="Missing", ROW(T42:T$300)-ROW(T42)+1), ROW(36:36))), "")</f>
        <v/>
      </c>
      <c r="C117" s="19" t="str">
        <f t="array" ref="C117">IFERROR(INDEX(R$7:R$300, SMALL(IF($V$7:$V$2300="Missing", ROW(R42:R$300)-ROW(R42)+1), ROW(36:36))), "")</f>
        <v/>
      </c>
      <c r="D117" s="19" t="str">
        <f t="array" ref="D117">IFERROR(INDEX(Q$7:Q$300, SMALL(IF($V$7:$V$300="Missing", ROW(Q42:Q$300)-ROW(Q42)+1), ROW(36:36))), "")</f>
        <v/>
      </c>
      <c r="E117" s="19" t="str">
        <f>IF(FalsePositives[[#This Row],[Gene]]="", "", IF(C117&lt;40,"Pass","Inspect"))</f>
        <v/>
      </c>
      <c r="F117" s="24"/>
      <c r="G117" s="26" t="str">
        <f t="array" ref="G117">IFERROR(VLOOKUP(B117,$T$7:$W$300,COLUMN($W$7:$W$300)-COLUMN($T$7:$W$300)+1,0), "")</f>
        <v/>
      </c>
      <c r="H117" s="33"/>
      <c r="J117" s="14">
        <f>'Raw Data Cut 5'!A112</f>
        <v>0</v>
      </c>
      <c r="K117" s="2">
        <f>'Raw Data Cut 5'!B112</f>
        <v>0</v>
      </c>
      <c r="L117" s="2">
        <f>'Raw Data Cut 5'!C112</f>
        <v>0</v>
      </c>
      <c r="M117" s="2">
        <f>'Raw Data Cut 5'!D112</f>
        <v>0</v>
      </c>
      <c r="N117" s="2">
        <f>'Raw Data Cut 5'!E112</f>
        <v>0</v>
      </c>
      <c r="O117" s="2">
        <f>'Raw Data Cut 5'!G112</f>
        <v>0</v>
      </c>
      <c r="P117" s="2">
        <f>'Raw Data Cut 5'!H112</f>
        <v>0</v>
      </c>
      <c r="Q117" s="2">
        <f>'Raw Data Cut 5'!I112</f>
        <v>0</v>
      </c>
      <c r="R117" s="2">
        <f>'Raw Data Cut 5'!J112</f>
        <v>0</v>
      </c>
      <c r="S117" s="2">
        <f>'Raw Data Cut 5'!K112</f>
        <v>0</v>
      </c>
      <c r="T117" s="2">
        <f>'Raw Data Cut 5'!N112</f>
        <v>0</v>
      </c>
      <c r="U117" s="2">
        <f t="shared" si="8"/>
        <v>0</v>
      </c>
      <c r="V117" s="12" t="str">
        <f>IF($T117=0, "", IF(COUNTIF('C00026'!$B$7:$B$41, $T117)=0, "Missing", "Y"))</f>
        <v/>
      </c>
      <c r="W117" s="1">
        <f t="shared" si="9"/>
        <v>0</v>
      </c>
    </row>
    <row r="118" spans="1:23" x14ac:dyDescent="0.25">
      <c r="A118" s="18" t="str">
        <f t="array" ref="A118">IFERROR(INDEX(S$7:S$300, SMALL(IF($V$7:$V$300="Missing", ROW(S43:S$300)-ROW(S43)+1), ROW(37:37))), "")</f>
        <v/>
      </c>
      <c r="B118" s="19" t="str">
        <f t="array" ref="B118">IFERROR(INDEX(T$7:T$300, SMALL(IF($V$7:$V$300="Missing", ROW(T43:T$300)-ROW(T43)+1), ROW(37:37))), "")</f>
        <v/>
      </c>
      <c r="C118" s="19" t="str">
        <f t="array" ref="C118">IFERROR(INDEX(R$7:R$300, SMALL(IF($V$7:$V$2300="Missing", ROW(R43:R$300)-ROW(R43)+1), ROW(37:37))), "")</f>
        <v/>
      </c>
      <c r="D118" s="19" t="str">
        <f t="array" ref="D118">IFERROR(INDEX(Q$7:Q$300, SMALL(IF($V$7:$V$300="Missing", ROW(Q43:Q$300)-ROW(Q43)+1), ROW(37:37))), "")</f>
        <v/>
      </c>
      <c r="E118" s="19" t="str">
        <f>IF(FalsePositives[[#This Row],[Gene]]="", "", IF(C118&lt;40,"Pass","Inspect"))</f>
        <v/>
      </c>
      <c r="F118" s="24"/>
      <c r="G118" s="26" t="str">
        <f t="array" ref="G118">IFERROR(VLOOKUP(B118,$T$7:$W$300,COLUMN($W$7:$W$300)-COLUMN($T$7:$W$300)+1,0), "")</f>
        <v/>
      </c>
      <c r="H118" s="33"/>
      <c r="J118" s="14">
        <f>'Raw Data Cut 5'!A113</f>
        <v>0</v>
      </c>
      <c r="K118" s="2">
        <f>'Raw Data Cut 5'!B113</f>
        <v>0</v>
      </c>
      <c r="L118" s="2">
        <f>'Raw Data Cut 5'!C113</f>
        <v>0</v>
      </c>
      <c r="M118" s="2">
        <f>'Raw Data Cut 5'!D113</f>
        <v>0</v>
      </c>
      <c r="N118" s="2">
        <f>'Raw Data Cut 5'!E113</f>
        <v>0</v>
      </c>
      <c r="O118" s="2">
        <f>'Raw Data Cut 5'!G113</f>
        <v>0</v>
      </c>
      <c r="P118" s="2">
        <f>'Raw Data Cut 5'!H113</f>
        <v>0</v>
      </c>
      <c r="Q118" s="2">
        <f>'Raw Data Cut 5'!I113</f>
        <v>0</v>
      </c>
      <c r="R118" s="2">
        <f>'Raw Data Cut 5'!J113</f>
        <v>0</v>
      </c>
      <c r="S118" s="2">
        <f>'Raw Data Cut 5'!K113</f>
        <v>0</v>
      </c>
      <c r="T118" s="2">
        <f>'Raw Data Cut 5'!N113</f>
        <v>0</v>
      </c>
      <c r="U118" s="2">
        <f t="shared" si="8"/>
        <v>0</v>
      </c>
      <c r="V118" s="12" t="str">
        <f>IF($T118=0, "", IF(COUNTIF('C00026'!$B$7:$B$41, $T118)=0, "Missing", "Y"))</f>
        <v/>
      </c>
      <c r="W118" s="1">
        <f t="shared" si="9"/>
        <v>0</v>
      </c>
    </row>
    <row r="119" spans="1:23" x14ac:dyDescent="0.25">
      <c r="A119" s="18" t="str">
        <f t="array" ref="A119">IFERROR(INDEX(S$7:S$300, SMALL(IF($V$7:$V$300="Missing", ROW(S44:S$300)-ROW(S44)+1), ROW(38:38))), "")</f>
        <v/>
      </c>
      <c r="B119" s="19" t="str">
        <f t="array" ref="B119">IFERROR(INDEX(T$7:T$300, SMALL(IF($V$7:$V$300="Missing", ROW(T44:T$300)-ROW(T44)+1), ROW(38:38))), "")</f>
        <v/>
      </c>
      <c r="C119" s="19" t="str">
        <f t="array" ref="C119">IFERROR(INDEX(R$7:R$300, SMALL(IF($V$7:$V$2300="Missing", ROW(R44:R$300)-ROW(R44)+1), ROW(38:38))), "")</f>
        <v/>
      </c>
      <c r="D119" s="19" t="str">
        <f t="array" ref="D119">IFERROR(INDEX(Q$7:Q$300, SMALL(IF($V$7:$V$300="Missing", ROW(Q44:Q$300)-ROW(Q44)+1), ROW(38:38))), "")</f>
        <v/>
      </c>
      <c r="E119" s="19" t="str">
        <f>IF(FalsePositives[[#This Row],[Gene]]="", "", IF(C119&lt;40,"Pass","Inspect"))</f>
        <v/>
      </c>
      <c r="F119" s="24"/>
      <c r="G119" s="26" t="str">
        <f t="array" ref="G119">IFERROR(VLOOKUP(B119,$T$7:$W$300,COLUMN($W$7:$W$300)-COLUMN($T$7:$W$300)+1,0), "")</f>
        <v/>
      </c>
      <c r="H119" s="33"/>
      <c r="J119" s="14">
        <f>'Raw Data Cut 5'!A114</f>
        <v>0</v>
      </c>
      <c r="K119" s="2">
        <f>'Raw Data Cut 5'!B114</f>
        <v>0</v>
      </c>
      <c r="L119" s="2">
        <f>'Raw Data Cut 5'!C114</f>
        <v>0</v>
      </c>
      <c r="M119" s="2">
        <f>'Raw Data Cut 5'!D114</f>
        <v>0</v>
      </c>
      <c r="N119" s="2">
        <f>'Raw Data Cut 5'!E114</f>
        <v>0</v>
      </c>
      <c r="O119" s="2">
        <f>'Raw Data Cut 5'!G114</f>
        <v>0</v>
      </c>
      <c r="P119" s="2">
        <f>'Raw Data Cut 5'!H114</f>
        <v>0</v>
      </c>
      <c r="Q119" s="2">
        <f>'Raw Data Cut 5'!I114</f>
        <v>0</v>
      </c>
      <c r="R119" s="2">
        <f>'Raw Data Cut 5'!J114</f>
        <v>0</v>
      </c>
      <c r="S119" s="2">
        <f>'Raw Data Cut 5'!K114</f>
        <v>0</v>
      </c>
      <c r="T119" s="2">
        <f>'Raw Data Cut 5'!N114</f>
        <v>0</v>
      </c>
      <c r="U119" s="2">
        <f t="shared" ref="U119:U120" si="10">Q119</f>
        <v>0</v>
      </c>
      <c r="V119" s="12" t="str">
        <f>IF($T119=0, "", IF(COUNTIF('C00026'!$B$7:$B$41, $T119)=0, "Missing", "Y"))</f>
        <v/>
      </c>
      <c r="W119" s="1">
        <f t="shared" ref="W119:W120" si="11">K119</f>
        <v>0</v>
      </c>
    </row>
    <row r="120" spans="1:23" x14ac:dyDescent="0.25">
      <c r="A120" s="18" t="str">
        <f t="array" ref="A120">IFERROR(INDEX(S$7:S$300, SMALL(IF($V$7:$V$300="Missing", ROW(S45:S$300)-ROW(S45)+1), ROW(39:39))), "")</f>
        <v/>
      </c>
      <c r="B120" s="19" t="str">
        <f t="array" ref="B120">IFERROR(INDEX(T$7:T$300, SMALL(IF($V$7:$V$300="Missing", ROW(T45:T$300)-ROW(T45)+1), ROW(39:39))), "")</f>
        <v/>
      </c>
      <c r="C120" s="19" t="str">
        <f t="array" ref="C120">IFERROR(INDEX(R$7:R$300, SMALL(IF($V$7:$V$2300="Missing", ROW(R45:R$300)-ROW(R45)+1), ROW(39:39))), "")</f>
        <v/>
      </c>
      <c r="D120" s="19" t="str">
        <f t="array" ref="D120">IFERROR(INDEX(Q$7:Q$300, SMALL(IF($V$7:$V$300="Missing", ROW(Q45:Q$300)-ROW(Q45)+1), ROW(39:39))), "")</f>
        <v/>
      </c>
      <c r="E120" s="19" t="str">
        <f>IF(FalsePositives[[#This Row],[Gene]]="", "", IF(C120&lt;40,"Pass","Inspect"))</f>
        <v/>
      </c>
      <c r="F120" s="24"/>
      <c r="G120" s="26" t="str">
        <f t="array" ref="G120">IFERROR(VLOOKUP(B120,$T$7:$W$300,COLUMN($W$7:$W$300)-COLUMN($T$7:$W$300)+1,0), "")</f>
        <v/>
      </c>
      <c r="H120" s="33"/>
      <c r="J120" s="14">
        <f>'Raw Data Cut 5'!A115</f>
        <v>0</v>
      </c>
      <c r="K120" s="2">
        <f>'Raw Data Cut 5'!B115</f>
        <v>0</v>
      </c>
      <c r="L120" s="2">
        <f>'Raw Data Cut 5'!C115</f>
        <v>0</v>
      </c>
      <c r="M120" s="2">
        <f>'Raw Data Cut 5'!D115</f>
        <v>0</v>
      </c>
      <c r="N120" s="2">
        <f>'Raw Data Cut 5'!E115</f>
        <v>0</v>
      </c>
      <c r="O120" s="2">
        <f>'Raw Data Cut 5'!G115</f>
        <v>0</v>
      </c>
      <c r="P120" s="2">
        <f>'Raw Data Cut 5'!H115</f>
        <v>0</v>
      </c>
      <c r="Q120" s="2">
        <f>'Raw Data Cut 5'!I115</f>
        <v>0</v>
      </c>
      <c r="R120" s="2">
        <f>'Raw Data Cut 5'!J115</f>
        <v>0</v>
      </c>
      <c r="S120" s="2">
        <f>'Raw Data Cut 5'!K115</f>
        <v>0</v>
      </c>
      <c r="T120" s="2">
        <f>'Raw Data Cut 5'!N115</f>
        <v>0</v>
      </c>
      <c r="U120" s="2">
        <f t="shared" si="10"/>
        <v>0</v>
      </c>
      <c r="V120" s="12" t="str">
        <f>IF($T120=0, "", IF(COUNTIF('C00026'!$B$7:$B$41, $T120)=0, "Missing", "Y"))</f>
        <v/>
      </c>
      <c r="W120" s="1">
        <f t="shared" si="11"/>
        <v>0</v>
      </c>
    </row>
    <row r="121" spans="1:23" x14ac:dyDescent="0.25">
      <c r="A121" s="18" t="str">
        <f t="array" ref="A121">IFERROR(INDEX(S$7:S$300, SMALL(IF($V$7:$V$300="Missing", ROW(S46:S$300)-ROW(S46)+1), ROW(40:40))), "")</f>
        <v/>
      </c>
      <c r="B121" s="19" t="str">
        <f t="array" ref="B121">IFERROR(INDEX(T$7:T$300, SMALL(IF($V$7:$V$300="Missing", ROW(T46:T$300)-ROW(T46)+1), ROW(40:40))), "")</f>
        <v/>
      </c>
      <c r="C121" s="19" t="str">
        <f t="array" ref="C121">IFERROR(INDEX(R$7:R$300, SMALL(IF($V$7:$V$2300="Missing", ROW(R46:R$300)-ROW(R46)+1), ROW(40:40))), "")</f>
        <v/>
      </c>
      <c r="D121" s="19" t="str">
        <f t="array" ref="D121">IFERROR(INDEX(Q$7:Q$300, SMALL(IF($V$7:$V$300="Missing", ROW(Q46:Q$300)-ROW(Q46)+1), ROW(40:40))), "")</f>
        <v/>
      </c>
      <c r="E121" s="19" t="str">
        <f>IF(FalsePositives[[#This Row],[Gene]]="", "", IF(C121&lt;40,"Pass","Inspect"))</f>
        <v/>
      </c>
      <c r="F121" s="24"/>
      <c r="G121" s="26" t="str">
        <f t="array" ref="G121">IFERROR(VLOOKUP(B121,$T$7:$W$300,COLUMN($W$7:$W$300)-COLUMN($T$7:$W$300)+1,0), "")</f>
        <v/>
      </c>
      <c r="H121" s="33"/>
      <c r="J121" s="14">
        <f>'Raw Data Cut 5'!A116</f>
        <v>0</v>
      </c>
      <c r="K121" s="2">
        <f>'Raw Data Cut 5'!B116</f>
        <v>0</v>
      </c>
      <c r="L121" s="2">
        <f>'Raw Data Cut 5'!C116</f>
        <v>0</v>
      </c>
      <c r="M121" s="2">
        <f>'Raw Data Cut 5'!D116</f>
        <v>0</v>
      </c>
      <c r="N121" s="2">
        <f>'Raw Data Cut 5'!E116</f>
        <v>0</v>
      </c>
      <c r="O121" s="2">
        <f>'Raw Data Cut 5'!G116</f>
        <v>0</v>
      </c>
      <c r="P121" s="2">
        <f>'Raw Data Cut 5'!H116</f>
        <v>0</v>
      </c>
      <c r="Q121" s="2">
        <f>'Raw Data Cut 5'!I116</f>
        <v>0</v>
      </c>
      <c r="R121" s="2">
        <f>'Raw Data Cut 5'!J116</f>
        <v>0</v>
      </c>
      <c r="S121" s="2">
        <f>'Raw Data Cut 5'!K116</f>
        <v>0</v>
      </c>
      <c r="T121" s="2">
        <f>'Raw Data Cut 5'!N116</f>
        <v>0</v>
      </c>
      <c r="U121" s="2">
        <f t="shared" ref="U121:U130" si="12">Q121</f>
        <v>0</v>
      </c>
      <c r="V121" s="12" t="str">
        <f>IF($T121=0, "", IF(COUNTIF('C00026'!$B$7:$B$41, $T121)=0, "Missing", "Y"))</f>
        <v/>
      </c>
      <c r="W121" s="1">
        <f t="shared" ref="W121:W130" si="13">K121</f>
        <v>0</v>
      </c>
    </row>
    <row r="122" spans="1:23" x14ac:dyDescent="0.25">
      <c r="A122" s="18" t="str">
        <f t="array" ref="A122">IFERROR(INDEX(S$7:S$300, SMALL(IF($V$7:$V$300="Missing", ROW(S47:S$300)-ROW(S47)+1), ROW(41:41))), "")</f>
        <v/>
      </c>
      <c r="B122" s="19" t="str">
        <f t="array" ref="B122">IFERROR(INDEX(T$7:T$300, SMALL(IF($V$7:$V$300="Missing", ROW(T47:T$300)-ROW(T47)+1), ROW(41:41))), "")</f>
        <v/>
      </c>
      <c r="C122" s="19" t="str">
        <f t="array" ref="C122">IFERROR(INDEX(R$7:R$300, SMALL(IF($V$7:$V$2300="Missing", ROW(R47:R$300)-ROW(R47)+1), ROW(41:41))), "")</f>
        <v/>
      </c>
      <c r="D122" s="19" t="str">
        <f t="array" ref="D122">IFERROR(INDEX(Q$7:Q$300, SMALL(IF($V$7:$V$300="Missing", ROW(Q47:Q$300)-ROW(Q47)+1), ROW(41:41))), "")</f>
        <v/>
      </c>
      <c r="E122" s="19" t="str">
        <f>IF(FalsePositives[[#This Row],[Gene]]="", "", IF(C122&lt;40,"Pass","Inspect"))</f>
        <v/>
      </c>
      <c r="F122" s="24"/>
      <c r="G122" s="26" t="str">
        <f t="array" ref="G122">IFERROR(VLOOKUP(B122,$T$7:$W$300,COLUMN($W$7:$W$300)-COLUMN($T$7:$W$300)+1,0), "")</f>
        <v/>
      </c>
      <c r="H122" s="33"/>
      <c r="J122" s="14">
        <f>'Raw Data Cut 5'!A117</f>
        <v>0</v>
      </c>
      <c r="K122" s="2">
        <f>'Raw Data Cut 5'!B117</f>
        <v>0</v>
      </c>
      <c r="L122" s="2">
        <f>'Raw Data Cut 5'!C117</f>
        <v>0</v>
      </c>
      <c r="M122" s="2">
        <f>'Raw Data Cut 5'!D117</f>
        <v>0</v>
      </c>
      <c r="N122" s="2">
        <f>'Raw Data Cut 5'!E117</f>
        <v>0</v>
      </c>
      <c r="O122" s="2">
        <f>'Raw Data Cut 5'!G117</f>
        <v>0</v>
      </c>
      <c r="P122" s="2">
        <f>'Raw Data Cut 5'!H117</f>
        <v>0</v>
      </c>
      <c r="Q122" s="2">
        <f>'Raw Data Cut 5'!I117</f>
        <v>0</v>
      </c>
      <c r="R122" s="2">
        <f>'Raw Data Cut 5'!J117</f>
        <v>0</v>
      </c>
      <c r="S122" s="2">
        <f>'Raw Data Cut 5'!K117</f>
        <v>0</v>
      </c>
      <c r="T122" s="2">
        <f>'Raw Data Cut 5'!N117</f>
        <v>0</v>
      </c>
      <c r="U122" s="2">
        <f t="shared" si="12"/>
        <v>0</v>
      </c>
      <c r="V122" s="12" t="str">
        <f>IF($T122=0, "", IF(COUNTIF('C00026'!$B$7:$B$41, $T122)=0, "Missing", "Y"))</f>
        <v/>
      </c>
      <c r="W122" s="1">
        <f t="shared" si="13"/>
        <v>0</v>
      </c>
    </row>
    <row r="123" spans="1:23" x14ac:dyDescent="0.25">
      <c r="A123" s="18" t="str">
        <f t="array" ref="A123">IFERROR(INDEX(S$7:S$300, SMALL(IF($V$7:$V$300="Missing", ROW(S48:S$300)-ROW(S48)+1), ROW(42:42))), "")</f>
        <v/>
      </c>
      <c r="B123" s="19" t="str">
        <f t="array" ref="B123">IFERROR(INDEX(T$7:T$300, SMALL(IF($V$7:$V$300="Missing", ROW(T48:T$300)-ROW(T48)+1), ROW(42:42))), "")</f>
        <v/>
      </c>
      <c r="C123" s="19" t="str">
        <f t="array" ref="C123">IFERROR(INDEX(R$7:R$300, SMALL(IF($V$7:$V$2300="Missing", ROW(R48:R$300)-ROW(R48)+1), ROW(42:42))), "")</f>
        <v/>
      </c>
      <c r="D123" s="19" t="str">
        <f t="array" ref="D123">IFERROR(INDEX(Q$7:Q$300, SMALL(IF($V$7:$V$300="Missing", ROW(Q48:Q$300)-ROW(Q48)+1), ROW(42:42))), "")</f>
        <v/>
      </c>
      <c r="E123" s="19" t="str">
        <f>IF(FalsePositives[[#This Row],[Gene]]="", "", IF(C123&lt;40,"Pass","Inspect"))</f>
        <v/>
      </c>
      <c r="F123" s="24"/>
      <c r="G123" s="26" t="str">
        <f t="array" ref="G123">IFERROR(VLOOKUP(B123,$T$7:$W$300,COLUMN($W$7:$W$300)-COLUMN($T$7:$W$300)+1,0), "")</f>
        <v/>
      </c>
      <c r="H123" s="33"/>
      <c r="J123" s="14">
        <f>'Raw Data Cut 5'!A118</f>
        <v>0</v>
      </c>
      <c r="K123" s="2">
        <f>'Raw Data Cut 5'!B118</f>
        <v>0</v>
      </c>
      <c r="L123" s="2">
        <f>'Raw Data Cut 5'!C118</f>
        <v>0</v>
      </c>
      <c r="M123" s="2">
        <f>'Raw Data Cut 5'!D118</f>
        <v>0</v>
      </c>
      <c r="N123" s="2">
        <f>'Raw Data Cut 5'!E118</f>
        <v>0</v>
      </c>
      <c r="O123" s="2">
        <f>'Raw Data Cut 5'!G118</f>
        <v>0</v>
      </c>
      <c r="P123" s="2">
        <f>'Raw Data Cut 5'!H118</f>
        <v>0</v>
      </c>
      <c r="Q123" s="2">
        <f>'Raw Data Cut 5'!I118</f>
        <v>0</v>
      </c>
      <c r="R123" s="2">
        <f>'Raw Data Cut 5'!J118</f>
        <v>0</v>
      </c>
      <c r="S123" s="2">
        <f>'Raw Data Cut 5'!K118</f>
        <v>0</v>
      </c>
      <c r="T123" s="2">
        <f>'Raw Data Cut 5'!N118</f>
        <v>0</v>
      </c>
      <c r="U123" s="2">
        <f t="shared" si="12"/>
        <v>0</v>
      </c>
      <c r="V123" s="12" t="str">
        <f>IF($T123=0, "", IF(COUNTIF('C00026'!$B$7:$B$41, $T123)=0, "Missing", "Y"))</f>
        <v/>
      </c>
      <c r="W123" s="1">
        <f t="shared" si="13"/>
        <v>0</v>
      </c>
    </row>
    <row r="124" spans="1:23" x14ac:dyDescent="0.25">
      <c r="A124" s="18" t="str">
        <f t="array" ref="A124">IFERROR(INDEX(S$7:S$300, SMALL(IF($V$7:$V$300="Missing", ROW(S49:S$300)-ROW(S49)+1), ROW(43:43))), "")</f>
        <v/>
      </c>
      <c r="B124" s="19" t="str">
        <f t="array" ref="B124">IFERROR(INDEX(T$7:T$300, SMALL(IF($V$7:$V$300="Missing", ROW(T49:T$300)-ROW(T49)+1), ROW(43:43))), "")</f>
        <v/>
      </c>
      <c r="C124" s="19" t="str">
        <f t="array" ref="C124">IFERROR(INDEX(R$7:R$300, SMALL(IF($V$7:$V$2300="Missing", ROW(R49:R$300)-ROW(R49)+1), ROW(43:43))), "")</f>
        <v/>
      </c>
      <c r="D124" s="19" t="str">
        <f t="array" ref="D124">IFERROR(INDEX(Q$7:Q$300, SMALL(IF($V$7:$V$300="Missing", ROW(Q49:Q$300)-ROW(Q49)+1), ROW(43:43))), "")</f>
        <v/>
      </c>
      <c r="E124" s="19" t="str">
        <f>IF(FalsePositives[[#This Row],[Gene]]="", "", IF(C124&lt;40,"Pass","Inspect"))</f>
        <v/>
      </c>
      <c r="F124" s="24"/>
      <c r="G124" s="26" t="str">
        <f t="array" ref="G124">IFERROR(VLOOKUP(B124,$T$7:$W$300,COLUMN($W$7:$W$300)-COLUMN($T$7:$W$300)+1,0), "")</f>
        <v/>
      </c>
      <c r="H124" s="33"/>
      <c r="J124" s="14">
        <f>'Raw Data Cut 5'!A119</f>
        <v>0</v>
      </c>
      <c r="K124" s="2">
        <f>'Raw Data Cut 5'!B119</f>
        <v>0</v>
      </c>
      <c r="L124" s="2">
        <f>'Raw Data Cut 5'!C119</f>
        <v>0</v>
      </c>
      <c r="M124" s="2">
        <f>'Raw Data Cut 5'!D119</f>
        <v>0</v>
      </c>
      <c r="N124" s="2">
        <f>'Raw Data Cut 5'!E119</f>
        <v>0</v>
      </c>
      <c r="O124" s="2">
        <f>'Raw Data Cut 5'!G119</f>
        <v>0</v>
      </c>
      <c r="P124" s="2">
        <f>'Raw Data Cut 5'!H119</f>
        <v>0</v>
      </c>
      <c r="Q124" s="2">
        <f>'Raw Data Cut 5'!I119</f>
        <v>0</v>
      </c>
      <c r="R124" s="2">
        <f>'Raw Data Cut 5'!J119</f>
        <v>0</v>
      </c>
      <c r="S124" s="2">
        <f>'Raw Data Cut 5'!K119</f>
        <v>0</v>
      </c>
      <c r="T124" s="2">
        <f>'Raw Data Cut 5'!N119</f>
        <v>0</v>
      </c>
      <c r="U124" s="2">
        <f t="shared" si="12"/>
        <v>0</v>
      </c>
      <c r="V124" s="12" t="str">
        <f>IF($T124=0, "", IF(COUNTIF('C00026'!$B$7:$B$41, $T124)=0, "Missing", "Y"))</f>
        <v/>
      </c>
      <c r="W124" s="1">
        <f t="shared" si="13"/>
        <v>0</v>
      </c>
    </row>
    <row r="125" spans="1:23" x14ac:dyDescent="0.25">
      <c r="A125" s="18" t="str">
        <f t="array" ref="A125">IFERROR(INDEX(S$7:S$300, SMALL(IF($V$7:$V$300="Missing", ROW(S50:S$300)-ROW(S50)+1), ROW(44:44))), "")</f>
        <v/>
      </c>
      <c r="B125" s="19" t="str">
        <f t="array" ref="B125">IFERROR(INDEX(T$7:T$300, SMALL(IF($V$7:$V$300="Missing", ROW(T50:T$300)-ROW(T50)+1), ROW(44:44))), "")</f>
        <v/>
      </c>
      <c r="C125" s="19" t="str">
        <f t="array" ref="C125">IFERROR(INDEX(R$7:R$300, SMALL(IF($V$7:$V$2300="Missing", ROW(R50:R$300)-ROW(R50)+1), ROW(44:44))), "")</f>
        <v/>
      </c>
      <c r="D125" s="19" t="str">
        <f t="array" ref="D125">IFERROR(INDEX(Q$7:Q$300, SMALL(IF($V$7:$V$300="Missing", ROW(Q50:Q$300)-ROW(Q50)+1), ROW(44:44))), "")</f>
        <v/>
      </c>
      <c r="E125" s="19" t="str">
        <f>IF(FalsePositives[[#This Row],[Gene]]="", "", IF(C125&lt;40,"Pass","Inspect"))</f>
        <v/>
      </c>
      <c r="F125" s="24"/>
      <c r="G125" s="26" t="str">
        <f t="array" ref="G125">IFERROR(VLOOKUP(B125,$T$7:$W$300,COLUMN($W$7:$W$300)-COLUMN($T$7:$W$300)+1,0), "")</f>
        <v/>
      </c>
      <c r="H125" s="33"/>
      <c r="J125" s="14">
        <f>'Raw Data Cut 5'!A120</f>
        <v>0</v>
      </c>
      <c r="K125" s="2">
        <f>'Raw Data Cut 5'!B120</f>
        <v>0</v>
      </c>
      <c r="L125" s="2">
        <f>'Raw Data Cut 5'!C120</f>
        <v>0</v>
      </c>
      <c r="M125" s="2">
        <f>'Raw Data Cut 5'!D120</f>
        <v>0</v>
      </c>
      <c r="N125" s="2">
        <f>'Raw Data Cut 5'!E120</f>
        <v>0</v>
      </c>
      <c r="O125" s="2">
        <f>'Raw Data Cut 5'!G120</f>
        <v>0</v>
      </c>
      <c r="P125" s="2">
        <f>'Raw Data Cut 5'!H120</f>
        <v>0</v>
      </c>
      <c r="Q125" s="2">
        <f>'Raw Data Cut 5'!I120</f>
        <v>0</v>
      </c>
      <c r="R125" s="2">
        <f>'Raw Data Cut 5'!J120</f>
        <v>0</v>
      </c>
      <c r="S125" s="2">
        <f>'Raw Data Cut 5'!K120</f>
        <v>0</v>
      </c>
      <c r="T125" s="2">
        <f>'Raw Data Cut 5'!N120</f>
        <v>0</v>
      </c>
      <c r="U125" s="2">
        <f t="shared" si="12"/>
        <v>0</v>
      </c>
      <c r="V125" s="12" t="str">
        <f>IF($T125=0, "", IF(COUNTIF('C00026'!$B$7:$B$41, $T125)=0, "Missing", "Y"))</f>
        <v/>
      </c>
      <c r="W125" s="1">
        <f t="shared" si="13"/>
        <v>0</v>
      </c>
    </row>
    <row r="126" spans="1:23" x14ac:dyDescent="0.25">
      <c r="A126" s="18" t="str">
        <f t="array" ref="A126">IFERROR(INDEX(S$7:S$300, SMALL(IF($V$7:$V$300="Missing", ROW(S51:S$300)-ROW(S51)+1), ROW(45:45))), "")</f>
        <v/>
      </c>
      <c r="B126" s="19" t="str">
        <f t="array" ref="B126">IFERROR(INDEX(T$7:T$300, SMALL(IF($V$7:$V$300="Missing", ROW(T51:T$300)-ROW(T51)+1), ROW(45:45))), "")</f>
        <v/>
      </c>
      <c r="C126" s="19" t="str">
        <f t="array" ref="C126">IFERROR(INDEX(R$7:R$300, SMALL(IF($V$7:$V$2300="Missing", ROW(R51:R$300)-ROW(R51)+1), ROW(45:45))), "")</f>
        <v/>
      </c>
      <c r="D126" s="19" t="str">
        <f t="array" ref="D126">IFERROR(INDEX(Q$7:Q$300, SMALL(IF($V$7:$V$300="Missing", ROW(Q51:Q$300)-ROW(Q51)+1), ROW(45:45))), "")</f>
        <v/>
      </c>
      <c r="E126" s="19" t="str">
        <f>IF(FalsePositives[[#This Row],[Gene]]="", "", IF(C126&lt;40,"Pass","Inspect"))</f>
        <v/>
      </c>
      <c r="F126" s="24"/>
      <c r="G126" s="26" t="str">
        <f t="array" ref="G126">IFERROR(VLOOKUP(B126,$T$7:$W$300,COLUMN($W$7:$W$300)-COLUMN($T$7:$W$300)+1,0), "")</f>
        <v/>
      </c>
      <c r="H126" s="33"/>
      <c r="J126" s="14">
        <f>'Raw Data Cut 5'!A121</f>
        <v>0</v>
      </c>
      <c r="K126" s="2">
        <f>'Raw Data Cut 5'!B121</f>
        <v>0</v>
      </c>
      <c r="L126" s="2">
        <f>'Raw Data Cut 5'!C121</f>
        <v>0</v>
      </c>
      <c r="M126" s="2">
        <f>'Raw Data Cut 5'!D121</f>
        <v>0</v>
      </c>
      <c r="N126" s="2">
        <f>'Raw Data Cut 5'!E121</f>
        <v>0</v>
      </c>
      <c r="O126" s="2">
        <f>'Raw Data Cut 5'!G121</f>
        <v>0</v>
      </c>
      <c r="P126" s="2">
        <f>'Raw Data Cut 5'!H121</f>
        <v>0</v>
      </c>
      <c r="Q126" s="2">
        <f>'Raw Data Cut 5'!I121</f>
        <v>0</v>
      </c>
      <c r="R126" s="2">
        <f>'Raw Data Cut 5'!J121</f>
        <v>0</v>
      </c>
      <c r="S126" s="2">
        <f>'Raw Data Cut 5'!K121</f>
        <v>0</v>
      </c>
      <c r="T126" s="2">
        <f>'Raw Data Cut 5'!N121</f>
        <v>0</v>
      </c>
      <c r="U126" s="2">
        <f t="shared" si="12"/>
        <v>0</v>
      </c>
      <c r="V126" s="12" t="str">
        <f>IF($T126=0, "", IF(COUNTIF('C00026'!$B$7:$B$41, $T126)=0, "Missing", "Y"))</f>
        <v/>
      </c>
      <c r="W126" s="1">
        <f t="shared" si="13"/>
        <v>0</v>
      </c>
    </row>
    <row r="127" spans="1:23" x14ac:dyDescent="0.25">
      <c r="A127" s="18" t="str">
        <f t="array" ref="A127">IFERROR(INDEX(S$7:S$300, SMALL(IF($V$7:$V$300="Missing", ROW(S52:S$300)-ROW(S52)+1), ROW(46:46))), "")</f>
        <v/>
      </c>
      <c r="B127" s="19" t="str">
        <f t="array" ref="B127">IFERROR(INDEX(T$7:T$300, SMALL(IF($V$7:$V$300="Missing", ROW(T52:T$300)-ROW(T52)+1), ROW(46:46))), "")</f>
        <v/>
      </c>
      <c r="C127" s="19" t="str">
        <f t="array" ref="C127">IFERROR(INDEX(R$7:R$300, SMALL(IF($V$7:$V$2300="Missing", ROW(R52:R$300)-ROW(R52)+1), ROW(46:46))), "")</f>
        <v/>
      </c>
      <c r="D127" s="19" t="str">
        <f t="array" ref="D127">IFERROR(INDEX(Q$7:Q$300, SMALL(IF($V$7:$V$300="Missing", ROW(Q52:Q$300)-ROW(Q52)+1), ROW(46:46))), "")</f>
        <v/>
      </c>
      <c r="E127" s="19" t="str">
        <f>IF(FalsePositives[[#This Row],[Gene]]="", "", IF(C127&lt;40,"Pass","Inspect"))</f>
        <v/>
      </c>
      <c r="F127" s="24"/>
      <c r="G127" s="26" t="str">
        <f t="array" ref="G127">IFERROR(VLOOKUP(B127,$T$7:$W$300,COLUMN($W$7:$W$300)-COLUMN($T$7:$W$300)+1,0), "")</f>
        <v/>
      </c>
      <c r="H127" s="33"/>
      <c r="J127" s="14">
        <f>'Raw Data Cut 5'!A122</f>
        <v>0</v>
      </c>
      <c r="K127" s="2">
        <f>'Raw Data Cut 5'!B122</f>
        <v>0</v>
      </c>
      <c r="L127" s="2">
        <f>'Raw Data Cut 5'!C122</f>
        <v>0</v>
      </c>
      <c r="M127" s="2">
        <f>'Raw Data Cut 5'!D122</f>
        <v>0</v>
      </c>
      <c r="N127" s="2">
        <f>'Raw Data Cut 5'!E122</f>
        <v>0</v>
      </c>
      <c r="O127" s="2">
        <f>'Raw Data Cut 5'!G122</f>
        <v>0</v>
      </c>
      <c r="P127" s="2">
        <f>'Raw Data Cut 5'!H122</f>
        <v>0</v>
      </c>
      <c r="Q127" s="2">
        <f>'Raw Data Cut 5'!I122</f>
        <v>0</v>
      </c>
      <c r="R127" s="2">
        <f>'Raw Data Cut 5'!J122</f>
        <v>0</v>
      </c>
      <c r="S127" s="2">
        <f>'Raw Data Cut 5'!K122</f>
        <v>0</v>
      </c>
      <c r="T127" s="2">
        <f>'Raw Data Cut 5'!N122</f>
        <v>0</v>
      </c>
      <c r="U127" s="2">
        <f t="shared" si="12"/>
        <v>0</v>
      </c>
      <c r="V127" s="12" t="str">
        <f>IF($T127=0, "", IF(COUNTIF('C00026'!$B$7:$B$41, $T127)=0, "Missing", "Y"))</f>
        <v/>
      </c>
      <c r="W127" s="1">
        <f t="shared" si="13"/>
        <v>0</v>
      </c>
    </row>
    <row r="128" spans="1:23" x14ac:dyDescent="0.25">
      <c r="A128" s="18" t="str">
        <f t="array" ref="A128">IFERROR(INDEX(S$7:S$300, SMALL(IF($V$7:$V$300="Missing", ROW(S53:S$300)-ROW(S53)+1), ROW(47:47))), "")</f>
        <v/>
      </c>
      <c r="B128" s="19" t="str">
        <f t="array" ref="B128">IFERROR(INDEX(T$7:T$300, SMALL(IF($V$7:$V$300="Missing", ROW(T53:T$300)-ROW(T53)+1), ROW(47:47))), "")</f>
        <v/>
      </c>
      <c r="C128" s="19" t="str">
        <f t="array" ref="C128">IFERROR(INDEX(R$7:R$300, SMALL(IF($V$7:$V$2300="Missing", ROW(R53:R$300)-ROW(R53)+1), ROW(47:47))), "")</f>
        <v/>
      </c>
      <c r="D128" s="19" t="str">
        <f t="array" ref="D128">IFERROR(INDEX(Q$7:Q$300, SMALL(IF($V$7:$V$300="Missing", ROW(Q53:Q$300)-ROW(Q53)+1), ROW(47:47))), "")</f>
        <v/>
      </c>
      <c r="E128" s="19" t="str">
        <f>IF(FalsePositives[[#This Row],[Gene]]="", "", IF(C128&lt;40,"Pass","Inspect"))</f>
        <v/>
      </c>
      <c r="F128" s="24"/>
      <c r="G128" s="26" t="str">
        <f t="array" ref="G128">IFERROR(VLOOKUP(B128,$T$7:$W$300,COLUMN($W$7:$W$300)-COLUMN($T$7:$W$300)+1,0), "")</f>
        <v/>
      </c>
      <c r="H128" s="33"/>
      <c r="J128" s="14">
        <f>'Raw Data Cut 5'!A123</f>
        <v>0</v>
      </c>
      <c r="K128" s="2">
        <f>'Raw Data Cut 5'!B123</f>
        <v>0</v>
      </c>
      <c r="L128" s="2">
        <f>'Raw Data Cut 5'!C123</f>
        <v>0</v>
      </c>
      <c r="M128" s="2">
        <f>'Raw Data Cut 5'!D123</f>
        <v>0</v>
      </c>
      <c r="N128" s="2">
        <f>'Raw Data Cut 5'!E123</f>
        <v>0</v>
      </c>
      <c r="O128" s="2">
        <f>'Raw Data Cut 5'!G123</f>
        <v>0</v>
      </c>
      <c r="P128" s="2">
        <f>'Raw Data Cut 5'!H123</f>
        <v>0</v>
      </c>
      <c r="Q128" s="2">
        <f>'Raw Data Cut 5'!I123</f>
        <v>0</v>
      </c>
      <c r="R128" s="2">
        <f>'Raw Data Cut 5'!J123</f>
        <v>0</v>
      </c>
      <c r="S128" s="2">
        <f>'Raw Data Cut 5'!K123</f>
        <v>0</v>
      </c>
      <c r="T128" s="2">
        <f>'Raw Data Cut 5'!N123</f>
        <v>0</v>
      </c>
      <c r="U128" s="2">
        <f t="shared" si="12"/>
        <v>0</v>
      </c>
      <c r="V128" s="12" t="str">
        <f>IF($T128=0, "", IF(COUNTIF('C00026'!$B$7:$B$41, $T128)=0, "Missing", "Y"))</f>
        <v/>
      </c>
      <c r="W128" s="1">
        <f t="shared" si="13"/>
        <v>0</v>
      </c>
    </row>
    <row r="129" spans="1:23" x14ac:dyDescent="0.25">
      <c r="A129" s="18" t="str">
        <f t="array" ref="A129">IFERROR(INDEX(S$7:S$300, SMALL(IF($V$7:$V$300="Missing", ROW(S54:S$300)-ROW(S54)+1), ROW(48:48))), "")</f>
        <v/>
      </c>
      <c r="B129" s="19" t="str">
        <f t="array" ref="B129">IFERROR(INDEX(T$7:T$300, SMALL(IF($V$7:$V$300="Missing", ROW(T54:T$300)-ROW(T54)+1), ROW(48:48))), "")</f>
        <v/>
      </c>
      <c r="C129" s="19" t="str">
        <f t="array" ref="C129">IFERROR(INDEX(R$7:R$300, SMALL(IF($V$7:$V$2300="Missing", ROW(R54:R$300)-ROW(R54)+1), ROW(48:48))), "")</f>
        <v/>
      </c>
      <c r="D129" s="19" t="str">
        <f t="array" ref="D129">IFERROR(INDEX(Q$7:Q$300, SMALL(IF($V$7:$V$300="Missing", ROW(Q54:Q$300)-ROW(Q54)+1), ROW(48:48))), "")</f>
        <v/>
      </c>
      <c r="E129" s="19" t="str">
        <f>IF(FalsePositives[[#This Row],[Gene]]="", "", IF(C129&lt;40,"Pass","Inspect"))</f>
        <v/>
      </c>
      <c r="F129" s="24"/>
      <c r="G129" s="26" t="str">
        <f t="array" ref="G129">IFERROR(VLOOKUP(B129,$T$7:$W$300,COLUMN($W$7:$W$300)-COLUMN($T$7:$W$300)+1,0), "")</f>
        <v/>
      </c>
      <c r="H129" s="33"/>
      <c r="J129" s="14">
        <f>'Raw Data Cut 5'!A124</f>
        <v>0</v>
      </c>
      <c r="K129" s="2">
        <f>'Raw Data Cut 5'!B124</f>
        <v>0</v>
      </c>
      <c r="L129" s="2">
        <f>'Raw Data Cut 5'!C124</f>
        <v>0</v>
      </c>
      <c r="M129" s="2">
        <f>'Raw Data Cut 5'!D124</f>
        <v>0</v>
      </c>
      <c r="N129" s="2">
        <f>'Raw Data Cut 5'!E124</f>
        <v>0</v>
      </c>
      <c r="O129" s="2">
        <f>'Raw Data Cut 5'!G124</f>
        <v>0</v>
      </c>
      <c r="P129" s="2">
        <f>'Raw Data Cut 5'!H124</f>
        <v>0</v>
      </c>
      <c r="Q129" s="2">
        <f>'Raw Data Cut 5'!I124</f>
        <v>0</v>
      </c>
      <c r="R129" s="2">
        <f>'Raw Data Cut 5'!J124</f>
        <v>0</v>
      </c>
      <c r="S129" s="2">
        <f>'Raw Data Cut 5'!K124</f>
        <v>0</v>
      </c>
      <c r="T129" s="2">
        <f>'Raw Data Cut 5'!N124</f>
        <v>0</v>
      </c>
      <c r="U129" s="2">
        <f t="shared" si="12"/>
        <v>0</v>
      </c>
      <c r="V129" s="12" t="str">
        <f>IF($T129=0, "", IF(COUNTIF('C00026'!$B$7:$B$41, $T129)=0, "Missing", "Y"))</f>
        <v/>
      </c>
      <c r="W129" s="1">
        <f t="shared" si="13"/>
        <v>0</v>
      </c>
    </row>
    <row r="130" spans="1:23" x14ac:dyDescent="0.25">
      <c r="A130" s="18" t="str">
        <f t="array" ref="A130">IFERROR(INDEX(S$7:S$300, SMALL(IF($V$7:$V$300="Missing", ROW(S55:S$300)-ROW(S55)+1), ROW(49:49))), "")</f>
        <v/>
      </c>
      <c r="B130" s="19" t="str">
        <f t="array" ref="B130">IFERROR(INDEX(T$7:T$300, SMALL(IF($V$7:$V$300="Missing", ROW(T55:T$300)-ROW(T55)+1), ROW(49:49))), "")</f>
        <v/>
      </c>
      <c r="C130" s="19" t="str">
        <f t="array" ref="C130">IFERROR(INDEX(R$7:R$300, SMALL(IF($V$7:$V$2300="Missing", ROW(R55:R$300)-ROW(R55)+1), ROW(49:49))), "")</f>
        <v/>
      </c>
      <c r="D130" s="19" t="str">
        <f t="array" ref="D130">IFERROR(INDEX(Q$7:Q$300, SMALL(IF($V$7:$V$300="Missing", ROW(Q55:Q$300)-ROW(Q55)+1), ROW(49:49))), "")</f>
        <v/>
      </c>
      <c r="E130" s="19" t="str">
        <f>IF(FalsePositives[[#This Row],[Gene]]="", "", IF(C130&lt;40,"Pass","Inspect"))</f>
        <v/>
      </c>
      <c r="F130" s="24"/>
      <c r="G130" s="26" t="str">
        <f t="array" ref="G130">IFERROR(VLOOKUP(B130,$T$7:$W$300,COLUMN($W$7:$W$300)-COLUMN($T$7:$W$300)+1,0), "")</f>
        <v/>
      </c>
      <c r="H130" s="33"/>
      <c r="J130" s="14">
        <f>'Raw Data Cut 5'!A125</f>
        <v>0</v>
      </c>
      <c r="K130" s="2">
        <f>'Raw Data Cut 5'!B125</f>
        <v>0</v>
      </c>
      <c r="L130" s="2">
        <f>'Raw Data Cut 5'!C125</f>
        <v>0</v>
      </c>
      <c r="M130" s="2">
        <f>'Raw Data Cut 5'!D125</f>
        <v>0</v>
      </c>
      <c r="N130" s="2">
        <f>'Raw Data Cut 5'!E125</f>
        <v>0</v>
      </c>
      <c r="O130" s="2">
        <f>'Raw Data Cut 5'!G125</f>
        <v>0</v>
      </c>
      <c r="P130" s="2">
        <f>'Raw Data Cut 5'!H125</f>
        <v>0</v>
      </c>
      <c r="Q130" s="2">
        <f>'Raw Data Cut 5'!I125</f>
        <v>0</v>
      </c>
      <c r="R130" s="2">
        <f>'Raw Data Cut 5'!J125</f>
        <v>0</v>
      </c>
      <c r="S130" s="2">
        <f>'Raw Data Cut 5'!K125</f>
        <v>0</v>
      </c>
      <c r="T130" s="2">
        <f>'Raw Data Cut 5'!N125</f>
        <v>0</v>
      </c>
      <c r="U130" s="2">
        <f t="shared" si="12"/>
        <v>0</v>
      </c>
      <c r="V130" s="12" t="str">
        <f>IF($T130=0, "", IF(COUNTIF('C00026'!$B$7:$B$41, $T130)=0, "Missing", "Y"))</f>
        <v/>
      </c>
      <c r="W130" s="1">
        <f t="shared" si="13"/>
        <v>0</v>
      </c>
    </row>
    <row r="131" spans="1:23" x14ac:dyDescent="0.25">
      <c r="A131" s="18" t="str">
        <f t="array" ref="A131">IFERROR(INDEX(S$7:S$300, SMALL(IF($V$7:$V$300="Missing", ROW(S56:S$300)-ROW(S56)+1), ROW(50:50))), "")</f>
        <v/>
      </c>
      <c r="B131" s="19" t="str">
        <f t="array" ref="B131">IFERROR(INDEX(T$7:T$300, SMALL(IF($V$7:$V$300="Missing", ROW(T56:T$300)-ROW(T56)+1), ROW(50:50))), "")</f>
        <v/>
      </c>
      <c r="C131" s="19" t="str">
        <f t="array" ref="C131">IFERROR(INDEX(R$7:R$300, SMALL(IF($V$7:$V$2300="Missing", ROW(R56:R$300)-ROW(R56)+1), ROW(50:50))), "")</f>
        <v/>
      </c>
      <c r="D131" s="19" t="str">
        <f t="array" ref="D131">IFERROR(INDEX(Q$7:Q$300, SMALL(IF($V$7:$V$300="Missing", ROW(Q56:Q$300)-ROW(Q56)+1), ROW(50:50))), "")</f>
        <v/>
      </c>
      <c r="E131" s="19" t="str">
        <f>IF(FalsePositives[[#This Row],[Gene]]="", "", IF(C131&lt;40,"Pass","Inspect"))</f>
        <v/>
      </c>
      <c r="F131" s="24"/>
      <c r="G131" s="26" t="str">
        <f t="array" ref="G131">IFERROR(VLOOKUP(B131,$T$7:$W$300,COLUMN($W$7:$W$300)-COLUMN($T$7:$W$300)+1,0), "")</f>
        <v/>
      </c>
      <c r="H131" s="33"/>
      <c r="J131" s="14">
        <f>'Raw Data Cut 5'!A126</f>
        <v>0</v>
      </c>
      <c r="K131" s="2">
        <f>'Raw Data Cut 5'!B126</f>
        <v>0</v>
      </c>
      <c r="L131" s="2">
        <f>'Raw Data Cut 5'!C126</f>
        <v>0</v>
      </c>
      <c r="M131" s="2">
        <f>'Raw Data Cut 5'!D126</f>
        <v>0</v>
      </c>
      <c r="N131" s="2">
        <f>'Raw Data Cut 5'!E126</f>
        <v>0</v>
      </c>
      <c r="O131" s="2">
        <f>'Raw Data Cut 5'!G126</f>
        <v>0</v>
      </c>
      <c r="P131" s="2">
        <f>'Raw Data Cut 5'!H126</f>
        <v>0</v>
      </c>
      <c r="Q131" s="2">
        <f>'Raw Data Cut 5'!I126</f>
        <v>0</v>
      </c>
      <c r="R131" s="2">
        <f>'Raw Data Cut 5'!J126</f>
        <v>0</v>
      </c>
      <c r="S131" s="2">
        <f>'Raw Data Cut 5'!K126</f>
        <v>0</v>
      </c>
      <c r="T131" s="2">
        <f>'Raw Data Cut 5'!N126</f>
        <v>0</v>
      </c>
      <c r="U131" s="2">
        <f t="shared" ref="U131:U135" si="14">Q131</f>
        <v>0</v>
      </c>
      <c r="V131" s="12" t="str">
        <f>IF($T131=0, "", IF(COUNTIF('C00026'!$B$7:$B$41, $T131)=0, "Missing", "Y"))</f>
        <v/>
      </c>
      <c r="W131" s="1">
        <f t="shared" ref="W131:W135" si="15">K131</f>
        <v>0</v>
      </c>
    </row>
    <row r="132" spans="1:23" x14ac:dyDescent="0.25">
      <c r="A132" s="18" t="str">
        <f t="array" ref="A132">IFERROR(INDEX(S$7:S$300, SMALL(IF($V$7:$V$300="Missing", ROW(S57:S$300)-ROW(S57)+1), ROW(51:51))), "")</f>
        <v/>
      </c>
      <c r="B132" s="19" t="str">
        <f t="array" ref="B132">IFERROR(INDEX(T$7:T$300, SMALL(IF($V$7:$V$300="Missing", ROW(T57:T$300)-ROW(T57)+1), ROW(51:51))), "")</f>
        <v/>
      </c>
      <c r="C132" s="19" t="str">
        <f t="array" ref="C132">IFERROR(INDEX(R$7:R$300, SMALL(IF($V$7:$V$2300="Missing", ROW(R57:R$300)-ROW(R57)+1), ROW(51:51))), "")</f>
        <v/>
      </c>
      <c r="D132" s="19" t="str">
        <f t="array" ref="D132">IFERROR(INDEX(Q$7:Q$300, SMALL(IF($V$7:$V$300="Missing", ROW(Q57:Q$300)-ROW(Q57)+1), ROW(51:51))), "")</f>
        <v/>
      </c>
      <c r="E132" s="19" t="str">
        <f>IF(FalsePositives[[#This Row],[Gene]]="", "", IF(C132&lt;40,"Pass","Inspect"))</f>
        <v/>
      </c>
      <c r="F132" s="24"/>
      <c r="G132" s="26" t="str">
        <f t="array" ref="G132">IFERROR(VLOOKUP(B132,$T$7:$W$300,COLUMN($W$7:$W$300)-COLUMN($T$7:$W$300)+1,0), "")</f>
        <v/>
      </c>
      <c r="H132" s="33"/>
      <c r="J132" s="14">
        <f>'Raw Data Cut 5'!A127</f>
        <v>0</v>
      </c>
      <c r="K132" s="2">
        <f>'Raw Data Cut 5'!B127</f>
        <v>0</v>
      </c>
      <c r="L132" s="2">
        <f>'Raw Data Cut 5'!C127</f>
        <v>0</v>
      </c>
      <c r="M132" s="2">
        <f>'Raw Data Cut 5'!D127</f>
        <v>0</v>
      </c>
      <c r="N132" s="2">
        <f>'Raw Data Cut 5'!E127</f>
        <v>0</v>
      </c>
      <c r="O132" s="2">
        <f>'Raw Data Cut 5'!G127</f>
        <v>0</v>
      </c>
      <c r="P132" s="2">
        <f>'Raw Data Cut 5'!H127</f>
        <v>0</v>
      </c>
      <c r="Q132" s="2">
        <f>'Raw Data Cut 5'!I127</f>
        <v>0</v>
      </c>
      <c r="R132" s="2">
        <f>'Raw Data Cut 5'!J127</f>
        <v>0</v>
      </c>
      <c r="S132" s="2">
        <f>'Raw Data Cut 5'!K127</f>
        <v>0</v>
      </c>
      <c r="T132" s="2">
        <f>'Raw Data Cut 5'!N127</f>
        <v>0</v>
      </c>
      <c r="U132" s="2">
        <f t="shared" si="14"/>
        <v>0</v>
      </c>
      <c r="V132" s="12" t="str">
        <f>IF($T132=0, "", IF(COUNTIF('C00026'!$B$7:$B$41, $T132)=0, "Missing", "Y"))</f>
        <v/>
      </c>
      <c r="W132" s="1">
        <f t="shared" si="15"/>
        <v>0</v>
      </c>
    </row>
    <row r="133" spans="1:23" x14ac:dyDescent="0.25">
      <c r="A133" s="18" t="str">
        <f t="array" ref="A133">IFERROR(INDEX(S$7:S$300, SMALL(IF($V$7:$V$300="Missing", ROW(S58:S$300)-ROW(S58)+1), ROW(52:52))), "")</f>
        <v/>
      </c>
      <c r="B133" s="19" t="str">
        <f t="array" ref="B133">IFERROR(INDEX(T$7:T$300, SMALL(IF($V$7:$V$300="Missing", ROW(T58:T$300)-ROW(T58)+1), ROW(52:52))), "")</f>
        <v/>
      </c>
      <c r="C133" s="19" t="str">
        <f t="array" ref="C133">IFERROR(INDEX(R$7:R$300, SMALL(IF($V$7:$V$2300="Missing", ROW(R58:R$300)-ROW(R58)+1), ROW(52:52))), "")</f>
        <v/>
      </c>
      <c r="D133" s="19" t="str">
        <f t="array" ref="D133">IFERROR(INDEX(Q$7:Q$300, SMALL(IF($V$7:$V$300="Missing", ROW(Q58:Q$300)-ROW(Q58)+1), ROW(52:52))), "")</f>
        <v/>
      </c>
      <c r="E133" s="19" t="str">
        <f>IF(FalsePositives[[#This Row],[Gene]]="", "", IF(C133&lt;40,"Pass","Inspect"))</f>
        <v/>
      </c>
      <c r="F133" s="24"/>
      <c r="G133" s="26" t="str">
        <f t="array" ref="G133">IFERROR(VLOOKUP(B133,$T$7:$W$300,COLUMN($W$7:$W$300)-COLUMN($T$7:$W$300)+1,0), "")</f>
        <v/>
      </c>
      <c r="H133" s="33"/>
      <c r="J133" s="14">
        <f>'Raw Data Cut 5'!A128</f>
        <v>0</v>
      </c>
      <c r="K133" s="2">
        <f>'Raw Data Cut 5'!B128</f>
        <v>0</v>
      </c>
      <c r="L133" s="2">
        <f>'Raw Data Cut 5'!C128</f>
        <v>0</v>
      </c>
      <c r="M133" s="2">
        <f>'Raw Data Cut 5'!D128</f>
        <v>0</v>
      </c>
      <c r="N133" s="2">
        <f>'Raw Data Cut 5'!E128</f>
        <v>0</v>
      </c>
      <c r="O133" s="2">
        <f>'Raw Data Cut 5'!G128</f>
        <v>0</v>
      </c>
      <c r="P133" s="2">
        <f>'Raw Data Cut 5'!H128</f>
        <v>0</v>
      </c>
      <c r="Q133" s="2">
        <f>'Raw Data Cut 5'!I128</f>
        <v>0</v>
      </c>
      <c r="R133" s="2">
        <f>'Raw Data Cut 5'!J128</f>
        <v>0</v>
      </c>
      <c r="S133" s="2">
        <f>'Raw Data Cut 5'!K128</f>
        <v>0</v>
      </c>
      <c r="T133" s="2">
        <f>'Raw Data Cut 5'!N128</f>
        <v>0</v>
      </c>
      <c r="U133" s="2">
        <f t="shared" si="14"/>
        <v>0</v>
      </c>
      <c r="V133" s="12" t="str">
        <f>IF($T133=0, "", IF(COUNTIF('C00026'!$B$7:$B$41, $T133)=0, "Missing", "Y"))</f>
        <v/>
      </c>
      <c r="W133" s="1">
        <f t="shared" si="15"/>
        <v>0</v>
      </c>
    </row>
    <row r="134" spans="1:23" x14ac:dyDescent="0.25">
      <c r="A134" s="18" t="str">
        <f t="array" ref="A134">IFERROR(INDEX(S$7:S$300, SMALL(IF($V$7:$V$300="Missing", ROW(S59:S$300)-ROW(S59)+1), ROW(53:53))), "")</f>
        <v/>
      </c>
      <c r="B134" s="19" t="str">
        <f t="array" ref="B134">IFERROR(INDEX(T$7:T$300, SMALL(IF($V$7:$V$300="Missing", ROW(T59:T$300)-ROW(T59)+1), ROW(53:53))), "")</f>
        <v/>
      </c>
      <c r="C134" s="19" t="str">
        <f t="array" ref="C134">IFERROR(INDEX(R$7:R$300, SMALL(IF($V$7:$V$2300="Missing", ROW(R59:R$300)-ROW(R59)+1), ROW(53:53))), "")</f>
        <v/>
      </c>
      <c r="D134" s="19" t="str">
        <f t="array" ref="D134">IFERROR(INDEX(Q$7:Q$300, SMALL(IF($V$7:$V$300="Missing", ROW(Q59:Q$300)-ROW(Q59)+1), ROW(53:53))), "")</f>
        <v/>
      </c>
      <c r="E134" s="19" t="str">
        <f>IF(FalsePositives[[#This Row],[Gene]]="", "", IF(C134&lt;40,"Pass","Inspect"))</f>
        <v/>
      </c>
      <c r="F134" s="24"/>
      <c r="G134" s="26" t="str">
        <f t="array" ref="G134">IFERROR(VLOOKUP(B134,$T$7:$W$300,COLUMN($W$7:$W$300)-COLUMN($T$7:$W$300)+1,0), "")</f>
        <v/>
      </c>
      <c r="H134" s="33"/>
      <c r="J134" s="14">
        <f>'Raw Data Cut 5'!A129</f>
        <v>0</v>
      </c>
      <c r="K134" s="2">
        <f>'Raw Data Cut 5'!B129</f>
        <v>0</v>
      </c>
      <c r="L134" s="2">
        <f>'Raw Data Cut 5'!C129</f>
        <v>0</v>
      </c>
      <c r="M134" s="2">
        <f>'Raw Data Cut 5'!D129</f>
        <v>0</v>
      </c>
      <c r="N134" s="2">
        <f>'Raw Data Cut 5'!E129</f>
        <v>0</v>
      </c>
      <c r="O134" s="2">
        <f>'Raw Data Cut 5'!G129</f>
        <v>0</v>
      </c>
      <c r="P134" s="2">
        <f>'Raw Data Cut 5'!H129</f>
        <v>0</v>
      </c>
      <c r="Q134" s="2">
        <f>'Raw Data Cut 5'!I129</f>
        <v>0</v>
      </c>
      <c r="R134" s="2">
        <f>'Raw Data Cut 5'!J129</f>
        <v>0</v>
      </c>
      <c r="S134" s="2">
        <f>'Raw Data Cut 5'!K129</f>
        <v>0</v>
      </c>
      <c r="T134" s="2">
        <f>'Raw Data Cut 5'!N129</f>
        <v>0</v>
      </c>
      <c r="U134" s="2">
        <f t="shared" si="14"/>
        <v>0</v>
      </c>
      <c r="V134" s="12" t="str">
        <f>IF($T134=0, "", IF(COUNTIF('C00026'!$B$7:$B$41, $T134)=0, "Missing", "Y"))</f>
        <v/>
      </c>
      <c r="W134" s="1">
        <f t="shared" si="15"/>
        <v>0</v>
      </c>
    </row>
    <row r="135" spans="1:23" x14ac:dyDescent="0.25">
      <c r="A135" s="18" t="str">
        <f t="array" ref="A135">IFERROR(INDEX(S$7:S$300, SMALL(IF($V$7:$V$300="Missing", ROW(S60:S$300)-ROW(S60)+1), ROW(54:54))), "")</f>
        <v/>
      </c>
      <c r="B135" s="19" t="str">
        <f t="array" ref="B135">IFERROR(INDEX(T$7:T$300, SMALL(IF($V$7:$V$300="Missing", ROW(T60:T$300)-ROW(T60)+1), ROW(54:54))), "")</f>
        <v/>
      </c>
      <c r="C135" s="19" t="str">
        <f t="array" ref="C135">IFERROR(INDEX(R$7:R$300, SMALL(IF($V$7:$V$2300="Missing", ROW(R60:R$300)-ROW(R60)+1), ROW(54:54))), "")</f>
        <v/>
      </c>
      <c r="D135" s="19" t="str">
        <f t="array" ref="D135">IFERROR(INDEX(Q$7:Q$300, SMALL(IF($V$7:$V$300="Missing", ROW(Q60:Q$300)-ROW(Q60)+1), ROW(54:54))), "")</f>
        <v/>
      </c>
      <c r="E135" s="19" t="str">
        <f>IF(FalsePositives[[#This Row],[Gene]]="", "", IF(C135&lt;40,"Pass","Inspect"))</f>
        <v/>
      </c>
      <c r="F135" s="24"/>
      <c r="G135" s="26" t="str">
        <f t="array" ref="G135">IFERROR(VLOOKUP(B135,$T$7:$W$300,COLUMN($W$7:$W$300)-COLUMN($T$7:$W$300)+1,0), "")</f>
        <v/>
      </c>
      <c r="H135" s="33"/>
      <c r="J135" s="14">
        <f>'Raw Data Cut 5'!A130</f>
        <v>0</v>
      </c>
      <c r="K135" s="2">
        <f>'Raw Data Cut 5'!B130</f>
        <v>0</v>
      </c>
      <c r="L135" s="2">
        <f>'Raw Data Cut 5'!C130</f>
        <v>0</v>
      </c>
      <c r="M135" s="2">
        <f>'Raw Data Cut 5'!D130</f>
        <v>0</v>
      </c>
      <c r="N135" s="2">
        <f>'Raw Data Cut 5'!E130</f>
        <v>0</v>
      </c>
      <c r="O135" s="2">
        <f>'Raw Data Cut 5'!G130</f>
        <v>0</v>
      </c>
      <c r="P135" s="2">
        <f>'Raw Data Cut 5'!H130</f>
        <v>0</v>
      </c>
      <c r="Q135" s="2">
        <f>'Raw Data Cut 5'!I130</f>
        <v>0</v>
      </c>
      <c r="R135" s="2">
        <f>'Raw Data Cut 5'!J130</f>
        <v>0</v>
      </c>
      <c r="S135" s="2">
        <f>'Raw Data Cut 5'!K130</f>
        <v>0</v>
      </c>
      <c r="T135" s="2">
        <f>'Raw Data Cut 5'!N130</f>
        <v>0</v>
      </c>
      <c r="U135" s="2">
        <f t="shared" si="14"/>
        <v>0</v>
      </c>
      <c r="V135" s="12" t="str">
        <f>IF($T135=0, "", IF(COUNTIF('C00026'!$B$7:$B$41, $T135)=0, "Missing", "Y"))</f>
        <v/>
      </c>
      <c r="W135" s="1">
        <f t="shared" si="15"/>
        <v>0</v>
      </c>
    </row>
    <row r="136" spans="1:23" x14ac:dyDescent="0.25">
      <c r="A136" s="18" t="str">
        <f t="array" ref="A136">IFERROR(INDEX(S$7:S$300, SMALL(IF($V$7:$V$300="Missing", ROW(S61:S$300)-ROW(S61)+1), ROW(55:55))), "")</f>
        <v/>
      </c>
      <c r="B136" s="19" t="str">
        <f t="array" ref="B136">IFERROR(INDEX(T$7:T$300, SMALL(IF($V$7:$V$300="Missing", ROW(T61:T$300)-ROW(T61)+1), ROW(55:55))), "")</f>
        <v/>
      </c>
      <c r="C136" s="19" t="str">
        <f t="array" ref="C136">IFERROR(INDEX(R$7:R$300, SMALL(IF($V$7:$V$2300="Missing", ROW(R61:R$300)-ROW(R61)+1), ROW(55:55))), "")</f>
        <v/>
      </c>
      <c r="D136" s="19" t="str">
        <f t="array" ref="D136">IFERROR(INDEX(Q$7:Q$300, SMALL(IF($V$7:$V$300="Missing", ROW(Q61:Q$300)-ROW(Q61)+1), ROW(55:55))), "")</f>
        <v/>
      </c>
      <c r="E136" s="19" t="str">
        <f>IF(FalsePositives[[#This Row],[Gene]]="", "", IF(C136&lt;40,"Pass","Inspect"))</f>
        <v/>
      </c>
      <c r="F136" s="24"/>
      <c r="G136" s="26" t="str">
        <f t="array" ref="G136">IFERROR(VLOOKUP(B136,$T$7:$W$300,COLUMN($W$7:$W$300)-COLUMN($T$7:$W$300)+1,0), "")</f>
        <v/>
      </c>
      <c r="H136" s="33"/>
      <c r="J136" s="14">
        <f>'Raw Data Cut 5'!A131</f>
        <v>0</v>
      </c>
      <c r="K136" s="2">
        <f>'Raw Data Cut 5'!B131</f>
        <v>0</v>
      </c>
      <c r="L136" s="2">
        <f>'Raw Data Cut 5'!C131</f>
        <v>0</v>
      </c>
      <c r="M136" s="2">
        <f>'Raw Data Cut 5'!D131</f>
        <v>0</v>
      </c>
      <c r="N136" s="2">
        <f>'Raw Data Cut 5'!E131</f>
        <v>0</v>
      </c>
      <c r="O136" s="2">
        <f>'Raw Data Cut 5'!G131</f>
        <v>0</v>
      </c>
      <c r="P136" s="2">
        <f>'Raw Data Cut 5'!H131</f>
        <v>0</v>
      </c>
      <c r="Q136" s="2">
        <f>'Raw Data Cut 5'!I131</f>
        <v>0</v>
      </c>
      <c r="R136" s="2">
        <f>'Raw Data Cut 5'!J131</f>
        <v>0</v>
      </c>
      <c r="S136" s="2">
        <f>'Raw Data Cut 5'!K131</f>
        <v>0</v>
      </c>
      <c r="T136" s="2">
        <f>'Raw Data Cut 5'!N131</f>
        <v>0</v>
      </c>
      <c r="U136" s="2">
        <f t="shared" ref="U136:U139" si="16">Q136</f>
        <v>0</v>
      </c>
      <c r="V136" s="12" t="str">
        <f>IF($T136=0, "", IF(COUNTIF('C00026'!$B$7:$B$41, $T136)=0, "Missing", "Y"))</f>
        <v/>
      </c>
      <c r="W136" s="1">
        <f t="shared" ref="W136:W139" si="17">K136</f>
        <v>0</v>
      </c>
    </row>
    <row r="137" spans="1:23" x14ac:dyDescent="0.25">
      <c r="A137" s="18" t="str">
        <f t="array" ref="A137">IFERROR(INDEX(S$7:S$300, SMALL(IF($V$7:$V$300="Missing", ROW(S62:S$300)-ROW(S62)+1), ROW(56:56))), "")</f>
        <v/>
      </c>
      <c r="B137" s="19" t="str">
        <f t="array" ref="B137">IFERROR(INDEX(T$7:T$300, SMALL(IF($V$7:$V$300="Missing", ROW(T62:T$300)-ROW(T62)+1), ROW(56:56))), "")</f>
        <v/>
      </c>
      <c r="C137" s="19" t="str">
        <f t="array" ref="C137">IFERROR(INDEX(R$7:R$300, SMALL(IF($V$7:$V$2300="Missing", ROW(R62:R$300)-ROW(R62)+1), ROW(56:56))), "")</f>
        <v/>
      </c>
      <c r="D137" s="19" t="str">
        <f t="array" ref="D137">IFERROR(INDEX(Q$7:Q$300, SMALL(IF($V$7:$V$300="Missing", ROW(Q62:Q$300)-ROW(Q62)+1), ROW(56:56))), "")</f>
        <v/>
      </c>
      <c r="E137" s="19" t="str">
        <f>IF(FalsePositives[[#This Row],[Gene]]="", "", IF(C137&lt;40,"Pass","Inspect"))</f>
        <v/>
      </c>
      <c r="F137" s="24"/>
      <c r="G137" s="26" t="str">
        <f t="array" ref="G137">IFERROR(VLOOKUP(B137,$T$7:$W$300,COLUMN($W$7:$W$300)-COLUMN($T$7:$W$300)+1,0), "")</f>
        <v/>
      </c>
      <c r="H137" s="33"/>
      <c r="J137" s="14">
        <f>'Raw Data Cut 5'!A132</f>
        <v>0</v>
      </c>
      <c r="K137" s="2">
        <f>'Raw Data Cut 5'!B132</f>
        <v>0</v>
      </c>
      <c r="L137" s="2">
        <f>'Raw Data Cut 5'!C132</f>
        <v>0</v>
      </c>
      <c r="M137" s="2">
        <f>'Raw Data Cut 5'!D132</f>
        <v>0</v>
      </c>
      <c r="N137" s="2">
        <f>'Raw Data Cut 5'!E132</f>
        <v>0</v>
      </c>
      <c r="O137" s="2">
        <f>'Raw Data Cut 5'!G132</f>
        <v>0</v>
      </c>
      <c r="P137" s="2">
        <f>'Raw Data Cut 5'!H132</f>
        <v>0</v>
      </c>
      <c r="Q137" s="2">
        <f>'Raw Data Cut 5'!I132</f>
        <v>0</v>
      </c>
      <c r="R137" s="2">
        <f>'Raw Data Cut 5'!J132</f>
        <v>0</v>
      </c>
      <c r="S137" s="2">
        <f>'Raw Data Cut 5'!K132</f>
        <v>0</v>
      </c>
      <c r="T137" s="2">
        <f>'Raw Data Cut 5'!N132</f>
        <v>0</v>
      </c>
      <c r="U137" s="2">
        <f t="shared" si="16"/>
        <v>0</v>
      </c>
      <c r="V137" s="12" t="str">
        <f>IF($T137=0, "", IF(COUNTIF('C00026'!$B$7:$B$41, $T137)=0, "Missing", "Y"))</f>
        <v/>
      </c>
      <c r="W137" s="1">
        <f t="shared" si="17"/>
        <v>0</v>
      </c>
    </row>
    <row r="138" spans="1:23" x14ac:dyDescent="0.25">
      <c r="A138" s="18" t="str">
        <f t="array" ref="A138">IFERROR(INDEX(S$7:S$300, SMALL(IF($V$7:$V$300="Missing", ROW(S63:S$300)-ROW(S63)+1), ROW(57:57))), "")</f>
        <v/>
      </c>
      <c r="B138" s="19" t="str">
        <f t="array" ref="B138">IFERROR(INDEX(T$7:T$300, SMALL(IF($V$7:$V$300="Missing", ROW(T63:T$300)-ROW(T63)+1), ROW(57:57))), "")</f>
        <v/>
      </c>
      <c r="C138" s="19" t="str">
        <f t="array" ref="C138">IFERROR(INDEX(R$7:R$300, SMALL(IF($V$7:$V$2300="Missing", ROW(R63:R$300)-ROW(R63)+1), ROW(57:57))), "")</f>
        <v/>
      </c>
      <c r="D138" s="19" t="str">
        <f t="array" ref="D138">IFERROR(INDEX(Q$7:Q$300, SMALL(IF($V$7:$V$300="Missing", ROW(Q63:Q$300)-ROW(Q63)+1), ROW(57:57))), "")</f>
        <v/>
      </c>
      <c r="E138" s="19" t="str">
        <f>IF(FalsePositives[[#This Row],[Gene]]="", "", IF(C138&lt;40,"Pass","Inspect"))</f>
        <v/>
      </c>
      <c r="F138" s="24"/>
      <c r="G138" s="26" t="str">
        <f t="array" ref="G138">IFERROR(VLOOKUP(B138,$T$7:$W$300,COLUMN($W$7:$W$300)-COLUMN($T$7:$W$300)+1,0), "")</f>
        <v/>
      </c>
      <c r="H138" s="33"/>
      <c r="J138" s="14">
        <f>'Raw Data Cut 5'!A133</f>
        <v>0</v>
      </c>
      <c r="K138" s="2">
        <f>'Raw Data Cut 5'!B133</f>
        <v>0</v>
      </c>
      <c r="L138" s="2">
        <f>'Raw Data Cut 5'!C133</f>
        <v>0</v>
      </c>
      <c r="M138" s="2">
        <f>'Raw Data Cut 5'!D133</f>
        <v>0</v>
      </c>
      <c r="N138" s="2">
        <f>'Raw Data Cut 5'!E133</f>
        <v>0</v>
      </c>
      <c r="O138" s="2">
        <f>'Raw Data Cut 5'!G133</f>
        <v>0</v>
      </c>
      <c r="P138" s="2">
        <f>'Raw Data Cut 5'!H133</f>
        <v>0</v>
      </c>
      <c r="Q138" s="2">
        <f>'Raw Data Cut 5'!I133</f>
        <v>0</v>
      </c>
      <c r="R138" s="2">
        <f>'Raw Data Cut 5'!J133</f>
        <v>0</v>
      </c>
      <c r="S138" s="2">
        <f>'Raw Data Cut 5'!K133</f>
        <v>0</v>
      </c>
      <c r="T138" s="2">
        <f>'Raw Data Cut 5'!N133</f>
        <v>0</v>
      </c>
      <c r="U138" s="2">
        <f t="shared" si="16"/>
        <v>0</v>
      </c>
      <c r="V138" s="12" t="str">
        <f>IF($T138=0, "", IF(COUNTIF('C00026'!$B$7:$B$41, $T138)=0, "Missing", "Y"))</f>
        <v/>
      </c>
      <c r="W138" s="1">
        <f t="shared" si="17"/>
        <v>0</v>
      </c>
    </row>
    <row r="139" spans="1:23" x14ac:dyDescent="0.25">
      <c r="A139" s="18" t="str">
        <f t="array" ref="A139">IFERROR(INDEX(S$7:S$300, SMALL(IF($V$7:$V$300="Missing", ROW(S64:S$300)-ROW(S64)+1), ROW(58:58))), "")</f>
        <v/>
      </c>
      <c r="B139" s="19" t="str">
        <f t="array" ref="B139">IFERROR(INDEX(T$7:T$300, SMALL(IF($V$7:$V$300="Missing", ROW(T64:T$300)-ROW(T64)+1), ROW(58:58))), "")</f>
        <v/>
      </c>
      <c r="C139" s="19" t="str">
        <f t="array" ref="C139">IFERROR(INDEX(R$7:R$300, SMALL(IF($V$7:$V$2300="Missing", ROW(R64:R$300)-ROW(R64)+1), ROW(58:58))), "")</f>
        <v/>
      </c>
      <c r="D139" s="19" t="str">
        <f t="array" ref="D139">IFERROR(INDEX(Q$7:Q$300, SMALL(IF($V$7:$V$300="Missing", ROW(Q64:Q$300)-ROW(Q64)+1), ROW(58:58))), "")</f>
        <v/>
      </c>
      <c r="E139" s="19" t="str">
        <f>IF(FalsePositives[[#This Row],[Gene]]="", "", IF(C139&lt;40,"Pass","Inspect"))</f>
        <v/>
      </c>
      <c r="F139" s="24"/>
      <c r="G139" s="26" t="str">
        <f t="array" ref="G139">IFERROR(VLOOKUP(B139,$T$7:$W$300,COLUMN($W$7:$W$300)-COLUMN($T$7:$W$300)+1,0), "")</f>
        <v/>
      </c>
      <c r="H139" s="33"/>
      <c r="J139" s="14">
        <f>'Raw Data Cut 5'!A134</f>
        <v>0</v>
      </c>
      <c r="K139" s="2">
        <f>'Raw Data Cut 5'!B134</f>
        <v>0</v>
      </c>
      <c r="L139" s="2">
        <f>'Raw Data Cut 5'!C134</f>
        <v>0</v>
      </c>
      <c r="M139" s="2">
        <f>'Raw Data Cut 5'!D134</f>
        <v>0</v>
      </c>
      <c r="N139" s="2">
        <f>'Raw Data Cut 5'!E134</f>
        <v>0</v>
      </c>
      <c r="O139" s="2">
        <f>'Raw Data Cut 5'!G134</f>
        <v>0</v>
      </c>
      <c r="P139" s="2">
        <f>'Raw Data Cut 5'!H134</f>
        <v>0</v>
      </c>
      <c r="Q139" s="2">
        <f>'Raw Data Cut 5'!I134</f>
        <v>0</v>
      </c>
      <c r="R139" s="2">
        <f>'Raw Data Cut 5'!J134</f>
        <v>0</v>
      </c>
      <c r="S139" s="2">
        <f>'Raw Data Cut 5'!K134</f>
        <v>0</v>
      </c>
      <c r="T139" s="2">
        <f>'Raw Data Cut 5'!N134</f>
        <v>0</v>
      </c>
      <c r="U139" s="2">
        <f t="shared" si="16"/>
        <v>0</v>
      </c>
      <c r="V139" s="12" t="str">
        <f>IF($T139=0, "", IF(COUNTIF('C00026'!$B$7:$B$41, $T139)=0, "Missing", "Y"))</f>
        <v/>
      </c>
      <c r="W139" s="1">
        <f t="shared" si="17"/>
        <v>0</v>
      </c>
    </row>
    <row r="140" spans="1:23" x14ac:dyDescent="0.25">
      <c r="A140" s="18" t="str">
        <f t="array" ref="A140">IFERROR(INDEX(S$7:S$300, SMALL(IF($V$7:$V$300="Missing", ROW(S65:S$300)-ROW(S65)+1), ROW(59:59))), "")</f>
        <v/>
      </c>
      <c r="B140" s="19" t="str">
        <f t="array" ref="B140">IFERROR(INDEX(T$7:T$300, SMALL(IF($V$7:$V$300="Missing", ROW(T65:T$300)-ROW(T65)+1), ROW(59:59))), "")</f>
        <v/>
      </c>
      <c r="C140" s="19" t="str">
        <f t="array" ref="C140">IFERROR(INDEX(R$7:R$300, SMALL(IF($V$7:$V$2300="Missing", ROW(R65:R$300)-ROW(R65)+1), ROW(59:59))), "")</f>
        <v/>
      </c>
      <c r="D140" s="19" t="str">
        <f t="array" ref="D140">IFERROR(INDEX(Q$7:Q$300, SMALL(IF($V$7:$V$300="Missing", ROW(Q65:Q$300)-ROW(Q65)+1), ROW(59:59))), "")</f>
        <v/>
      </c>
      <c r="E140" s="19" t="str">
        <f>IF(FalsePositives[[#This Row],[Gene]]="", "", IF(C140&lt;40,"Pass","Inspect"))</f>
        <v/>
      </c>
      <c r="F140" s="24"/>
      <c r="G140" s="26" t="str">
        <f t="array" ref="G140">IFERROR(VLOOKUP(B140,$T$7:$W$300,COLUMN($W$7:$W$300)-COLUMN($T$7:$W$300)+1,0), "")</f>
        <v/>
      </c>
      <c r="H140" s="33"/>
      <c r="J140" s="14">
        <f>'Raw Data Cut 5'!A135</f>
        <v>0</v>
      </c>
      <c r="K140" s="2">
        <f>'Raw Data Cut 5'!B135</f>
        <v>0</v>
      </c>
      <c r="L140" s="2">
        <f>'Raw Data Cut 5'!C135</f>
        <v>0</v>
      </c>
      <c r="M140" s="2">
        <f>'Raw Data Cut 5'!D135</f>
        <v>0</v>
      </c>
      <c r="N140" s="2">
        <f>'Raw Data Cut 5'!E135</f>
        <v>0</v>
      </c>
      <c r="O140" s="2">
        <f>'Raw Data Cut 5'!G135</f>
        <v>0</v>
      </c>
      <c r="P140" s="2">
        <f>'Raw Data Cut 5'!H135</f>
        <v>0</v>
      </c>
      <c r="Q140" s="2">
        <f>'Raw Data Cut 5'!I135</f>
        <v>0</v>
      </c>
      <c r="R140" s="2">
        <f>'Raw Data Cut 5'!J135</f>
        <v>0</v>
      </c>
      <c r="S140" s="2">
        <f>'Raw Data Cut 5'!K135</f>
        <v>0</v>
      </c>
      <c r="T140" s="2">
        <f>'Raw Data Cut 5'!N135</f>
        <v>0</v>
      </c>
      <c r="U140" s="2">
        <f t="shared" ref="U140:U158" si="18">Q140</f>
        <v>0</v>
      </c>
      <c r="V140" s="12" t="str">
        <f>IF($T140=0, "", IF(COUNTIF('C00026'!$B$7:$B$41, $T140)=0, "Missing", "Y"))</f>
        <v/>
      </c>
      <c r="W140" s="1">
        <f t="shared" ref="W140:W158" si="19">K140</f>
        <v>0</v>
      </c>
    </row>
    <row r="141" spans="1:23" x14ac:dyDescent="0.25">
      <c r="A141" s="18" t="str">
        <f t="array" ref="A141">IFERROR(INDEX(S$7:S$300, SMALL(IF($V$7:$V$300="Missing", ROW(S66:S$300)-ROW(S66)+1), ROW(60:60))), "")</f>
        <v/>
      </c>
      <c r="B141" s="19" t="str">
        <f t="array" ref="B141">IFERROR(INDEX(T$7:T$300, SMALL(IF($V$7:$V$300="Missing", ROW(T66:T$300)-ROW(T66)+1), ROW(60:60))), "")</f>
        <v/>
      </c>
      <c r="C141" s="19" t="str">
        <f t="array" ref="C141">IFERROR(INDEX(R$7:R$300, SMALL(IF($V$7:$V$2300="Missing", ROW(R66:R$300)-ROW(R66)+1), ROW(60:60))), "")</f>
        <v/>
      </c>
      <c r="D141" s="19" t="str">
        <f t="array" ref="D141">IFERROR(INDEX(Q$7:Q$300, SMALL(IF($V$7:$V$300="Missing", ROW(Q66:Q$300)-ROW(Q66)+1), ROW(60:60))), "")</f>
        <v/>
      </c>
      <c r="E141" s="19" t="str">
        <f>IF(FalsePositives[[#This Row],[Gene]]="", "", IF(C141&lt;40,"Pass","Inspect"))</f>
        <v/>
      </c>
      <c r="F141" s="24"/>
      <c r="G141" s="26" t="str">
        <f t="array" ref="G141">IFERROR(VLOOKUP(B141,$T$7:$W$300,COLUMN($W$7:$W$300)-COLUMN($T$7:$W$300)+1,0), "")</f>
        <v/>
      </c>
      <c r="H141" s="33"/>
      <c r="J141" s="14">
        <f>'Raw Data Cut 5'!A136</f>
        <v>0</v>
      </c>
      <c r="K141" s="2">
        <f>'Raw Data Cut 5'!B136</f>
        <v>0</v>
      </c>
      <c r="L141" s="2">
        <f>'Raw Data Cut 5'!C136</f>
        <v>0</v>
      </c>
      <c r="M141" s="2">
        <f>'Raw Data Cut 5'!D136</f>
        <v>0</v>
      </c>
      <c r="N141" s="2">
        <f>'Raw Data Cut 5'!E136</f>
        <v>0</v>
      </c>
      <c r="O141" s="2">
        <f>'Raw Data Cut 5'!G136</f>
        <v>0</v>
      </c>
      <c r="P141" s="2">
        <f>'Raw Data Cut 5'!H136</f>
        <v>0</v>
      </c>
      <c r="Q141" s="2">
        <f>'Raw Data Cut 5'!I136</f>
        <v>0</v>
      </c>
      <c r="R141" s="2">
        <f>'Raw Data Cut 5'!J136</f>
        <v>0</v>
      </c>
      <c r="S141" s="2">
        <f>'Raw Data Cut 5'!K136</f>
        <v>0</v>
      </c>
      <c r="T141" s="2">
        <f>'Raw Data Cut 5'!N136</f>
        <v>0</v>
      </c>
      <c r="U141" s="2">
        <f t="shared" si="18"/>
        <v>0</v>
      </c>
      <c r="V141" s="12" t="str">
        <f>IF($T141=0, "", IF(COUNTIF('C00026'!$B$7:$B$41, $T141)=0, "Missing", "Y"))</f>
        <v/>
      </c>
      <c r="W141" s="1">
        <f t="shared" si="19"/>
        <v>0</v>
      </c>
    </row>
    <row r="142" spans="1:23" x14ac:dyDescent="0.25">
      <c r="A142" s="18" t="str">
        <f t="array" ref="A142">IFERROR(INDEX(S$7:S$300, SMALL(IF($V$7:$V$300="Missing", ROW(S67:S$300)-ROW(S67)+1), ROW(61:61))), "")</f>
        <v/>
      </c>
      <c r="B142" s="19" t="str">
        <f t="array" ref="B142">IFERROR(INDEX(T$7:T$300, SMALL(IF($V$7:$V$300="Missing", ROW(T67:T$300)-ROW(T67)+1), ROW(61:61))), "")</f>
        <v/>
      </c>
      <c r="C142" s="19" t="str">
        <f t="array" ref="C142">IFERROR(INDEX(R$7:R$300, SMALL(IF($V$7:$V$2300="Missing", ROW(R67:R$300)-ROW(R67)+1), ROW(61:61))), "")</f>
        <v/>
      </c>
      <c r="D142" s="19" t="str">
        <f t="array" ref="D142">IFERROR(INDEX(Q$7:Q$300, SMALL(IF($V$7:$V$300="Missing", ROW(Q67:Q$300)-ROW(Q67)+1), ROW(61:61))), "")</f>
        <v/>
      </c>
      <c r="E142" s="19" t="str">
        <f>IF(FalsePositives[[#This Row],[Gene]]="", "", IF(C142&lt;40,"Pass","Inspect"))</f>
        <v/>
      </c>
      <c r="F142" s="24"/>
      <c r="G142" s="26" t="str">
        <f t="array" ref="G142">IFERROR(VLOOKUP(B142,$T$7:$W$300,COLUMN($W$7:$W$300)-COLUMN($T$7:$W$300)+1,0), "")</f>
        <v/>
      </c>
      <c r="H142" s="33"/>
      <c r="J142" s="14">
        <f>'Raw Data Cut 5'!A137</f>
        <v>0</v>
      </c>
      <c r="K142" s="2">
        <f>'Raw Data Cut 5'!B137</f>
        <v>0</v>
      </c>
      <c r="L142" s="2">
        <f>'Raw Data Cut 5'!C137</f>
        <v>0</v>
      </c>
      <c r="M142" s="2">
        <f>'Raw Data Cut 5'!D137</f>
        <v>0</v>
      </c>
      <c r="N142" s="2">
        <f>'Raw Data Cut 5'!E137</f>
        <v>0</v>
      </c>
      <c r="O142" s="2">
        <f>'Raw Data Cut 5'!G137</f>
        <v>0</v>
      </c>
      <c r="P142" s="2">
        <f>'Raw Data Cut 5'!H137</f>
        <v>0</v>
      </c>
      <c r="Q142" s="2">
        <f>'Raw Data Cut 5'!I137</f>
        <v>0</v>
      </c>
      <c r="R142" s="2">
        <f>'Raw Data Cut 5'!J137</f>
        <v>0</v>
      </c>
      <c r="S142" s="2">
        <f>'Raw Data Cut 5'!K137</f>
        <v>0</v>
      </c>
      <c r="T142" s="2">
        <f>'Raw Data Cut 5'!N137</f>
        <v>0</v>
      </c>
      <c r="U142" s="2">
        <f t="shared" si="18"/>
        <v>0</v>
      </c>
      <c r="V142" s="12" t="str">
        <f>IF($T142=0, "", IF(COUNTIF('C00026'!$B$7:$B$41, $T142)=0, "Missing", "Y"))</f>
        <v/>
      </c>
      <c r="W142" s="1">
        <f t="shared" si="19"/>
        <v>0</v>
      </c>
    </row>
    <row r="143" spans="1:23" x14ac:dyDescent="0.25">
      <c r="A143" s="18" t="str">
        <f t="array" ref="A143">IFERROR(INDEX(S$7:S$300, SMALL(IF($V$7:$V$300="Missing", ROW(S68:S$300)-ROW(S68)+1), ROW(62:62))), "")</f>
        <v/>
      </c>
      <c r="B143" s="19" t="str">
        <f t="array" ref="B143">IFERROR(INDEX(T$7:T$300, SMALL(IF($V$7:$V$300="Missing", ROW(T68:T$300)-ROW(T68)+1), ROW(62:62))), "")</f>
        <v/>
      </c>
      <c r="C143" s="19" t="str">
        <f t="array" ref="C143">IFERROR(INDEX(R$7:R$300, SMALL(IF($V$7:$V$2300="Missing", ROW(R68:R$300)-ROW(R68)+1), ROW(62:62))), "")</f>
        <v/>
      </c>
      <c r="D143" s="19" t="str">
        <f t="array" ref="D143">IFERROR(INDEX(Q$7:Q$300, SMALL(IF($V$7:$V$300="Missing", ROW(Q68:Q$300)-ROW(Q68)+1), ROW(62:62))), "")</f>
        <v/>
      </c>
      <c r="E143" s="19" t="str">
        <f>IF(FalsePositives[[#This Row],[Gene]]="", "", IF(C143&lt;40,"Pass","Inspect"))</f>
        <v/>
      </c>
      <c r="F143" s="24"/>
      <c r="G143" s="26" t="str">
        <f t="array" ref="G143">IFERROR(VLOOKUP(B143,$T$7:$W$300,COLUMN($W$7:$W$300)-COLUMN($T$7:$W$300)+1,0), "")</f>
        <v/>
      </c>
      <c r="H143" s="33"/>
      <c r="J143" s="14">
        <f>'Raw Data Cut 5'!A138</f>
        <v>0</v>
      </c>
      <c r="K143" s="2">
        <f>'Raw Data Cut 5'!B138</f>
        <v>0</v>
      </c>
      <c r="L143" s="2">
        <f>'Raw Data Cut 5'!C138</f>
        <v>0</v>
      </c>
      <c r="M143" s="2">
        <f>'Raw Data Cut 5'!D138</f>
        <v>0</v>
      </c>
      <c r="N143" s="2">
        <f>'Raw Data Cut 5'!E138</f>
        <v>0</v>
      </c>
      <c r="O143" s="2">
        <f>'Raw Data Cut 5'!G138</f>
        <v>0</v>
      </c>
      <c r="P143" s="2">
        <f>'Raw Data Cut 5'!H138</f>
        <v>0</v>
      </c>
      <c r="Q143" s="2">
        <f>'Raw Data Cut 5'!I138</f>
        <v>0</v>
      </c>
      <c r="R143" s="2">
        <f>'Raw Data Cut 5'!J138</f>
        <v>0</v>
      </c>
      <c r="S143" s="2">
        <f>'Raw Data Cut 5'!K138</f>
        <v>0</v>
      </c>
      <c r="T143" s="2">
        <f>'Raw Data Cut 5'!N138</f>
        <v>0</v>
      </c>
      <c r="U143" s="2">
        <f t="shared" si="18"/>
        <v>0</v>
      </c>
      <c r="V143" s="12" t="str">
        <f>IF($T143=0, "", IF(COUNTIF('C00026'!$B$7:$B$41, $T143)=0, "Missing", "Y"))</f>
        <v/>
      </c>
      <c r="W143" s="1">
        <f t="shared" si="19"/>
        <v>0</v>
      </c>
    </row>
    <row r="144" spans="1:23" x14ac:dyDescent="0.25">
      <c r="A144" s="18" t="str">
        <f t="array" ref="A144">IFERROR(INDEX(S$7:S$300, SMALL(IF($V$7:$V$300="Missing", ROW(S69:S$300)-ROW(S69)+1), ROW(63:63))), "")</f>
        <v/>
      </c>
      <c r="B144" s="19" t="str">
        <f t="array" ref="B144">IFERROR(INDEX(T$7:T$300, SMALL(IF($V$7:$V$300="Missing", ROW(T69:T$300)-ROW(T69)+1), ROW(63:63))), "")</f>
        <v/>
      </c>
      <c r="C144" s="19" t="str">
        <f t="array" ref="C144">IFERROR(INDEX(R$7:R$300, SMALL(IF($V$7:$V$2300="Missing", ROW(R69:R$300)-ROW(R69)+1), ROW(63:63))), "")</f>
        <v/>
      </c>
      <c r="D144" s="19" t="str">
        <f t="array" ref="D144">IFERROR(INDEX(Q$7:Q$300, SMALL(IF($V$7:$V$300="Missing", ROW(Q69:Q$300)-ROW(Q69)+1), ROW(63:63))), "")</f>
        <v/>
      </c>
      <c r="E144" s="19" t="str">
        <f>IF(FalsePositives[[#This Row],[Gene]]="", "", IF(C144&lt;40,"Pass","Inspect"))</f>
        <v/>
      </c>
      <c r="F144" s="24"/>
      <c r="G144" s="26" t="str">
        <f t="array" ref="G144">IFERROR(VLOOKUP(B144,$T$7:$W$300,COLUMN($W$7:$W$300)-COLUMN($T$7:$W$300)+1,0), "")</f>
        <v/>
      </c>
      <c r="H144" s="33"/>
      <c r="J144" s="14">
        <f>'Raw Data Cut 5'!A139</f>
        <v>0</v>
      </c>
      <c r="K144" s="2">
        <f>'Raw Data Cut 5'!B139</f>
        <v>0</v>
      </c>
      <c r="L144" s="2">
        <f>'Raw Data Cut 5'!C139</f>
        <v>0</v>
      </c>
      <c r="M144" s="2">
        <f>'Raw Data Cut 5'!D139</f>
        <v>0</v>
      </c>
      <c r="N144" s="2">
        <f>'Raw Data Cut 5'!E139</f>
        <v>0</v>
      </c>
      <c r="O144" s="2">
        <f>'Raw Data Cut 5'!G139</f>
        <v>0</v>
      </c>
      <c r="P144" s="2">
        <f>'Raw Data Cut 5'!H139</f>
        <v>0</v>
      </c>
      <c r="Q144" s="2">
        <f>'Raw Data Cut 5'!I139</f>
        <v>0</v>
      </c>
      <c r="R144" s="2">
        <f>'Raw Data Cut 5'!J139</f>
        <v>0</v>
      </c>
      <c r="S144" s="2">
        <f>'Raw Data Cut 5'!K139</f>
        <v>0</v>
      </c>
      <c r="T144" s="2">
        <f>'Raw Data Cut 5'!N139</f>
        <v>0</v>
      </c>
      <c r="U144" s="2">
        <f t="shared" si="18"/>
        <v>0</v>
      </c>
      <c r="V144" s="12" t="str">
        <f>IF($T144=0, "", IF(COUNTIF('C00026'!$B$7:$B$41, $T144)=0, "Missing", "Y"))</f>
        <v/>
      </c>
      <c r="W144" s="1">
        <f t="shared" si="19"/>
        <v>0</v>
      </c>
    </row>
    <row r="145" spans="1:23" x14ac:dyDescent="0.25">
      <c r="A145" s="18" t="str">
        <f t="array" ref="A145">IFERROR(INDEX(S$7:S$300, SMALL(IF($V$7:$V$300="Missing", ROW(S70:S$300)-ROW(S70)+1), ROW(64:64))), "")</f>
        <v/>
      </c>
      <c r="B145" s="19" t="str">
        <f t="array" ref="B145">IFERROR(INDEX(T$7:T$300, SMALL(IF($V$7:$V$300="Missing", ROW(T70:T$300)-ROW(T70)+1), ROW(64:64))), "")</f>
        <v/>
      </c>
      <c r="C145" s="19" t="str">
        <f t="array" ref="C145">IFERROR(INDEX(R$7:R$300, SMALL(IF($V$7:$V$2300="Missing", ROW(R70:R$300)-ROW(R70)+1), ROW(64:64))), "")</f>
        <v/>
      </c>
      <c r="D145" s="19" t="str">
        <f t="array" ref="D145">IFERROR(INDEX(Q$7:Q$300, SMALL(IF($V$7:$V$300="Missing", ROW(Q70:Q$300)-ROW(Q70)+1), ROW(64:64))), "")</f>
        <v/>
      </c>
      <c r="E145" s="19" t="str">
        <f>IF(FalsePositives[[#This Row],[Gene]]="", "", IF(C145&lt;40,"Pass","Inspect"))</f>
        <v/>
      </c>
      <c r="F145" s="24"/>
      <c r="G145" s="26" t="str">
        <f t="array" ref="G145">IFERROR(VLOOKUP(B145,$T$7:$W$300,COLUMN($W$7:$W$300)-COLUMN($T$7:$W$300)+1,0), "")</f>
        <v/>
      </c>
      <c r="H145" s="33"/>
      <c r="J145" s="14">
        <f>'Raw Data Cut 5'!A140</f>
        <v>0</v>
      </c>
      <c r="K145" s="2">
        <f>'Raw Data Cut 5'!B140</f>
        <v>0</v>
      </c>
      <c r="L145" s="2">
        <f>'Raw Data Cut 5'!C140</f>
        <v>0</v>
      </c>
      <c r="M145" s="2">
        <f>'Raw Data Cut 5'!D140</f>
        <v>0</v>
      </c>
      <c r="N145" s="2">
        <f>'Raw Data Cut 5'!E140</f>
        <v>0</v>
      </c>
      <c r="O145" s="2">
        <f>'Raw Data Cut 5'!G140</f>
        <v>0</v>
      </c>
      <c r="P145" s="2">
        <f>'Raw Data Cut 5'!H140</f>
        <v>0</v>
      </c>
      <c r="Q145" s="2">
        <f>'Raw Data Cut 5'!I140</f>
        <v>0</v>
      </c>
      <c r="R145" s="2">
        <f>'Raw Data Cut 5'!J140</f>
        <v>0</v>
      </c>
      <c r="S145" s="2">
        <f>'Raw Data Cut 5'!K140</f>
        <v>0</v>
      </c>
      <c r="T145" s="2">
        <f>'Raw Data Cut 5'!N140</f>
        <v>0</v>
      </c>
      <c r="U145" s="2">
        <f t="shared" si="18"/>
        <v>0</v>
      </c>
      <c r="V145" s="12" t="str">
        <f>IF($T145=0, "", IF(COUNTIF('C00026'!$B$7:$B$41, $T145)=0, "Missing", "Y"))</f>
        <v/>
      </c>
      <c r="W145" s="1">
        <f t="shared" si="19"/>
        <v>0</v>
      </c>
    </row>
    <row r="146" spans="1:23" x14ac:dyDescent="0.25">
      <c r="A146" s="18" t="str">
        <f t="array" ref="A146">IFERROR(INDEX(S$7:S$300, SMALL(IF($V$7:$V$300="Missing", ROW(S71:S$300)-ROW(S71)+1), ROW(65:65))), "")</f>
        <v/>
      </c>
      <c r="B146" s="19" t="str">
        <f t="array" ref="B146">IFERROR(INDEX(T$7:T$300, SMALL(IF($V$7:$V$300="Missing", ROW(T71:T$300)-ROW(T71)+1), ROW(65:65))), "")</f>
        <v/>
      </c>
      <c r="C146" s="19" t="str">
        <f t="array" ref="C146">IFERROR(INDEX(R$7:R$300, SMALL(IF($V$7:$V$2300="Missing", ROW(R71:R$300)-ROW(R71)+1), ROW(65:65))), "")</f>
        <v/>
      </c>
      <c r="D146" s="19" t="str">
        <f t="array" ref="D146">IFERROR(INDEX(Q$7:Q$300, SMALL(IF($V$7:$V$300="Missing", ROW(Q71:Q$300)-ROW(Q71)+1), ROW(65:65))), "")</f>
        <v/>
      </c>
      <c r="E146" s="19" t="str">
        <f>IF(FalsePositives[[#This Row],[Gene]]="", "", IF(C146&lt;40,"Pass","Inspect"))</f>
        <v/>
      </c>
      <c r="F146" s="24"/>
      <c r="G146" s="26" t="str">
        <f t="array" ref="G146">IFERROR(VLOOKUP(B146,$T$7:$W$300,COLUMN($W$7:$W$300)-COLUMN($T$7:$W$300)+1,0), "")</f>
        <v/>
      </c>
      <c r="H146" s="33"/>
      <c r="J146" s="14">
        <f>'Raw Data Cut 5'!A141</f>
        <v>0</v>
      </c>
      <c r="K146" s="2">
        <f>'Raw Data Cut 5'!B141</f>
        <v>0</v>
      </c>
      <c r="L146" s="2">
        <f>'Raw Data Cut 5'!C141</f>
        <v>0</v>
      </c>
      <c r="M146" s="2">
        <f>'Raw Data Cut 5'!D141</f>
        <v>0</v>
      </c>
      <c r="N146" s="2">
        <f>'Raw Data Cut 5'!E141</f>
        <v>0</v>
      </c>
      <c r="O146" s="2">
        <f>'Raw Data Cut 5'!G141</f>
        <v>0</v>
      </c>
      <c r="P146" s="2">
        <f>'Raw Data Cut 5'!H141</f>
        <v>0</v>
      </c>
      <c r="Q146" s="2">
        <f>'Raw Data Cut 5'!I141</f>
        <v>0</v>
      </c>
      <c r="R146" s="2">
        <f>'Raw Data Cut 5'!J141</f>
        <v>0</v>
      </c>
      <c r="S146" s="2">
        <f>'Raw Data Cut 5'!K141</f>
        <v>0</v>
      </c>
      <c r="T146" s="2">
        <f>'Raw Data Cut 5'!N141</f>
        <v>0</v>
      </c>
      <c r="U146" s="2">
        <f t="shared" si="18"/>
        <v>0</v>
      </c>
      <c r="V146" s="12" t="str">
        <f>IF($T146=0, "", IF(COUNTIF('C00026'!$B$7:$B$41, $T146)=0, "Missing", "Y"))</f>
        <v/>
      </c>
      <c r="W146" s="1">
        <f t="shared" si="19"/>
        <v>0</v>
      </c>
    </row>
    <row r="147" spans="1:23" x14ac:dyDescent="0.25">
      <c r="A147" s="18" t="str">
        <f t="array" ref="A147">IFERROR(INDEX(S$7:S$300, SMALL(IF($V$7:$V$300="Missing", ROW(S72:S$300)-ROW(S72)+1), ROW(66:66))), "")</f>
        <v/>
      </c>
      <c r="B147" s="19" t="str">
        <f t="array" ref="B147">IFERROR(INDEX(T$7:T$300, SMALL(IF($V$7:$V$300="Missing", ROW(T72:T$300)-ROW(T72)+1), ROW(66:66))), "")</f>
        <v/>
      </c>
      <c r="C147" s="19" t="str">
        <f t="array" ref="C147">IFERROR(INDEX(R$7:R$300, SMALL(IF($V$7:$V$2300="Missing", ROW(R72:R$300)-ROW(R72)+1), ROW(66:66))), "")</f>
        <v/>
      </c>
      <c r="D147" s="19" t="str">
        <f t="array" ref="D147">IFERROR(INDEX(Q$7:Q$300, SMALL(IF($V$7:$V$300="Missing", ROW(Q72:Q$300)-ROW(Q72)+1), ROW(66:66))), "")</f>
        <v/>
      </c>
      <c r="E147" s="19" t="str">
        <f>IF(FalsePositives[[#This Row],[Gene]]="", "", IF(C147&lt;40,"Pass","Inspect"))</f>
        <v/>
      </c>
      <c r="F147" s="24"/>
      <c r="G147" s="26" t="str">
        <f t="array" ref="G147">IFERROR(VLOOKUP(B147,$T$7:$W$300,COLUMN($W$7:$W$300)-COLUMN($T$7:$W$300)+1,0), "")</f>
        <v/>
      </c>
      <c r="H147" s="33"/>
      <c r="J147" s="14">
        <f>'Raw Data Cut 5'!A142</f>
        <v>0</v>
      </c>
      <c r="K147" s="2">
        <f>'Raw Data Cut 5'!B142</f>
        <v>0</v>
      </c>
      <c r="L147" s="2">
        <f>'Raw Data Cut 5'!C142</f>
        <v>0</v>
      </c>
      <c r="M147" s="2">
        <f>'Raw Data Cut 5'!D142</f>
        <v>0</v>
      </c>
      <c r="N147" s="2">
        <f>'Raw Data Cut 5'!E142</f>
        <v>0</v>
      </c>
      <c r="O147" s="2">
        <f>'Raw Data Cut 5'!G142</f>
        <v>0</v>
      </c>
      <c r="P147" s="2">
        <f>'Raw Data Cut 5'!H142</f>
        <v>0</v>
      </c>
      <c r="Q147" s="2">
        <f>'Raw Data Cut 5'!I142</f>
        <v>0</v>
      </c>
      <c r="R147" s="2">
        <f>'Raw Data Cut 5'!J142</f>
        <v>0</v>
      </c>
      <c r="S147" s="2">
        <f>'Raw Data Cut 5'!K142</f>
        <v>0</v>
      </c>
      <c r="T147" s="2">
        <f>'Raw Data Cut 5'!N142</f>
        <v>0</v>
      </c>
      <c r="U147" s="2">
        <f t="shared" si="18"/>
        <v>0</v>
      </c>
      <c r="V147" s="12" t="str">
        <f>IF($T147=0, "", IF(COUNTIF('C00026'!$B$7:$B$41, $T147)=0, "Missing", "Y"))</f>
        <v/>
      </c>
      <c r="W147" s="1">
        <f t="shared" si="19"/>
        <v>0</v>
      </c>
    </row>
    <row r="148" spans="1:23" x14ac:dyDescent="0.25">
      <c r="A148" s="18" t="str">
        <f t="array" ref="A148">IFERROR(INDEX(S$7:S$300, SMALL(IF($V$7:$V$300="Missing", ROW(S73:S$300)-ROW(S73)+1), ROW(67:67))), "")</f>
        <v/>
      </c>
      <c r="B148" s="19" t="str">
        <f t="array" ref="B148">IFERROR(INDEX(T$7:T$300, SMALL(IF($V$7:$V$300="Missing", ROW(T73:T$300)-ROW(T73)+1), ROW(67:67))), "")</f>
        <v/>
      </c>
      <c r="C148" s="19" t="str">
        <f t="array" ref="C148">IFERROR(INDEX(R$7:R$300, SMALL(IF($V$7:$V$2300="Missing", ROW(R73:R$300)-ROW(R73)+1), ROW(67:67))), "")</f>
        <v/>
      </c>
      <c r="D148" s="19" t="str">
        <f t="array" ref="D148">IFERROR(INDEX(Q$7:Q$300, SMALL(IF($V$7:$V$300="Missing", ROW(Q73:Q$300)-ROW(Q73)+1), ROW(67:67))), "")</f>
        <v/>
      </c>
      <c r="E148" s="19" t="str">
        <f>IF(FalsePositives[[#This Row],[Gene]]="", "", IF(C148&lt;40,"Pass","Inspect"))</f>
        <v/>
      </c>
      <c r="F148" s="24"/>
      <c r="G148" s="26" t="str">
        <f t="array" ref="G148">IFERROR(VLOOKUP(B148,$T$7:$W$300,COLUMN($W$7:$W$300)-COLUMN($T$7:$W$300)+1,0), "")</f>
        <v/>
      </c>
      <c r="H148" s="33"/>
      <c r="J148" s="14">
        <f>'Raw Data Cut 5'!A143</f>
        <v>0</v>
      </c>
      <c r="K148" s="2">
        <f>'Raw Data Cut 5'!B143</f>
        <v>0</v>
      </c>
      <c r="L148" s="2">
        <f>'Raw Data Cut 5'!C143</f>
        <v>0</v>
      </c>
      <c r="M148" s="2">
        <f>'Raw Data Cut 5'!D143</f>
        <v>0</v>
      </c>
      <c r="N148" s="2">
        <f>'Raw Data Cut 5'!E143</f>
        <v>0</v>
      </c>
      <c r="O148" s="2">
        <f>'Raw Data Cut 5'!G143</f>
        <v>0</v>
      </c>
      <c r="P148" s="2">
        <f>'Raw Data Cut 5'!H143</f>
        <v>0</v>
      </c>
      <c r="Q148" s="2">
        <f>'Raw Data Cut 5'!I143</f>
        <v>0</v>
      </c>
      <c r="R148" s="2">
        <f>'Raw Data Cut 5'!J143</f>
        <v>0</v>
      </c>
      <c r="S148" s="2">
        <f>'Raw Data Cut 5'!K143</f>
        <v>0</v>
      </c>
      <c r="T148" s="2">
        <f>'Raw Data Cut 5'!N143</f>
        <v>0</v>
      </c>
      <c r="U148" s="2">
        <f t="shared" si="18"/>
        <v>0</v>
      </c>
      <c r="V148" s="12" t="str">
        <f>IF($T148=0, "", IF(COUNTIF('C00026'!$B$7:$B$41, $T148)=0, "Missing", "Y"))</f>
        <v/>
      </c>
      <c r="W148" s="1">
        <f t="shared" si="19"/>
        <v>0</v>
      </c>
    </row>
    <row r="149" spans="1:23" x14ac:dyDescent="0.25">
      <c r="A149" s="18" t="str">
        <f t="array" ref="A149">IFERROR(INDEX(S$7:S$300, SMALL(IF($V$7:$V$300="Missing", ROW(S74:S$300)-ROW(S74)+1), ROW(68:68))), "")</f>
        <v/>
      </c>
      <c r="B149" s="19" t="str">
        <f t="array" ref="B149">IFERROR(INDEX(T$7:T$300, SMALL(IF($V$7:$V$300="Missing", ROW(T74:T$300)-ROW(T74)+1), ROW(68:68))), "")</f>
        <v/>
      </c>
      <c r="C149" s="19" t="str">
        <f t="array" ref="C149">IFERROR(INDEX(R$7:R$300, SMALL(IF($V$7:$V$2300="Missing", ROW(R74:R$300)-ROW(R74)+1), ROW(68:68))), "")</f>
        <v/>
      </c>
      <c r="D149" s="19" t="str">
        <f t="array" ref="D149">IFERROR(INDEX(Q$7:Q$300, SMALL(IF($V$7:$V$300="Missing", ROW(Q74:Q$300)-ROW(Q74)+1), ROW(68:68))), "")</f>
        <v/>
      </c>
      <c r="E149" s="19" t="str">
        <f>IF(FalsePositives[[#This Row],[Gene]]="", "", IF(C149&lt;40,"Pass","Inspect"))</f>
        <v/>
      </c>
      <c r="F149" s="24"/>
      <c r="G149" s="26" t="str">
        <f t="array" ref="G149">IFERROR(VLOOKUP(B149,$T$7:$W$300,COLUMN($W$7:$W$300)-COLUMN($T$7:$W$300)+1,0), "")</f>
        <v/>
      </c>
      <c r="H149" s="33"/>
      <c r="J149" s="14">
        <f>'Raw Data Cut 5'!A144</f>
        <v>0</v>
      </c>
      <c r="K149" s="2">
        <f>'Raw Data Cut 5'!B144</f>
        <v>0</v>
      </c>
      <c r="L149" s="2">
        <f>'Raw Data Cut 5'!C144</f>
        <v>0</v>
      </c>
      <c r="M149" s="2">
        <f>'Raw Data Cut 5'!D144</f>
        <v>0</v>
      </c>
      <c r="N149" s="2">
        <f>'Raw Data Cut 5'!E144</f>
        <v>0</v>
      </c>
      <c r="O149" s="2">
        <f>'Raw Data Cut 5'!G144</f>
        <v>0</v>
      </c>
      <c r="P149" s="2">
        <f>'Raw Data Cut 5'!H144</f>
        <v>0</v>
      </c>
      <c r="Q149" s="2">
        <f>'Raw Data Cut 5'!I144</f>
        <v>0</v>
      </c>
      <c r="R149" s="2">
        <f>'Raw Data Cut 5'!J144</f>
        <v>0</v>
      </c>
      <c r="S149" s="2">
        <f>'Raw Data Cut 5'!K144</f>
        <v>0</v>
      </c>
      <c r="T149" s="2">
        <f>'Raw Data Cut 5'!N144</f>
        <v>0</v>
      </c>
      <c r="U149" s="2">
        <f t="shared" si="18"/>
        <v>0</v>
      </c>
      <c r="V149" s="12" t="str">
        <f>IF($T149=0, "", IF(COUNTIF('C00026'!$B$7:$B$41, $T149)=0, "Missing", "Y"))</f>
        <v/>
      </c>
      <c r="W149" s="1">
        <f t="shared" si="19"/>
        <v>0</v>
      </c>
    </row>
    <row r="150" spans="1:23" x14ac:dyDescent="0.25">
      <c r="A150" s="18" t="str">
        <f t="array" ref="A150">IFERROR(INDEX(S$7:S$300, SMALL(IF($V$7:$V$300="Missing", ROW(S75:S$300)-ROW(S75)+1), ROW(69:69))), "")</f>
        <v/>
      </c>
      <c r="B150" s="19" t="str">
        <f t="array" ref="B150">IFERROR(INDEX(T$7:T$300, SMALL(IF($V$7:$V$300="Missing", ROW(T75:T$300)-ROW(T75)+1), ROW(69:69))), "")</f>
        <v/>
      </c>
      <c r="C150" s="19" t="str">
        <f t="array" ref="C150">IFERROR(INDEX(R$7:R$300, SMALL(IF($V$7:$V$2300="Missing", ROW(R75:R$300)-ROW(R75)+1), ROW(69:69))), "")</f>
        <v/>
      </c>
      <c r="D150" s="19" t="str">
        <f t="array" ref="D150">IFERROR(INDEX(Q$7:Q$300, SMALL(IF($V$7:$V$300="Missing", ROW(Q75:Q$300)-ROW(Q75)+1), ROW(69:69))), "")</f>
        <v/>
      </c>
      <c r="E150" s="19" t="str">
        <f>IF(FalsePositives[[#This Row],[Gene]]="", "", IF(C150&lt;40,"Pass","Inspect"))</f>
        <v/>
      </c>
      <c r="F150" s="24"/>
      <c r="G150" s="26" t="str">
        <f t="array" ref="G150">IFERROR(VLOOKUP(B150,$T$7:$W$300,COLUMN($W$7:$W$300)-COLUMN($T$7:$W$300)+1,0), "")</f>
        <v/>
      </c>
      <c r="H150" s="33"/>
      <c r="J150" s="14">
        <f>'Raw Data Cut 5'!A145</f>
        <v>0</v>
      </c>
      <c r="K150" s="2">
        <f>'Raw Data Cut 5'!B145</f>
        <v>0</v>
      </c>
      <c r="L150" s="2">
        <f>'Raw Data Cut 5'!C145</f>
        <v>0</v>
      </c>
      <c r="M150" s="2">
        <f>'Raw Data Cut 5'!D145</f>
        <v>0</v>
      </c>
      <c r="N150" s="2">
        <f>'Raw Data Cut 5'!E145</f>
        <v>0</v>
      </c>
      <c r="O150" s="2">
        <f>'Raw Data Cut 5'!G145</f>
        <v>0</v>
      </c>
      <c r="P150" s="2">
        <f>'Raw Data Cut 5'!H145</f>
        <v>0</v>
      </c>
      <c r="Q150" s="2">
        <f>'Raw Data Cut 5'!I145</f>
        <v>0</v>
      </c>
      <c r="R150" s="2">
        <f>'Raw Data Cut 5'!J145</f>
        <v>0</v>
      </c>
      <c r="S150" s="2">
        <f>'Raw Data Cut 5'!K145</f>
        <v>0</v>
      </c>
      <c r="T150" s="2">
        <f>'Raw Data Cut 5'!N145</f>
        <v>0</v>
      </c>
      <c r="U150" s="2">
        <f t="shared" si="18"/>
        <v>0</v>
      </c>
      <c r="V150" s="12" t="str">
        <f>IF($T150=0, "", IF(COUNTIF('C00026'!$B$7:$B$41, $T150)=0, "Missing", "Y"))</f>
        <v/>
      </c>
      <c r="W150" s="1">
        <f t="shared" si="19"/>
        <v>0</v>
      </c>
    </row>
    <row r="151" spans="1:23" x14ac:dyDescent="0.25">
      <c r="A151" s="18" t="str">
        <f t="array" ref="A151">IFERROR(INDEX(S$7:S$300, SMALL(IF($V$7:$V$300="Missing", ROW(S76:S$300)-ROW(S76)+1), ROW(70:70))), "")</f>
        <v/>
      </c>
      <c r="B151" s="19" t="str">
        <f t="array" ref="B151">IFERROR(INDEX(T$7:T$300, SMALL(IF($V$7:$V$300="Missing", ROW(T76:T$300)-ROW(T76)+1), ROW(70:70))), "")</f>
        <v/>
      </c>
      <c r="C151" s="19" t="str">
        <f t="array" ref="C151">IFERROR(INDEX(R$7:R$300, SMALL(IF($V$7:$V$2300="Missing", ROW(R76:R$300)-ROW(R76)+1), ROW(70:70))), "")</f>
        <v/>
      </c>
      <c r="D151" s="19" t="str">
        <f t="array" ref="D151">IFERROR(INDEX(Q$7:Q$300, SMALL(IF($V$7:$V$300="Missing", ROW(Q76:Q$300)-ROW(Q76)+1), ROW(70:70))), "")</f>
        <v/>
      </c>
      <c r="E151" s="19" t="str">
        <f>IF(FalsePositives[[#This Row],[Gene]]="", "", IF(C151&lt;40,"Pass","Inspect"))</f>
        <v/>
      </c>
      <c r="F151" s="24"/>
      <c r="G151" s="26" t="str">
        <f t="array" ref="G151">IFERROR(VLOOKUP(B151,$T$7:$W$300,COLUMN($W$7:$W$300)-COLUMN($T$7:$W$300)+1,0), "")</f>
        <v/>
      </c>
      <c r="H151" s="33"/>
      <c r="J151" s="14">
        <f>'Raw Data Cut 5'!A146</f>
        <v>0</v>
      </c>
      <c r="K151" s="2">
        <f>'Raw Data Cut 5'!B146</f>
        <v>0</v>
      </c>
      <c r="L151" s="2">
        <f>'Raw Data Cut 5'!C146</f>
        <v>0</v>
      </c>
      <c r="M151" s="2">
        <f>'Raw Data Cut 5'!D146</f>
        <v>0</v>
      </c>
      <c r="N151" s="2">
        <f>'Raw Data Cut 5'!E146</f>
        <v>0</v>
      </c>
      <c r="O151" s="2">
        <f>'Raw Data Cut 5'!G146</f>
        <v>0</v>
      </c>
      <c r="P151" s="2">
        <f>'Raw Data Cut 5'!H146</f>
        <v>0</v>
      </c>
      <c r="Q151" s="2">
        <f>'Raw Data Cut 5'!I146</f>
        <v>0</v>
      </c>
      <c r="R151" s="2">
        <f>'Raw Data Cut 5'!J146</f>
        <v>0</v>
      </c>
      <c r="S151" s="2">
        <f>'Raw Data Cut 5'!K146</f>
        <v>0</v>
      </c>
      <c r="T151" s="2">
        <f>'Raw Data Cut 5'!N146</f>
        <v>0</v>
      </c>
      <c r="U151" s="2">
        <f t="shared" si="18"/>
        <v>0</v>
      </c>
      <c r="V151" s="12" t="str">
        <f>IF($T151=0, "", IF(COUNTIF('C00026'!$B$7:$B$41, $T151)=0, "Missing", "Y"))</f>
        <v/>
      </c>
      <c r="W151" s="1">
        <f t="shared" si="19"/>
        <v>0</v>
      </c>
    </row>
    <row r="152" spans="1:23" x14ac:dyDescent="0.25">
      <c r="A152" s="18" t="str">
        <f t="array" ref="A152">IFERROR(INDEX(S$7:S$300, SMALL(IF($V$7:$V$300="Missing", ROW(S77:S$300)-ROW(S77)+1), ROW(71:71))), "")</f>
        <v/>
      </c>
      <c r="B152" s="19" t="str">
        <f t="array" ref="B152">IFERROR(INDEX(T$7:T$300, SMALL(IF($V$7:$V$300="Missing", ROW(T77:T$300)-ROW(T77)+1), ROW(71:71))), "")</f>
        <v/>
      </c>
      <c r="C152" s="19" t="str">
        <f t="array" ref="C152">IFERROR(INDEX(R$7:R$300, SMALL(IF($V$7:$V$2300="Missing", ROW(R77:R$300)-ROW(R77)+1), ROW(71:71))), "")</f>
        <v/>
      </c>
      <c r="D152" s="19" t="str">
        <f t="array" ref="D152">IFERROR(INDEX(Q$7:Q$300, SMALL(IF($V$7:$V$300="Missing", ROW(Q77:Q$300)-ROW(Q77)+1), ROW(71:71))), "")</f>
        <v/>
      </c>
      <c r="E152" s="19" t="str">
        <f>IF(FalsePositives[[#This Row],[Gene]]="", "", IF(C152&lt;40,"Pass","Inspect"))</f>
        <v/>
      </c>
      <c r="F152" s="24"/>
      <c r="G152" s="26" t="str">
        <f t="array" ref="G152">IFERROR(VLOOKUP(B152,$T$7:$W$300,COLUMN($W$7:$W$300)-COLUMN($T$7:$W$300)+1,0), "")</f>
        <v/>
      </c>
      <c r="H152" s="33"/>
      <c r="J152" s="14">
        <f>'Raw Data Cut 5'!A147</f>
        <v>0</v>
      </c>
      <c r="K152" s="2">
        <f>'Raw Data Cut 5'!B147</f>
        <v>0</v>
      </c>
      <c r="L152" s="2">
        <f>'Raw Data Cut 5'!C147</f>
        <v>0</v>
      </c>
      <c r="M152" s="2">
        <f>'Raw Data Cut 5'!D147</f>
        <v>0</v>
      </c>
      <c r="N152" s="2">
        <f>'Raw Data Cut 5'!E147</f>
        <v>0</v>
      </c>
      <c r="O152" s="2">
        <f>'Raw Data Cut 5'!G147</f>
        <v>0</v>
      </c>
      <c r="P152" s="2">
        <f>'Raw Data Cut 5'!H147</f>
        <v>0</v>
      </c>
      <c r="Q152" s="2">
        <f>'Raw Data Cut 5'!I147</f>
        <v>0</v>
      </c>
      <c r="R152" s="2">
        <f>'Raw Data Cut 5'!J147</f>
        <v>0</v>
      </c>
      <c r="S152" s="2">
        <f>'Raw Data Cut 5'!K147</f>
        <v>0</v>
      </c>
      <c r="T152" s="2">
        <f>'Raw Data Cut 5'!N147</f>
        <v>0</v>
      </c>
      <c r="U152" s="2">
        <f t="shared" si="18"/>
        <v>0</v>
      </c>
      <c r="V152" s="12" t="str">
        <f>IF($T152=0, "", IF(COUNTIF('C00026'!$B$7:$B$41, $T152)=0, "Missing", "Y"))</f>
        <v/>
      </c>
      <c r="W152" s="1">
        <f t="shared" si="19"/>
        <v>0</v>
      </c>
    </row>
    <row r="153" spans="1:23" x14ac:dyDescent="0.25">
      <c r="A153" s="18" t="str">
        <f t="array" ref="A153">IFERROR(INDEX(S$7:S$300, SMALL(IF($V$7:$V$300="Missing", ROW(S78:S$300)-ROW(S78)+1), ROW(72:72))), "")</f>
        <v/>
      </c>
      <c r="B153" s="19" t="str">
        <f t="array" ref="B153">IFERROR(INDEX(T$7:T$300, SMALL(IF($V$7:$V$300="Missing", ROW(T78:T$300)-ROW(T78)+1), ROW(72:72))), "")</f>
        <v/>
      </c>
      <c r="C153" s="19" t="str">
        <f t="array" ref="C153">IFERROR(INDEX(R$7:R$300, SMALL(IF($V$7:$V$2300="Missing", ROW(R78:R$300)-ROW(R78)+1), ROW(72:72))), "")</f>
        <v/>
      </c>
      <c r="D153" s="19" t="str">
        <f t="array" ref="D153">IFERROR(INDEX(Q$7:Q$300, SMALL(IF($V$7:$V$300="Missing", ROW(Q78:Q$300)-ROW(Q78)+1), ROW(72:72))), "")</f>
        <v/>
      </c>
      <c r="E153" s="19" t="str">
        <f>IF(FalsePositives[[#This Row],[Gene]]="", "", IF(C153&lt;40,"Pass","Inspect"))</f>
        <v/>
      </c>
      <c r="F153" s="24"/>
      <c r="G153" s="26" t="str">
        <f t="array" ref="G153">IFERROR(VLOOKUP(B153,$T$7:$W$300,COLUMN($W$7:$W$300)-COLUMN($T$7:$W$300)+1,0), "")</f>
        <v/>
      </c>
      <c r="H153" s="33"/>
      <c r="J153" s="14">
        <f>'Raw Data Cut 5'!A148</f>
        <v>0</v>
      </c>
      <c r="K153" s="2">
        <f>'Raw Data Cut 5'!B148</f>
        <v>0</v>
      </c>
      <c r="L153" s="2">
        <f>'Raw Data Cut 5'!C148</f>
        <v>0</v>
      </c>
      <c r="M153" s="2">
        <f>'Raw Data Cut 5'!D148</f>
        <v>0</v>
      </c>
      <c r="N153" s="2">
        <f>'Raw Data Cut 5'!E148</f>
        <v>0</v>
      </c>
      <c r="O153" s="2">
        <f>'Raw Data Cut 5'!G148</f>
        <v>0</v>
      </c>
      <c r="P153" s="2">
        <f>'Raw Data Cut 5'!H148</f>
        <v>0</v>
      </c>
      <c r="Q153" s="2">
        <f>'Raw Data Cut 5'!I148</f>
        <v>0</v>
      </c>
      <c r="R153" s="2">
        <f>'Raw Data Cut 5'!J148</f>
        <v>0</v>
      </c>
      <c r="S153" s="2">
        <f>'Raw Data Cut 5'!K148</f>
        <v>0</v>
      </c>
      <c r="T153" s="2">
        <f>'Raw Data Cut 5'!N148</f>
        <v>0</v>
      </c>
      <c r="U153" s="2">
        <f t="shared" si="18"/>
        <v>0</v>
      </c>
      <c r="V153" s="12" t="str">
        <f>IF($T153=0, "", IF(COUNTIF('C00026'!$B$7:$B$41, $T153)=0, "Missing", "Y"))</f>
        <v/>
      </c>
      <c r="W153" s="1">
        <f t="shared" si="19"/>
        <v>0</v>
      </c>
    </row>
    <row r="154" spans="1:23" x14ac:dyDescent="0.25">
      <c r="A154" s="18" t="str">
        <f t="array" ref="A154">IFERROR(INDEX(S$7:S$300, SMALL(IF($V$7:$V$300="Missing", ROW(S79:S$300)-ROW(S79)+1), ROW(73:73))), "")</f>
        <v/>
      </c>
      <c r="B154" s="19" t="str">
        <f t="array" ref="B154">IFERROR(INDEX(T$7:T$300, SMALL(IF($V$7:$V$300="Missing", ROW(T79:T$300)-ROW(T79)+1), ROW(73:73))), "")</f>
        <v/>
      </c>
      <c r="C154" s="19" t="str">
        <f t="array" ref="C154">IFERROR(INDEX(R$7:R$300, SMALL(IF($V$7:$V$2300="Missing", ROW(R79:R$300)-ROW(R79)+1), ROW(73:73))), "")</f>
        <v/>
      </c>
      <c r="D154" s="19" t="str">
        <f t="array" ref="D154">IFERROR(INDEX(Q$7:Q$300, SMALL(IF($V$7:$V$300="Missing", ROW(Q79:Q$300)-ROW(Q79)+1), ROW(73:73))), "")</f>
        <v/>
      </c>
      <c r="E154" s="19" t="str">
        <f>IF(FalsePositives[[#This Row],[Gene]]="", "", IF(C154&lt;40,"Pass","Inspect"))</f>
        <v/>
      </c>
      <c r="F154" s="24"/>
      <c r="G154" s="26" t="str">
        <f t="array" ref="G154">IFERROR(VLOOKUP(B154,$T$7:$W$300,COLUMN($W$7:$W$300)-COLUMN($T$7:$W$300)+1,0), "")</f>
        <v/>
      </c>
      <c r="H154" s="33"/>
      <c r="J154" s="14">
        <f>'Raw Data Cut 5'!A149</f>
        <v>0</v>
      </c>
      <c r="K154" s="2">
        <f>'Raw Data Cut 5'!B149</f>
        <v>0</v>
      </c>
      <c r="L154" s="2">
        <f>'Raw Data Cut 5'!C149</f>
        <v>0</v>
      </c>
      <c r="M154" s="2">
        <f>'Raw Data Cut 5'!D149</f>
        <v>0</v>
      </c>
      <c r="N154" s="2">
        <f>'Raw Data Cut 5'!E149</f>
        <v>0</v>
      </c>
      <c r="O154" s="2">
        <f>'Raw Data Cut 5'!G149</f>
        <v>0</v>
      </c>
      <c r="P154" s="2">
        <f>'Raw Data Cut 5'!H149</f>
        <v>0</v>
      </c>
      <c r="Q154" s="2">
        <f>'Raw Data Cut 5'!I149</f>
        <v>0</v>
      </c>
      <c r="R154" s="2">
        <f>'Raw Data Cut 5'!J149</f>
        <v>0</v>
      </c>
      <c r="S154" s="2">
        <f>'Raw Data Cut 5'!K149</f>
        <v>0</v>
      </c>
      <c r="T154" s="2">
        <f>'Raw Data Cut 5'!N149</f>
        <v>0</v>
      </c>
      <c r="U154" s="2">
        <f t="shared" si="18"/>
        <v>0</v>
      </c>
      <c r="V154" s="12" t="str">
        <f>IF($T154=0, "", IF(COUNTIF('C00026'!$B$7:$B$41, $T154)=0, "Missing", "Y"))</f>
        <v/>
      </c>
      <c r="W154" s="1">
        <f t="shared" si="19"/>
        <v>0</v>
      </c>
    </row>
    <row r="155" spans="1:23" x14ac:dyDescent="0.25">
      <c r="A155" s="18" t="str">
        <f t="array" ref="A155">IFERROR(INDEX(S$7:S$300, SMALL(IF($V$7:$V$300="Missing", ROW(S80:S$300)-ROW(S80)+1), ROW(74:74))), "")</f>
        <v/>
      </c>
      <c r="B155" s="19" t="str">
        <f t="array" ref="B155">IFERROR(INDEX(T$7:T$300, SMALL(IF($V$7:$V$300="Missing", ROW(T80:T$300)-ROW(T80)+1), ROW(74:74))), "")</f>
        <v/>
      </c>
      <c r="C155" s="19" t="str">
        <f t="array" ref="C155">IFERROR(INDEX(R$7:R$300, SMALL(IF($V$7:$V$2300="Missing", ROW(R80:R$300)-ROW(R80)+1), ROW(74:74))), "")</f>
        <v/>
      </c>
      <c r="D155" s="19" t="str">
        <f t="array" ref="D155">IFERROR(INDEX(Q$7:Q$300, SMALL(IF($V$7:$V$300="Missing", ROW(Q80:Q$300)-ROW(Q80)+1), ROW(74:74))), "")</f>
        <v/>
      </c>
      <c r="E155" s="19" t="str">
        <f>IF(FalsePositives[[#This Row],[Gene]]="", "", IF(C155&lt;40,"Pass","Inspect"))</f>
        <v/>
      </c>
      <c r="F155" s="24"/>
      <c r="G155" s="26" t="str">
        <f t="array" ref="G155">IFERROR(VLOOKUP(B155,$T$7:$W$300,COLUMN($W$7:$W$300)-COLUMN($T$7:$W$300)+1,0), "")</f>
        <v/>
      </c>
      <c r="H155" s="33"/>
      <c r="J155" s="14">
        <f>'Raw Data Cut 5'!A150</f>
        <v>0</v>
      </c>
      <c r="K155" s="2">
        <f>'Raw Data Cut 5'!B150</f>
        <v>0</v>
      </c>
      <c r="L155" s="2">
        <f>'Raw Data Cut 5'!C150</f>
        <v>0</v>
      </c>
      <c r="M155" s="2">
        <f>'Raw Data Cut 5'!D150</f>
        <v>0</v>
      </c>
      <c r="N155" s="2">
        <f>'Raw Data Cut 5'!E150</f>
        <v>0</v>
      </c>
      <c r="O155" s="2">
        <f>'Raw Data Cut 5'!G150</f>
        <v>0</v>
      </c>
      <c r="P155" s="2">
        <f>'Raw Data Cut 5'!H150</f>
        <v>0</v>
      </c>
      <c r="Q155" s="2">
        <f>'Raw Data Cut 5'!I150</f>
        <v>0</v>
      </c>
      <c r="R155" s="2">
        <f>'Raw Data Cut 5'!J150</f>
        <v>0</v>
      </c>
      <c r="S155" s="2">
        <f>'Raw Data Cut 5'!K150</f>
        <v>0</v>
      </c>
      <c r="T155" s="2">
        <f>'Raw Data Cut 5'!N150</f>
        <v>0</v>
      </c>
      <c r="U155" s="2">
        <f t="shared" si="18"/>
        <v>0</v>
      </c>
      <c r="V155" s="12" t="str">
        <f>IF($T155=0, "", IF(COUNTIF('C00026'!$B$7:$B$41, $T155)=0, "Missing", "Y"))</f>
        <v/>
      </c>
      <c r="W155" s="1">
        <f t="shared" si="19"/>
        <v>0</v>
      </c>
    </row>
    <row r="156" spans="1:23" x14ac:dyDescent="0.25">
      <c r="A156" s="18" t="str">
        <f t="array" ref="A156">IFERROR(INDEX(S$7:S$300, SMALL(IF($V$7:$V$300="Missing", ROW(S81:S$300)-ROW(S81)+1), ROW(75:75))), "")</f>
        <v/>
      </c>
      <c r="B156" s="19" t="str">
        <f t="array" ref="B156">IFERROR(INDEX(T$7:T$300, SMALL(IF($V$7:$V$300="Missing", ROW(T81:T$300)-ROW(T81)+1), ROW(75:75))), "")</f>
        <v/>
      </c>
      <c r="C156" s="19" t="str">
        <f t="array" ref="C156">IFERROR(INDEX(R$7:R$300, SMALL(IF($V$7:$V$2300="Missing", ROW(R81:R$300)-ROW(R81)+1), ROW(75:75))), "")</f>
        <v/>
      </c>
      <c r="D156" s="19" t="str">
        <f t="array" ref="D156">IFERROR(INDEX(Q$7:Q$300, SMALL(IF($V$7:$V$300="Missing", ROW(Q81:Q$300)-ROW(Q81)+1), ROW(75:75))), "")</f>
        <v/>
      </c>
      <c r="E156" s="19" t="str">
        <f>IF(FalsePositives[[#This Row],[Gene]]="", "", IF(C156&lt;40,"Pass","Inspect"))</f>
        <v/>
      </c>
      <c r="F156" s="24"/>
      <c r="G156" s="26" t="str">
        <f t="array" ref="G156">IFERROR(VLOOKUP(B156,$T$7:$W$300,COLUMN($W$7:$W$300)-COLUMN($T$7:$W$300)+1,0), "")</f>
        <v/>
      </c>
      <c r="H156" s="33"/>
      <c r="J156" s="14">
        <f>'Raw Data Cut 5'!A151</f>
        <v>0</v>
      </c>
      <c r="K156" s="2">
        <f>'Raw Data Cut 5'!B151</f>
        <v>0</v>
      </c>
      <c r="L156" s="2">
        <f>'Raw Data Cut 5'!C151</f>
        <v>0</v>
      </c>
      <c r="M156" s="2">
        <f>'Raw Data Cut 5'!D151</f>
        <v>0</v>
      </c>
      <c r="N156" s="2">
        <f>'Raw Data Cut 5'!E151</f>
        <v>0</v>
      </c>
      <c r="O156" s="2">
        <f>'Raw Data Cut 5'!G151</f>
        <v>0</v>
      </c>
      <c r="P156" s="2">
        <f>'Raw Data Cut 5'!H151</f>
        <v>0</v>
      </c>
      <c r="Q156" s="2">
        <f>'Raw Data Cut 5'!I151</f>
        <v>0</v>
      </c>
      <c r="R156" s="2">
        <f>'Raw Data Cut 5'!J151</f>
        <v>0</v>
      </c>
      <c r="S156" s="2">
        <f>'Raw Data Cut 5'!K151</f>
        <v>0</v>
      </c>
      <c r="T156" s="2">
        <f>'Raw Data Cut 5'!N151</f>
        <v>0</v>
      </c>
      <c r="U156" s="2">
        <f t="shared" si="18"/>
        <v>0</v>
      </c>
      <c r="V156" s="12" t="str">
        <f>IF($T156=0, "", IF(COUNTIF('C00026'!$B$7:$B$41, $T156)=0, "Missing", "Y"))</f>
        <v/>
      </c>
      <c r="W156" s="1">
        <f t="shared" si="19"/>
        <v>0</v>
      </c>
    </row>
    <row r="157" spans="1:23" x14ac:dyDescent="0.25">
      <c r="A157" s="18" t="str">
        <f t="array" ref="A157">IFERROR(INDEX(S$7:S$300, SMALL(IF($V$7:$V$300="Missing", ROW(S82:S$300)-ROW(S82)+1), ROW(76:76))), "")</f>
        <v/>
      </c>
      <c r="B157" s="19" t="str">
        <f t="array" ref="B157">IFERROR(INDEX(T$7:T$300, SMALL(IF($V$7:$V$300="Missing", ROW(T82:T$300)-ROW(T82)+1), ROW(76:76))), "")</f>
        <v/>
      </c>
      <c r="C157" s="19" t="str">
        <f t="array" ref="C157">IFERROR(INDEX(R$7:R$300, SMALL(IF($V$7:$V$2300="Missing", ROW(R82:R$300)-ROW(R82)+1), ROW(76:76))), "")</f>
        <v/>
      </c>
      <c r="D157" s="19" t="str">
        <f t="array" ref="D157">IFERROR(INDEX(Q$7:Q$300, SMALL(IF($V$7:$V$300="Missing", ROW(Q82:Q$300)-ROW(Q82)+1), ROW(76:76))), "")</f>
        <v/>
      </c>
      <c r="E157" s="19" t="str">
        <f>IF(FalsePositives[[#This Row],[Gene]]="", "", IF(C157&lt;40,"Pass","Inspect"))</f>
        <v/>
      </c>
      <c r="F157" s="24"/>
      <c r="G157" s="26" t="str">
        <f t="array" ref="G157">IFERROR(VLOOKUP(B157,$T$7:$W$300,COLUMN($W$7:$W$300)-COLUMN($T$7:$W$300)+1,0), "")</f>
        <v/>
      </c>
      <c r="H157" s="33"/>
      <c r="J157" s="14">
        <f>'Raw Data Cut 5'!A152</f>
        <v>0</v>
      </c>
      <c r="K157" s="2">
        <f>'Raw Data Cut 5'!B152</f>
        <v>0</v>
      </c>
      <c r="L157" s="2">
        <f>'Raw Data Cut 5'!C152</f>
        <v>0</v>
      </c>
      <c r="M157" s="2">
        <f>'Raw Data Cut 5'!D152</f>
        <v>0</v>
      </c>
      <c r="N157" s="2">
        <f>'Raw Data Cut 5'!E152</f>
        <v>0</v>
      </c>
      <c r="O157" s="2">
        <f>'Raw Data Cut 5'!G152</f>
        <v>0</v>
      </c>
      <c r="P157" s="2">
        <f>'Raw Data Cut 5'!H152</f>
        <v>0</v>
      </c>
      <c r="Q157" s="2">
        <f>'Raw Data Cut 5'!I152</f>
        <v>0</v>
      </c>
      <c r="R157" s="2">
        <f>'Raw Data Cut 5'!J152</f>
        <v>0</v>
      </c>
      <c r="S157" s="2">
        <f>'Raw Data Cut 5'!K152</f>
        <v>0</v>
      </c>
      <c r="T157" s="2">
        <f>'Raw Data Cut 5'!N152</f>
        <v>0</v>
      </c>
      <c r="U157" s="2">
        <f t="shared" si="18"/>
        <v>0</v>
      </c>
      <c r="V157" s="12" t="str">
        <f>IF($T157=0, "", IF(COUNTIF('C00026'!$B$7:$B$41, $T157)=0, "Missing", "Y"))</f>
        <v/>
      </c>
      <c r="W157" s="1">
        <f t="shared" si="19"/>
        <v>0</v>
      </c>
    </row>
    <row r="158" spans="1:23" x14ac:dyDescent="0.25">
      <c r="A158" s="18" t="str">
        <f t="array" ref="A158">IFERROR(INDEX(S$7:S$300, SMALL(IF($V$7:$V$300="Missing", ROW(S83:S$300)-ROW(S83)+1), ROW(77:77))), "")</f>
        <v/>
      </c>
      <c r="B158" s="19" t="str">
        <f t="array" ref="B158">IFERROR(INDEX(T$7:T$300, SMALL(IF($V$7:$V$300="Missing", ROW(T83:T$300)-ROW(T83)+1), ROW(77:77))), "")</f>
        <v/>
      </c>
      <c r="C158" s="19" t="str">
        <f t="array" ref="C158">IFERROR(INDEX(R$7:R$300, SMALL(IF($V$7:$V$2300="Missing", ROW(R83:R$300)-ROW(R83)+1), ROW(77:77))), "")</f>
        <v/>
      </c>
      <c r="D158" s="19" t="str">
        <f t="array" ref="D158">IFERROR(INDEX(Q$7:Q$300, SMALL(IF($V$7:$V$300="Missing", ROW(Q83:Q$300)-ROW(Q83)+1), ROW(77:77))), "")</f>
        <v/>
      </c>
      <c r="E158" s="19" t="str">
        <f>IF(FalsePositives[[#This Row],[Gene]]="", "", IF(C158&lt;40,"Pass","Inspect"))</f>
        <v/>
      </c>
      <c r="F158" s="24"/>
      <c r="G158" s="26" t="str">
        <f t="array" ref="G158">IFERROR(VLOOKUP(B158,$T$7:$W$300,COLUMN($W$7:$W$300)-COLUMN($T$7:$W$300)+1,0), "")</f>
        <v/>
      </c>
      <c r="H158" s="33"/>
      <c r="J158" s="14">
        <f>'Raw Data Cut 5'!A153</f>
        <v>0</v>
      </c>
      <c r="K158" s="2">
        <f>'Raw Data Cut 5'!B153</f>
        <v>0</v>
      </c>
      <c r="L158" s="2">
        <f>'Raw Data Cut 5'!C153</f>
        <v>0</v>
      </c>
      <c r="M158" s="2">
        <f>'Raw Data Cut 5'!D153</f>
        <v>0</v>
      </c>
      <c r="N158" s="2">
        <f>'Raw Data Cut 5'!E153</f>
        <v>0</v>
      </c>
      <c r="O158" s="2">
        <f>'Raw Data Cut 5'!G153</f>
        <v>0</v>
      </c>
      <c r="P158" s="2">
        <f>'Raw Data Cut 5'!H153</f>
        <v>0</v>
      </c>
      <c r="Q158" s="2">
        <f>'Raw Data Cut 5'!I153</f>
        <v>0</v>
      </c>
      <c r="R158" s="2">
        <f>'Raw Data Cut 5'!J153</f>
        <v>0</v>
      </c>
      <c r="S158" s="2">
        <f>'Raw Data Cut 5'!K153</f>
        <v>0</v>
      </c>
      <c r="T158" s="2">
        <f>'Raw Data Cut 5'!N153</f>
        <v>0</v>
      </c>
      <c r="U158" s="2">
        <f t="shared" si="18"/>
        <v>0</v>
      </c>
      <c r="V158" s="12" t="str">
        <f>IF($T158=0, "", IF(COUNTIF('C00026'!$B$7:$B$41, $T158)=0, "Missing", "Y"))</f>
        <v/>
      </c>
      <c r="W158" s="1">
        <f t="shared" si="19"/>
        <v>0</v>
      </c>
    </row>
    <row r="159" spans="1:23" x14ac:dyDescent="0.25">
      <c r="A159" s="18" t="str">
        <f t="array" ref="A159">IFERROR(INDEX(S$7:S$300, SMALL(IF($V$7:$V$300="Missing", ROW(S84:S$300)-ROW(S84)+1), ROW(78:78))), "")</f>
        <v/>
      </c>
      <c r="B159" s="19" t="str">
        <f t="array" ref="B159">IFERROR(INDEX(T$7:T$300, SMALL(IF($V$7:$V$300="Missing", ROW(T84:T$300)-ROW(T84)+1), ROW(78:78))), "")</f>
        <v/>
      </c>
      <c r="C159" s="19" t="str">
        <f t="array" ref="C159">IFERROR(INDEX(R$7:R$300, SMALL(IF($V$7:$V$2300="Missing", ROW(R84:R$300)-ROW(R84)+1), ROW(78:78))), "")</f>
        <v/>
      </c>
      <c r="D159" s="19" t="str">
        <f t="array" ref="D159">IFERROR(INDEX(Q$7:Q$300, SMALL(IF($V$7:$V$300="Missing", ROW(Q84:Q$300)-ROW(Q84)+1), ROW(78:78))), "")</f>
        <v/>
      </c>
      <c r="E159" s="19" t="str">
        <f>IF(FalsePositives[[#This Row],[Gene]]="", "", IF(C159&lt;40,"Pass","Inspect"))</f>
        <v/>
      </c>
      <c r="F159" s="24"/>
      <c r="G159" s="26" t="str">
        <f t="array" ref="G159">IFERROR(VLOOKUP(B159,$T$7:$W$300,COLUMN($W$7:$W$300)-COLUMN($T$7:$W$300)+1,0), "")</f>
        <v/>
      </c>
      <c r="H159" s="33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</row>
    <row r="160" spans="1:23" x14ac:dyDescent="0.25">
      <c r="A160" s="18" t="str">
        <f t="array" ref="A160">IFERROR(INDEX(S$7:S$300, SMALL(IF($V$7:$V$300="Missing", ROW(S85:S$300)-ROW(S85)+1), ROW(79:79))), "")</f>
        <v/>
      </c>
      <c r="B160" s="19" t="str">
        <f t="array" ref="B160">IFERROR(INDEX(T$7:T$300, SMALL(IF($V$7:$V$300="Missing", ROW(T85:T$300)-ROW(T85)+1), ROW(79:79))), "")</f>
        <v/>
      </c>
      <c r="C160" s="19" t="str">
        <f t="array" ref="C160">IFERROR(INDEX(R$7:R$300, SMALL(IF($V$7:$V$2300="Missing", ROW(R85:R$300)-ROW(R85)+1), ROW(79:79))), "")</f>
        <v/>
      </c>
      <c r="D160" s="19" t="str">
        <f t="array" ref="D160">IFERROR(INDEX(Q$7:Q$300, SMALL(IF($V$7:$V$300="Missing", ROW(Q85:Q$300)-ROW(Q85)+1), ROW(79:79))), "")</f>
        <v/>
      </c>
      <c r="E160" s="19" t="str">
        <f>IF(FalsePositives[[#This Row],[Gene]]="", "", IF(C160&lt;40,"Pass","Inspect"))</f>
        <v/>
      </c>
      <c r="F160" s="24"/>
      <c r="G160" s="26" t="str">
        <f t="array" ref="G160">IFERROR(VLOOKUP(B160,$T$7:$W$300,COLUMN($W$7:$W$300)-COLUMN($T$7:$W$300)+1,0), "")</f>
        <v/>
      </c>
      <c r="H160" s="33"/>
      <c r="J160" s="2">
        <f>'Raw Data Hotspot'!A2</f>
        <v>0</v>
      </c>
      <c r="K160" s="2">
        <f>'Raw Data Hotspot'!B2</f>
        <v>0</v>
      </c>
      <c r="L160" s="2">
        <f>'Raw Data Hotspot'!C2</f>
        <v>0</v>
      </c>
      <c r="M160" s="2">
        <f>'Raw Data Hotspot'!D2</f>
        <v>0</v>
      </c>
      <c r="N160" s="2">
        <f>'Raw Data Hotspot'!E2</f>
        <v>0</v>
      </c>
      <c r="O160" s="2">
        <f>'Raw Data Hotspot'!G2</f>
        <v>0</v>
      </c>
      <c r="P160" s="2">
        <f>'Raw Data Hotspot'!H2</f>
        <v>0</v>
      </c>
      <c r="Q160" s="2">
        <f>'Raw Data Hotspot'!I2</f>
        <v>0</v>
      </c>
      <c r="R160" s="2">
        <f>'Raw Data Hotspot'!J2</f>
        <v>0</v>
      </c>
      <c r="S160" s="2">
        <f>'Raw Data Hotspot'!K2</f>
        <v>0</v>
      </c>
      <c r="T160" s="2">
        <f>'Raw Data Hotspot'!N2</f>
        <v>0</v>
      </c>
      <c r="U160" s="2">
        <f>Q160</f>
        <v>0</v>
      </c>
      <c r="V160" s="12" t="str">
        <f>IF($T160=0, "", IF(COUNTIF('C00026'!$B$7:$B$41, $T160)=0, "Missing", "Y"))</f>
        <v/>
      </c>
      <c r="W160" s="12">
        <f>K160</f>
        <v>0</v>
      </c>
    </row>
    <row r="161" spans="1:23" x14ac:dyDescent="0.25">
      <c r="A161" s="18" t="str">
        <f t="array" ref="A161">IFERROR(INDEX(S$7:S$300, SMALL(IF($V$7:$V$300="Missing", ROW(S86:S$300)-ROW(S86)+1), ROW(80:80))), "")</f>
        <v/>
      </c>
      <c r="B161" s="19" t="str">
        <f t="array" ref="B161">IFERROR(INDEX(T$7:T$300, SMALL(IF($V$7:$V$300="Missing", ROW(T86:T$300)-ROW(T86)+1), ROW(80:80))), "")</f>
        <v/>
      </c>
      <c r="C161" s="19" t="str">
        <f t="array" ref="C161">IFERROR(INDEX(R$7:R$300, SMALL(IF($V$7:$V$2300="Missing", ROW(R86:R$300)-ROW(R86)+1), ROW(80:80))), "")</f>
        <v/>
      </c>
      <c r="D161" s="19" t="str">
        <f t="array" ref="D161">IFERROR(INDEX(Q$7:Q$300, SMALL(IF($V$7:$V$300="Missing", ROW(Q86:Q$300)-ROW(Q86)+1), ROW(80:80))), "")</f>
        <v/>
      </c>
      <c r="E161" s="19" t="str">
        <f>IF(FalsePositives[[#This Row],[Gene]]="", "", IF(C161&lt;40,"Pass","Inspect"))</f>
        <v/>
      </c>
      <c r="F161" s="24"/>
      <c r="G161" s="26" t="str">
        <f t="array" ref="G161">IFERROR(VLOOKUP(B161,$T$7:$W$300,COLUMN($W$7:$W$300)-COLUMN($T$7:$W$300)+1,0), "")</f>
        <v/>
      </c>
      <c r="H161" s="33"/>
      <c r="J161" s="2">
        <f>'Raw Data Hotspot'!A3</f>
        <v>0</v>
      </c>
      <c r="K161" s="2">
        <f>'Raw Data Hotspot'!B3</f>
        <v>0</v>
      </c>
      <c r="L161" s="2">
        <f>'Raw Data Hotspot'!C3</f>
        <v>0</v>
      </c>
      <c r="M161" s="2">
        <f>'Raw Data Hotspot'!D3</f>
        <v>0</v>
      </c>
      <c r="N161" s="2">
        <f>'Raw Data Hotspot'!E3</f>
        <v>0</v>
      </c>
      <c r="O161" s="2">
        <f>'Raw Data Hotspot'!G3</f>
        <v>0</v>
      </c>
      <c r="P161" s="2">
        <f>'Raw Data Hotspot'!H3</f>
        <v>0</v>
      </c>
      <c r="Q161" s="2">
        <f>'Raw Data Hotspot'!I3</f>
        <v>0</v>
      </c>
      <c r="R161" s="2">
        <f>'Raw Data Hotspot'!J3</f>
        <v>0</v>
      </c>
      <c r="S161" s="2">
        <f>'Raw Data Hotspot'!K3</f>
        <v>0</v>
      </c>
      <c r="T161" s="2">
        <f>'Raw Data Hotspot'!N3</f>
        <v>0</v>
      </c>
      <c r="U161" s="2">
        <f>Q161</f>
        <v>0</v>
      </c>
      <c r="V161" s="12" t="str">
        <f>IF($T161=0, "", IF(COUNTIF('C00026'!$B$7:$B$41, $T161)=0, "Missing", "Y"))</f>
        <v/>
      </c>
      <c r="W161" s="12">
        <f>K161</f>
        <v>0</v>
      </c>
    </row>
    <row r="162" spans="1:23" x14ac:dyDescent="0.25">
      <c r="A162" s="18" t="str">
        <f t="array" ref="A162">IFERROR(INDEX(S$7:S$300, SMALL(IF($V$7:$V$300="Missing", ROW(S87:S$300)-ROW(S87)+1), ROW(81:81))), "")</f>
        <v/>
      </c>
      <c r="B162" s="19" t="str">
        <f t="array" ref="B162">IFERROR(INDEX(T$7:T$300, SMALL(IF($V$7:$V$300="Missing", ROW(T87:T$300)-ROW(T87)+1), ROW(81:81))), "")</f>
        <v/>
      </c>
      <c r="C162" s="19" t="str">
        <f t="array" ref="C162">IFERROR(INDEX(R$7:R$300, SMALL(IF($V$7:$V$2300="Missing", ROW(R87:R$300)-ROW(R87)+1), ROW(81:81))), "")</f>
        <v/>
      </c>
      <c r="D162" s="19" t="str">
        <f t="array" ref="D162">IFERROR(INDEX(Q$7:Q$300, SMALL(IF($V$7:$V$300="Missing", ROW(Q87:Q$300)-ROW(Q87)+1), ROW(81:81))), "")</f>
        <v/>
      </c>
      <c r="E162" s="19" t="str">
        <f>IF(FalsePositives[[#This Row],[Gene]]="", "", IF(C162&lt;40,"Pass","Inspect"))</f>
        <v/>
      </c>
      <c r="F162" s="24"/>
      <c r="G162" s="26" t="str">
        <f t="array" ref="G162">IFERROR(VLOOKUP(B162,$T$7:$W$300,COLUMN($W$7:$W$300)-COLUMN($T$7:$W$300)+1,0), "")</f>
        <v/>
      </c>
      <c r="H162" s="33"/>
      <c r="J162" s="2">
        <f>'Raw Data Hotspot'!A4</f>
        <v>0</v>
      </c>
      <c r="K162" s="2">
        <f>'Raw Data Hotspot'!B4</f>
        <v>0</v>
      </c>
      <c r="L162" s="2">
        <f>'Raw Data Hotspot'!C4</f>
        <v>0</v>
      </c>
      <c r="M162" s="2">
        <f>'Raw Data Hotspot'!D4</f>
        <v>0</v>
      </c>
      <c r="N162" s="2">
        <f>'Raw Data Hotspot'!E4</f>
        <v>0</v>
      </c>
      <c r="O162" s="2">
        <f>'Raw Data Hotspot'!G4</f>
        <v>0</v>
      </c>
      <c r="P162" s="2">
        <f>'Raw Data Hotspot'!H4</f>
        <v>0</v>
      </c>
      <c r="Q162" s="2">
        <f>'Raw Data Hotspot'!I4</f>
        <v>0</v>
      </c>
      <c r="R162" s="2">
        <f>'Raw Data Hotspot'!J4</f>
        <v>0</v>
      </c>
      <c r="S162" s="2">
        <f>'Raw Data Hotspot'!K4</f>
        <v>0</v>
      </c>
      <c r="T162" s="2">
        <f>'Raw Data Hotspot'!N4</f>
        <v>0</v>
      </c>
      <c r="U162" s="2">
        <f>Q162</f>
        <v>0</v>
      </c>
      <c r="V162" s="12" t="str">
        <f>IF($T162=0, "", IF(COUNTIF('C00026'!$B$7:$B$41, $T162)=0, "Missing", "Y"))</f>
        <v/>
      </c>
      <c r="W162" s="12">
        <f>K162</f>
        <v>0</v>
      </c>
    </row>
    <row r="163" spans="1:23" x14ac:dyDescent="0.25">
      <c r="A163" s="18" t="str">
        <f t="array" ref="A163">IFERROR(INDEX(S$7:S$300, SMALL(IF($V$7:$V$300="Missing", ROW(S88:S$300)-ROW(S88)+1), ROW(82:82))), "")</f>
        <v/>
      </c>
      <c r="B163" s="19" t="str">
        <f t="array" ref="B163">IFERROR(INDEX(T$7:T$300, SMALL(IF($V$7:$V$300="Missing", ROW(T88:T$300)-ROW(T88)+1), ROW(82:82))), "")</f>
        <v/>
      </c>
      <c r="C163" s="19" t="str">
        <f t="array" ref="C163">IFERROR(INDEX(R$7:R$300, SMALL(IF($V$7:$V$2300="Missing", ROW(R88:R$300)-ROW(R88)+1), ROW(82:82))), "")</f>
        <v/>
      </c>
      <c r="D163" s="19" t="str">
        <f t="array" ref="D163">IFERROR(INDEX(Q$7:Q$300, SMALL(IF($V$7:$V$300="Missing", ROW(Q88:Q$300)-ROW(Q88)+1), ROW(82:82))), "")</f>
        <v/>
      </c>
      <c r="E163" s="19" t="str">
        <f>IF(FalsePositives[[#This Row],[Gene]]="", "", IF(C163&lt;40,"Pass","Inspect"))</f>
        <v/>
      </c>
      <c r="F163" s="24"/>
      <c r="G163" s="26" t="str">
        <f t="array" ref="G163">IFERROR(VLOOKUP(B163,$T$7:$W$300,COLUMN($W$7:$W$300)-COLUMN($T$7:$W$300)+1,0), "")</f>
        <v/>
      </c>
      <c r="H163" s="33"/>
      <c r="J163" s="2">
        <f>'Raw Data Hotspot'!A5</f>
        <v>0</v>
      </c>
      <c r="K163" s="2">
        <f>'Raw Data Hotspot'!B5</f>
        <v>0</v>
      </c>
      <c r="L163" s="2">
        <f>'Raw Data Hotspot'!C5</f>
        <v>0</v>
      </c>
      <c r="M163" s="2">
        <f>'Raw Data Hotspot'!D5</f>
        <v>0</v>
      </c>
      <c r="N163" s="2">
        <f>'Raw Data Hotspot'!E5</f>
        <v>0</v>
      </c>
      <c r="O163" s="2">
        <f>'Raw Data Hotspot'!G5</f>
        <v>0</v>
      </c>
      <c r="P163" s="2">
        <f>'Raw Data Hotspot'!H5</f>
        <v>0</v>
      </c>
      <c r="Q163" s="2">
        <f>'Raw Data Hotspot'!I5</f>
        <v>0</v>
      </c>
      <c r="R163" s="2">
        <f>'Raw Data Hotspot'!J5</f>
        <v>0</v>
      </c>
      <c r="S163" s="2">
        <f>'Raw Data Hotspot'!K5</f>
        <v>0</v>
      </c>
      <c r="T163" s="2">
        <f>'Raw Data Hotspot'!N5</f>
        <v>0</v>
      </c>
      <c r="U163" s="2">
        <f>Q163</f>
        <v>0</v>
      </c>
      <c r="V163" s="12" t="str">
        <f>IF($T163=0, "", IF(COUNTIF('C00026'!$B$7:$B$41, $T163)=0, "Missing", "Y"))</f>
        <v/>
      </c>
      <c r="W163" s="12">
        <f>K163</f>
        <v>0</v>
      </c>
    </row>
    <row r="164" spans="1:23" x14ac:dyDescent="0.25">
      <c r="A164" s="18" t="str">
        <f t="array" ref="A164">IFERROR(INDEX(S$7:S$300, SMALL(IF($V$7:$V$300="Missing", ROW(S89:S$300)-ROW(S89)+1), ROW(83:83))), "")</f>
        <v/>
      </c>
      <c r="B164" s="19" t="str">
        <f t="array" ref="B164">IFERROR(INDEX(T$7:T$300, SMALL(IF($V$7:$V$300="Missing", ROW(T89:T$300)-ROW(T89)+1), ROW(83:83))), "")</f>
        <v/>
      </c>
      <c r="C164" s="19" t="str">
        <f t="array" ref="C164">IFERROR(INDEX(R$7:R$300, SMALL(IF($V$7:$V$2300="Missing", ROW(R89:R$300)-ROW(R89)+1), ROW(83:83))), "")</f>
        <v/>
      </c>
      <c r="D164" s="19" t="str">
        <f t="array" ref="D164">IFERROR(INDEX(Q$7:Q$300, SMALL(IF($V$7:$V$300="Missing", ROW(Q89:Q$300)-ROW(Q89)+1), ROW(83:83))), "")</f>
        <v/>
      </c>
      <c r="E164" s="19" t="str">
        <f>IF(FalsePositives[[#This Row],[Gene]]="", "", IF(C164&lt;40,"Pass","Inspect"))</f>
        <v/>
      </c>
      <c r="F164" s="24"/>
      <c r="G164" s="26" t="str">
        <f t="array" ref="G164">IFERROR(VLOOKUP(B164,$T$7:$W$300,COLUMN($W$7:$W$300)-COLUMN($T$7:$W$300)+1,0), "")</f>
        <v/>
      </c>
      <c r="H164" s="33"/>
      <c r="J164" s="2">
        <f>'Raw Data Hotspot'!A6</f>
        <v>0</v>
      </c>
      <c r="K164" s="2">
        <f>'Raw Data Hotspot'!B6</f>
        <v>0</v>
      </c>
      <c r="L164" s="2">
        <f>'Raw Data Hotspot'!C6</f>
        <v>0</v>
      </c>
      <c r="M164" s="2">
        <f>'Raw Data Hotspot'!D6</f>
        <v>0</v>
      </c>
      <c r="N164" s="2">
        <f>'Raw Data Hotspot'!E6</f>
        <v>0</v>
      </c>
      <c r="O164" s="2">
        <f>'Raw Data Hotspot'!G6</f>
        <v>0</v>
      </c>
      <c r="P164" s="2">
        <f>'Raw Data Hotspot'!H6</f>
        <v>0</v>
      </c>
      <c r="Q164" s="2">
        <f>'Raw Data Hotspot'!I6</f>
        <v>0</v>
      </c>
      <c r="R164" s="2">
        <f>'Raw Data Hotspot'!J6</f>
        <v>0</v>
      </c>
      <c r="S164" s="2">
        <f>'Raw Data Hotspot'!K6</f>
        <v>0</v>
      </c>
      <c r="T164" s="2">
        <f>'Raw Data Hotspot'!N6</f>
        <v>0</v>
      </c>
      <c r="U164" s="2">
        <f>Q164</f>
        <v>0</v>
      </c>
      <c r="V164" s="12" t="str">
        <f>IF($T164=0, "", IF(COUNTIF('C00026'!$B$7:$B$41, $T164)=0, "Missing", "Y"))</f>
        <v/>
      </c>
      <c r="W164" s="12">
        <f>K164</f>
        <v>0</v>
      </c>
    </row>
    <row r="165" spans="1:23" x14ac:dyDescent="0.25">
      <c r="A165" s="18" t="str">
        <f t="array" ref="A165">IFERROR(INDEX(S$7:S$300, SMALL(IF($V$7:$V$300="Missing", ROW(S90:S$300)-ROW(S90)+1), ROW(84:84))), "")</f>
        <v/>
      </c>
      <c r="B165" s="19" t="str">
        <f t="array" ref="B165">IFERROR(INDEX(T$7:T$300, SMALL(IF($V$7:$V$300="Missing", ROW(T90:T$300)-ROW(T90)+1), ROW(84:84))), "")</f>
        <v/>
      </c>
      <c r="C165" s="19" t="str">
        <f t="array" ref="C165">IFERROR(INDEX(R$7:R$300, SMALL(IF($V$7:$V$2300="Missing", ROW(R90:R$300)-ROW(R90)+1), ROW(84:84))), "")</f>
        <v/>
      </c>
      <c r="D165" s="19" t="str">
        <f t="array" ref="D165">IFERROR(INDEX(Q$7:Q$300, SMALL(IF($V$7:$V$300="Missing", ROW(Q90:Q$300)-ROW(Q90)+1), ROW(84:84))), "")</f>
        <v/>
      </c>
      <c r="E165" s="19" t="str">
        <f>IF(FalsePositives[[#This Row],[Gene]]="", "", IF(C165&lt;40,"Pass","Inspect"))</f>
        <v/>
      </c>
      <c r="F165" s="24"/>
      <c r="G165" s="26" t="str">
        <f t="array" ref="G165">IFERROR(VLOOKUP(B165,$T$7:$W$300,COLUMN($W$7:$W$300)-COLUMN($T$7:$W$300)+1,0), "")</f>
        <v/>
      </c>
      <c r="H165" s="33"/>
      <c r="J165" s="2">
        <f>'Raw Data Hotspot'!A7</f>
        <v>0</v>
      </c>
      <c r="K165" s="2">
        <f>'Raw Data Hotspot'!B7</f>
        <v>0</v>
      </c>
      <c r="L165" s="2">
        <f>'Raw Data Hotspot'!C7</f>
        <v>0</v>
      </c>
      <c r="M165" s="2">
        <f>'Raw Data Hotspot'!D7</f>
        <v>0</v>
      </c>
      <c r="N165" s="2">
        <f>'Raw Data Hotspot'!E7</f>
        <v>0</v>
      </c>
      <c r="O165" s="2">
        <f>'Raw Data Hotspot'!G7</f>
        <v>0</v>
      </c>
      <c r="P165" s="2">
        <f>'Raw Data Hotspot'!H7</f>
        <v>0</v>
      </c>
      <c r="Q165" s="2">
        <f>'Raw Data Hotspot'!I7</f>
        <v>0</v>
      </c>
      <c r="R165" s="2">
        <f>'Raw Data Hotspot'!J7</f>
        <v>0</v>
      </c>
      <c r="S165" s="2">
        <f>'Raw Data Hotspot'!K7</f>
        <v>0</v>
      </c>
      <c r="T165" s="2">
        <f>'Raw Data Hotspot'!N7</f>
        <v>0</v>
      </c>
      <c r="U165" s="2">
        <f t="shared" ref="U165:U203" si="20">Q165</f>
        <v>0</v>
      </c>
      <c r="V165" s="12" t="str">
        <f>IF($T165=0, "", IF(COUNTIF('C00026'!$B$7:$B$41, $T165)=0, "Missing", "Y"))</f>
        <v/>
      </c>
      <c r="W165" s="12">
        <f t="shared" ref="W165:W203" si="21">K165</f>
        <v>0</v>
      </c>
    </row>
    <row r="166" spans="1:23" x14ac:dyDescent="0.25">
      <c r="A166" s="18" t="str">
        <f t="array" ref="A166">IFERROR(INDEX(S$7:S$300, SMALL(IF($V$7:$V$300="Missing", ROW(S91:S$300)-ROW(S91)+1), ROW(85:85))), "")</f>
        <v/>
      </c>
      <c r="B166" s="19" t="str">
        <f t="array" ref="B166">IFERROR(INDEX(T$7:T$300, SMALL(IF($V$7:$V$300="Missing", ROW(T91:T$300)-ROW(T91)+1), ROW(85:85))), "")</f>
        <v/>
      </c>
      <c r="C166" s="19" t="str">
        <f t="array" ref="C166">IFERROR(INDEX(R$7:R$300, SMALL(IF($V$7:$V$2300="Missing", ROW(R91:R$300)-ROW(R91)+1), ROW(85:85))), "")</f>
        <v/>
      </c>
      <c r="D166" s="19" t="str">
        <f t="array" ref="D166">IFERROR(INDEX(Q$7:Q$300, SMALL(IF($V$7:$V$300="Missing", ROW(Q91:Q$300)-ROW(Q91)+1), ROW(85:85))), "")</f>
        <v/>
      </c>
      <c r="E166" s="19" t="str">
        <f>IF(FalsePositives[[#This Row],[Gene]]="", "", IF(C166&lt;40,"Pass","Inspect"))</f>
        <v/>
      </c>
      <c r="F166" s="24"/>
      <c r="G166" s="26" t="str">
        <f t="array" ref="G166">IFERROR(VLOOKUP(B166,$T$7:$W$300,COLUMN($W$7:$W$300)-COLUMN($T$7:$W$300)+1,0), "")</f>
        <v/>
      </c>
      <c r="H166" s="33"/>
      <c r="J166" s="2">
        <f>'Raw Data Hotspot'!A8</f>
        <v>0</v>
      </c>
      <c r="K166" s="2">
        <f>'Raw Data Hotspot'!B8</f>
        <v>0</v>
      </c>
      <c r="L166" s="2">
        <f>'Raw Data Hotspot'!C8</f>
        <v>0</v>
      </c>
      <c r="M166" s="2">
        <f>'Raw Data Hotspot'!D8</f>
        <v>0</v>
      </c>
      <c r="N166" s="2">
        <f>'Raw Data Hotspot'!E8</f>
        <v>0</v>
      </c>
      <c r="O166" s="2">
        <f>'Raw Data Hotspot'!G8</f>
        <v>0</v>
      </c>
      <c r="P166" s="2">
        <f>'Raw Data Hotspot'!H8</f>
        <v>0</v>
      </c>
      <c r="Q166" s="2">
        <f>'Raw Data Hotspot'!I8</f>
        <v>0</v>
      </c>
      <c r="R166" s="2">
        <f>'Raw Data Hotspot'!J8</f>
        <v>0</v>
      </c>
      <c r="S166" s="2">
        <f>'Raw Data Hotspot'!K8</f>
        <v>0</v>
      </c>
      <c r="T166" s="2">
        <f>'Raw Data Hotspot'!N8</f>
        <v>0</v>
      </c>
      <c r="U166" s="2">
        <f t="shared" si="20"/>
        <v>0</v>
      </c>
      <c r="V166" s="12" t="str">
        <f>IF($T166=0, "", IF(COUNTIF('C00026'!$B$7:$B$41, $T166)=0, "Missing", "Y"))</f>
        <v/>
      </c>
      <c r="W166" s="12">
        <f t="shared" si="21"/>
        <v>0</v>
      </c>
    </row>
    <row r="167" spans="1:23" x14ac:dyDescent="0.25">
      <c r="A167" s="18" t="str">
        <f t="array" ref="A167">IFERROR(INDEX(S$7:S$300, SMALL(IF($V$7:$V$300="Missing", ROW(S92:S$300)-ROW(S92)+1), ROW(86:86))), "")</f>
        <v/>
      </c>
      <c r="B167" s="19" t="str">
        <f t="array" ref="B167">IFERROR(INDEX(T$7:T$300, SMALL(IF($V$7:$V$300="Missing", ROW(T92:T$300)-ROW(T92)+1), ROW(86:86))), "")</f>
        <v/>
      </c>
      <c r="C167" s="19" t="str">
        <f t="array" ref="C167">IFERROR(INDEX(R$7:R$300, SMALL(IF($V$7:$V$2300="Missing", ROW(R92:R$300)-ROW(R92)+1), ROW(86:86))), "")</f>
        <v/>
      </c>
      <c r="D167" s="19" t="str">
        <f t="array" ref="D167">IFERROR(INDEX(Q$7:Q$300, SMALL(IF($V$7:$V$300="Missing", ROW(Q92:Q$300)-ROW(Q92)+1), ROW(86:86))), "")</f>
        <v/>
      </c>
      <c r="E167" s="19" t="str">
        <f>IF(FalsePositives[[#This Row],[Gene]]="", "", IF(C167&lt;40,"Pass","Inspect"))</f>
        <v/>
      </c>
      <c r="F167" s="24"/>
      <c r="G167" s="26" t="str">
        <f t="array" ref="G167">IFERROR(VLOOKUP(B167,$T$7:$W$300,COLUMN($W$7:$W$300)-COLUMN($T$7:$W$300)+1,0), "")</f>
        <v/>
      </c>
      <c r="H167" s="33"/>
      <c r="J167" s="2">
        <f>'Raw Data Hotspot'!A9</f>
        <v>0</v>
      </c>
      <c r="K167" s="2">
        <f>'Raw Data Hotspot'!B9</f>
        <v>0</v>
      </c>
      <c r="L167" s="2">
        <f>'Raw Data Hotspot'!C9</f>
        <v>0</v>
      </c>
      <c r="M167" s="2">
        <f>'Raw Data Hotspot'!D9</f>
        <v>0</v>
      </c>
      <c r="N167" s="2">
        <f>'Raw Data Hotspot'!E9</f>
        <v>0</v>
      </c>
      <c r="O167" s="2">
        <f>'Raw Data Hotspot'!G9</f>
        <v>0</v>
      </c>
      <c r="P167" s="2">
        <f>'Raw Data Hotspot'!H9</f>
        <v>0</v>
      </c>
      <c r="Q167" s="2">
        <f>'Raw Data Hotspot'!I9</f>
        <v>0</v>
      </c>
      <c r="R167" s="2">
        <f>'Raw Data Hotspot'!J9</f>
        <v>0</v>
      </c>
      <c r="S167" s="2">
        <f>'Raw Data Hotspot'!K9</f>
        <v>0</v>
      </c>
      <c r="T167" s="2">
        <f>'Raw Data Hotspot'!N9</f>
        <v>0</v>
      </c>
      <c r="U167" s="2">
        <f t="shared" si="20"/>
        <v>0</v>
      </c>
      <c r="V167" s="12" t="str">
        <f>IF($T167=0, "", IF(COUNTIF('C00026'!$B$7:$B$41, $T167)=0, "Missing", "Y"))</f>
        <v/>
      </c>
      <c r="W167" s="12">
        <f t="shared" si="21"/>
        <v>0</v>
      </c>
    </row>
    <row r="168" spans="1:23" x14ac:dyDescent="0.25">
      <c r="A168" s="18" t="str">
        <f t="array" ref="A168">IFERROR(INDEX(S$7:S$300, SMALL(IF($V$7:$V$300="Missing", ROW(S93:S$300)-ROW(S93)+1), ROW(87:87))), "")</f>
        <v/>
      </c>
      <c r="B168" s="19" t="str">
        <f t="array" ref="B168">IFERROR(INDEX(T$7:T$300, SMALL(IF($V$7:$V$300="Missing", ROW(T93:T$300)-ROW(T93)+1), ROW(87:87))), "")</f>
        <v/>
      </c>
      <c r="C168" s="19" t="str">
        <f t="array" ref="C168">IFERROR(INDEX(R$7:R$300, SMALL(IF($V$7:$V$2300="Missing", ROW(R93:R$300)-ROW(R93)+1), ROW(87:87))), "")</f>
        <v/>
      </c>
      <c r="D168" s="19" t="str">
        <f t="array" ref="D168">IFERROR(INDEX(Q$7:Q$300, SMALL(IF($V$7:$V$300="Missing", ROW(Q93:Q$300)-ROW(Q93)+1), ROW(87:87))), "")</f>
        <v/>
      </c>
      <c r="E168" s="19" t="str">
        <f>IF(FalsePositives[[#This Row],[Gene]]="", "", IF(C168&lt;40,"Pass","Inspect"))</f>
        <v/>
      </c>
      <c r="F168" s="24"/>
      <c r="G168" s="26" t="str">
        <f t="array" ref="G168">IFERROR(VLOOKUP(B168,$T$7:$W$300,COLUMN($W$7:$W$300)-COLUMN($T$7:$W$300)+1,0), "")</f>
        <v/>
      </c>
      <c r="H168" s="33"/>
      <c r="J168" s="2">
        <f>'Raw Data Hotspot'!A10</f>
        <v>0</v>
      </c>
      <c r="K168" s="2">
        <f>'Raw Data Hotspot'!B10</f>
        <v>0</v>
      </c>
      <c r="L168" s="2">
        <f>'Raw Data Hotspot'!C10</f>
        <v>0</v>
      </c>
      <c r="M168" s="2">
        <f>'Raw Data Hotspot'!D10</f>
        <v>0</v>
      </c>
      <c r="N168" s="2">
        <f>'Raw Data Hotspot'!E10</f>
        <v>0</v>
      </c>
      <c r="O168" s="2">
        <f>'Raw Data Hotspot'!G10</f>
        <v>0</v>
      </c>
      <c r="P168" s="2">
        <f>'Raw Data Hotspot'!H10</f>
        <v>0</v>
      </c>
      <c r="Q168" s="2">
        <f>'Raw Data Hotspot'!I10</f>
        <v>0</v>
      </c>
      <c r="R168" s="2">
        <f>'Raw Data Hotspot'!J10</f>
        <v>0</v>
      </c>
      <c r="S168" s="2">
        <f>'Raw Data Hotspot'!K10</f>
        <v>0</v>
      </c>
      <c r="T168" s="2">
        <f>'Raw Data Hotspot'!N10</f>
        <v>0</v>
      </c>
      <c r="U168" s="2">
        <f t="shared" si="20"/>
        <v>0</v>
      </c>
      <c r="V168" s="12" t="str">
        <f>IF($T168=0, "", IF(COUNTIF('C00026'!$B$7:$B$41, $T168)=0, "Missing", "Y"))</f>
        <v/>
      </c>
      <c r="W168" s="12">
        <f t="shared" si="21"/>
        <v>0</v>
      </c>
    </row>
    <row r="169" spans="1:23" x14ac:dyDescent="0.25">
      <c r="A169" s="18" t="str">
        <f t="array" ref="A169">IFERROR(INDEX(S$7:S$300, SMALL(IF($V$7:$V$300="Missing", ROW(S94:S$300)-ROW(S94)+1), ROW(88:88))), "")</f>
        <v/>
      </c>
      <c r="B169" s="19" t="str">
        <f t="array" ref="B169">IFERROR(INDEX(T$7:T$300, SMALL(IF($V$7:$V$300="Missing", ROW(T94:T$300)-ROW(T94)+1), ROW(88:88))), "")</f>
        <v/>
      </c>
      <c r="C169" s="19" t="str">
        <f t="array" ref="C169">IFERROR(INDEX(R$7:R$300, SMALL(IF($V$7:$V$2300="Missing", ROW(R94:R$300)-ROW(R94)+1), ROW(88:88))), "")</f>
        <v/>
      </c>
      <c r="D169" s="19" t="str">
        <f t="array" ref="D169">IFERROR(INDEX(Q$7:Q$300, SMALL(IF($V$7:$V$300="Missing", ROW(Q94:Q$300)-ROW(Q94)+1), ROW(88:88))), "")</f>
        <v/>
      </c>
      <c r="E169" s="19" t="str">
        <f>IF(FalsePositives[[#This Row],[Gene]]="", "", IF(C169&lt;40,"Pass","Inspect"))</f>
        <v/>
      </c>
      <c r="F169" s="24"/>
      <c r="G169" s="26" t="str">
        <f t="array" ref="G169">IFERROR(VLOOKUP(B169,$T$7:$W$300,COLUMN($W$7:$W$300)-COLUMN($T$7:$W$300)+1,0), "")</f>
        <v/>
      </c>
      <c r="H169" s="33"/>
      <c r="J169" s="2">
        <f>'Raw Data Hotspot'!A11</f>
        <v>0</v>
      </c>
      <c r="K169" s="2">
        <f>'Raw Data Hotspot'!B11</f>
        <v>0</v>
      </c>
      <c r="L169" s="2">
        <f>'Raw Data Hotspot'!C11</f>
        <v>0</v>
      </c>
      <c r="M169" s="2">
        <f>'Raw Data Hotspot'!D11</f>
        <v>0</v>
      </c>
      <c r="N169" s="2">
        <f>'Raw Data Hotspot'!E11</f>
        <v>0</v>
      </c>
      <c r="O169" s="2">
        <f>'Raw Data Hotspot'!G11</f>
        <v>0</v>
      </c>
      <c r="P169" s="2">
        <f>'Raw Data Hotspot'!H11</f>
        <v>0</v>
      </c>
      <c r="Q169" s="2">
        <f>'Raw Data Hotspot'!I11</f>
        <v>0</v>
      </c>
      <c r="R169" s="2">
        <f>'Raw Data Hotspot'!J11</f>
        <v>0</v>
      </c>
      <c r="S169" s="2">
        <f>'Raw Data Hotspot'!K11</f>
        <v>0</v>
      </c>
      <c r="T169" s="2">
        <f>'Raw Data Hotspot'!N11</f>
        <v>0</v>
      </c>
      <c r="U169" s="2">
        <f t="shared" si="20"/>
        <v>0</v>
      </c>
      <c r="V169" s="12" t="str">
        <f>IF($T169=0, "", IF(COUNTIF('C00026'!$B$7:$B$41, $T169)=0, "Missing", "Y"))</f>
        <v/>
      </c>
      <c r="W169" s="12">
        <f t="shared" si="21"/>
        <v>0</v>
      </c>
    </row>
    <row r="170" spans="1:23" x14ac:dyDescent="0.25">
      <c r="A170" s="18" t="str">
        <f t="array" ref="A170">IFERROR(INDEX(S$7:S$300, SMALL(IF($V$7:$V$300="Missing", ROW(S95:S$300)-ROW(S95)+1), ROW(89:89))), "")</f>
        <v/>
      </c>
      <c r="B170" s="19" t="str">
        <f t="array" ref="B170">IFERROR(INDEX(T$7:T$300, SMALL(IF($V$7:$V$300="Missing", ROW(T95:T$300)-ROW(T95)+1), ROW(89:89))), "")</f>
        <v/>
      </c>
      <c r="C170" s="19" t="str">
        <f t="array" ref="C170">IFERROR(INDEX(R$7:R$300, SMALL(IF($V$7:$V$2300="Missing", ROW(R95:R$300)-ROW(R95)+1), ROW(89:89))), "")</f>
        <v/>
      </c>
      <c r="D170" s="19" t="str">
        <f t="array" ref="D170">IFERROR(INDEX(Q$7:Q$300, SMALL(IF($V$7:$V$300="Missing", ROW(Q95:Q$300)-ROW(Q95)+1), ROW(89:89))), "")</f>
        <v/>
      </c>
      <c r="E170" s="19" t="str">
        <f>IF(FalsePositives[[#This Row],[Gene]]="", "", IF(C170&lt;40,"Pass","Inspect"))</f>
        <v/>
      </c>
      <c r="F170" s="24"/>
      <c r="G170" s="26" t="str">
        <f t="array" ref="G170">IFERROR(VLOOKUP(B170,$T$7:$W$300,COLUMN($W$7:$W$300)-COLUMN($T$7:$W$300)+1,0), "")</f>
        <v/>
      </c>
      <c r="H170" s="33"/>
      <c r="J170" s="2">
        <f>'Raw Data Hotspot'!A12</f>
        <v>0</v>
      </c>
      <c r="K170" s="2">
        <f>'Raw Data Hotspot'!B12</f>
        <v>0</v>
      </c>
      <c r="L170" s="2">
        <f>'Raw Data Hotspot'!C12</f>
        <v>0</v>
      </c>
      <c r="M170" s="2">
        <f>'Raw Data Hotspot'!D12</f>
        <v>0</v>
      </c>
      <c r="N170" s="2">
        <f>'Raw Data Hotspot'!E12</f>
        <v>0</v>
      </c>
      <c r="O170" s="2">
        <f>'Raw Data Hotspot'!G12</f>
        <v>0</v>
      </c>
      <c r="P170" s="2">
        <f>'Raw Data Hotspot'!H12</f>
        <v>0</v>
      </c>
      <c r="Q170" s="2">
        <f>'Raw Data Hotspot'!I12</f>
        <v>0</v>
      </c>
      <c r="R170" s="2">
        <f>'Raw Data Hotspot'!J12</f>
        <v>0</v>
      </c>
      <c r="S170" s="2">
        <f>'Raw Data Hotspot'!K12</f>
        <v>0</v>
      </c>
      <c r="T170" s="2">
        <f>'Raw Data Hotspot'!N12</f>
        <v>0</v>
      </c>
      <c r="U170" s="2">
        <f t="shared" si="20"/>
        <v>0</v>
      </c>
      <c r="V170" s="12" t="str">
        <f>IF($T170=0, "", IF(COUNTIF('C00026'!$B$7:$B$41, $T170)=0, "Missing", "Y"))</f>
        <v/>
      </c>
      <c r="W170" s="12">
        <f t="shared" si="21"/>
        <v>0</v>
      </c>
    </row>
    <row r="171" spans="1:23" x14ac:dyDescent="0.25">
      <c r="A171" s="18" t="str">
        <f t="array" ref="A171">IFERROR(INDEX(S$7:S$300, SMALL(IF($V$7:$V$300="Missing", ROW(S96:S$300)-ROW(S96)+1), ROW(90:90))), "")</f>
        <v/>
      </c>
      <c r="B171" s="19" t="str">
        <f t="array" ref="B171">IFERROR(INDEX(T$7:T$300, SMALL(IF($V$7:$V$300="Missing", ROW(T96:T$300)-ROW(T96)+1), ROW(90:90))), "")</f>
        <v/>
      </c>
      <c r="C171" s="19" t="str">
        <f t="array" ref="C171">IFERROR(INDEX(R$7:R$300, SMALL(IF($V$7:$V$2300="Missing", ROW(R96:R$300)-ROW(R96)+1), ROW(90:90))), "")</f>
        <v/>
      </c>
      <c r="D171" s="19" t="str">
        <f t="array" ref="D171">IFERROR(INDEX(Q$7:Q$300, SMALL(IF($V$7:$V$300="Missing", ROW(Q96:Q$300)-ROW(Q96)+1), ROW(90:90))), "")</f>
        <v/>
      </c>
      <c r="E171" s="19" t="str">
        <f>IF(FalsePositives[[#This Row],[Gene]]="", "", IF(C171&lt;40,"Pass","Inspect"))</f>
        <v/>
      </c>
      <c r="F171" s="24"/>
      <c r="G171" s="26" t="str">
        <f t="array" ref="G171">IFERROR(VLOOKUP(B171,$T$7:$W$300,COLUMN($W$7:$W$300)-COLUMN($T$7:$W$300)+1,0), "")</f>
        <v/>
      </c>
      <c r="H171" s="33"/>
      <c r="J171" s="2">
        <f>'Raw Data Hotspot'!A13</f>
        <v>0</v>
      </c>
      <c r="K171" s="2">
        <f>'Raw Data Hotspot'!B13</f>
        <v>0</v>
      </c>
      <c r="L171" s="2">
        <f>'Raw Data Hotspot'!C13</f>
        <v>0</v>
      </c>
      <c r="M171" s="2">
        <f>'Raw Data Hotspot'!D13</f>
        <v>0</v>
      </c>
      <c r="N171" s="2">
        <f>'Raw Data Hotspot'!E13</f>
        <v>0</v>
      </c>
      <c r="O171" s="2">
        <f>'Raw Data Hotspot'!G13</f>
        <v>0</v>
      </c>
      <c r="P171" s="2">
        <f>'Raw Data Hotspot'!H13</f>
        <v>0</v>
      </c>
      <c r="Q171" s="2">
        <f>'Raw Data Hotspot'!I13</f>
        <v>0</v>
      </c>
      <c r="R171" s="2">
        <f>'Raw Data Hotspot'!J13</f>
        <v>0</v>
      </c>
      <c r="S171" s="2">
        <f>'Raw Data Hotspot'!K13</f>
        <v>0</v>
      </c>
      <c r="T171" s="2">
        <f>'Raw Data Hotspot'!N13</f>
        <v>0</v>
      </c>
      <c r="U171" s="2">
        <f t="shared" si="20"/>
        <v>0</v>
      </c>
      <c r="V171" s="12" t="str">
        <f>IF($T171=0, "", IF(COUNTIF('C00026'!$B$7:$B$41, $T171)=0, "Missing", "Y"))</f>
        <v/>
      </c>
      <c r="W171" s="12">
        <f t="shared" si="21"/>
        <v>0</v>
      </c>
    </row>
    <row r="172" spans="1:23" x14ac:dyDescent="0.25">
      <c r="A172" s="18" t="str">
        <f t="array" ref="A172">IFERROR(INDEX(S$7:S$300, SMALL(IF($V$7:$V$300="Missing", ROW(S97:S$300)-ROW(S97)+1), ROW(91:91))), "")</f>
        <v/>
      </c>
      <c r="B172" s="19" t="str">
        <f t="array" ref="B172">IFERROR(INDEX(T$7:T$300, SMALL(IF($V$7:$V$300="Missing", ROW(T97:T$300)-ROW(T97)+1), ROW(91:91))), "")</f>
        <v/>
      </c>
      <c r="C172" s="19" t="str">
        <f t="array" ref="C172">IFERROR(INDEX(R$7:R$300, SMALL(IF($V$7:$V$2300="Missing", ROW(R97:R$300)-ROW(R97)+1), ROW(91:91))), "")</f>
        <v/>
      </c>
      <c r="D172" s="19" t="str">
        <f t="array" ref="D172">IFERROR(INDEX(Q$7:Q$300, SMALL(IF($V$7:$V$300="Missing", ROW(Q97:Q$300)-ROW(Q97)+1), ROW(91:91))), "")</f>
        <v/>
      </c>
      <c r="E172" s="19" t="str">
        <f>IF(FalsePositives[[#This Row],[Gene]]="", "", IF(C172&lt;40,"Pass","Inspect"))</f>
        <v/>
      </c>
      <c r="F172" s="24"/>
      <c r="G172" s="26" t="str">
        <f t="array" ref="G172">IFERROR(VLOOKUP(B172,$T$7:$W$300,COLUMN($W$7:$W$300)-COLUMN($T$7:$W$300)+1,0), "")</f>
        <v/>
      </c>
      <c r="H172" s="33"/>
      <c r="J172" s="2">
        <f>'Raw Data Hotspot'!A14</f>
        <v>0</v>
      </c>
      <c r="K172" s="2">
        <f>'Raw Data Hotspot'!B14</f>
        <v>0</v>
      </c>
      <c r="L172" s="2">
        <f>'Raw Data Hotspot'!C14</f>
        <v>0</v>
      </c>
      <c r="M172" s="2">
        <f>'Raw Data Hotspot'!D14</f>
        <v>0</v>
      </c>
      <c r="N172" s="2">
        <f>'Raw Data Hotspot'!E14</f>
        <v>0</v>
      </c>
      <c r="O172" s="2">
        <f>'Raw Data Hotspot'!G14</f>
        <v>0</v>
      </c>
      <c r="P172" s="2">
        <f>'Raw Data Hotspot'!H14</f>
        <v>0</v>
      </c>
      <c r="Q172" s="2">
        <f>'Raw Data Hotspot'!I14</f>
        <v>0</v>
      </c>
      <c r="R172" s="2">
        <f>'Raw Data Hotspot'!J14</f>
        <v>0</v>
      </c>
      <c r="S172" s="2">
        <f>'Raw Data Hotspot'!K14</f>
        <v>0</v>
      </c>
      <c r="T172" s="2">
        <f>'Raw Data Hotspot'!N14</f>
        <v>0</v>
      </c>
      <c r="U172" s="2">
        <f t="shared" si="20"/>
        <v>0</v>
      </c>
      <c r="V172" s="12" t="str">
        <f>IF($T172=0, "", IF(COUNTIF('C00026'!$B$7:$B$41, $T172)=0, "Missing", "Y"))</f>
        <v/>
      </c>
      <c r="W172" s="12">
        <f t="shared" si="21"/>
        <v>0</v>
      </c>
    </row>
    <row r="173" spans="1:23" x14ac:dyDescent="0.25">
      <c r="A173" s="18" t="str">
        <f t="array" ref="A173">IFERROR(INDEX(S$7:S$300, SMALL(IF($V$7:$V$300="Missing", ROW(S98:S$300)-ROW(S98)+1), ROW(92:92))), "")</f>
        <v/>
      </c>
      <c r="B173" s="19" t="str">
        <f t="array" ref="B173">IFERROR(INDEX(T$7:T$300, SMALL(IF($V$7:$V$300="Missing", ROW(T98:T$300)-ROW(T98)+1), ROW(92:92))), "")</f>
        <v/>
      </c>
      <c r="C173" s="19" t="str">
        <f t="array" ref="C173">IFERROR(INDEX(R$7:R$300, SMALL(IF($V$7:$V$2300="Missing", ROW(R98:R$300)-ROW(R98)+1), ROW(92:92))), "")</f>
        <v/>
      </c>
      <c r="D173" s="19" t="str">
        <f t="array" ref="D173">IFERROR(INDEX(Q$7:Q$300, SMALL(IF($V$7:$V$300="Missing", ROW(Q98:Q$300)-ROW(Q98)+1), ROW(92:92))), "")</f>
        <v/>
      </c>
      <c r="E173" s="19" t="str">
        <f>IF(FalsePositives[[#This Row],[Gene]]="", "", IF(C173&lt;40,"Pass","Inspect"))</f>
        <v/>
      </c>
      <c r="F173" s="24"/>
      <c r="G173" s="26" t="str">
        <f t="array" ref="G173">IFERROR(VLOOKUP(B173,$T$7:$W$300,COLUMN($W$7:$W$300)-COLUMN($T$7:$W$300)+1,0), "")</f>
        <v/>
      </c>
      <c r="H173" s="33"/>
      <c r="J173" s="2">
        <f>'Raw Data Hotspot'!A15</f>
        <v>0</v>
      </c>
      <c r="K173" s="2">
        <f>'Raw Data Hotspot'!B15</f>
        <v>0</v>
      </c>
      <c r="L173" s="2">
        <f>'Raw Data Hotspot'!C15</f>
        <v>0</v>
      </c>
      <c r="M173" s="2">
        <f>'Raw Data Hotspot'!D15</f>
        <v>0</v>
      </c>
      <c r="N173" s="2">
        <f>'Raw Data Hotspot'!E15</f>
        <v>0</v>
      </c>
      <c r="O173" s="2">
        <f>'Raw Data Hotspot'!G15</f>
        <v>0</v>
      </c>
      <c r="P173" s="2">
        <f>'Raw Data Hotspot'!H15</f>
        <v>0</v>
      </c>
      <c r="Q173" s="2">
        <f>'Raw Data Hotspot'!I15</f>
        <v>0</v>
      </c>
      <c r="R173" s="2">
        <f>'Raw Data Hotspot'!J15</f>
        <v>0</v>
      </c>
      <c r="S173" s="2">
        <f>'Raw Data Hotspot'!K15</f>
        <v>0</v>
      </c>
      <c r="T173" s="2">
        <f>'Raw Data Hotspot'!N15</f>
        <v>0</v>
      </c>
      <c r="U173" s="2">
        <f t="shared" si="20"/>
        <v>0</v>
      </c>
      <c r="V173" s="12" t="str">
        <f>IF($T173=0, "", IF(COUNTIF('C00026'!$B$7:$B$41, $T173)=0, "Missing", "Y"))</f>
        <v/>
      </c>
      <c r="W173" s="12">
        <f t="shared" si="21"/>
        <v>0</v>
      </c>
    </row>
    <row r="174" spans="1:23" x14ac:dyDescent="0.25">
      <c r="A174" s="18" t="str">
        <f t="array" ref="A174">IFERROR(INDEX(S$7:S$300, SMALL(IF($V$7:$V$300="Missing", ROW(S99:S$300)-ROW(S99)+1), ROW(93:93))), "")</f>
        <v/>
      </c>
      <c r="B174" s="19" t="str">
        <f t="array" ref="B174">IFERROR(INDEX(T$7:T$300, SMALL(IF($V$7:$V$300="Missing", ROW(T99:T$300)-ROW(T99)+1), ROW(93:93))), "")</f>
        <v/>
      </c>
      <c r="C174" s="19" t="str">
        <f t="array" ref="C174">IFERROR(INDEX(R$7:R$300, SMALL(IF($V$7:$V$2300="Missing", ROW(R99:R$300)-ROW(R99)+1), ROW(93:93))), "")</f>
        <v/>
      </c>
      <c r="D174" s="19" t="str">
        <f t="array" ref="D174">IFERROR(INDEX(Q$7:Q$300, SMALL(IF($V$7:$V$300="Missing", ROW(Q99:Q$300)-ROW(Q99)+1), ROW(93:93))), "")</f>
        <v/>
      </c>
      <c r="E174" s="19" t="str">
        <f>IF(FalsePositives[[#This Row],[Gene]]="", "", IF(C174&lt;40,"Pass","Inspect"))</f>
        <v/>
      </c>
      <c r="F174" s="24"/>
      <c r="G174" s="26" t="str">
        <f t="array" ref="G174">IFERROR(VLOOKUP(B174,$T$7:$W$300,COLUMN($W$7:$W$300)-COLUMN($T$7:$W$300)+1,0), "")</f>
        <v/>
      </c>
      <c r="H174" s="33"/>
      <c r="J174" s="2">
        <f>'Raw Data Hotspot'!A16</f>
        <v>0</v>
      </c>
      <c r="K174" s="2">
        <f>'Raw Data Hotspot'!B16</f>
        <v>0</v>
      </c>
      <c r="L174" s="2">
        <f>'Raw Data Hotspot'!C16</f>
        <v>0</v>
      </c>
      <c r="M174" s="2">
        <f>'Raw Data Hotspot'!D16</f>
        <v>0</v>
      </c>
      <c r="N174" s="2">
        <f>'Raw Data Hotspot'!E16</f>
        <v>0</v>
      </c>
      <c r="O174" s="2">
        <f>'Raw Data Hotspot'!G16</f>
        <v>0</v>
      </c>
      <c r="P174" s="2">
        <f>'Raw Data Hotspot'!H16</f>
        <v>0</v>
      </c>
      <c r="Q174" s="2">
        <f>'Raw Data Hotspot'!I16</f>
        <v>0</v>
      </c>
      <c r="R174" s="2">
        <f>'Raw Data Hotspot'!J16</f>
        <v>0</v>
      </c>
      <c r="S174" s="2">
        <f>'Raw Data Hotspot'!K16</f>
        <v>0</v>
      </c>
      <c r="T174" s="2">
        <f>'Raw Data Hotspot'!N16</f>
        <v>0</v>
      </c>
      <c r="U174" s="2">
        <f t="shared" si="20"/>
        <v>0</v>
      </c>
      <c r="V174" s="12" t="str">
        <f>IF($T174=0, "", IF(COUNTIF('C00026'!$B$7:$B$41, $T174)=0, "Missing", "Y"))</f>
        <v/>
      </c>
      <c r="W174" s="12">
        <f t="shared" si="21"/>
        <v>0</v>
      </c>
    </row>
    <row r="175" spans="1:23" x14ac:dyDescent="0.25">
      <c r="A175" s="18" t="str">
        <f t="array" ref="A175">IFERROR(INDEX(S$7:S$300, SMALL(IF($V$7:$V$300="Missing", ROW(S100:S$300)-ROW(S100)+1), ROW(94:94))), "")</f>
        <v/>
      </c>
      <c r="B175" s="19" t="str">
        <f t="array" ref="B175">IFERROR(INDEX(T$7:T$300, SMALL(IF($V$7:$V$300="Missing", ROW(T100:T$300)-ROW(T100)+1), ROW(94:94))), "")</f>
        <v/>
      </c>
      <c r="C175" s="19" t="str">
        <f t="array" ref="C175">IFERROR(INDEX(R$7:R$300, SMALL(IF($V$7:$V$2300="Missing", ROW(R100:R$300)-ROW(R100)+1), ROW(94:94))), "")</f>
        <v/>
      </c>
      <c r="D175" s="19" t="str">
        <f t="array" ref="D175">IFERROR(INDEX(Q$7:Q$300, SMALL(IF($V$7:$V$300="Missing", ROW(Q100:Q$300)-ROW(Q100)+1), ROW(94:94))), "")</f>
        <v/>
      </c>
      <c r="E175" s="19" t="str">
        <f>IF(FalsePositives[[#This Row],[Gene]]="", "", IF(C175&lt;40,"Pass","Inspect"))</f>
        <v/>
      </c>
      <c r="F175" s="24"/>
      <c r="G175" s="26" t="str">
        <f t="array" ref="G175">IFERROR(VLOOKUP(B175,$T$7:$W$300,COLUMN($W$7:$W$300)-COLUMN($T$7:$W$300)+1,0), "")</f>
        <v/>
      </c>
      <c r="H175" s="33"/>
      <c r="J175" s="2">
        <f>'Raw Data Hotspot'!A17</f>
        <v>0</v>
      </c>
      <c r="K175" s="2">
        <f>'Raw Data Hotspot'!B17</f>
        <v>0</v>
      </c>
      <c r="L175" s="2">
        <f>'Raw Data Hotspot'!C17</f>
        <v>0</v>
      </c>
      <c r="M175" s="2">
        <f>'Raw Data Hotspot'!D17</f>
        <v>0</v>
      </c>
      <c r="N175" s="2">
        <f>'Raw Data Hotspot'!E17</f>
        <v>0</v>
      </c>
      <c r="O175" s="2">
        <f>'Raw Data Hotspot'!G17</f>
        <v>0</v>
      </c>
      <c r="P175" s="2">
        <f>'Raw Data Hotspot'!H17</f>
        <v>0</v>
      </c>
      <c r="Q175" s="2">
        <f>'Raw Data Hotspot'!I17</f>
        <v>0</v>
      </c>
      <c r="R175" s="2">
        <f>'Raw Data Hotspot'!J17</f>
        <v>0</v>
      </c>
      <c r="S175" s="2">
        <f>'Raw Data Hotspot'!K17</f>
        <v>0</v>
      </c>
      <c r="T175" s="2">
        <f>'Raw Data Hotspot'!N17</f>
        <v>0</v>
      </c>
      <c r="U175" s="2">
        <f t="shared" si="20"/>
        <v>0</v>
      </c>
      <c r="V175" s="12" t="str">
        <f>IF($T175=0, "", IF(COUNTIF('C00026'!$B$7:$B$41, $T175)=0, "Missing", "Y"))</f>
        <v/>
      </c>
      <c r="W175" s="12">
        <f t="shared" si="21"/>
        <v>0</v>
      </c>
    </row>
    <row r="176" spans="1:23" x14ac:dyDescent="0.25">
      <c r="A176" s="18" t="str">
        <f t="array" ref="A176">IFERROR(INDEX(S$7:S$300, SMALL(IF($V$7:$V$300="Missing", ROW(S101:S$300)-ROW(S101)+1), ROW(95:95))), "")</f>
        <v/>
      </c>
      <c r="B176" s="19" t="str">
        <f t="array" ref="B176">IFERROR(INDEX(T$7:T$300, SMALL(IF($V$7:$V$300="Missing", ROW(T101:T$300)-ROW(T101)+1), ROW(95:95))), "")</f>
        <v/>
      </c>
      <c r="C176" s="19" t="str">
        <f t="array" ref="C176">IFERROR(INDEX(R$7:R$300, SMALL(IF($V$7:$V$2300="Missing", ROW(R101:R$300)-ROW(R101)+1), ROW(95:95))), "")</f>
        <v/>
      </c>
      <c r="D176" s="19" t="str">
        <f t="array" ref="D176">IFERROR(INDEX(Q$7:Q$300, SMALL(IF($V$7:$V$300="Missing", ROW(Q101:Q$300)-ROW(Q101)+1), ROW(95:95))), "")</f>
        <v/>
      </c>
      <c r="E176" s="19" t="str">
        <f>IF(FalsePositives[[#This Row],[Gene]]="", "", IF(C176&lt;40,"Pass","Inspect"))</f>
        <v/>
      </c>
      <c r="F176" s="24"/>
      <c r="G176" s="26" t="str">
        <f t="array" ref="G176">IFERROR(VLOOKUP(B176,$T$7:$W$300,COLUMN($W$7:$W$300)-COLUMN($T$7:$W$300)+1,0), "")</f>
        <v/>
      </c>
      <c r="H176" s="33"/>
      <c r="J176" s="2">
        <f>'Raw Data Hotspot'!A18</f>
        <v>0</v>
      </c>
      <c r="K176" s="2">
        <f>'Raw Data Hotspot'!B18</f>
        <v>0</v>
      </c>
      <c r="L176" s="2">
        <f>'Raw Data Hotspot'!C18</f>
        <v>0</v>
      </c>
      <c r="M176" s="2">
        <f>'Raw Data Hotspot'!D18</f>
        <v>0</v>
      </c>
      <c r="N176" s="2">
        <f>'Raw Data Hotspot'!E18</f>
        <v>0</v>
      </c>
      <c r="O176" s="2">
        <f>'Raw Data Hotspot'!G18</f>
        <v>0</v>
      </c>
      <c r="P176" s="2">
        <f>'Raw Data Hotspot'!H18</f>
        <v>0</v>
      </c>
      <c r="Q176" s="2">
        <f>'Raw Data Hotspot'!I18</f>
        <v>0</v>
      </c>
      <c r="R176" s="2">
        <f>'Raw Data Hotspot'!J18</f>
        <v>0</v>
      </c>
      <c r="S176" s="2">
        <f>'Raw Data Hotspot'!K18</f>
        <v>0</v>
      </c>
      <c r="T176" s="2">
        <f>'Raw Data Hotspot'!N18</f>
        <v>0</v>
      </c>
      <c r="U176" s="2">
        <f t="shared" si="20"/>
        <v>0</v>
      </c>
      <c r="V176" s="12" t="str">
        <f>IF($T176=0, "", IF(COUNTIF('C00026'!$B$7:$B$41, $T176)=0, "Missing", "Y"))</f>
        <v/>
      </c>
      <c r="W176" s="12">
        <f t="shared" si="21"/>
        <v>0</v>
      </c>
    </row>
    <row r="177" spans="1:23" x14ac:dyDescent="0.25">
      <c r="A177" s="18" t="str">
        <f t="array" ref="A177">IFERROR(INDEX(S$7:S$300, SMALL(IF($V$7:$V$300="Missing", ROW(S102:S$300)-ROW(S102)+1), ROW(96:96))), "")</f>
        <v/>
      </c>
      <c r="B177" s="19" t="str">
        <f t="array" ref="B177">IFERROR(INDEX(T$7:T$300, SMALL(IF($V$7:$V$300="Missing", ROW(T102:T$300)-ROW(T102)+1), ROW(96:96))), "")</f>
        <v/>
      </c>
      <c r="C177" s="19" t="str">
        <f t="array" ref="C177">IFERROR(INDEX(R$7:R$300, SMALL(IF($V$7:$V$2300="Missing", ROW(R102:R$300)-ROW(R102)+1), ROW(96:96))), "")</f>
        <v/>
      </c>
      <c r="D177" s="19" t="str">
        <f t="array" ref="D177">IFERROR(INDEX(Q$7:Q$300, SMALL(IF($V$7:$V$300="Missing", ROW(Q102:Q$300)-ROW(Q102)+1), ROW(96:96))), "")</f>
        <v/>
      </c>
      <c r="E177" s="19" t="str">
        <f>IF(FalsePositives[[#This Row],[Gene]]="", "", IF(C177&lt;40,"Pass","Inspect"))</f>
        <v/>
      </c>
      <c r="F177" s="24"/>
      <c r="G177" s="26" t="str">
        <f t="array" ref="G177">IFERROR(VLOOKUP(B177,$T$7:$W$300,COLUMN($W$7:$W$300)-COLUMN($T$7:$W$300)+1,0), "")</f>
        <v/>
      </c>
      <c r="H177" s="33"/>
      <c r="J177" s="2">
        <f>'Raw Data Hotspot'!A19</f>
        <v>0</v>
      </c>
      <c r="K177" s="2">
        <f>'Raw Data Hotspot'!B19</f>
        <v>0</v>
      </c>
      <c r="L177" s="2">
        <f>'Raw Data Hotspot'!C19</f>
        <v>0</v>
      </c>
      <c r="M177" s="2">
        <f>'Raw Data Hotspot'!D19</f>
        <v>0</v>
      </c>
      <c r="N177" s="2">
        <f>'Raw Data Hotspot'!E19</f>
        <v>0</v>
      </c>
      <c r="O177" s="2">
        <f>'Raw Data Hotspot'!G19</f>
        <v>0</v>
      </c>
      <c r="P177" s="2">
        <f>'Raw Data Hotspot'!H19</f>
        <v>0</v>
      </c>
      <c r="Q177" s="2">
        <f>'Raw Data Hotspot'!I19</f>
        <v>0</v>
      </c>
      <c r="R177" s="2">
        <f>'Raw Data Hotspot'!J19</f>
        <v>0</v>
      </c>
      <c r="S177" s="2">
        <f>'Raw Data Hotspot'!K19</f>
        <v>0</v>
      </c>
      <c r="T177" s="2">
        <f>'Raw Data Hotspot'!N19</f>
        <v>0</v>
      </c>
      <c r="U177" s="2">
        <f t="shared" si="20"/>
        <v>0</v>
      </c>
      <c r="V177" s="12" t="str">
        <f>IF($T177=0, "", IF(COUNTIF('C00026'!$B$7:$B$41, $T177)=0, "Missing", "Y"))</f>
        <v/>
      </c>
      <c r="W177" s="12">
        <f t="shared" si="21"/>
        <v>0</v>
      </c>
    </row>
    <row r="178" spans="1:23" x14ac:dyDescent="0.25">
      <c r="A178" s="18" t="str">
        <f t="array" ref="A178">IFERROR(INDEX(S$7:S$300, SMALL(IF($V$7:$V$300="Missing", ROW(S103:S$300)-ROW(S103)+1), ROW(97:97))), "")</f>
        <v/>
      </c>
      <c r="B178" s="19" t="str">
        <f t="array" ref="B178">IFERROR(INDEX(T$7:T$300, SMALL(IF($V$7:$V$300="Missing", ROW(T103:T$300)-ROW(T103)+1), ROW(97:97))), "")</f>
        <v/>
      </c>
      <c r="C178" s="19" t="str">
        <f t="array" ref="C178">IFERROR(INDEX(R$7:R$300, SMALL(IF($V$7:$V$2300="Missing", ROW(R103:R$300)-ROW(R103)+1), ROW(97:97))), "")</f>
        <v/>
      </c>
      <c r="D178" s="19" t="str">
        <f t="array" ref="D178">IFERROR(INDEX(Q$7:Q$300, SMALL(IF($V$7:$V$300="Missing", ROW(Q103:Q$300)-ROW(Q103)+1), ROW(97:97))), "")</f>
        <v/>
      </c>
      <c r="E178" s="19" t="str">
        <f>IF(FalsePositives[[#This Row],[Gene]]="", "", IF(C178&lt;40,"Pass","Inspect"))</f>
        <v/>
      </c>
      <c r="F178" s="24"/>
      <c r="G178" s="26" t="str">
        <f t="array" ref="G178">IFERROR(VLOOKUP(B178,$T$7:$W$300,COLUMN($W$7:$W$300)-COLUMN($T$7:$W$300)+1,0), "")</f>
        <v/>
      </c>
      <c r="H178" s="33"/>
      <c r="J178" s="2">
        <f>'Raw Data Hotspot'!A20</f>
        <v>0</v>
      </c>
      <c r="K178" s="2">
        <f>'Raw Data Hotspot'!B20</f>
        <v>0</v>
      </c>
      <c r="L178" s="2">
        <f>'Raw Data Hotspot'!C20</f>
        <v>0</v>
      </c>
      <c r="M178" s="2">
        <f>'Raw Data Hotspot'!D20</f>
        <v>0</v>
      </c>
      <c r="N178" s="2">
        <f>'Raw Data Hotspot'!E20</f>
        <v>0</v>
      </c>
      <c r="O178" s="2">
        <f>'Raw Data Hotspot'!G20</f>
        <v>0</v>
      </c>
      <c r="P178" s="2">
        <f>'Raw Data Hotspot'!H20</f>
        <v>0</v>
      </c>
      <c r="Q178" s="2">
        <f>'Raw Data Hotspot'!I20</f>
        <v>0</v>
      </c>
      <c r="R178" s="2">
        <f>'Raw Data Hotspot'!J20</f>
        <v>0</v>
      </c>
      <c r="S178" s="2">
        <f>'Raw Data Hotspot'!K20</f>
        <v>0</v>
      </c>
      <c r="T178" s="2">
        <f>'Raw Data Hotspot'!N20</f>
        <v>0</v>
      </c>
      <c r="U178" s="2">
        <f t="shared" si="20"/>
        <v>0</v>
      </c>
      <c r="V178" s="12" t="str">
        <f>IF($T178=0, "", IF(COUNTIF('C00026'!$B$7:$B$41, $T178)=0, "Missing", "Y"))</f>
        <v/>
      </c>
      <c r="W178" s="12">
        <f t="shared" si="21"/>
        <v>0</v>
      </c>
    </row>
    <row r="179" spans="1:23" x14ac:dyDescent="0.25">
      <c r="A179" s="18" t="str">
        <f t="array" ref="A179">IFERROR(INDEX(S$7:S$300, SMALL(IF($V$7:$V$300="Missing", ROW(S104:S$300)-ROW(S104)+1), ROW(98:98))), "")</f>
        <v/>
      </c>
      <c r="B179" s="19" t="str">
        <f t="array" ref="B179">IFERROR(INDEX(T$7:T$300, SMALL(IF($V$7:$V$300="Missing", ROW(T104:T$300)-ROW(T104)+1), ROW(98:98))), "")</f>
        <v/>
      </c>
      <c r="C179" s="19" t="str">
        <f t="array" ref="C179">IFERROR(INDEX(R$7:R$300, SMALL(IF($V$7:$V$2300="Missing", ROW(R104:R$300)-ROW(R104)+1), ROW(98:98))), "")</f>
        <v/>
      </c>
      <c r="D179" s="19" t="str">
        <f t="array" ref="D179">IFERROR(INDEX(Q$7:Q$300, SMALL(IF($V$7:$V$300="Missing", ROW(Q104:Q$300)-ROW(Q104)+1), ROW(98:98))), "")</f>
        <v/>
      </c>
      <c r="E179" s="19" t="str">
        <f>IF(FalsePositives[[#This Row],[Gene]]="", "", IF(C179&lt;40,"Pass","Inspect"))</f>
        <v/>
      </c>
      <c r="F179" s="24"/>
      <c r="G179" s="26" t="str">
        <f t="array" ref="G179">IFERROR(VLOOKUP(B179,$T$7:$W$300,COLUMN($W$7:$W$300)-COLUMN($T$7:$W$300)+1,0), "")</f>
        <v/>
      </c>
      <c r="H179" s="33"/>
      <c r="J179" s="2">
        <f>'Raw Data Hotspot'!A21</f>
        <v>0</v>
      </c>
      <c r="K179" s="2">
        <f>'Raw Data Hotspot'!B21</f>
        <v>0</v>
      </c>
      <c r="L179" s="2">
        <f>'Raw Data Hotspot'!C21</f>
        <v>0</v>
      </c>
      <c r="M179" s="2">
        <f>'Raw Data Hotspot'!D21</f>
        <v>0</v>
      </c>
      <c r="N179" s="2">
        <f>'Raw Data Hotspot'!E21</f>
        <v>0</v>
      </c>
      <c r="O179" s="2">
        <f>'Raw Data Hotspot'!G21</f>
        <v>0</v>
      </c>
      <c r="P179" s="2">
        <f>'Raw Data Hotspot'!H21</f>
        <v>0</v>
      </c>
      <c r="Q179" s="2">
        <f>'Raw Data Hotspot'!I21</f>
        <v>0</v>
      </c>
      <c r="R179" s="2">
        <f>'Raw Data Hotspot'!J21</f>
        <v>0</v>
      </c>
      <c r="S179" s="2">
        <f>'Raw Data Hotspot'!K21</f>
        <v>0</v>
      </c>
      <c r="T179" s="2">
        <f>'Raw Data Hotspot'!N21</f>
        <v>0</v>
      </c>
      <c r="U179" s="2">
        <f t="shared" si="20"/>
        <v>0</v>
      </c>
      <c r="V179" s="12" t="str">
        <f>IF($T179=0, "", IF(COUNTIF('C00026'!$B$7:$B$41, $T179)=0, "Missing", "Y"))</f>
        <v/>
      </c>
      <c r="W179" s="12">
        <f t="shared" si="21"/>
        <v>0</v>
      </c>
    </row>
    <row r="180" spans="1:23" x14ac:dyDescent="0.25">
      <c r="A180" s="18" t="str">
        <f t="array" ref="A180">IFERROR(INDEX(S$7:S$300, SMALL(IF($V$7:$V$300="Missing", ROW(S105:S$300)-ROW(S105)+1), ROW(99:99))), "")</f>
        <v/>
      </c>
      <c r="B180" s="19" t="str">
        <f t="array" ref="B180">IFERROR(INDEX(T$7:T$300, SMALL(IF($V$7:$V$300="Missing", ROW(T105:T$300)-ROW(T105)+1), ROW(99:99))), "")</f>
        <v/>
      </c>
      <c r="C180" s="19" t="str">
        <f t="array" ref="C180">IFERROR(INDEX(R$7:R$300, SMALL(IF($V$7:$V$2300="Missing", ROW(R105:R$300)-ROW(R105)+1), ROW(99:99))), "")</f>
        <v/>
      </c>
      <c r="D180" s="19" t="str">
        <f t="array" ref="D180">IFERROR(INDEX(Q$7:Q$300, SMALL(IF($V$7:$V$300="Missing", ROW(Q105:Q$300)-ROW(Q105)+1), ROW(99:99))), "")</f>
        <v/>
      </c>
      <c r="E180" s="19" t="str">
        <f>IF(FalsePositives[[#This Row],[Gene]]="", "", IF(C180&lt;40,"Pass","Inspect"))</f>
        <v/>
      </c>
      <c r="F180" s="24"/>
      <c r="G180" s="26" t="str">
        <f t="array" ref="G180">IFERROR(VLOOKUP(B180,$T$7:$W$300,COLUMN($W$7:$W$300)-COLUMN($T$7:$W$300)+1,0), "")</f>
        <v/>
      </c>
      <c r="H180" s="33"/>
      <c r="J180" s="2">
        <f>'Raw Data Hotspot'!A22</f>
        <v>0</v>
      </c>
      <c r="K180" s="2">
        <f>'Raw Data Hotspot'!B22</f>
        <v>0</v>
      </c>
      <c r="L180" s="2">
        <f>'Raw Data Hotspot'!C22</f>
        <v>0</v>
      </c>
      <c r="M180" s="2">
        <f>'Raw Data Hotspot'!D22</f>
        <v>0</v>
      </c>
      <c r="N180" s="2">
        <f>'Raw Data Hotspot'!E22</f>
        <v>0</v>
      </c>
      <c r="O180" s="2">
        <f>'Raw Data Hotspot'!G22</f>
        <v>0</v>
      </c>
      <c r="P180" s="2">
        <f>'Raw Data Hotspot'!H22</f>
        <v>0</v>
      </c>
      <c r="Q180" s="2">
        <f>'Raw Data Hotspot'!I22</f>
        <v>0</v>
      </c>
      <c r="R180" s="2">
        <f>'Raw Data Hotspot'!J22</f>
        <v>0</v>
      </c>
      <c r="S180" s="2">
        <f>'Raw Data Hotspot'!K22</f>
        <v>0</v>
      </c>
      <c r="T180" s="2">
        <f>'Raw Data Hotspot'!N22</f>
        <v>0</v>
      </c>
      <c r="U180" s="2">
        <f t="shared" si="20"/>
        <v>0</v>
      </c>
      <c r="V180" s="12" t="str">
        <f>IF($T180=0, "", IF(COUNTIF('C00026'!$B$7:$B$41, $T180)=0, "Missing", "Y"))</f>
        <v/>
      </c>
      <c r="W180" s="12">
        <f t="shared" si="21"/>
        <v>0</v>
      </c>
    </row>
    <row r="181" spans="1:23" x14ac:dyDescent="0.25">
      <c r="A181" s="18" t="str">
        <f t="array" ref="A181">IFERROR(INDEX(S$7:S$300, SMALL(IF($V$7:$V$300="Missing", ROW(S106:S$300)-ROW(S106)+1), ROW(100:100))), "")</f>
        <v/>
      </c>
      <c r="B181" s="19" t="str">
        <f t="array" ref="B181">IFERROR(INDEX(T$7:T$300, SMALL(IF($V$7:$V$300="Missing", ROW(T106:T$300)-ROW(T106)+1), ROW(100:100))), "")</f>
        <v/>
      </c>
      <c r="C181" s="19" t="str">
        <f t="array" ref="C181">IFERROR(INDEX(R$7:R$300, SMALL(IF($V$7:$V$2300="Missing", ROW(R106:R$300)-ROW(R106)+1), ROW(100:100))), "")</f>
        <v/>
      </c>
      <c r="D181" s="19" t="str">
        <f t="array" ref="D181">IFERROR(INDEX(Q$7:Q$300, SMALL(IF($V$7:$V$300="Missing", ROW(Q106:Q$300)-ROW(Q106)+1), ROW(100:100))), "")</f>
        <v/>
      </c>
      <c r="E181" s="19" t="str">
        <f>IF(FalsePositives[[#This Row],[Gene]]="", "", IF(C181&lt;40,"Pass","Inspect"))</f>
        <v/>
      </c>
      <c r="F181" s="24"/>
      <c r="G181" s="26" t="str">
        <f t="array" ref="G181">IFERROR(VLOOKUP(B181,$T$7:$W$300,COLUMN($W$7:$W$300)-COLUMN($T$7:$W$300)+1,0), "")</f>
        <v/>
      </c>
      <c r="H181" s="33"/>
      <c r="J181" s="2">
        <f>'Raw Data Hotspot'!A23</f>
        <v>0</v>
      </c>
      <c r="K181" s="2">
        <f>'Raw Data Hotspot'!B23</f>
        <v>0</v>
      </c>
      <c r="L181" s="2">
        <f>'Raw Data Hotspot'!C23</f>
        <v>0</v>
      </c>
      <c r="M181" s="2">
        <f>'Raw Data Hotspot'!D23</f>
        <v>0</v>
      </c>
      <c r="N181" s="2">
        <f>'Raw Data Hotspot'!E23</f>
        <v>0</v>
      </c>
      <c r="O181" s="2">
        <f>'Raw Data Hotspot'!G23</f>
        <v>0</v>
      </c>
      <c r="P181" s="2">
        <f>'Raw Data Hotspot'!H23</f>
        <v>0</v>
      </c>
      <c r="Q181" s="2">
        <f>'Raw Data Hotspot'!I23</f>
        <v>0</v>
      </c>
      <c r="R181" s="2">
        <f>'Raw Data Hotspot'!J23</f>
        <v>0</v>
      </c>
      <c r="S181" s="2">
        <f>'Raw Data Hotspot'!K23</f>
        <v>0</v>
      </c>
      <c r="T181" s="2">
        <f>'Raw Data Hotspot'!N23</f>
        <v>0</v>
      </c>
      <c r="U181" s="2">
        <f t="shared" si="20"/>
        <v>0</v>
      </c>
      <c r="V181" s="12" t="str">
        <f>IF($T181=0, "", IF(COUNTIF('C00026'!$B$7:$B$41, $T181)=0, "Missing", "Y"))</f>
        <v/>
      </c>
      <c r="W181" s="12">
        <f t="shared" si="21"/>
        <v>0</v>
      </c>
    </row>
    <row r="182" spans="1:23" x14ac:dyDescent="0.25">
      <c r="A182" s="18" t="str">
        <f t="array" ref="A182">IFERROR(INDEX(S$7:S$300, SMALL(IF($V$7:$V$300="Missing", ROW(S107:S$300)-ROW(S107)+1), ROW(101:101))), "")</f>
        <v/>
      </c>
      <c r="B182" s="19" t="str">
        <f t="array" ref="B182">IFERROR(INDEX(T$7:T$300, SMALL(IF($V$7:$V$300="Missing", ROW(T107:T$300)-ROW(T107)+1), ROW(101:101))), "")</f>
        <v/>
      </c>
      <c r="C182" s="19" t="str">
        <f t="array" ref="C182">IFERROR(INDEX(R$7:R$300, SMALL(IF($V$7:$V$2300="Missing", ROW(R107:R$300)-ROW(R107)+1), ROW(101:101))), "")</f>
        <v/>
      </c>
      <c r="D182" s="19" t="str">
        <f t="array" ref="D182">IFERROR(INDEX(Q$7:Q$300, SMALL(IF($V$7:$V$300="Missing", ROW(Q107:Q$300)-ROW(Q107)+1), ROW(101:101))), "")</f>
        <v/>
      </c>
      <c r="E182" s="19" t="str">
        <f>IF(FalsePositives[[#This Row],[Gene]]="", "", IF(C182&lt;40,"Pass","Inspect"))</f>
        <v/>
      </c>
      <c r="F182" s="24"/>
      <c r="G182" s="26" t="str">
        <f t="array" ref="G182">IFERROR(VLOOKUP(B182,$T$7:$W$300,COLUMN($W$7:$W$300)-COLUMN($T$7:$W$300)+1,0), "")</f>
        <v/>
      </c>
      <c r="H182" s="33"/>
      <c r="J182" s="2">
        <f>'Raw Data Hotspot'!A24</f>
        <v>0</v>
      </c>
      <c r="K182" s="2">
        <f>'Raw Data Hotspot'!B24</f>
        <v>0</v>
      </c>
      <c r="L182" s="2">
        <f>'Raw Data Hotspot'!C24</f>
        <v>0</v>
      </c>
      <c r="M182" s="2">
        <f>'Raw Data Hotspot'!D24</f>
        <v>0</v>
      </c>
      <c r="N182" s="2">
        <f>'Raw Data Hotspot'!E24</f>
        <v>0</v>
      </c>
      <c r="O182" s="2">
        <f>'Raw Data Hotspot'!G24</f>
        <v>0</v>
      </c>
      <c r="P182" s="2">
        <f>'Raw Data Hotspot'!H24</f>
        <v>0</v>
      </c>
      <c r="Q182" s="2">
        <f>'Raw Data Hotspot'!I24</f>
        <v>0</v>
      </c>
      <c r="R182" s="2">
        <f>'Raw Data Hotspot'!J24</f>
        <v>0</v>
      </c>
      <c r="S182" s="2">
        <f>'Raw Data Hotspot'!K24</f>
        <v>0</v>
      </c>
      <c r="T182" s="2">
        <f>'Raw Data Hotspot'!N24</f>
        <v>0</v>
      </c>
      <c r="U182" s="2">
        <f t="shared" si="20"/>
        <v>0</v>
      </c>
      <c r="V182" s="12" t="str">
        <f>IF($T182=0, "", IF(COUNTIF('C00026'!$B$7:$B$41, $T182)=0, "Missing", "Y"))</f>
        <v/>
      </c>
      <c r="W182" s="12">
        <f t="shared" si="21"/>
        <v>0</v>
      </c>
    </row>
    <row r="183" spans="1:23" x14ac:dyDescent="0.25">
      <c r="A183" s="18" t="str">
        <f t="array" ref="A183">IFERROR(INDEX(S$7:S$300, SMALL(IF($V$7:$V$300="Missing", ROW(S108:S$300)-ROW(S108)+1), ROW(102:102))), "")</f>
        <v/>
      </c>
      <c r="B183" s="19" t="str">
        <f t="array" ref="B183">IFERROR(INDEX(T$7:T$300, SMALL(IF($V$7:$V$300="Missing", ROW(T108:T$300)-ROW(T108)+1), ROW(102:102))), "")</f>
        <v/>
      </c>
      <c r="C183" s="19" t="str">
        <f t="array" ref="C183">IFERROR(INDEX(R$7:R$300, SMALL(IF($V$7:$V$2300="Missing", ROW(R108:R$300)-ROW(R108)+1), ROW(102:102))), "")</f>
        <v/>
      </c>
      <c r="D183" s="19" t="str">
        <f t="array" ref="D183">IFERROR(INDEX(Q$7:Q$300, SMALL(IF($V$7:$V$300="Missing", ROW(Q108:Q$300)-ROW(Q108)+1), ROW(102:102))), "")</f>
        <v/>
      </c>
      <c r="E183" s="19" t="str">
        <f>IF(FalsePositives[[#This Row],[Gene]]="", "", IF(C183&lt;40,"Pass","Inspect"))</f>
        <v/>
      </c>
      <c r="F183" s="24"/>
      <c r="G183" s="26" t="str">
        <f t="array" ref="G183">IFERROR(VLOOKUP(B183,$T$7:$W$300,COLUMN($W$7:$W$300)-COLUMN($T$7:$W$300)+1,0), "")</f>
        <v/>
      </c>
      <c r="H183" s="33"/>
      <c r="J183" s="2">
        <f>'Raw Data Hotspot'!A25</f>
        <v>0</v>
      </c>
      <c r="K183" s="2">
        <f>'Raw Data Hotspot'!B25</f>
        <v>0</v>
      </c>
      <c r="L183" s="2">
        <f>'Raw Data Hotspot'!C25</f>
        <v>0</v>
      </c>
      <c r="M183" s="2">
        <f>'Raw Data Hotspot'!D25</f>
        <v>0</v>
      </c>
      <c r="N183" s="2">
        <f>'Raw Data Hotspot'!E25</f>
        <v>0</v>
      </c>
      <c r="O183" s="2">
        <f>'Raw Data Hotspot'!G25</f>
        <v>0</v>
      </c>
      <c r="P183" s="2">
        <f>'Raw Data Hotspot'!H25</f>
        <v>0</v>
      </c>
      <c r="Q183" s="2">
        <f>'Raw Data Hotspot'!I25</f>
        <v>0</v>
      </c>
      <c r="R183" s="2">
        <f>'Raw Data Hotspot'!J25</f>
        <v>0</v>
      </c>
      <c r="S183" s="2">
        <f>'Raw Data Hotspot'!K25</f>
        <v>0</v>
      </c>
      <c r="T183" s="2">
        <f>'Raw Data Hotspot'!N25</f>
        <v>0</v>
      </c>
      <c r="U183" s="2">
        <f t="shared" si="20"/>
        <v>0</v>
      </c>
      <c r="V183" s="12" t="str">
        <f>IF($T183=0, "", IF(COUNTIF('C00026'!$B$7:$B$41, $T183)=0, "Missing", "Y"))</f>
        <v/>
      </c>
      <c r="W183" s="12">
        <f t="shared" si="21"/>
        <v>0</v>
      </c>
    </row>
    <row r="184" spans="1:23" x14ac:dyDescent="0.25">
      <c r="A184" s="18" t="str">
        <f t="array" ref="A184">IFERROR(INDEX(S$7:S$300, SMALL(IF($V$7:$V$300="Missing", ROW(S109:S$300)-ROW(S109)+1), ROW(103:103))), "")</f>
        <v/>
      </c>
      <c r="B184" s="19" t="str">
        <f t="array" ref="B184">IFERROR(INDEX(T$7:T$300, SMALL(IF($V$7:$V$300="Missing", ROW(T109:T$300)-ROW(T109)+1), ROW(103:103))), "")</f>
        <v/>
      </c>
      <c r="C184" s="19" t="str">
        <f t="array" ref="C184">IFERROR(INDEX(R$7:R$300, SMALL(IF($V$7:$V$2300="Missing", ROW(R109:R$300)-ROW(R109)+1), ROW(103:103))), "")</f>
        <v/>
      </c>
      <c r="D184" s="19" t="str">
        <f t="array" ref="D184">IFERROR(INDEX(Q$7:Q$300, SMALL(IF($V$7:$V$300="Missing", ROW(Q109:Q$300)-ROW(Q109)+1), ROW(103:103))), "")</f>
        <v/>
      </c>
      <c r="E184" s="19" t="str">
        <f>IF(FalsePositives[[#This Row],[Gene]]="", "", IF(C184&lt;40,"Pass","Inspect"))</f>
        <v/>
      </c>
      <c r="F184" s="24"/>
      <c r="G184" s="26" t="str">
        <f t="array" ref="G184">IFERROR(VLOOKUP(B184,$T$7:$W$300,COLUMN($W$7:$W$300)-COLUMN($T$7:$W$300)+1,0), "")</f>
        <v/>
      </c>
      <c r="H184" s="33"/>
      <c r="J184" s="2">
        <f>'Raw Data Hotspot'!A26</f>
        <v>0</v>
      </c>
      <c r="K184" s="2">
        <f>'Raw Data Hotspot'!B26</f>
        <v>0</v>
      </c>
      <c r="L184" s="2">
        <f>'Raw Data Hotspot'!C26</f>
        <v>0</v>
      </c>
      <c r="M184" s="2">
        <f>'Raw Data Hotspot'!D26</f>
        <v>0</v>
      </c>
      <c r="N184" s="2">
        <f>'Raw Data Hotspot'!E26</f>
        <v>0</v>
      </c>
      <c r="O184" s="2">
        <f>'Raw Data Hotspot'!G26</f>
        <v>0</v>
      </c>
      <c r="P184" s="2">
        <f>'Raw Data Hotspot'!H26</f>
        <v>0</v>
      </c>
      <c r="Q184" s="2">
        <f>'Raw Data Hotspot'!I26</f>
        <v>0</v>
      </c>
      <c r="R184" s="2">
        <f>'Raw Data Hotspot'!J26</f>
        <v>0</v>
      </c>
      <c r="S184" s="2">
        <f>'Raw Data Hotspot'!K26</f>
        <v>0</v>
      </c>
      <c r="T184" s="2">
        <f>'Raw Data Hotspot'!N26</f>
        <v>0</v>
      </c>
      <c r="U184" s="2">
        <f t="shared" si="20"/>
        <v>0</v>
      </c>
      <c r="V184" s="12" t="str">
        <f>IF($T184=0, "", IF(COUNTIF('C00026'!$B$7:$B$41, $T184)=0, "Missing", "Y"))</f>
        <v/>
      </c>
      <c r="W184" s="12">
        <f t="shared" si="21"/>
        <v>0</v>
      </c>
    </row>
    <row r="185" spans="1:23" x14ac:dyDescent="0.25">
      <c r="A185" s="18" t="str">
        <f t="array" ref="A185">IFERROR(INDEX(S$7:S$300, SMALL(IF($V$7:$V$300="Missing", ROW(S110:S$300)-ROW(S110)+1), ROW(104:104))), "")</f>
        <v/>
      </c>
      <c r="B185" s="19" t="str">
        <f t="array" ref="B185">IFERROR(INDEX(T$7:T$300, SMALL(IF($V$7:$V$300="Missing", ROW(T110:T$300)-ROW(T110)+1), ROW(104:104))), "")</f>
        <v/>
      </c>
      <c r="C185" s="19" t="str">
        <f t="array" ref="C185">IFERROR(INDEX(R$7:R$300, SMALL(IF($V$7:$V$2300="Missing", ROW(R110:R$300)-ROW(R110)+1), ROW(104:104))), "")</f>
        <v/>
      </c>
      <c r="D185" s="19" t="str">
        <f t="array" ref="D185">IFERROR(INDEX(Q$7:Q$300, SMALL(IF($V$7:$V$300="Missing", ROW(Q110:Q$300)-ROW(Q110)+1), ROW(104:104))), "")</f>
        <v/>
      </c>
      <c r="E185" s="19" t="str">
        <f>IF(FalsePositives[[#This Row],[Gene]]="", "", IF(C185&lt;40,"Pass","Inspect"))</f>
        <v/>
      </c>
      <c r="F185" s="24"/>
      <c r="G185" s="26" t="str">
        <f t="array" ref="G185">IFERROR(VLOOKUP(B185,$T$7:$W$300,COLUMN($W$7:$W$300)-COLUMN($T$7:$W$300)+1,0), "")</f>
        <v/>
      </c>
      <c r="H185" s="33"/>
      <c r="J185" s="2">
        <f>'Raw Data Hotspot'!A27</f>
        <v>0</v>
      </c>
      <c r="K185" s="2">
        <f>'Raw Data Hotspot'!B27</f>
        <v>0</v>
      </c>
      <c r="L185" s="2">
        <f>'Raw Data Hotspot'!C27</f>
        <v>0</v>
      </c>
      <c r="M185" s="2">
        <f>'Raw Data Hotspot'!D27</f>
        <v>0</v>
      </c>
      <c r="N185" s="2">
        <f>'Raw Data Hotspot'!E27</f>
        <v>0</v>
      </c>
      <c r="O185" s="2">
        <f>'Raw Data Hotspot'!G27</f>
        <v>0</v>
      </c>
      <c r="P185" s="2">
        <f>'Raw Data Hotspot'!H27</f>
        <v>0</v>
      </c>
      <c r="Q185" s="2">
        <f>'Raw Data Hotspot'!I27</f>
        <v>0</v>
      </c>
      <c r="R185" s="2">
        <f>'Raw Data Hotspot'!J27</f>
        <v>0</v>
      </c>
      <c r="S185" s="2">
        <f>'Raw Data Hotspot'!K27</f>
        <v>0</v>
      </c>
      <c r="T185" s="2">
        <f>'Raw Data Hotspot'!N27</f>
        <v>0</v>
      </c>
      <c r="U185" s="2">
        <f t="shared" si="20"/>
        <v>0</v>
      </c>
      <c r="V185" s="12" t="str">
        <f>IF($T185=0, "", IF(COUNTIF('C00026'!$B$7:$B$41, $T185)=0, "Missing", "Y"))</f>
        <v/>
      </c>
      <c r="W185" s="12">
        <f t="shared" si="21"/>
        <v>0</v>
      </c>
    </row>
    <row r="186" spans="1:23" x14ac:dyDescent="0.25">
      <c r="A186" s="18" t="str">
        <f t="array" ref="A186">IFERROR(INDEX(S$7:S$300, SMALL(IF($V$7:$V$300="Missing", ROW(S111:S$300)-ROW(S111)+1), ROW(105:105))), "")</f>
        <v/>
      </c>
      <c r="B186" s="19" t="str">
        <f t="array" ref="B186">IFERROR(INDEX(T$7:T$300, SMALL(IF($V$7:$V$300="Missing", ROW(T111:T$300)-ROW(T111)+1), ROW(105:105))), "")</f>
        <v/>
      </c>
      <c r="C186" s="19" t="str">
        <f t="array" ref="C186">IFERROR(INDEX(R$7:R$300, SMALL(IF($V$7:$V$2300="Missing", ROW(R111:R$300)-ROW(R111)+1), ROW(105:105))), "")</f>
        <v/>
      </c>
      <c r="D186" s="19" t="str">
        <f t="array" ref="D186">IFERROR(INDEX(Q$7:Q$300, SMALL(IF($V$7:$V$300="Missing", ROW(Q111:Q$300)-ROW(Q111)+1), ROW(105:105))), "")</f>
        <v/>
      </c>
      <c r="E186" s="19" t="str">
        <f>IF(FalsePositives[[#This Row],[Gene]]="", "", IF(C186&lt;40,"Pass","Inspect"))</f>
        <v/>
      </c>
      <c r="F186" s="24"/>
      <c r="G186" s="26" t="str">
        <f t="array" ref="G186">IFERROR(VLOOKUP(B186,$T$7:$W$300,COLUMN($W$7:$W$300)-COLUMN($T$7:$W$300)+1,0), "")</f>
        <v/>
      </c>
      <c r="H186" s="33"/>
      <c r="J186" s="2">
        <f>'Raw Data Hotspot'!A28</f>
        <v>0</v>
      </c>
      <c r="K186" s="2">
        <f>'Raw Data Hotspot'!B28</f>
        <v>0</v>
      </c>
      <c r="L186" s="2">
        <f>'Raw Data Hotspot'!C28</f>
        <v>0</v>
      </c>
      <c r="M186" s="2">
        <f>'Raw Data Hotspot'!D28</f>
        <v>0</v>
      </c>
      <c r="N186" s="2">
        <f>'Raw Data Hotspot'!E28</f>
        <v>0</v>
      </c>
      <c r="O186" s="2">
        <f>'Raw Data Hotspot'!G28</f>
        <v>0</v>
      </c>
      <c r="P186" s="2">
        <f>'Raw Data Hotspot'!H28</f>
        <v>0</v>
      </c>
      <c r="Q186" s="2">
        <f>'Raw Data Hotspot'!I28</f>
        <v>0</v>
      </c>
      <c r="R186" s="2">
        <f>'Raw Data Hotspot'!J28</f>
        <v>0</v>
      </c>
      <c r="S186" s="2">
        <f>'Raw Data Hotspot'!K28</f>
        <v>0</v>
      </c>
      <c r="T186" s="2">
        <f>'Raw Data Hotspot'!N28</f>
        <v>0</v>
      </c>
      <c r="U186" s="2">
        <f t="shared" si="20"/>
        <v>0</v>
      </c>
      <c r="V186" s="12" t="str">
        <f>IF($T186=0, "", IF(COUNTIF('C00026'!$B$7:$B$41, $T186)=0, "Missing", "Y"))</f>
        <v/>
      </c>
      <c r="W186" s="12">
        <f t="shared" si="21"/>
        <v>0</v>
      </c>
    </row>
    <row r="187" spans="1:23" x14ac:dyDescent="0.25">
      <c r="A187" s="18" t="str">
        <f t="array" ref="A187">IFERROR(INDEX(S$7:S$300, SMALL(IF($V$7:$V$300="Missing", ROW(S112:S$300)-ROW(S112)+1), ROW(106:106))), "")</f>
        <v/>
      </c>
      <c r="B187" s="19" t="str">
        <f t="array" ref="B187">IFERROR(INDEX(T$7:T$300, SMALL(IF($V$7:$V$300="Missing", ROW(T112:T$300)-ROW(T112)+1), ROW(106:106))), "")</f>
        <v/>
      </c>
      <c r="C187" s="19" t="str">
        <f t="array" ref="C187">IFERROR(INDEX(R$7:R$300, SMALL(IF($V$7:$V$2300="Missing", ROW(R112:R$300)-ROW(R112)+1), ROW(106:106))), "")</f>
        <v/>
      </c>
      <c r="D187" s="19" t="str">
        <f t="array" ref="D187">IFERROR(INDEX(Q$7:Q$300, SMALL(IF($V$7:$V$300="Missing", ROW(Q112:Q$300)-ROW(Q112)+1), ROW(106:106))), "")</f>
        <v/>
      </c>
      <c r="E187" s="19" t="str">
        <f>IF(FalsePositives[[#This Row],[Gene]]="", "", IF(C187&lt;40,"Pass","Inspect"))</f>
        <v/>
      </c>
      <c r="F187" s="24"/>
      <c r="G187" s="26" t="str">
        <f t="array" ref="G187">IFERROR(VLOOKUP(B187,$T$7:$W$300,COLUMN($W$7:$W$300)-COLUMN($T$7:$W$300)+1,0), "")</f>
        <v/>
      </c>
      <c r="H187" s="33"/>
      <c r="J187" s="2">
        <f>'Raw Data Hotspot'!A29</f>
        <v>0</v>
      </c>
      <c r="K187" s="2">
        <f>'Raw Data Hotspot'!B29</f>
        <v>0</v>
      </c>
      <c r="L187" s="2">
        <f>'Raw Data Hotspot'!C29</f>
        <v>0</v>
      </c>
      <c r="M187" s="2">
        <f>'Raw Data Hotspot'!D29</f>
        <v>0</v>
      </c>
      <c r="N187" s="2">
        <f>'Raw Data Hotspot'!E29</f>
        <v>0</v>
      </c>
      <c r="O187" s="2">
        <f>'Raw Data Hotspot'!G29</f>
        <v>0</v>
      </c>
      <c r="P187" s="2">
        <f>'Raw Data Hotspot'!H29</f>
        <v>0</v>
      </c>
      <c r="Q187" s="2">
        <f>'Raw Data Hotspot'!I29</f>
        <v>0</v>
      </c>
      <c r="R187" s="2">
        <f>'Raw Data Hotspot'!J29</f>
        <v>0</v>
      </c>
      <c r="S187" s="2">
        <f>'Raw Data Hotspot'!K29</f>
        <v>0</v>
      </c>
      <c r="T187" s="2">
        <f>'Raw Data Hotspot'!N29</f>
        <v>0</v>
      </c>
      <c r="U187" s="2">
        <f t="shared" si="20"/>
        <v>0</v>
      </c>
      <c r="V187" s="12" t="str">
        <f>IF($T187=0, "", IF(COUNTIF('C00026'!$B$7:$B$41, $T187)=0, "Missing", "Y"))</f>
        <v/>
      </c>
      <c r="W187" s="12">
        <f t="shared" si="21"/>
        <v>0</v>
      </c>
    </row>
    <row r="188" spans="1:23" x14ac:dyDescent="0.25">
      <c r="A188" s="18" t="str">
        <f t="array" ref="A188">IFERROR(INDEX(S$7:S$300, SMALL(IF($V$7:$V$300="Missing", ROW(S113:S$300)-ROW(S113)+1), ROW(107:107))), "")</f>
        <v/>
      </c>
      <c r="B188" s="19" t="str">
        <f t="array" ref="B188">IFERROR(INDEX(T$7:T$300, SMALL(IF($V$7:$V$300="Missing", ROW(T113:T$300)-ROW(T113)+1), ROW(107:107))), "")</f>
        <v/>
      </c>
      <c r="C188" s="19" t="str">
        <f t="array" ref="C188">IFERROR(INDEX(R$7:R$300, SMALL(IF($V$7:$V$2300="Missing", ROW(R113:R$300)-ROW(R113)+1), ROW(107:107))), "")</f>
        <v/>
      </c>
      <c r="D188" s="19" t="str">
        <f t="array" ref="D188">IFERROR(INDEX(Q$7:Q$300, SMALL(IF($V$7:$V$300="Missing", ROW(Q113:Q$300)-ROW(Q113)+1), ROW(107:107))), "")</f>
        <v/>
      </c>
      <c r="E188" s="19" t="str">
        <f>IF(FalsePositives[[#This Row],[Gene]]="", "", IF(C188&lt;40,"Pass","Inspect"))</f>
        <v/>
      </c>
      <c r="F188" s="24"/>
      <c r="G188" s="26" t="str">
        <f t="array" ref="G188">IFERROR(VLOOKUP(B188,$T$7:$W$300,COLUMN($W$7:$W$300)-COLUMN($T$7:$W$300)+1,0), "")</f>
        <v/>
      </c>
      <c r="H188" s="33"/>
      <c r="J188" s="2">
        <f>'Raw Data Hotspot'!A30</f>
        <v>0</v>
      </c>
      <c r="K188" s="2">
        <f>'Raw Data Hotspot'!B30</f>
        <v>0</v>
      </c>
      <c r="L188" s="2">
        <f>'Raw Data Hotspot'!C30</f>
        <v>0</v>
      </c>
      <c r="M188" s="2">
        <f>'Raw Data Hotspot'!D30</f>
        <v>0</v>
      </c>
      <c r="N188" s="2">
        <f>'Raw Data Hotspot'!E30</f>
        <v>0</v>
      </c>
      <c r="O188" s="2">
        <f>'Raw Data Hotspot'!G30</f>
        <v>0</v>
      </c>
      <c r="P188" s="2">
        <f>'Raw Data Hotspot'!H30</f>
        <v>0</v>
      </c>
      <c r="Q188" s="2">
        <f>'Raw Data Hotspot'!I30</f>
        <v>0</v>
      </c>
      <c r="R188" s="2">
        <f>'Raw Data Hotspot'!J30</f>
        <v>0</v>
      </c>
      <c r="S188" s="2">
        <f>'Raw Data Hotspot'!K30</f>
        <v>0</v>
      </c>
      <c r="T188" s="2">
        <f>'Raw Data Hotspot'!N30</f>
        <v>0</v>
      </c>
      <c r="U188" s="2">
        <f t="shared" si="20"/>
        <v>0</v>
      </c>
      <c r="V188" s="12" t="str">
        <f>IF($T188=0, "", IF(COUNTIF('C00026'!$B$7:$B$41, $T188)=0, "Missing", "Y"))</f>
        <v/>
      </c>
      <c r="W188" s="12">
        <f t="shared" si="21"/>
        <v>0</v>
      </c>
    </row>
    <row r="189" spans="1:23" x14ac:dyDescent="0.25">
      <c r="A189" s="18" t="str">
        <f t="array" ref="A189">IFERROR(INDEX(S$7:S$300, SMALL(IF($V$7:$V$300="Missing", ROW(S114:S$300)-ROW(S114)+1), ROW(108:108))), "")</f>
        <v/>
      </c>
      <c r="B189" s="19" t="str">
        <f t="array" ref="B189">IFERROR(INDEX(T$7:T$300, SMALL(IF($V$7:$V$300="Missing", ROW(T114:T$300)-ROW(T114)+1), ROW(108:108))), "")</f>
        <v/>
      </c>
      <c r="C189" s="19" t="str">
        <f t="array" ref="C189">IFERROR(INDEX(R$7:R$300, SMALL(IF($V$7:$V$2300="Missing", ROW(R114:R$300)-ROW(R114)+1), ROW(108:108))), "")</f>
        <v/>
      </c>
      <c r="D189" s="19" t="str">
        <f t="array" ref="D189">IFERROR(INDEX(Q$7:Q$300, SMALL(IF($V$7:$V$300="Missing", ROW(Q114:Q$300)-ROW(Q114)+1), ROW(108:108))), "")</f>
        <v/>
      </c>
      <c r="E189" s="19" t="str">
        <f>IF(FalsePositives[[#This Row],[Gene]]="", "", IF(C189&lt;40,"Pass","Inspect"))</f>
        <v/>
      </c>
      <c r="F189" s="24"/>
      <c r="G189" s="26" t="str">
        <f t="array" ref="G189">IFERROR(VLOOKUP(B189,$T$7:$W$300,COLUMN($W$7:$W$300)-COLUMN($T$7:$W$300)+1,0), "")</f>
        <v/>
      </c>
      <c r="H189" s="33"/>
      <c r="J189" s="2">
        <f>'Raw Data Hotspot'!A31</f>
        <v>0</v>
      </c>
      <c r="K189" s="2">
        <f>'Raw Data Hotspot'!B31</f>
        <v>0</v>
      </c>
      <c r="L189" s="2">
        <f>'Raw Data Hotspot'!C31</f>
        <v>0</v>
      </c>
      <c r="M189" s="2">
        <f>'Raw Data Hotspot'!D31</f>
        <v>0</v>
      </c>
      <c r="N189" s="2">
        <f>'Raw Data Hotspot'!E31</f>
        <v>0</v>
      </c>
      <c r="O189" s="2">
        <f>'Raw Data Hotspot'!G31</f>
        <v>0</v>
      </c>
      <c r="P189" s="2">
        <f>'Raw Data Hotspot'!H31</f>
        <v>0</v>
      </c>
      <c r="Q189" s="2">
        <f>'Raw Data Hotspot'!I31</f>
        <v>0</v>
      </c>
      <c r="R189" s="2">
        <f>'Raw Data Hotspot'!J31</f>
        <v>0</v>
      </c>
      <c r="S189" s="2">
        <f>'Raw Data Hotspot'!K31</f>
        <v>0</v>
      </c>
      <c r="T189" s="2">
        <f>'Raw Data Hotspot'!N31</f>
        <v>0</v>
      </c>
      <c r="U189" s="2">
        <f t="shared" si="20"/>
        <v>0</v>
      </c>
      <c r="V189" s="12" t="str">
        <f>IF($T189=0, "", IF(COUNTIF('C00026'!$B$7:$B$41, $T189)=0, "Missing", "Y"))</f>
        <v/>
      </c>
      <c r="W189" s="12">
        <f t="shared" si="21"/>
        <v>0</v>
      </c>
    </row>
    <row r="190" spans="1:23" x14ac:dyDescent="0.25">
      <c r="A190" s="18" t="str">
        <f t="array" ref="A190">IFERROR(INDEX(S$7:S$300, SMALL(IF($V$7:$V$300="Missing", ROW(S115:S$300)-ROW(S115)+1), ROW(109:109))), "")</f>
        <v/>
      </c>
      <c r="B190" s="19" t="str">
        <f t="array" ref="B190">IFERROR(INDEX(T$7:T$300, SMALL(IF($V$7:$V$300="Missing", ROW(T115:T$300)-ROW(T115)+1), ROW(109:109))), "")</f>
        <v/>
      </c>
      <c r="C190" s="19" t="str">
        <f t="array" ref="C190">IFERROR(INDEX(R$7:R$300, SMALL(IF($V$7:$V$2300="Missing", ROW(R115:R$300)-ROW(R115)+1), ROW(109:109))), "")</f>
        <v/>
      </c>
      <c r="D190" s="19" t="str">
        <f t="array" ref="D190">IFERROR(INDEX(Q$7:Q$300, SMALL(IF($V$7:$V$300="Missing", ROW(Q115:Q$300)-ROW(Q115)+1), ROW(109:109))), "")</f>
        <v/>
      </c>
      <c r="E190" s="19" t="str">
        <f>IF(FalsePositives[[#This Row],[Gene]]="", "", IF(C190&lt;40,"Pass","Inspect"))</f>
        <v/>
      </c>
      <c r="F190" s="24"/>
      <c r="G190" s="26" t="str">
        <f t="array" ref="G190">IFERROR(VLOOKUP(B190,$T$7:$W$300,COLUMN($W$7:$W$300)-COLUMN($T$7:$W$300)+1,0), "")</f>
        <v/>
      </c>
      <c r="H190" s="33"/>
      <c r="J190" s="2">
        <f>'Raw Data Hotspot'!A32</f>
        <v>0</v>
      </c>
      <c r="K190" s="2">
        <f>'Raw Data Hotspot'!B32</f>
        <v>0</v>
      </c>
      <c r="L190" s="2">
        <f>'Raw Data Hotspot'!C32</f>
        <v>0</v>
      </c>
      <c r="M190" s="2">
        <f>'Raw Data Hotspot'!D32</f>
        <v>0</v>
      </c>
      <c r="N190" s="2">
        <f>'Raw Data Hotspot'!E32</f>
        <v>0</v>
      </c>
      <c r="O190" s="2">
        <f>'Raw Data Hotspot'!G32</f>
        <v>0</v>
      </c>
      <c r="P190" s="2">
        <f>'Raw Data Hotspot'!H32</f>
        <v>0</v>
      </c>
      <c r="Q190" s="2">
        <f>'Raw Data Hotspot'!I32</f>
        <v>0</v>
      </c>
      <c r="R190" s="2">
        <f>'Raw Data Hotspot'!J32</f>
        <v>0</v>
      </c>
      <c r="S190" s="2">
        <f>'Raw Data Hotspot'!K32</f>
        <v>0</v>
      </c>
      <c r="T190" s="2">
        <f>'Raw Data Hotspot'!N32</f>
        <v>0</v>
      </c>
      <c r="U190" s="2">
        <f t="shared" si="20"/>
        <v>0</v>
      </c>
      <c r="V190" s="12" t="str">
        <f>IF($T190=0, "", IF(COUNTIF('C00026'!$B$7:$B$41, $T190)=0, "Missing", "Y"))</f>
        <v/>
      </c>
      <c r="W190" s="12">
        <f t="shared" si="21"/>
        <v>0</v>
      </c>
    </row>
    <row r="191" spans="1:23" x14ac:dyDescent="0.25">
      <c r="A191" s="18" t="str">
        <f t="array" ref="A191">IFERROR(INDEX(S$7:S$300, SMALL(IF($V$7:$V$300="Missing", ROW(S116:S$300)-ROW(S116)+1), ROW(110:110))), "")</f>
        <v/>
      </c>
      <c r="B191" s="19" t="str">
        <f t="array" ref="B191">IFERROR(INDEX(T$7:T$300, SMALL(IF($V$7:$V$300="Missing", ROW(T116:T$300)-ROW(T116)+1), ROW(110:110))), "")</f>
        <v/>
      </c>
      <c r="C191" s="19" t="str">
        <f t="array" ref="C191">IFERROR(INDEX(R$7:R$300, SMALL(IF($V$7:$V$2300="Missing", ROW(R116:R$300)-ROW(R116)+1), ROW(110:110))), "")</f>
        <v/>
      </c>
      <c r="D191" s="19" t="str">
        <f t="array" ref="D191">IFERROR(INDEX(Q$7:Q$300, SMALL(IF($V$7:$V$300="Missing", ROW(Q116:Q$300)-ROW(Q116)+1), ROW(110:110))), "")</f>
        <v/>
      </c>
      <c r="E191" s="19" t="str">
        <f>IF(FalsePositives[[#This Row],[Gene]]="", "", IF(C191&lt;40,"Pass","Inspect"))</f>
        <v/>
      </c>
      <c r="F191" s="24"/>
      <c r="G191" s="26" t="str">
        <f t="array" ref="G191">IFERROR(VLOOKUP(B191,$T$7:$W$300,COLUMN($W$7:$W$300)-COLUMN($T$7:$W$300)+1,0), "")</f>
        <v/>
      </c>
      <c r="H191" s="33"/>
      <c r="J191" s="2">
        <f>'Raw Data Hotspot'!A33</f>
        <v>0</v>
      </c>
      <c r="K191" s="2">
        <f>'Raw Data Hotspot'!B33</f>
        <v>0</v>
      </c>
      <c r="L191" s="2">
        <f>'Raw Data Hotspot'!C33</f>
        <v>0</v>
      </c>
      <c r="M191" s="2">
        <f>'Raw Data Hotspot'!D33</f>
        <v>0</v>
      </c>
      <c r="N191" s="2">
        <f>'Raw Data Hotspot'!E33</f>
        <v>0</v>
      </c>
      <c r="O191" s="2">
        <f>'Raw Data Hotspot'!G33</f>
        <v>0</v>
      </c>
      <c r="P191" s="2">
        <f>'Raw Data Hotspot'!H33</f>
        <v>0</v>
      </c>
      <c r="Q191" s="2">
        <f>'Raw Data Hotspot'!I33</f>
        <v>0</v>
      </c>
      <c r="R191" s="2">
        <f>'Raw Data Hotspot'!J33</f>
        <v>0</v>
      </c>
      <c r="S191" s="2">
        <f>'Raw Data Hotspot'!K33</f>
        <v>0</v>
      </c>
      <c r="T191" s="2">
        <f>'Raw Data Hotspot'!N33</f>
        <v>0</v>
      </c>
      <c r="U191" s="2">
        <f t="shared" si="20"/>
        <v>0</v>
      </c>
      <c r="V191" s="12" t="str">
        <f>IF($T191=0, "", IF(COUNTIF('C00026'!$B$7:$B$41, $T191)=0, "Missing", "Y"))</f>
        <v/>
      </c>
      <c r="W191" s="12">
        <f t="shared" si="21"/>
        <v>0</v>
      </c>
    </row>
    <row r="192" spans="1:23" x14ac:dyDescent="0.25">
      <c r="A192" s="18" t="str">
        <f t="array" ref="A192">IFERROR(INDEX(S$7:S$300, SMALL(IF($V$7:$V$300="Missing", ROW(S117:S$300)-ROW(S117)+1), ROW(111:111))), "")</f>
        <v/>
      </c>
      <c r="B192" s="19" t="str">
        <f t="array" ref="B192">IFERROR(INDEX(T$7:T$300, SMALL(IF($V$7:$V$300="Missing", ROW(T117:T$300)-ROW(T117)+1), ROW(111:111))), "")</f>
        <v/>
      </c>
      <c r="C192" s="19" t="str">
        <f t="array" ref="C192">IFERROR(INDEX(R$7:R$300, SMALL(IF($V$7:$V$2300="Missing", ROW(R117:R$300)-ROW(R117)+1), ROW(111:111))), "")</f>
        <v/>
      </c>
      <c r="D192" s="19" t="str">
        <f t="array" ref="D192">IFERROR(INDEX(Q$7:Q$300, SMALL(IF($V$7:$V$300="Missing", ROW(Q117:Q$300)-ROW(Q117)+1), ROW(111:111))), "")</f>
        <v/>
      </c>
      <c r="E192" s="19" t="str">
        <f>IF(FalsePositives[[#This Row],[Gene]]="", "", IF(C192&lt;40,"Pass","Inspect"))</f>
        <v/>
      </c>
      <c r="F192" s="24"/>
      <c r="G192" s="26" t="str">
        <f t="array" ref="G192">IFERROR(VLOOKUP(B192,$T$7:$W$300,COLUMN($W$7:$W$300)-COLUMN($T$7:$W$300)+1,0), "")</f>
        <v/>
      </c>
      <c r="H192" s="33"/>
      <c r="J192" s="2">
        <f>'Raw Data Hotspot'!A34</f>
        <v>0</v>
      </c>
      <c r="K192" s="2">
        <f>'Raw Data Hotspot'!B34</f>
        <v>0</v>
      </c>
      <c r="L192" s="2">
        <f>'Raw Data Hotspot'!C34</f>
        <v>0</v>
      </c>
      <c r="M192" s="2">
        <f>'Raw Data Hotspot'!D34</f>
        <v>0</v>
      </c>
      <c r="N192" s="2">
        <f>'Raw Data Hotspot'!E34</f>
        <v>0</v>
      </c>
      <c r="O192" s="2">
        <f>'Raw Data Hotspot'!G34</f>
        <v>0</v>
      </c>
      <c r="P192" s="2">
        <f>'Raw Data Hotspot'!H34</f>
        <v>0</v>
      </c>
      <c r="Q192" s="2">
        <f>'Raw Data Hotspot'!I34</f>
        <v>0</v>
      </c>
      <c r="R192" s="2">
        <f>'Raw Data Hotspot'!J34</f>
        <v>0</v>
      </c>
      <c r="S192" s="2">
        <f>'Raw Data Hotspot'!K34</f>
        <v>0</v>
      </c>
      <c r="T192" s="2">
        <f>'Raw Data Hotspot'!N34</f>
        <v>0</v>
      </c>
      <c r="U192" s="2">
        <f t="shared" si="20"/>
        <v>0</v>
      </c>
      <c r="V192" s="12" t="str">
        <f>IF($T192=0, "", IF(COUNTIF('C00026'!$B$7:$B$41, $T192)=0, "Missing", "Y"))</f>
        <v/>
      </c>
      <c r="W192" s="12">
        <f t="shared" si="21"/>
        <v>0</v>
      </c>
    </row>
    <row r="193" spans="1:23" x14ac:dyDescent="0.25">
      <c r="A193" s="18" t="str">
        <f t="array" ref="A193">IFERROR(INDEX(S$7:S$300, SMALL(IF($V$7:$V$300="Missing", ROW(S118:S$300)-ROW(S118)+1), ROW(112:112))), "")</f>
        <v/>
      </c>
      <c r="B193" s="19" t="str">
        <f t="array" ref="B193">IFERROR(INDEX(T$7:T$300, SMALL(IF($V$7:$V$300="Missing", ROW(T118:T$300)-ROW(T118)+1), ROW(112:112))), "")</f>
        <v/>
      </c>
      <c r="C193" s="19" t="str">
        <f t="array" ref="C193">IFERROR(INDEX(R$7:R$300, SMALL(IF($V$7:$V$2300="Missing", ROW(R118:R$300)-ROW(R118)+1), ROW(112:112))), "")</f>
        <v/>
      </c>
      <c r="D193" s="19" t="str">
        <f t="array" ref="D193">IFERROR(INDEX(Q$7:Q$300, SMALL(IF($V$7:$V$300="Missing", ROW(Q118:Q$300)-ROW(Q118)+1), ROW(112:112))), "")</f>
        <v/>
      </c>
      <c r="E193" s="19" t="str">
        <f>IF(FalsePositives[[#This Row],[Gene]]="", "", IF(C193&lt;40,"Pass","Inspect"))</f>
        <v/>
      </c>
      <c r="F193" s="24"/>
      <c r="G193" s="26" t="str">
        <f t="array" ref="G193">IFERROR(VLOOKUP(B193,$T$7:$W$300,COLUMN($W$7:$W$300)-COLUMN($T$7:$W$300)+1,0), "")</f>
        <v/>
      </c>
      <c r="H193" s="33"/>
      <c r="J193" s="2">
        <f>'Raw Data Hotspot'!A35</f>
        <v>0</v>
      </c>
      <c r="K193" s="2">
        <f>'Raw Data Hotspot'!B35</f>
        <v>0</v>
      </c>
      <c r="L193" s="2">
        <f>'Raw Data Hotspot'!C35</f>
        <v>0</v>
      </c>
      <c r="M193" s="2">
        <f>'Raw Data Hotspot'!D35</f>
        <v>0</v>
      </c>
      <c r="N193" s="2">
        <f>'Raw Data Hotspot'!E35</f>
        <v>0</v>
      </c>
      <c r="O193" s="2">
        <f>'Raw Data Hotspot'!G35</f>
        <v>0</v>
      </c>
      <c r="P193" s="2">
        <f>'Raw Data Hotspot'!H35</f>
        <v>0</v>
      </c>
      <c r="Q193" s="2">
        <f>'Raw Data Hotspot'!I35</f>
        <v>0</v>
      </c>
      <c r="R193" s="2">
        <f>'Raw Data Hotspot'!J35</f>
        <v>0</v>
      </c>
      <c r="S193" s="2">
        <f>'Raw Data Hotspot'!K35</f>
        <v>0</v>
      </c>
      <c r="T193" s="2">
        <f>'Raw Data Hotspot'!N35</f>
        <v>0</v>
      </c>
      <c r="U193" s="2">
        <f t="shared" si="20"/>
        <v>0</v>
      </c>
      <c r="V193" s="12" t="str">
        <f>IF($T193=0, "", IF(COUNTIF('C00026'!$B$7:$B$41, $T193)=0, "Missing", "Y"))</f>
        <v/>
      </c>
      <c r="W193" s="12">
        <f t="shared" si="21"/>
        <v>0</v>
      </c>
    </row>
    <row r="194" spans="1:23" x14ac:dyDescent="0.25">
      <c r="A194" s="18" t="str">
        <f t="array" ref="A194">IFERROR(INDEX(S$7:S$300, SMALL(IF($V$7:$V$300="Missing", ROW(S119:S$300)-ROW(S119)+1), ROW(113:113))), "")</f>
        <v/>
      </c>
      <c r="B194" s="19" t="str">
        <f t="array" ref="B194">IFERROR(INDEX(T$7:T$300, SMALL(IF($V$7:$V$300="Missing", ROW(T119:T$300)-ROW(T119)+1), ROW(113:113))), "")</f>
        <v/>
      </c>
      <c r="C194" s="19" t="str">
        <f t="array" ref="C194">IFERROR(INDEX(R$7:R$300, SMALL(IF($V$7:$V$2300="Missing", ROW(R119:R$300)-ROW(R119)+1), ROW(113:113))), "")</f>
        <v/>
      </c>
      <c r="D194" s="19" t="str">
        <f t="array" ref="D194">IFERROR(INDEX(Q$7:Q$300, SMALL(IF($V$7:$V$300="Missing", ROW(Q119:Q$300)-ROW(Q119)+1), ROW(113:113))), "")</f>
        <v/>
      </c>
      <c r="E194" s="19" t="str">
        <f>IF(FalsePositives[[#This Row],[Gene]]="", "", IF(C194&lt;40,"Pass","Inspect"))</f>
        <v/>
      </c>
      <c r="F194" s="24"/>
      <c r="G194" s="26" t="str">
        <f t="array" ref="G194">IFERROR(VLOOKUP(B194,$T$7:$W$300,COLUMN($W$7:$W$300)-COLUMN($T$7:$W$300)+1,0), "")</f>
        <v/>
      </c>
      <c r="H194" s="33"/>
      <c r="J194" s="2">
        <f>'Raw Data Hotspot'!A36</f>
        <v>0</v>
      </c>
      <c r="K194" s="2">
        <f>'Raw Data Hotspot'!B36</f>
        <v>0</v>
      </c>
      <c r="L194" s="2">
        <f>'Raw Data Hotspot'!C36</f>
        <v>0</v>
      </c>
      <c r="M194" s="2">
        <f>'Raw Data Hotspot'!D36</f>
        <v>0</v>
      </c>
      <c r="N194" s="2">
        <f>'Raw Data Hotspot'!E36</f>
        <v>0</v>
      </c>
      <c r="O194" s="2">
        <f>'Raw Data Hotspot'!G36</f>
        <v>0</v>
      </c>
      <c r="P194" s="2">
        <f>'Raw Data Hotspot'!H36</f>
        <v>0</v>
      </c>
      <c r="Q194" s="2">
        <f>'Raw Data Hotspot'!I36</f>
        <v>0</v>
      </c>
      <c r="R194" s="2">
        <f>'Raw Data Hotspot'!J36</f>
        <v>0</v>
      </c>
      <c r="S194" s="2">
        <f>'Raw Data Hotspot'!K36</f>
        <v>0</v>
      </c>
      <c r="T194" s="2">
        <f>'Raw Data Hotspot'!N36</f>
        <v>0</v>
      </c>
      <c r="U194" s="2">
        <f t="shared" si="20"/>
        <v>0</v>
      </c>
      <c r="V194" s="12" t="str">
        <f>IF($T194=0, "", IF(COUNTIF('C00026'!$B$7:$B$41, $T194)=0, "Missing", "Y"))</f>
        <v/>
      </c>
      <c r="W194" s="12">
        <f t="shared" si="21"/>
        <v>0</v>
      </c>
    </row>
    <row r="195" spans="1:23" x14ac:dyDescent="0.25">
      <c r="A195" s="18" t="str">
        <f t="array" ref="A195">IFERROR(INDEX(S$7:S$300, SMALL(IF($V$7:$V$300="Missing", ROW(S120:S$300)-ROW(S120)+1), ROW(114:114))), "")</f>
        <v/>
      </c>
      <c r="B195" s="19" t="str">
        <f t="array" ref="B195">IFERROR(INDEX(T$7:T$300, SMALL(IF($V$7:$V$300="Missing", ROW(T120:T$300)-ROW(T120)+1), ROW(114:114))), "")</f>
        <v/>
      </c>
      <c r="C195" s="19" t="str">
        <f t="array" ref="C195">IFERROR(INDEX(R$7:R$300, SMALL(IF($V$7:$V$2300="Missing", ROW(R120:R$300)-ROW(R120)+1), ROW(114:114))), "")</f>
        <v/>
      </c>
      <c r="D195" s="19" t="str">
        <f t="array" ref="D195">IFERROR(INDEX(Q$7:Q$300, SMALL(IF($V$7:$V$300="Missing", ROW(Q120:Q$300)-ROW(Q120)+1), ROW(114:114))), "")</f>
        <v/>
      </c>
      <c r="E195" s="19" t="str">
        <f>IF(FalsePositives[[#This Row],[Gene]]="", "", IF(C195&lt;40,"Pass","Inspect"))</f>
        <v/>
      </c>
      <c r="F195" s="24"/>
      <c r="G195" s="26" t="str">
        <f t="array" ref="G195">IFERROR(VLOOKUP(B195,$T$7:$W$300,COLUMN($W$7:$W$300)-COLUMN($T$7:$W$300)+1,0), "")</f>
        <v/>
      </c>
      <c r="H195" s="33"/>
      <c r="J195" s="2">
        <f>'Raw Data Hotspot'!A37</f>
        <v>0</v>
      </c>
      <c r="K195" s="2">
        <f>'Raw Data Hotspot'!B37</f>
        <v>0</v>
      </c>
      <c r="L195" s="2">
        <f>'Raw Data Hotspot'!C37</f>
        <v>0</v>
      </c>
      <c r="M195" s="2">
        <f>'Raw Data Hotspot'!D37</f>
        <v>0</v>
      </c>
      <c r="N195" s="2">
        <f>'Raw Data Hotspot'!E37</f>
        <v>0</v>
      </c>
      <c r="O195" s="2">
        <f>'Raw Data Hotspot'!G37</f>
        <v>0</v>
      </c>
      <c r="P195" s="2">
        <f>'Raw Data Hotspot'!H37</f>
        <v>0</v>
      </c>
      <c r="Q195" s="2">
        <f>'Raw Data Hotspot'!I37</f>
        <v>0</v>
      </c>
      <c r="R195" s="2">
        <f>'Raw Data Hotspot'!J37</f>
        <v>0</v>
      </c>
      <c r="S195" s="2">
        <f>'Raw Data Hotspot'!K37</f>
        <v>0</v>
      </c>
      <c r="T195" s="2">
        <f>'Raw Data Hotspot'!N37</f>
        <v>0</v>
      </c>
      <c r="U195" s="2">
        <f t="shared" si="20"/>
        <v>0</v>
      </c>
      <c r="V195" s="12" t="str">
        <f>IF($T195=0, "", IF(COUNTIF('C00026'!$B$7:$B$41, $T195)=0, "Missing", "Y"))</f>
        <v/>
      </c>
      <c r="W195" s="12">
        <f t="shared" si="21"/>
        <v>0</v>
      </c>
    </row>
    <row r="196" spans="1:23" x14ac:dyDescent="0.25">
      <c r="A196" s="18" t="str">
        <f t="array" ref="A196">IFERROR(INDEX(S$7:S$300, SMALL(IF($V$7:$V$300="Missing", ROW(S121:S$300)-ROW(S121)+1), ROW(115:115))), "")</f>
        <v/>
      </c>
      <c r="B196" s="19" t="str">
        <f t="array" ref="B196">IFERROR(INDEX(T$7:T$300, SMALL(IF($V$7:$V$300="Missing", ROW(T121:T$300)-ROW(T121)+1), ROW(115:115))), "")</f>
        <v/>
      </c>
      <c r="C196" s="19" t="str">
        <f t="array" ref="C196">IFERROR(INDEX(R$7:R$300, SMALL(IF($V$7:$V$2300="Missing", ROW(R121:R$300)-ROW(R121)+1), ROW(115:115))), "")</f>
        <v/>
      </c>
      <c r="D196" s="19" t="str">
        <f t="array" ref="D196">IFERROR(INDEX(Q$7:Q$300, SMALL(IF($V$7:$V$300="Missing", ROW(Q121:Q$300)-ROW(Q121)+1), ROW(115:115))), "")</f>
        <v/>
      </c>
      <c r="E196" s="19" t="str">
        <f>IF(FalsePositives[[#This Row],[Gene]]="", "", IF(C196&lt;40,"Pass","Inspect"))</f>
        <v/>
      </c>
      <c r="F196" s="24"/>
      <c r="G196" s="26" t="str">
        <f t="array" ref="G196">IFERROR(VLOOKUP(B196,$T$7:$W$300,COLUMN($W$7:$W$300)-COLUMN($T$7:$W$300)+1,0), "")</f>
        <v/>
      </c>
      <c r="H196" s="33"/>
      <c r="J196" s="2">
        <f>'Raw Data Hotspot'!A38</f>
        <v>0</v>
      </c>
      <c r="K196" s="2">
        <f>'Raw Data Hotspot'!B38</f>
        <v>0</v>
      </c>
      <c r="L196" s="2">
        <f>'Raw Data Hotspot'!C38</f>
        <v>0</v>
      </c>
      <c r="M196" s="2">
        <f>'Raw Data Hotspot'!D38</f>
        <v>0</v>
      </c>
      <c r="N196" s="2">
        <f>'Raw Data Hotspot'!E38</f>
        <v>0</v>
      </c>
      <c r="O196" s="2">
        <f>'Raw Data Hotspot'!G38</f>
        <v>0</v>
      </c>
      <c r="P196" s="2">
        <f>'Raw Data Hotspot'!H38</f>
        <v>0</v>
      </c>
      <c r="Q196" s="2">
        <f>'Raw Data Hotspot'!I38</f>
        <v>0</v>
      </c>
      <c r="R196" s="2">
        <f>'Raw Data Hotspot'!J38</f>
        <v>0</v>
      </c>
      <c r="S196" s="2">
        <f>'Raw Data Hotspot'!K38</f>
        <v>0</v>
      </c>
      <c r="T196" s="2">
        <f>'Raw Data Hotspot'!N38</f>
        <v>0</v>
      </c>
      <c r="U196" s="2">
        <f t="shared" si="20"/>
        <v>0</v>
      </c>
      <c r="V196" s="12" t="str">
        <f>IF($T196=0, "", IF(COUNTIF('C00026'!$B$7:$B$41, $T196)=0, "Missing", "Y"))</f>
        <v/>
      </c>
      <c r="W196" s="12">
        <f t="shared" si="21"/>
        <v>0</v>
      </c>
    </row>
    <row r="197" spans="1:23" x14ac:dyDescent="0.25">
      <c r="A197" s="18" t="str">
        <f t="array" ref="A197">IFERROR(INDEX(S$7:S$300, SMALL(IF($V$7:$V$300="Missing", ROW(S122:S$300)-ROW(S122)+1), ROW(116:116))), "")</f>
        <v/>
      </c>
      <c r="B197" s="19" t="str">
        <f t="array" ref="B197">IFERROR(INDEX(T$7:T$300, SMALL(IF($V$7:$V$300="Missing", ROW(T122:T$300)-ROW(T122)+1), ROW(116:116))), "")</f>
        <v/>
      </c>
      <c r="C197" s="19" t="str">
        <f t="array" ref="C197">IFERROR(INDEX(R$7:R$300, SMALL(IF($V$7:$V$2300="Missing", ROW(R122:R$300)-ROW(R122)+1), ROW(116:116))), "")</f>
        <v/>
      </c>
      <c r="D197" s="19" t="str">
        <f t="array" ref="D197">IFERROR(INDEX(Q$7:Q$300, SMALL(IF($V$7:$V$300="Missing", ROW(Q122:Q$300)-ROW(Q122)+1), ROW(116:116))), "")</f>
        <v/>
      </c>
      <c r="E197" s="19" t="str">
        <f>IF(FalsePositives[[#This Row],[Gene]]="", "", IF(C197&lt;40,"Pass","Inspect"))</f>
        <v/>
      </c>
      <c r="F197" s="24"/>
      <c r="G197" s="26" t="str">
        <f t="array" ref="G197">IFERROR(VLOOKUP(B197,$T$7:$W$300,COLUMN($W$7:$W$300)-COLUMN($T$7:$W$300)+1,0), "")</f>
        <v/>
      </c>
      <c r="H197" s="33"/>
      <c r="J197" s="2">
        <f>'Raw Data Hotspot'!A39</f>
        <v>0</v>
      </c>
      <c r="K197" s="2">
        <f>'Raw Data Hotspot'!B39</f>
        <v>0</v>
      </c>
      <c r="L197" s="2">
        <f>'Raw Data Hotspot'!C39</f>
        <v>0</v>
      </c>
      <c r="M197" s="2">
        <f>'Raw Data Hotspot'!D39</f>
        <v>0</v>
      </c>
      <c r="N197" s="2">
        <f>'Raw Data Hotspot'!E39</f>
        <v>0</v>
      </c>
      <c r="O197" s="2">
        <f>'Raw Data Hotspot'!G39</f>
        <v>0</v>
      </c>
      <c r="P197" s="2">
        <f>'Raw Data Hotspot'!H39</f>
        <v>0</v>
      </c>
      <c r="Q197" s="2">
        <f>'Raw Data Hotspot'!I39</f>
        <v>0</v>
      </c>
      <c r="R197" s="2">
        <f>'Raw Data Hotspot'!J39</f>
        <v>0</v>
      </c>
      <c r="S197" s="2">
        <f>'Raw Data Hotspot'!K39</f>
        <v>0</v>
      </c>
      <c r="T197" s="2">
        <f>'Raw Data Hotspot'!N39</f>
        <v>0</v>
      </c>
      <c r="U197" s="2">
        <f t="shared" si="20"/>
        <v>0</v>
      </c>
      <c r="V197" s="12" t="str">
        <f>IF($T197=0, "", IF(COUNTIF('C00026'!$B$7:$B$41, $T197)=0, "Missing", "Y"))</f>
        <v/>
      </c>
      <c r="W197" s="12">
        <f t="shared" si="21"/>
        <v>0</v>
      </c>
    </row>
    <row r="198" spans="1:23" x14ac:dyDescent="0.25">
      <c r="A198" s="18" t="str">
        <f t="array" ref="A198">IFERROR(INDEX(S$7:S$300, SMALL(IF($V$7:$V$300="Missing", ROW(S123:S$300)-ROW(S123)+1), ROW(117:117))), "")</f>
        <v/>
      </c>
      <c r="B198" s="19" t="str">
        <f t="array" ref="B198">IFERROR(INDEX(T$7:T$300, SMALL(IF($V$7:$V$300="Missing", ROW(T123:T$300)-ROW(T123)+1), ROW(117:117))), "")</f>
        <v/>
      </c>
      <c r="C198" s="19" t="str">
        <f t="array" ref="C198">IFERROR(INDEX(R$7:R$300, SMALL(IF($V$7:$V$2300="Missing", ROW(R123:R$300)-ROW(R123)+1), ROW(117:117))), "")</f>
        <v/>
      </c>
      <c r="D198" s="19" t="str">
        <f t="array" ref="D198">IFERROR(INDEX(Q$7:Q$300, SMALL(IF($V$7:$V$300="Missing", ROW(Q123:Q$300)-ROW(Q123)+1), ROW(117:117))), "")</f>
        <v/>
      </c>
      <c r="E198" s="19" t="str">
        <f>IF(FalsePositives[[#This Row],[Gene]]="", "", IF(C198&lt;40,"Pass","Inspect"))</f>
        <v/>
      </c>
      <c r="F198" s="24"/>
      <c r="G198" s="26" t="str">
        <f t="array" ref="G198">IFERROR(VLOOKUP(B198,$T$7:$W$300,COLUMN($W$7:$W$300)-COLUMN($T$7:$W$300)+1,0), "")</f>
        <v/>
      </c>
      <c r="H198" s="33"/>
      <c r="J198" s="2">
        <f>'Raw Data Hotspot'!A40</f>
        <v>0</v>
      </c>
      <c r="K198" s="2">
        <f>'Raw Data Hotspot'!B40</f>
        <v>0</v>
      </c>
      <c r="L198" s="2">
        <f>'Raw Data Hotspot'!C40</f>
        <v>0</v>
      </c>
      <c r="M198" s="2">
        <f>'Raw Data Hotspot'!D40</f>
        <v>0</v>
      </c>
      <c r="N198" s="2">
        <f>'Raw Data Hotspot'!E40</f>
        <v>0</v>
      </c>
      <c r="O198" s="2">
        <f>'Raw Data Hotspot'!G40</f>
        <v>0</v>
      </c>
      <c r="P198" s="2">
        <f>'Raw Data Hotspot'!H40</f>
        <v>0</v>
      </c>
      <c r="Q198" s="2">
        <f>'Raw Data Hotspot'!I40</f>
        <v>0</v>
      </c>
      <c r="R198" s="2">
        <f>'Raw Data Hotspot'!J40</f>
        <v>0</v>
      </c>
      <c r="S198" s="2">
        <f>'Raw Data Hotspot'!K40</f>
        <v>0</v>
      </c>
      <c r="T198" s="2">
        <f>'Raw Data Hotspot'!N40</f>
        <v>0</v>
      </c>
      <c r="U198" s="2">
        <f t="shared" si="20"/>
        <v>0</v>
      </c>
      <c r="V198" s="12" t="str">
        <f>IF($T198=0, "", IF(COUNTIF('C00026'!$B$7:$B$41, $T198)=0, "Missing", "Y"))</f>
        <v/>
      </c>
      <c r="W198" s="12">
        <f t="shared" si="21"/>
        <v>0</v>
      </c>
    </row>
    <row r="199" spans="1:23" x14ac:dyDescent="0.25">
      <c r="A199" s="18" t="str">
        <f t="array" ref="A199">IFERROR(INDEX(S$7:S$300, SMALL(IF($V$7:$V$300="Missing", ROW(S124:S$300)-ROW(S124)+1), ROW(118:118))), "")</f>
        <v/>
      </c>
      <c r="B199" s="19" t="str">
        <f t="array" ref="B199">IFERROR(INDEX(T$7:T$300, SMALL(IF($V$7:$V$300="Missing", ROW(T124:T$300)-ROW(T124)+1), ROW(118:118))), "")</f>
        <v/>
      </c>
      <c r="C199" s="19" t="str">
        <f t="array" ref="C199">IFERROR(INDEX(R$7:R$300, SMALL(IF($V$7:$V$2300="Missing", ROW(R124:R$300)-ROW(R124)+1), ROW(118:118))), "")</f>
        <v/>
      </c>
      <c r="D199" s="19" t="str">
        <f t="array" ref="D199">IFERROR(INDEX(Q$7:Q$300, SMALL(IF($V$7:$V$300="Missing", ROW(Q124:Q$300)-ROW(Q124)+1), ROW(118:118))), "")</f>
        <v/>
      </c>
      <c r="E199" s="19" t="str">
        <f>IF(FalsePositives[[#This Row],[Gene]]="", "", IF(C199&lt;40,"Pass","Inspect"))</f>
        <v/>
      </c>
      <c r="F199" s="24"/>
      <c r="G199" s="26" t="str">
        <f t="array" ref="G199">IFERROR(VLOOKUP(B199,$T$7:$W$300,COLUMN($W$7:$W$300)-COLUMN($T$7:$W$300)+1,0), "")</f>
        <v/>
      </c>
      <c r="H199" s="33"/>
      <c r="J199" s="2">
        <f>'Raw Data Hotspot'!A41</f>
        <v>0</v>
      </c>
      <c r="K199" s="2">
        <f>'Raw Data Hotspot'!B41</f>
        <v>0</v>
      </c>
      <c r="L199" s="2">
        <f>'Raw Data Hotspot'!C41</f>
        <v>0</v>
      </c>
      <c r="M199" s="2">
        <f>'Raw Data Hotspot'!D41</f>
        <v>0</v>
      </c>
      <c r="N199" s="2">
        <f>'Raw Data Hotspot'!E41</f>
        <v>0</v>
      </c>
      <c r="O199" s="2">
        <f>'Raw Data Hotspot'!G41</f>
        <v>0</v>
      </c>
      <c r="P199" s="2">
        <f>'Raw Data Hotspot'!H41</f>
        <v>0</v>
      </c>
      <c r="Q199" s="2">
        <f>'Raw Data Hotspot'!I41</f>
        <v>0</v>
      </c>
      <c r="R199" s="2">
        <f>'Raw Data Hotspot'!J41</f>
        <v>0</v>
      </c>
      <c r="S199" s="2">
        <f>'Raw Data Hotspot'!K41</f>
        <v>0</v>
      </c>
      <c r="T199" s="2">
        <f>'Raw Data Hotspot'!N41</f>
        <v>0</v>
      </c>
      <c r="U199" s="2">
        <f t="shared" si="20"/>
        <v>0</v>
      </c>
      <c r="V199" s="12" t="str">
        <f>IF($T199=0, "", IF(COUNTIF('C00026'!$B$7:$B$41, $T199)=0, "Missing", "Y"))</f>
        <v/>
      </c>
      <c r="W199" s="12">
        <f t="shared" si="21"/>
        <v>0</v>
      </c>
    </row>
    <row r="200" spans="1:23" x14ac:dyDescent="0.25">
      <c r="A200" s="18" t="str">
        <f t="array" ref="A200">IFERROR(INDEX(S$7:S$300, SMALL(IF($V$7:$V$300="Missing", ROW(S125:S$300)-ROW(S125)+1), ROW(119:119))), "")</f>
        <v/>
      </c>
      <c r="B200" s="19" t="str">
        <f t="array" ref="B200">IFERROR(INDEX(T$7:T$300, SMALL(IF($V$7:$V$300="Missing", ROW(T125:T$300)-ROW(T125)+1), ROW(119:119))), "")</f>
        <v/>
      </c>
      <c r="C200" s="19" t="str">
        <f t="array" ref="C200">IFERROR(INDEX(R$7:R$300, SMALL(IF($V$7:$V$2300="Missing", ROW(R125:R$300)-ROW(R125)+1), ROW(119:119))), "")</f>
        <v/>
      </c>
      <c r="D200" s="19" t="str">
        <f t="array" ref="D200">IFERROR(INDEX(Q$7:Q$300, SMALL(IF($V$7:$V$300="Missing", ROW(Q125:Q$300)-ROW(Q125)+1), ROW(119:119))), "")</f>
        <v/>
      </c>
      <c r="E200" s="19" t="str">
        <f>IF(FalsePositives[[#This Row],[Gene]]="", "", IF(C200&lt;40,"Pass","Inspect"))</f>
        <v/>
      </c>
      <c r="F200" s="24"/>
      <c r="G200" s="26" t="str">
        <f t="array" ref="G200">IFERROR(VLOOKUP(B200,$T$7:$W$300,COLUMN($W$7:$W$300)-COLUMN($T$7:$W$300)+1,0), "")</f>
        <v/>
      </c>
      <c r="H200" s="33"/>
      <c r="J200" s="2">
        <f>'Raw Data Hotspot'!A42</f>
        <v>0</v>
      </c>
      <c r="K200" s="2">
        <f>'Raw Data Hotspot'!B42</f>
        <v>0</v>
      </c>
      <c r="L200" s="2">
        <f>'Raw Data Hotspot'!C42</f>
        <v>0</v>
      </c>
      <c r="M200" s="2">
        <f>'Raw Data Hotspot'!D42</f>
        <v>0</v>
      </c>
      <c r="N200" s="2">
        <f>'Raw Data Hotspot'!E42</f>
        <v>0</v>
      </c>
      <c r="O200" s="2">
        <f>'Raw Data Hotspot'!G42</f>
        <v>0</v>
      </c>
      <c r="P200" s="2">
        <f>'Raw Data Hotspot'!H42</f>
        <v>0</v>
      </c>
      <c r="Q200" s="2">
        <f>'Raw Data Hotspot'!I42</f>
        <v>0</v>
      </c>
      <c r="R200" s="2">
        <f>'Raw Data Hotspot'!J42</f>
        <v>0</v>
      </c>
      <c r="S200" s="2">
        <f>'Raw Data Hotspot'!K42</f>
        <v>0</v>
      </c>
      <c r="T200" s="2">
        <f>'Raw Data Hotspot'!N42</f>
        <v>0</v>
      </c>
      <c r="U200" s="2">
        <f t="shared" si="20"/>
        <v>0</v>
      </c>
      <c r="V200" s="12" t="str">
        <f>IF($T200=0, "", IF(COUNTIF('C00026'!$B$7:$B$41, $T200)=0, "Missing", "Y"))</f>
        <v/>
      </c>
      <c r="W200" s="12">
        <f t="shared" si="21"/>
        <v>0</v>
      </c>
    </row>
    <row r="201" spans="1:23" x14ac:dyDescent="0.25">
      <c r="A201" s="18" t="str">
        <f t="array" ref="A201">IFERROR(INDEX(S$7:S$300, SMALL(IF($V$7:$V$300="Missing", ROW(S126:S$300)-ROW(S126)+1), ROW(120:120))), "")</f>
        <v/>
      </c>
      <c r="B201" s="19" t="str">
        <f t="array" ref="B201">IFERROR(INDEX(T$7:T$300, SMALL(IF($V$7:$V$300="Missing", ROW(T126:T$300)-ROW(T126)+1), ROW(120:120))), "")</f>
        <v/>
      </c>
      <c r="C201" s="19" t="str">
        <f t="array" ref="C201">IFERROR(INDEX(R$7:R$300, SMALL(IF($V$7:$V$2300="Missing", ROW(R126:R$300)-ROW(R126)+1), ROW(120:120))), "")</f>
        <v/>
      </c>
      <c r="D201" s="19" t="str">
        <f t="array" ref="D201">IFERROR(INDEX(Q$7:Q$300, SMALL(IF($V$7:$V$300="Missing", ROW(Q126:Q$300)-ROW(Q126)+1), ROW(120:120))), "")</f>
        <v/>
      </c>
      <c r="E201" s="19" t="str">
        <f>IF(FalsePositives[[#This Row],[Gene]]="", "", IF(C201&lt;40,"Pass","Inspect"))</f>
        <v/>
      </c>
      <c r="F201" s="24"/>
      <c r="G201" s="26" t="str">
        <f t="array" ref="G201">IFERROR(VLOOKUP(B201,$T$7:$W$300,COLUMN($W$7:$W$300)-COLUMN($T$7:$W$300)+1,0), "")</f>
        <v/>
      </c>
      <c r="H201" s="33"/>
      <c r="J201" s="2">
        <f>'Raw Data Hotspot'!A43</f>
        <v>0</v>
      </c>
      <c r="K201" s="2">
        <f>'Raw Data Hotspot'!B43</f>
        <v>0</v>
      </c>
      <c r="L201" s="2">
        <f>'Raw Data Hotspot'!C43</f>
        <v>0</v>
      </c>
      <c r="M201" s="2">
        <f>'Raw Data Hotspot'!D43</f>
        <v>0</v>
      </c>
      <c r="N201" s="2">
        <f>'Raw Data Hotspot'!E43</f>
        <v>0</v>
      </c>
      <c r="O201" s="2">
        <f>'Raw Data Hotspot'!G43</f>
        <v>0</v>
      </c>
      <c r="P201" s="2">
        <f>'Raw Data Hotspot'!H43</f>
        <v>0</v>
      </c>
      <c r="Q201" s="2">
        <f>'Raw Data Hotspot'!I43</f>
        <v>0</v>
      </c>
      <c r="R201" s="2">
        <f>'Raw Data Hotspot'!J43</f>
        <v>0</v>
      </c>
      <c r="S201" s="2">
        <f>'Raw Data Hotspot'!K43</f>
        <v>0</v>
      </c>
      <c r="T201" s="2">
        <f>'Raw Data Hotspot'!N43</f>
        <v>0</v>
      </c>
      <c r="U201" s="2">
        <f t="shared" si="20"/>
        <v>0</v>
      </c>
      <c r="V201" s="12" t="str">
        <f>IF($T201=0, "", IF(COUNTIF('C00026'!$B$7:$B$41, $T201)=0, "Missing", "Y"))</f>
        <v/>
      </c>
      <c r="W201" s="12">
        <f t="shared" si="21"/>
        <v>0</v>
      </c>
    </row>
    <row r="202" spans="1:23" x14ac:dyDescent="0.25">
      <c r="A202" s="18" t="str">
        <f t="array" ref="A202">IFERROR(INDEX(S$7:S$300, SMALL(IF($V$7:$V$300="Missing", ROW(S127:S$300)-ROW(S127)+1), ROW(121:121))), "")</f>
        <v/>
      </c>
      <c r="B202" s="19" t="str">
        <f t="array" ref="B202">IFERROR(INDEX(T$7:T$300, SMALL(IF($V$7:$V$300="Missing", ROW(T127:T$300)-ROW(T127)+1), ROW(121:121))), "")</f>
        <v/>
      </c>
      <c r="C202" s="19" t="str">
        <f t="array" ref="C202">IFERROR(INDEX(R$7:R$300, SMALL(IF($V$7:$V$2300="Missing", ROW(R127:R$300)-ROW(R127)+1), ROW(121:121))), "")</f>
        <v/>
      </c>
      <c r="D202" s="19" t="str">
        <f t="array" ref="D202">IFERROR(INDEX(Q$7:Q$300, SMALL(IF($V$7:$V$300="Missing", ROW(Q127:Q$300)-ROW(Q127)+1), ROW(121:121))), "")</f>
        <v/>
      </c>
      <c r="E202" s="19" t="str">
        <f>IF(FalsePositives[[#This Row],[Gene]]="", "", IF(C202&lt;40,"Pass","Inspect"))</f>
        <v/>
      </c>
      <c r="F202" s="24"/>
      <c r="G202" s="26" t="str">
        <f t="array" ref="G202">IFERROR(VLOOKUP(B202,$T$7:$W$300,COLUMN($W$7:$W$300)-COLUMN($T$7:$W$300)+1,0), "")</f>
        <v/>
      </c>
      <c r="H202" s="33"/>
      <c r="J202" s="2">
        <f>'Raw Data Hotspot'!A44</f>
        <v>0</v>
      </c>
      <c r="K202" s="2">
        <f>'Raw Data Hotspot'!B44</f>
        <v>0</v>
      </c>
      <c r="L202" s="2">
        <f>'Raw Data Hotspot'!C44</f>
        <v>0</v>
      </c>
      <c r="M202" s="2">
        <f>'Raw Data Hotspot'!D44</f>
        <v>0</v>
      </c>
      <c r="N202" s="2">
        <f>'Raw Data Hotspot'!E44</f>
        <v>0</v>
      </c>
      <c r="O202" s="2">
        <f>'Raw Data Hotspot'!G44</f>
        <v>0</v>
      </c>
      <c r="P202" s="2">
        <f>'Raw Data Hotspot'!H44</f>
        <v>0</v>
      </c>
      <c r="Q202" s="2">
        <f>'Raw Data Hotspot'!I44</f>
        <v>0</v>
      </c>
      <c r="R202" s="2">
        <f>'Raw Data Hotspot'!J44</f>
        <v>0</v>
      </c>
      <c r="S202" s="2">
        <f>'Raw Data Hotspot'!K44</f>
        <v>0</v>
      </c>
      <c r="T202" s="2">
        <f>'Raw Data Hotspot'!N44</f>
        <v>0</v>
      </c>
      <c r="U202" s="2">
        <f t="shared" si="20"/>
        <v>0</v>
      </c>
      <c r="V202" s="12" t="str">
        <f>IF($T202=0, "", IF(COUNTIF('C00026'!$B$7:$B$41, $T202)=0, "Missing", "Y"))</f>
        <v/>
      </c>
      <c r="W202" s="12">
        <f t="shared" si="21"/>
        <v>0</v>
      </c>
    </row>
    <row r="203" spans="1:23" x14ac:dyDescent="0.25">
      <c r="A203" s="18" t="str">
        <f t="array" ref="A203">IFERROR(INDEX(S$7:S$300, SMALL(IF($V$7:$V$300="Missing", ROW(S128:S$300)-ROW(S128)+1), ROW(122:122))), "")</f>
        <v/>
      </c>
      <c r="B203" s="19" t="str">
        <f t="array" ref="B203">IFERROR(INDEX(T$7:T$300, SMALL(IF($V$7:$V$300="Missing", ROW(T128:T$300)-ROW(T128)+1), ROW(122:122))), "")</f>
        <v/>
      </c>
      <c r="C203" s="19" t="str">
        <f t="array" ref="C203">IFERROR(INDEX(R$7:R$300, SMALL(IF($V$7:$V$2300="Missing", ROW(R128:R$300)-ROW(R128)+1), ROW(122:122))), "")</f>
        <v/>
      </c>
      <c r="D203" s="19" t="str">
        <f t="array" ref="D203">IFERROR(INDEX(Q$7:Q$300, SMALL(IF($V$7:$V$300="Missing", ROW(Q128:Q$300)-ROW(Q128)+1), ROW(122:122))), "")</f>
        <v/>
      </c>
      <c r="E203" s="19" t="str">
        <f>IF(FalsePositives[[#This Row],[Gene]]="", "", IF(C203&lt;40,"Pass","Inspect"))</f>
        <v/>
      </c>
      <c r="F203" s="24"/>
      <c r="G203" s="26" t="str">
        <f t="array" ref="G203">IFERROR(VLOOKUP(B203,$T$7:$W$300,COLUMN($W$7:$W$300)-COLUMN($T$7:$W$300)+1,0), "")</f>
        <v/>
      </c>
      <c r="H203" s="33"/>
      <c r="J203" s="2">
        <f>'Raw Data Hotspot'!A45</f>
        <v>0</v>
      </c>
      <c r="K203" s="2">
        <f>'Raw Data Hotspot'!B45</f>
        <v>0</v>
      </c>
      <c r="L203" s="2">
        <f>'Raw Data Hotspot'!C45</f>
        <v>0</v>
      </c>
      <c r="M203" s="2">
        <f>'Raw Data Hotspot'!D45</f>
        <v>0</v>
      </c>
      <c r="N203" s="2">
        <f>'Raw Data Hotspot'!E45</f>
        <v>0</v>
      </c>
      <c r="O203" s="2">
        <f>'Raw Data Hotspot'!G45</f>
        <v>0</v>
      </c>
      <c r="P203" s="2">
        <f>'Raw Data Hotspot'!H45</f>
        <v>0</v>
      </c>
      <c r="Q203" s="2">
        <f>'Raw Data Hotspot'!I45</f>
        <v>0</v>
      </c>
      <c r="R203" s="2">
        <f>'Raw Data Hotspot'!J45</f>
        <v>0</v>
      </c>
      <c r="S203" s="2">
        <f>'Raw Data Hotspot'!K45</f>
        <v>0</v>
      </c>
      <c r="T203" s="2">
        <f>'Raw Data Hotspot'!N45</f>
        <v>0</v>
      </c>
      <c r="U203" s="2">
        <f t="shared" si="20"/>
        <v>0</v>
      </c>
      <c r="V203" s="12" t="str">
        <f>IF($T203=0, "", IF(COUNTIF('C00026'!$B$7:$B$41, $T203)=0, "Missing", "Y"))</f>
        <v/>
      </c>
      <c r="W203" s="12">
        <f t="shared" si="21"/>
        <v>0</v>
      </c>
    </row>
    <row r="204" spans="1:23" x14ac:dyDescent="0.25">
      <c r="A204" s="18" t="str">
        <f t="array" ref="A204">IFERROR(INDEX(S$7:S$300, SMALL(IF($V$7:$V$300="Missing", ROW(S129:S$300)-ROW(S129)+1), ROW(123:123))), "")</f>
        <v/>
      </c>
      <c r="B204" s="19" t="str">
        <f t="array" ref="B204">IFERROR(INDEX(T$7:T$300, SMALL(IF($V$7:$V$300="Missing", ROW(T129:T$300)-ROW(T129)+1), ROW(123:123))), "")</f>
        <v/>
      </c>
      <c r="C204" s="19" t="str">
        <f t="array" ref="C204">IFERROR(INDEX(R$7:R$300, SMALL(IF($V$7:$V$2300="Missing", ROW(R129:R$300)-ROW(R129)+1), ROW(123:123))), "")</f>
        <v/>
      </c>
      <c r="D204" s="19" t="str">
        <f t="array" ref="D204">IFERROR(INDEX(Q$7:Q$300, SMALL(IF($V$7:$V$300="Missing", ROW(Q129:Q$300)-ROW(Q129)+1), ROW(123:123))), "")</f>
        <v/>
      </c>
      <c r="E204" s="19" t="str">
        <f>IF(FalsePositives[[#This Row],[Gene]]="", "", IF(C204&lt;40,"Pass","Inspect"))</f>
        <v/>
      </c>
      <c r="F204" s="24"/>
      <c r="G204" s="26" t="str">
        <f t="array" ref="G204">IFERROR(VLOOKUP(B204,$T$7:$W$300,COLUMN($W$7:$W$300)-COLUMN($T$7:$W$300)+1,0), "")</f>
        <v/>
      </c>
      <c r="H204" s="33"/>
      <c r="J204" s="2">
        <f>'Raw Data Hotspot'!A46</f>
        <v>0</v>
      </c>
      <c r="K204" s="2">
        <f>'Raw Data Hotspot'!B46</f>
        <v>0</v>
      </c>
      <c r="L204" s="2">
        <f>'Raw Data Hotspot'!C46</f>
        <v>0</v>
      </c>
      <c r="M204" s="2">
        <f>'Raw Data Hotspot'!D46</f>
        <v>0</v>
      </c>
      <c r="N204" s="2">
        <f>'Raw Data Hotspot'!E46</f>
        <v>0</v>
      </c>
      <c r="O204" s="2">
        <f>'Raw Data Hotspot'!G46</f>
        <v>0</v>
      </c>
      <c r="P204" s="2">
        <f>'Raw Data Hotspot'!H46</f>
        <v>0</v>
      </c>
      <c r="Q204" s="2">
        <f>'Raw Data Hotspot'!I46</f>
        <v>0</v>
      </c>
      <c r="R204" s="2">
        <f>'Raw Data Hotspot'!J46</f>
        <v>0</v>
      </c>
      <c r="S204" s="2">
        <f>'Raw Data Hotspot'!K46</f>
        <v>0</v>
      </c>
      <c r="T204" s="2">
        <f>'Raw Data Hotspot'!N46</f>
        <v>0</v>
      </c>
      <c r="U204" s="2">
        <f t="shared" ref="U204:U213" si="22">Q204</f>
        <v>0</v>
      </c>
      <c r="V204" s="12" t="str">
        <f>IF($T204=0, "", IF(COUNTIF('C00026'!$B$7:$B$41, $T204)=0, "Missing", "Y"))</f>
        <v/>
      </c>
      <c r="W204" s="12">
        <f t="shared" ref="W204:W213" si="23">K204</f>
        <v>0</v>
      </c>
    </row>
    <row r="205" spans="1:23" x14ac:dyDescent="0.25">
      <c r="A205" s="18" t="str">
        <f t="array" ref="A205">IFERROR(INDEX(S$7:S$300, SMALL(IF($V$7:$V$300="Missing", ROW(S130:S$300)-ROW(S130)+1), ROW(124:124))), "")</f>
        <v/>
      </c>
      <c r="B205" s="19" t="str">
        <f t="array" ref="B205">IFERROR(INDEX(T$7:T$300, SMALL(IF($V$7:$V$300="Missing", ROW(T130:T$300)-ROW(T130)+1), ROW(124:124))), "")</f>
        <v/>
      </c>
      <c r="C205" s="19" t="str">
        <f t="array" ref="C205">IFERROR(INDEX(R$7:R$300, SMALL(IF($V$7:$V$2300="Missing", ROW(R130:R$300)-ROW(R130)+1), ROW(124:124))), "")</f>
        <v/>
      </c>
      <c r="D205" s="19" t="str">
        <f t="array" ref="D205">IFERROR(INDEX(Q$7:Q$300, SMALL(IF($V$7:$V$300="Missing", ROW(Q130:Q$300)-ROW(Q130)+1), ROW(124:124))), "")</f>
        <v/>
      </c>
      <c r="E205" s="19" t="str">
        <f>IF(FalsePositives[[#This Row],[Gene]]="", "", IF(C205&lt;40,"Pass","Inspect"))</f>
        <v/>
      </c>
      <c r="F205" s="24"/>
      <c r="G205" s="26" t="str">
        <f t="array" ref="G205">IFERROR(VLOOKUP(B205,$T$7:$W$300,COLUMN($W$7:$W$300)-COLUMN($T$7:$W$300)+1,0), "")</f>
        <v/>
      </c>
      <c r="H205" s="33"/>
      <c r="J205" s="2">
        <f>'Raw Data Hotspot'!A47</f>
        <v>0</v>
      </c>
      <c r="K205" s="2">
        <f>'Raw Data Hotspot'!B47</f>
        <v>0</v>
      </c>
      <c r="L205" s="2">
        <f>'Raw Data Hotspot'!C47</f>
        <v>0</v>
      </c>
      <c r="M205" s="2">
        <f>'Raw Data Hotspot'!D47</f>
        <v>0</v>
      </c>
      <c r="N205" s="2">
        <f>'Raw Data Hotspot'!E47</f>
        <v>0</v>
      </c>
      <c r="O205" s="2">
        <f>'Raw Data Hotspot'!G47</f>
        <v>0</v>
      </c>
      <c r="P205" s="2">
        <f>'Raw Data Hotspot'!H47</f>
        <v>0</v>
      </c>
      <c r="Q205" s="2">
        <f>'Raw Data Hotspot'!I47</f>
        <v>0</v>
      </c>
      <c r="R205" s="2">
        <f>'Raw Data Hotspot'!J47</f>
        <v>0</v>
      </c>
      <c r="S205" s="2">
        <f>'Raw Data Hotspot'!K47</f>
        <v>0</v>
      </c>
      <c r="T205" s="2">
        <f>'Raw Data Hotspot'!N47</f>
        <v>0</v>
      </c>
      <c r="U205" s="2">
        <f t="shared" si="22"/>
        <v>0</v>
      </c>
      <c r="V205" s="12" t="str">
        <f>IF($T205=0, "", IF(COUNTIF('C00026'!$B$7:$B$41, $T205)=0, "Missing", "Y"))</f>
        <v/>
      </c>
      <c r="W205" s="12">
        <f t="shared" si="23"/>
        <v>0</v>
      </c>
    </row>
    <row r="206" spans="1:23" x14ac:dyDescent="0.25">
      <c r="J206" s="2">
        <f>'Raw Data Hotspot'!A48</f>
        <v>0</v>
      </c>
      <c r="K206" s="2">
        <f>'Raw Data Hotspot'!B48</f>
        <v>0</v>
      </c>
      <c r="L206" s="2">
        <f>'Raw Data Hotspot'!C48</f>
        <v>0</v>
      </c>
      <c r="M206" s="2">
        <f>'Raw Data Hotspot'!D48</f>
        <v>0</v>
      </c>
      <c r="N206" s="2">
        <f>'Raw Data Hotspot'!E48</f>
        <v>0</v>
      </c>
      <c r="O206" s="2">
        <f>'Raw Data Hotspot'!G48</f>
        <v>0</v>
      </c>
      <c r="P206" s="2">
        <f>'Raw Data Hotspot'!H48</f>
        <v>0</v>
      </c>
      <c r="Q206" s="2">
        <f>'Raw Data Hotspot'!I48</f>
        <v>0</v>
      </c>
      <c r="R206" s="2">
        <f>'Raw Data Hotspot'!J48</f>
        <v>0</v>
      </c>
      <c r="S206" s="2">
        <f>'Raw Data Hotspot'!K48</f>
        <v>0</v>
      </c>
      <c r="T206" s="2">
        <f>'Raw Data Hotspot'!N48</f>
        <v>0</v>
      </c>
      <c r="U206" s="2">
        <f t="shared" si="22"/>
        <v>0</v>
      </c>
      <c r="V206" s="12" t="str">
        <f>IF($T206=0, "", IF(COUNTIF('C00026'!$B$7:$B$41, $T206)=0, "Missing", "Y"))</f>
        <v/>
      </c>
      <c r="W206" s="12">
        <f t="shared" si="23"/>
        <v>0</v>
      </c>
    </row>
    <row r="207" spans="1:23" x14ac:dyDescent="0.25">
      <c r="J207" s="2">
        <f>'Raw Data Hotspot'!A49</f>
        <v>0</v>
      </c>
      <c r="K207" s="2">
        <f>'Raw Data Hotspot'!B49</f>
        <v>0</v>
      </c>
      <c r="L207" s="2">
        <f>'Raw Data Hotspot'!C49</f>
        <v>0</v>
      </c>
      <c r="M207" s="2">
        <f>'Raw Data Hotspot'!D49</f>
        <v>0</v>
      </c>
      <c r="N207" s="2">
        <f>'Raw Data Hotspot'!E49</f>
        <v>0</v>
      </c>
      <c r="O207" s="2">
        <f>'Raw Data Hotspot'!G49</f>
        <v>0</v>
      </c>
      <c r="P207" s="2">
        <f>'Raw Data Hotspot'!H49</f>
        <v>0</v>
      </c>
      <c r="Q207" s="2">
        <f>'Raw Data Hotspot'!I49</f>
        <v>0</v>
      </c>
      <c r="R207" s="2">
        <f>'Raw Data Hotspot'!J49</f>
        <v>0</v>
      </c>
      <c r="S207" s="2">
        <f>'Raw Data Hotspot'!K49</f>
        <v>0</v>
      </c>
      <c r="T207" s="2">
        <f>'Raw Data Hotspot'!N49</f>
        <v>0</v>
      </c>
      <c r="U207" s="2">
        <f t="shared" si="22"/>
        <v>0</v>
      </c>
      <c r="V207" s="12" t="str">
        <f>IF($T207=0, "", IF(COUNTIF('C00026'!$B$7:$B$41, $T207)=0, "Missing", "Y"))</f>
        <v/>
      </c>
      <c r="W207" s="12">
        <f t="shared" si="23"/>
        <v>0</v>
      </c>
    </row>
    <row r="208" spans="1:23" x14ac:dyDescent="0.25">
      <c r="J208" s="2">
        <f>'Raw Data Hotspot'!A50</f>
        <v>0</v>
      </c>
      <c r="K208" s="2">
        <f>'Raw Data Hotspot'!B50</f>
        <v>0</v>
      </c>
      <c r="L208" s="2">
        <f>'Raw Data Hotspot'!C50</f>
        <v>0</v>
      </c>
      <c r="M208" s="2">
        <f>'Raw Data Hotspot'!D50</f>
        <v>0</v>
      </c>
      <c r="N208" s="2">
        <f>'Raw Data Hotspot'!E50</f>
        <v>0</v>
      </c>
      <c r="O208" s="2">
        <f>'Raw Data Hotspot'!G50</f>
        <v>0</v>
      </c>
      <c r="P208" s="2">
        <f>'Raw Data Hotspot'!H50</f>
        <v>0</v>
      </c>
      <c r="Q208" s="2">
        <f>'Raw Data Hotspot'!I50</f>
        <v>0</v>
      </c>
      <c r="R208" s="2">
        <f>'Raw Data Hotspot'!J50</f>
        <v>0</v>
      </c>
      <c r="S208" s="2">
        <f>'Raw Data Hotspot'!K50</f>
        <v>0</v>
      </c>
      <c r="T208" s="2">
        <f>'Raw Data Hotspot'!N50</f>
        <v>0</v>
      </c>
      <c r="U208" s="2">
        <f t="shared" si="22"/>
        <v>0</v>
      </c>
      <c r="V208" s="12" t="str">
        <f>IF($T208=0, "", IF(COUNTIF('C00026'!$B$7:$B$41, $T208)=0, "Missing", "Y"))</f>
        <v/>
      </c>
      <c r="W208" s="12">
        <f t="shared" si="23"/>
        <v>0</v>
      </c>
    </row>
    <row r="209" spans="10:23" x14ac:dyDescent="0.25">
      <c r="J209" s="2">
        <f>'Raw Data Hotspot'!A51</f>
        <v>0</v>
      </c>
      <c r="K209" s="2">
        <f>'Raw Data Hotspot'!B51</f>
        <v>0</v>
      </c>
      <c r="L209" s="2">
        <f>'Raw Data Hotspot'!C51</f>
        <v>0</v>
      </c>
      <c r="M209" s="2">
        <f>'Raw Data Hotspot'!D51</f>
        <v>0</v>
      </c>
      <c r="N209" s="2">
        <f>'Raw Data Hotspot'!E51</f>
        <v>0</v>
      </c>
      <c r="O209" s="2">
        <f>'Raw Data Hotspot'!G51</f>
        <v>0</v>
      </c>
      <c r="P209" s="2">
        <f>'Raw Data Hotspot'!H51</f>
        <v>0</v>
      </c>
      <c r="Q209" s="2">
        <f>'Raw Data Hotspot'!I51</f>
        <v>0</v>
      </c>
      <c r="R209" s="2">
        <f>'Raw Data Hotspot'!J51</f>
        <v>0</v>
      </c>
      <c r="S209" s="2">
        <f>'Raw Data Hotspot'!K51</f>
        <v>0</v>
      </c>
      <c r="T209" s="2">
        <f>'Raw Data Hotspot'!N51</f>
        <v>0</v>
      </c>
      <c r="U209" s="2">
        <f t="shared" si="22"/>
        <v>0</v>
      </c>
      <c r="V209" s="12" t="str">
        <f>IF($T209=0, "", IF(COUNTIF('C00026'!$B$7:$B$41, $T209)=0, "Missing", "Y"))</f>
        <v/>
      </c>
      <c r="W209" s="12">
        <f t="shared" si="23"/>
        <v>0</v>
      </c>
    </row>
    <row r="210" spans="10:23" x14ac:dyDescent="0.25">
      <c r="J210" s="2">
        <f>'Raw Data Hotspot'!A52</f>
        <v>0</v>
      </c>
      <c r="K210" s="2">
        <f>'Raw Data Hotspot'!B52</f>
        <v>0</v>
      </c>
      <c r="L210" s="2">
        <f>'Raw Data Hotspot'!C52</f>
        <v>0</v>
      </c>
      <c r="M210" s="2">
        <f>'Raw Data Hotspot'!D52</f>
        <v>0</v>
      </c>
      <c r="N210" s="2">
        <f>'Raw Data Hotspot'!E52</f>
        <v>0</v>
      </c>
      <c r="O210" s="2">
        <f>'Raw Data Hotspot'!G52</f>
        <v>0</v>
      </c>
      <c r="P210" s="2">
        <f>'Raw Data Hotspot'!H52</f>
        <v>0</v>
      </c>
      <c r="Q210" s="2">
        <f>'Raw Data Hotspot'!I52</f>
        <v>0</v>
      </c>
      <c r="R210" s="2">
        <f>'Raw Data Hotspot'!J52</f>
        <v>0</v>
      </c>
      <c r="S210" s="2">
        <f>'Raw Data Hotspot'!K52</f>
        <v>0</v>
      </c>
      <c r="T210" s="2">
        <f>'Raw Data Hotspot'!N52</f>
        <v>0</v>
      </c>
      <c r="U210" s="2">
        <f t="shared" si="22"/>
        <v>0</v>
      </c>
      <c r="V210" s="12" t="str">
        <f>IF($T210=0, "", IF(COUNTIF('C00026'!$B$7:$B$41, $T210)=0, "Missing", "Y"))</f>
        <v/>
      </c>
      <c r="W210" s="12">
        <f t="shared" si="23"/>
        <v>0</v>
      </c>
    </row>
    <row r="211" spans="10:23" x14ac:dyDescent="0.25">
      <c r="J211" s="2">
        <f>'Raw Data Hotspot'!A53</f>
        <v>0</v>
      </c>
      <c r="K211" s="2">
        <f>'Raw Data Hotspot'!B53</f>
        <v>0</v>
      </c>
      <c r="L211" s="2">
        <f>'Raw Data Hotspot'!C53</f>
        <v>0</v>
      </c>
      <c r="M211" s="2">
        <f>'Raw Data Hotspot'!D53</f>
        <v>0</v>
      </c>
      <c r="N211" s="2">
        <f>'Raw Data Hotspot'!E53</f>
        <v>0</v>
      </c>
      <c r="O211" s="2">
        <f>'Raw Data Hotspot'!G53</f>
        <v>0</v>
      </c>
      <c r="P211" s="2">
        <f>'Raw Data Hotspot'!H53</f>
        <v>0</v>
      </c>
      <c r="Q211" s="2">
        <f>'Raw Data Hotspot'!I53</f>
        <v>0</v>
      </c>
      <c r="R211" s="2">
        <f>'Raw Data Hotspot'!J53</f>
        <v>0</v>
      </c>
      <c r="S211" s="2">
        <f>'Raw Data Hotspot'!K53</f>
        <v>0</v>
      </c>
      <c r="T211" s="2">
        <f>'Raw Data Hotspot'!N53</f>
        <v>0</v>
      </c>
      <c r="U211" s="2">
        <f t="shared" si="22"/>
        <v>0</v>
      </c>
      <c r="V211" s="12" t="str">
        <f>IF($T211=0, "", IF(COUNTIF('C00026'!$B$7:$B$41, $T211)=0, "Missing", "Y"))</f>
        <v/>
      </c>
      <c r="W211" s="12">
        <f t="shared" si="23"/>
        <v>0</v>
      </c>
    </row>
    <row r="212" spans="10:23" x14ac:dyDescent="0.25">
      <c r="J212" s="2">
        <f>'Raw Data Hotspot'!A54</f>
        <v>0</v>
      </c>
      <c r="K212" s="2">
        <f>'Raw Data Hotspot'!B54</f>
        <v>0</v>
      </c>
      <c r="L212" s="2">
        <f>'Raw Data Hotspot'!C54</f>
        <v>0</v>
      </c>
      <c r="M212" s="2">
        <f>'Raw Data Hotspot'!D54</f>
        <v>0</v>
      </c>
      <c r="N212" s="2">
        <f>'Raw Data Hotspot'!E54</f>
        <v>0</v>
      </c>
      <c r="O212" s="2">
        <f>'Raw Data Hotspot'!G54</f>
        <v>0</v>
      </c>
      <c r="P212" s="2">
        <f>'Raw Data Hotspot'!H54</f>
        <v>0</v>
      </c>
      <c r="Q212" s="2">
        <f>'Raw Data Hotspot'!I54</f>
        <v>0</v>
      </c>
      <c r="R212" s="2">
        <f>'Raw Data Hotspot'!J54</f>
        <v>0</v>
      </c>
      <c r="S212" s="2">
        <f>'Raw Data Hotspot'!K54</f>
        <v>0</v>
      </c>
      <c r="T212" s="2">
        <f>'Raw Data Hotspot'!N54</f>
        <v>0</v>
      </c>
      <c r="U212" s="2">
        <f t="shared" si="22"/>
        <v>0</v>
      </c>
      <c r="V212" s="12" t="str">
        <f>IF($T212=0, "", IF(COUNTIF('C00026'!$B$7:$B$41, $T212)=0, "Missing", "Y"))</f>
        <v/>
      </c>
      <c r="W212" s="12">
        <f t="shared" si="23"/>
        <v>0</v>
      </c>
    </row>
    <row r="213" spans="10:23" x14ac:dyDescent="0.25">
      <c r="J213" s="2">
        <f>'Raw Data Hotspot'!A55</f>
        <v>0</v>
      </c>
      <c r="K213" s="2">
        <f>'Raw Data Hotspot'!B55</f>
        <v>0</v>
      </c>
      <c r="L213" s="2">
        <f>'Raw Data Hotspot'!C55</f>
        <v>0</v>
      </c>
      <c r="M213" s="2">
        <f>'Raw Data Hotspot'!D55</f>
        <v>0</v>
      </c>
      <c r="N213" s="2">
        <f>'Raw Data Hotspot'!E55</f>
        <v>0</v>
      </c>
      <c r="O213" s="2">
        <f>'Raw Data Hotspot'!G55</f>
        <v>0</v>
      </c>
      <c r="P213" s="2">
        <f>'Raw Data Hotspot'!H55</f>
        <v>0</v>
      </c>
      <c r="Q213" s="2">
        <f>'Raw Data Hotspot'!I55</f>
        <v>0</v>
      </c>
      <c r="R213" s="2">
        <f>'Raw Data Hotspot'!J55</f>
        <v>0</v>
      </c>
      <c r="S213" s="2">
        <f>'Raw Data Hotspot'!K55</f>
        <v>0</v>
      </c>
      <c r="T213" s="2">
        <f>'Raw Data Hotspot'!N55</f>
        <v>0</v>
      </c>
      <c r="U213" s="2">
        <f t="shared" si="22"/>
        <v>0</v>
      </c>
      <c r="V213" s="12" t="str">
        <f>IF($T213=0, "", IF(COUNTIF('C00026'!$B$7:$B$41, $T213)=0, "Missing", "Y"))</f>
        <v/>
      </c>
      <c r="W213" s="12">
        <f t="shared" si="23"/>
        <v>0</v>
      </c>
    </row>
    <row r="214" spans="10:23" x14ac:dyDescent="0.25">
      <c r="J214" s="2">
        <f>'Raw Data Hotspot'!A56</f>
        <v>0</v>
      </c>
      <c r="K214" s="2">
        <f>'Raw Data Hotspot'!B56</f>
        <v>0</v>
      </c>
      <c r="L214" s="2">
        <f>'Raw Data Hotspot'!C56</f>
        <v>0</v>
      </c>
      <c r="M214" s="2">
        <f>'Raw Data Hotspot'!D56</f>
        <v>0</v>
      </c>
      <c r="N214" s="2">
        <f>'Raw Data Hotspot'!E56</f>
        <v>0</v>
      </c>
      <c r="O214" s="2">
        <f>'Raw Data Hotspot'!G56</f>
        <v>0</v>
      </c>
      <c r="P214" s="2">
        <f>'Raw Data Hotspot'!H56</f>
        <v>0</v>
      </c>
      <c r="Q214" s="2">
        <f>'Raw Data Hotspot'!I56</f>
        <v>0</v>
      </c>
      <c r="R214" s="2">
        <f>'Raw Data Hotspot'!J56</f>
        <v>0</v>
      </c>
      <c r="S214" s="2">
        <f>'Raw Data Hotspot'!K56</f>
        <v>0</v>
      </c>
      <c r="T214" s="2">
        <f>'Raw Data Hotspot'!N56</f>
        <v>0</v>
      </c>
      <c r="U214" s="2">
        <f t="shared" ref="U214:U233" si="24">Q214</f>
        <v>0</v>
      </c>
      <c r="V214" s="12" t="str">
        <f>IF($T214=0, "", IF(COUNTIF('C00026'!$B$7:$B$41, $T214)=0, "Missing", "Y"))</f>
        <v/>
      </c>
      <c r="W214" s="12">
        <f t="shared" ref="W214:W233" si="25">K214</f>
        <v>0</v>
      </c>
    </row>
    <row r="215" spans="10:23" x14ac:dyDescent="0.25">
      <c r="J215" s="2">
        <f>'Raw Data Hotspot'!A57</f>
        <v>0</v>
      </c>
      <c r="K215" s="2">
        <f>'Raw Data Hotspot'!B57</f>
        <v>0</v>
      </c>
      <c r="L215" s="2">
        <f>'Raw Data Hotspot'!C57</f>
        <v>0</v>
      </c>
      <c r="M215" s="2">
        <f>'Raw Data Hotspot'!D57</f>
        <v>0</v>
      </c>
      <c r="N215" s="2">
        <f>'Raw Data Hotspot'!E57</f>
        <v>0</v>
      </c>
      <c r="O215" s="2">
        <f>'Raw Data Hotspot'!G57</f>
        <v>0</v>
      </c>
      <c r="P215" s="2">
        <f>'Raw Data Hotspot'!H57</f>
        <v>0</v>
      </c>
      <c r="Q215" s="2">
        <f>'Raw Data Hotspot'!I57</f>
        <v>0</v>
      </c>
      <c r="R215" s="2">
        <f>'Raw Data Hotspot'!J57</f>
        <v>0</v>
      </c>
      <c r="S215" s="2">
        <f>'Raw Data Hotspot'!K57</f>
        <v>0</v>
      </c>
      <c r="T215" s="2">
        <f>'Raw Data Hotspot'!N57</f>
        <v>0</v>
      </c>
      <c r="U215" s="2">
        <f t="shared" si="24"/>
        <v>0</v>
      </c>
      <c r="V215" s="12" t="str">
        <f>IF($T215=0, "", IF(COUNTIF('C00026'!$B$7:$B$41, $T215)=0, "Missing", "Y"))</f>
        <v/>
      </c>
      <c r="W215" s="12">
        <f t="shared" si="25"/>
        <v>0</v>
      </c>
    </row>
    <row r="216" spans="10:23" x14ac:dyDescent="0.25">
      <c r="J216" s="2">
        <f>'Raw Data Hotspot'!A58</f>
        <v>0</v>
      </c>
      <c r="K216" s="2">
        <f>'Raw Data Hotspot'!B58</f>
        <v>0</v>
      </c>
      <c r="L216" s="2">
        <f>'Raw Data Hotspot'!C58</f>
        <v>0</v>
      </c>
      <c r="M216" s="2">
        <f>'Raw Data Hotspot'!D58</f>
        <v>0</v>
      </c>
      <c r="N216" s="2">
        <f>'Raw Data Hotspot'!E58</f>
        <v>0</v>
      </c>
      <c r="O216" s="2">
        <f>'Raw Data Hotspot'!G58</f>
        <v>0</v>
      </c>
      <c r="P216" s="2">
        <f>'Raw Data Hotspot'!H58</f>
        <v>0</v>
      </c>
      <c r="Q216" s="2">
        <f>'Raw Data Hotspot'!I58</f>
        <v>0</v>
      </c>
      <c r="R216" s="2">
        <f>'Raw Data Hotspot'!J58</f>
        <v>0</v>
      </c>
      <c r="S216" s="2">
        <f>'Raw Data Hotspot'!K58</f>
        <v>0</v>
      </c>
      <c r="T216" s="2">
        <f>'Raw Data Hotspot'!N58</f>
        <v>0</v>
      </c>
      <c r="U216" s="2">
        <f t="shared" si="24"/>
        <v>0</v>
      </c>
      <c r="V216" s="12" t="str">
        <f>IF($T216=0, "", IF(COUNTIF('C00026'!$B$7:$B$41, $T216)=0, "Missing", "Y"))</f>
        <v/>
      </c>
      <c r="W216" s="12">
        <f t="shared" si="25"/>
        <v>0</v>
      </c>
    </row>
    <row r="217" spans="10:23" x14ac:dyDescent="0.25">
      <c r="J217" s="2">
        <f>'Raw Data Hotspot'!A59</f>
        <v>0</v>
      </c>
      <c r="K217" s="2">
        <f>'Raw Data Hotspot'!B59</f>
        <v>0</v>
      </c>
      <c r="L217" s="2">
        <f>'Raw Data Hotspot'!C59</f>
        <v>0</v>
      </c>
      <c r="M217" s="2">
        <f>'Raw Data Hotspot'!D59</f>
        <v>0</v>
      </c>
      <c r="N217" s="2">
        <f>'Raw Data Hotspot'!E59</f>
        <v>0</v>
      </c>
      <c r="O217" s="2">
        <f>'Raw Data Hotspot'!G59</f>
        <v>0</v>
      </c>
      <c r="P217" s="2">
        <f>'Raw Data Hotspot'!H59</f>
        <v>0</v>
      </c>
      <c r="Q217" s="2">
        <f>'Raw Data Hotspot'!I59</f>
        <v>0</v>
      </c>
      <c r="R217" s="2">
        <f>'Raw Data Hotspot'!J59</f>
        <v>0</v>
      </c>
      <c r="S217" s="2">
        <f>'Raw Data Hotspot'!K59</f>
        <v>0</v>
      </c>
      <c r="T217" s="2">
        <f>'Raw Data Hotspot'!N59</f>
        <v>0</v>
      </c>
      <c r="U217" s="2">
        <f t="shared" si="24"/>
        <v>0</v>
      </c>
      <c r="V217" s="12" t="str">
        <f>IF($T217=0, "", IF(COUNTIF('C00026'!$B$7:$B$41, $T217)=0, "Missing", "Y"))</f>
        <v/>
      </c>
      <c r="W217" s="12">
        <f t="shared" si="25"/>
        <v>0</v>
      </c>
    </row>
    <row r="218" spans="10:23" x14ac:dyDescent="0.25">
      <c r="J218" s="2">
        <f>'Raw Data Hotspot'!A60</f>
        <v>0</v>
      </c>
      <c r="K218" s="2">
        <f>'Raw Data Hotspot'!B60</f>
        <v>0</v>
      </c>
      <c r="L218" s="2">
        <f>'Raw Data Hotspot'!C60</f>
        <v>0</v>
      </c>
      <c r="M218" s="2">
        <f>'Raw Data Hotspot'!D60</f>
        <v>0</v>
      </c>
      <c r="N218" s="2">
        <f>'Raw Data Hotspot'!E60</f>
        <v>0</v>
      </c>
      <c r="O218" s="2">
        <f>'Raw Data Hotspot'!G60</f>
        <v>0</v>
      </c>
      <c r="P218" s="2">
        <f>'Raw Data Hotspot'!H60</f>
        <v>0</v>
      </c>
      <c r="Q218" s="2">
        <f>'Raw Data Hotspot'!I60</f>
        <v>0</v>
      </c>
      <c r="R218" s="2">
        <f>'Raw Data Hotspot'!J60</f>
        <v>0</v>
      </c>
      <c r="S218" s="2">
        <f>'Raw Data Hotspot'!K60</f>
        <v>0</v>
      </c>
      <c r="T218" s="2">
        <f>'Raw Data Hotspot'!N60</f>
        <v>0</v>
      </c>
      <c r="U218" s="2">
        <f t="shared" si="24"/>
        <v>0</v>
      </c>
      <c r="V218" s="12" t="str">
        <f>IF($T218=0, "", IF(COUNTIF('C00026'!$B$7:$B$41, $T218)=0, "Missing", "Y"))</f>
        <v/>
      </c>
      <c r="W218" s="12">
        <f t="shared" si="25"/>
        <v>0</v>
      </c>
    </row>
    <row r="219" spans="10:23" x14ac:dyDescent="0.25">
      <c r="J219" s="2">
        <f>'Raw Data Hotspot'!A61</f>
        <v>0</v>
      </c>
      <c r="K219" s="2">
        <f>'Raw Data Hotspot'!B61</f>
        <v>0</v>
      </c>
      <c r="L219" s="2">
        <f>'Raw Data Hotspot'!C61</f>
        <v>0</v>
      </c>
      <c r="M219" s="2">
        <f>'Raw Data Hotspot'!D61</f>
        <v>0</v>
      </c>
      <c r="N219" s="2">
        <f>'Raw Data Hotspot'!E61</f>
        <v>0</v>
      </c>
      <c r="O219" s="2">
        <f>'Raw Data Hotspot'!G61</f>
        <v>0</v>
      </c>
      <c r="P219" s="2">
        <f>'Raw Data Hotspot'!H61</f>
        <v>0</v>
      </c>
      <c r="Q219" s="2">
        <f>'Raw Data Hotspot'!I61</f>
        <v>0</v>
      </c>
      <c r="R219" s="2">
        <f>'Raw Data Hotspot'!J61</f>
        <v>0</v>
      </c>
      <c r="S219" s="2">
        <f>'Raw Data Hotspot'!K61</f>
        <v>0</v>
      </c>
      <c r="T219" s="2">
        <f>'Raw Data Hotspot'!N61</f>
        <v>0</v>
      </c>
      <c r="U219" s="2">
        <f t="shared" si="24"/>
        <v>0</v>
      </c>
      <c r="V219" s="12" t="str">
        <f>IF($T219=0, "", IF(COUNTIF('C00026'!$B$7:$B$41, $T219)=0, "Missing", "Y"))</f>
        <v/>
      </c>
      <c r="W219" s="12">
        <f t="shared" si="25"/>
        <v>0</v>
      </c>
    </row>
    <row r="220" spans="10:23" x14ac:dyDescent="0.25">
      <c r="J220" s="2">
        <f>'Raw Data Hotspot'!A62</f>
        <v>0</v>
      </c>
      <c r="K220" s="2">
        <f>'Raw Data Hotspot'!B62</f>
        <v>0</v>
      </c>
      <c r="L220" s="2">
        <f>'Raw Data Hotspot'!C62</f>
        <v>0</v>
      </c>
      <c r="M220" s="2">
        <f>'Raw Data Hotspot'!D62</f>
        <v>0</v>
      </c>
      <c r="N220" s="2">
        <f>'Raw Data Hotspot'!E62</f>
        <v>0</v>
      </c>
      <c r="O220" s="2">
        <f>'Raw Data Hotspot'!G62</f>
        <v>0</v>
      </c>
      <c r="P220" s="2">
        <f>'Raw Data Hotspot'!H62</f>
        <v>0</v>
      </c>
      <c r="Q220" s="2">
        <f>'Raw Data Hotspot'!I62</f>
        <v>0</v>
      </c>
      <c r="R220" s="2">
        <f>'Raw Data Hotspot'!J62</f>
        <v>0</v>
      </c>
      <c r="S220" s="2">
        <f>'Raw Data Hotspot'!K62</f>
        <v>0</v>
      </c>
      <c r="T220" s="2">
        <f>'Raw Data Hotspot'!N62</f>
        <v>0</v>
      </c>
      <c r="U220" s="2">
        <f t="shared" si="24"/>
        <v>0</v>
      </c>
      <c r="V220" s="12" t="str">
        <f>IF($T220=0, "", IF(COUNTIF('C00026'!$B$7:$B$41, $T220)=0, "Missing", "Y"))</f>
        <v/>
      </c>
      <c r="W220" s="12">
        <f t="shared" si="25"/>
        <v>0</v>
      </c>
    </row>
    <row r="221" spans="10:23" x14ac:dyDescent="0.25">
      <c r="J221" s="2">
        <f>'Raw Data Hotspot'!A63</f>
        <v>0</v>
      </c>
      <c r="K221" s="2">
        <f>'Raw Data Hotspot'!B63</f>
        <v>0</v>
      </c>
      <c r="L221" s="2">
        <f>'Raw Data Hotspot'!C63</f>
        <v>0</v>
      </c>
      <c r="M221" s="2">
        <f>'Raw Data Hotspot'!D63</f>
        <v>0</v>
      </c>
      <c r="N221" s="2">
        <f>'Raw Data Hotspot'!E63</f>
        <v>0</v>
      </c>
      <c r="O221" s="2">
        <f>'Raw Data Hotspot'!G63</f>
        <v>0</v>
      </c>
      <c r="P221" s="2">
        <f>'Raw Data Hotspot'!H63</f>
        <v>0</v>
      </c>
      <c r="Q221" s="2">
        <f>'Raw Data Hotspot'!I63</f>
        <v>0</v>
      </c>
      <c r="R221" s="2">
        <f>'Raw Data Hotspot'!J63</f>
        <v>0</v>
      </c>
      <c r="S221" s="2">
        <f>'Raw Data Hotspot'!K63</f>
        <v>0</v>
      </c>
      <c r="T221" s="2">
        <f>'Raw Data Hotspot'!N63</f>
        <v>0</v>
      </c>
      <c r="U221" s="2">
        <f t="shared" si="24"/>
        <v>0</v>
      </c>
      <c r="V221" s="12" t="str">
        <f>IF($T221=0, "", IF(COUNTIF('C00026'!$B$7:$B$41, $T221)=0, "Missing", "Y"))</f>
        <v/>
      </c>
      <c r="W221" s="12">
        <f t="shared" si="25"/>
        <v>0</v>
      </c>
    </row>
    <row r="222" spans="10:23" x14ac:dyDescent="0.25">
      <c r="J222" s="2">
        <f>'Raw Data Hotspot'!A64</f>
        <v>0</v>
      </c>
      <c r="K222" s="2">
        <f>'Raw Data Hotspot'!B64</f>
        <v>0</v>
      </c>
      <c r="L222" s="2">
        <f>'Raw Data Hotspot'!C64</f>
        <v>0</v>
      </c>
      <c r="M222" s="2">
        <f>'Raw Data Hotspot'!D64</f>
        <v>0</v>
      </c>
      <c r="N222" s="2">
        <f>'Raw Data Hotspot'!E64</f>
        <v>0</v>
      </c>
      <c r="O222" s="2">
        <f>'Raw Data Hotspot'!G64</f>
        <v>0</v>
      </c>
      <c r="P222" s="2">
        <f>'Raw Data Hotspot'!H64</f>
        <v>0</v>
      </c>
      <c r="Q222" s="2">
        <f>'Raw Data Hotspot'!I64</f>
        <v>0</v>
      </c>
      <c r="R222" s="2">
        <f>'Raw Data Hotspot'!J64</f>
        <v>0</v>
      </c>
      <c r="S222" s="2">
        <f>'Raw Data Hotspot'!K64</f>
        <v>0</v>
      </c>
      <c r="T222" s="2">
        <f>'Raw Data Hotspot'!N64</f>
        <v>0</v>
      </c>
      <c r="U222" s="2">
        <f t="shared" si="24"/>
        <v>0</v>
      </c>
      <c r="V222" s="12" t="str">
        <f>IF($T222=0, "", IF(COUNTIF('C00026'!$B$7:$B$41, $T222)=0, "Missing", "Y"))</f>
        <v/>
      </c>
      <c r="W222" s="12">
        <f t="shared" si="25"/>
        <v>0</v>
      </c>
    </row>
    <row r="223" spans="10:23" x14ac:dyDescent="0.25">
      <c r="J223" s="2">
        <f>'Raw Data Hotspot'!A65</f>
        <v>0</v>
      </c>
      <c r="K223" s="2">
        <f>'Raw Data Hotspot'!B65</f>
        <v>0</v>
      </c>
      <c r="L223" s="2">
        <f>'Raw Data Hotspot'!C65</f>
        <v>0</v>
      </c>
      <c r="M223" s="2">
        <f>'Raw Data Hotspot'!D65</f>
        <v>0</v>
      </c>
      <c r="N223" s="2">
        <f>'Raw Data Hotspot'!E65</f>
        <v>0</v>
      </c>
      <c r="O223" s="2">
        <f>'Raw Data Hotspot'!G65</f>
        <v>0</v>
      </c>
      <c r="P223" s="2">
        <f>'Raw Data Hotspot'!H65</f>
        <v>0</v>
      </c>
      <c r="Q223" s="2">
        <f>'Raw Data Hotspot'!I65</f>
        <v>0</v>
      </c>
      <c r="R223" s="2">
        <f>'Raw Data Hotspot'!J65</f>
        <v>0</v>
      </c>
      <c r="S223" s="2">
        <f>'Raw Data Hotspot'!K65</f>
        <v>0</v>
      </c>
      <c r="T223" s="2">
        <f>'Raw Data Hotspot'!N65</f>
        <v>0</v>
      </c>
      <c r="U223" s="2">
        <f t="shared" si="24"/>
        <v>0</v>
      </c>
      <c r="V223" s="12" t="str">
        <f>IF($T223=0, "", IF(COUNTIF('C00026'!$B$7:$B$41, $T223)=0, "Missing", "Y"))</f>
        <v/>
      </c>
      <c r="W223" s="12">
        <f t="shared" si="25"/>
        <v>0</v>
      </c>
    </row>
    <row r="224" spans="10:23" x14ac:dyDescent="0.25">
      <c r="J224" s="2">
        <f>'Raw Data Hotspot'!A66</f>
        <v>0</v>
      </c>
      <c r="K224" s="2">
        <f>'Raw Data Hotspot'!B66</f>
        <v>0</v>
      </c>
      <c r="L224" s="2">
        <f>'Raw Data Hotspot'!C66</f>
        <v>0</v>
      </c>
      <c r="M224" s="2">
        <f>'Raw Data Hotspot'!D66</f>
        <v>0</v>
      </c>
      <c r="N224" s="2">
        <f>'Raw Data Hotspot'!E66</f>
        <v>0</v>
      </c>
      <c r="O224" s="2">
        <f>'Raw Data Hotspot'!G66</f>
        <v>0</v>
      </c>
      <c r="P224" s="2">
        <f>'Raw Data Hotspot'!H66</f>
        <v>0</v>
      </c>
      <c r="Q224" s="2">
        <f>'Raw Data Hotspot'!I66</f>
        <v>0</v>
      </c>
      <c r="R224" s="2">
        <f>'Raw Data Hotspot'!J66</f>
        <v>0</v>
      </c>
      <c r="S224" s="2">
        <f>'Raw Data Hotspot'!K66</f>
        <v>0</v>
      </c>
      <c r="T224" s="2">
        <f>'Raw Data Hotspot'!N66</f>
        <v>0</v>
      </c>
      <c r="U224" s="2">
        <f t="shared" si="24"/>
        <v>0</v>
      </c>
      <c r="V224" s="12" t="str">
        <f>IF($T224=0, "", IF(COUNTIF('C00026'!$B$7:$B$41, $T224)=0, "Missing", "Y"))</f>
        <v/>
      </c>
      <c r="W224" s="12">
        <f t="shared" si="25"/>
        <v>0</v>
      </c>
    </row>
    <row r="225" spans="10:23" x14ac:dyDescent="0.25">
      <c r="J225" s="2">
        <f>'Raw Data Hotspot'!A67</f>
        <v>0</v>
      </c>
      <c r="K225" s="2">
        <f>'Raw Data Hotspot'!B67</f>
        <v>0</v>
      </c>
      <c r="L225" s="2">
        <f>'Raw Data Hotspot'!C67</f>
        <v>0</v>
      </c>
      <c r="M225" s="2">
        <f>'Raw Data Hotspot'!D67</f>
        <v>0</v>
      </c>
      <c r="N225" s="2">
        <f>'Raw Data Hotspot'!E67</f>
        <v>0</v>
      </c>
      <c r="O225" s="2">
        <f>'Raw Data Hotspot'!G67</f>
        <v>0</v>
      </c>
      <c r="P225" s="2">
        <f>'Raw Data Hotspot'!H67</f>
        <v>0</v>
      </c>
      <c r="Q225" s="2">
        <f>'Raw Data Hotspot'!I67</f>
        <v>0</v>
      </c>
      <c r="R225" s="2">
        <f>'Raw Data Hotspot'!J67</f>
        <v>0</v>
      </c>
      <c r="S225" s="2">
        <f>'Raw Data Hotspot'!K67</f>
        <v>0</v>
      </c>
      <c r="T225" s="2">
        <f>'Raw Data Hotspot'!N67</f>
        <v>0</v>
      </c>
      <c r="U225" s="2">
        <f t="shared" si="24"/>
        <v>0</v>
      </c>
      <c r="V225" s="12" t="str">
        <f>IF($T225=0, "", IF(COUNTIF('C00026'!$B$7:$B$41, $T225)=0, "Missing", "Y"))</f>
        <v/>
      </c>
      <c r="W225" s="12">
        <f t="shared" si="25"/>
        <v>0</v>
      </c>
    </row>
    <row r="226" spans="10:23" x14ac:dyDescent="0.25">
      <c r="J226" s="2">
        <f>'Raw Data Hotspot'!A68</f>
        <v>0</v>
      </c>
      <c r="K226" s="2">
        <f>'Raw Data Hotspot'!B68</f>
        <v>0</v>
      </c>
      <c r="L226" s="2">
        <f>'Raw Data Hotspot'!C68</f>
        <v>0</v>
      </c>
      <c r="M226" s="2">
        <f>'Raw Data Hotspot'!D68</f>
        <v>0</v>
      </c>
      <c r="N226" s="2">
        <f>'Raw Data Hotspot'!E68</f>
        <v>0</v>
      </c>
      <c r="O226" s="2">
        <f>'Raw Data Hotspot'!G68</f>
        <v>0</v>
      </c>
      <c r="P226" s="2">
        <f>'Raw Data Hotspot'!H68</f>
        <v>0</v>
      </c>
      <c r="Q226" s="2">
        <f>'Raw Data Hotspot'!I68</f>
        <v>0</v>
      </c>
      <c r="R226" s="2">
        <f>'Raw Data Hotspot'!J68</f>
        <v>0</v>
      </c>
      <c r="S226" s="2">
        <f>'Raw Data Hotspot'!K68</f>
        <v>0</v>
      </c>
      <c r="T226" s="2">
        <f>'Raw Data Hotspot'!N68</f>
        <v>0</v>
      </c>
      <c r="U226" s="2">
        <f t="shared" si="24"/>
        <v>0</v>
      </c>
      <c r="V226" s="12" t="str">
        <f>IF($T226=0, "", IF(COUNTIF('C00026'!$B$7:$B$41, $T226)=0, "Missing", "Y"))</f>
        <v/>
      </c>
      <c r="W226" s="12">
        <f t="shared" si="25"/>
        <v>0</v>
      </c>
    </row>
    <row r="227" spans="10:23" x14ac:dyDescent="0.25">
      <c r="J227" s="2">
        <f>'Raw Data Hotspot'!A69</f>
        <v>0</v>
      </c>
      <c r="K227" s="2">
        <f>'Raw Data Hotspot'!B69</f>
        <v>0</v>
      </c>
      <c r="L227" s="2">
        <f>'Raw Data Hotspot'!C69</f>
        <v>0</v>
      </c>
      <c r="M227" s="2">
        <f>'Raw Data Hotspot'!D69</f>
        <v>0</v>
      </c>
      <c r="N227" s="2">
        <f>'Raw Data Hotspot'!E69</f>
        <v>0</v>
      </c>
      <c r="O227" s="2">
        <f>'Raw Data Hotspot'!G69</f>
        <v>0</v>
      </c>
      <c r="P227" s="2">
        <f>'Raw Data Hotspot'!H69</f>
        <v>0</v>
      </c>
      <c r="Q227" s="2">
        <f>'Raw Data Hotspot'!I69</f>
        <v>0</v>
      </c>
      <c r="R227" s="2">
        <f>'Raw Data Hotspot'!J69</f>
        <v>0</v>
      </c>
      <c r="S227" s="2">
        <f>'Raw Data Hotspot'!K69</f>
        <v>0</v>
      </c>
      <c r="T227" s="2">
        <f>'Raw Data Hotspot'!N69</f>
        <v>0</v>
      </c>
      <c r="U227" s="2">
        <f t="shared" si="24"/>
        <v>0</v>
      </c>
      <c r="V227" s="12" t="str">
        <f>IF($T227=0, "", IF(COUNTIF('C00026'!$B$7:$B$41, $T227)=0, "Missing", "Y"))</f>
        <v/>
      </c>
      <c r="W227" s="12">
        <f t="shared" si="25"/>
        <v>0</v>
      </c>
    </row>
    <row r="228" spans="10:23" x14ac:dyDescent="0.25">
      <c r="J228" s="2">
        <f>'Raw Data Hotspot'!A70</f>
        <v>0</v>
      </c>
      <c r="K228" s="2">
        <f>'Raw Data Hotspot'!B70</f>
        <v>0</v>
      </c>
      <c r="L228" s="2">
        <f>'Raw Data Hotspot'!C70</f>
        <v>0</v>
      </c>
      <c r="M228" s="2">
        <f>'Raw Data Hotspot'!D70</f>
        <v>0</v>
      </c>
      <c r="N228" s="2">
        <f>'Raw Data Hotspot'!E70</f>
        <v>0</v>
      </c>
      <c r="O228" s="2">
        <f>'Raw Data Hotspot'!G70</f>
        <v>0</v>
      </c>
      <c r="P228" s="2">
        <f>'Raw Data Hotspot'!H70</f>
        <v>0</v>
      </c>
      <c r="Q228" s="2">
        <f>'Raw Data Hotspot'!I70</f>
        <v>0</v>
      </c>
      <c r="R228" s="2">
        <f>'Raw Data Hotspot'!J70</f>
        <v>0</v>
      </c>
      <c r="S228" s="2">
        <f>'Raw Data Hotspot'!K70</f>
        <v>0</v>
      </c>
      <c r="T228" s="2">
        <f>'Raw Data Hotspot'!N70</f>
        <v>0</v>
      </c>
      <c r="U228" s="2">
        <f t="shared" si="24"/>
        <v>0</v>
      </c>
      <c r="V228" s="12" t="str">
        <f>IF($T228=0, "", IF(COUNTIF('C00026'!$B$7:$B$41, $T228)=0, "Missing", "Y"))</f>
        <v/>
      </c>
      <c r="W228" s="12">
        <f t="shared" si="25"/>
        <v>0</v>
      </c>
    </row>
    <row r="229" spans="10:23" x14ac:dyDescent="0.25">
      <c r="J229" s="2">
        <f>'Raw Data Hotspot'!A71</f>
        <v>0</v>
      </c>
      <c r="K229" s="2">
        <f>'Raw Data Hotspot'!B71</f>
        <v>0</v>
      </c>
      <c r="L229" s="2">
        <f>'Raw Data Hotspot'!C71</f>
        <v>0</v>
      </c>
      <c r="M229" s="2">
        <f>'Raw Data Hotspot'!D71</f>
        <v>0</v>
      </c>
      <c r="N229" s="2">
        <f>'Raw Data Hotspot'!E71</f>
        <v>0</v>
      </c>
      <c r="O229" s="2">
        <f>'Raw Data Hotspot'!G71</f>
        <v>0</v>
      </c>
      <c r="P229" s="2">
        <f>'Raw Data Hotspot'!H71</f>
        <v>0</v>
      </c>
      <c r="Q229" s="2">
        <f>'Raw Data Hotspot'!I71</f>
        <v>0</v>
      </c>
      <c r="R229" s="2">
        <f>'Raw Data Hotspot'!J71</f>
        <v>0</v>
      </c>
      <c r="S229" s="2">
        <f>'Raw Data Hotspot'!K71</f>
        <v>0</v>
      </c>
      <c r="T229" s="2">
        <f>'Raw Data Hotspot'!N71</f>
        <v>0</v>
      </c>
      <c r="U229" s="2">
        <f t="shared" si="24"/>
        <v>0</v>
      </c>
      <c r="V229" s="12" t="str">
        <f>IF($T229=0, "", IF(COUNTIF('C00026'!$B$7:$B$41, $T229)=0, "Missing", "Y"))</f>
        <v/>
      </c>
      <c r="W229" s="12">
        <f t="shared" si="25"/>
        <v>0</v>
      </c>
    </row>
    <row r="230" spans="10:23" x14ac:dyDescent="0.25">
      <c r="J230" s="2">
        <f>'Raw Data Hotspot'!A72</f>
        <v>0</v>
      </c>
      <c r="K230" s="2">
        <f>'Raw Data Hotspot'!B72</f>
        <v>0</v>
      </c>
      <c r="L230" s="2">
        <f>'Raw Data Hotspot'!C72</f>
        <v>0</v>
      </c>
      <c r="M230" s="2">
        <f>'Raw Data Hotspot'!D72</f>
        <v>0</v>
      </c>
      <c r="N230" s="2">
        <f>'Raw Data Hotspot'!E72</f>
        <v>0</v>
      </c>
      <c r="O230" s="2">
        <f>'Raw Data Hotspot'!G72</f>
        <v>0</v>
      </c>
      <c r="P230" s="2">
        <f>'Raw Data Hotspot'!H72</f>
        <v>0</v>
      </c>
      <c r="Q230" s="2">
        <f>'Raw Data Hotspot'!I72</f>
        <v>0</v>
      </c>
      <c r="R230" s="2">
        <f>'Raw Data Hotspot'!J72</f>
        <v>0</v>
      </c>
      <c r="S230" s="2">
        <f>'Raw Data Hotspot'!K72</f>
        <v>0</v>
      </c>
      <c r="T230" s="2">
        <f>'Raw Data Hotspot'!N72</f>
        <v>0</v>
      </c>
      <c r="U230" s="2">
        <f t="shared" si="24"/>
        <v>0</v>
      </c>
      <c r="V230" s="12" t="str">
        <f>IF($T230=0, "", IF(COUNTIF('C00026'!$B$7:$B$41, $T230)=0, "Missing", "Y"))</f>
        <v/>
      </c>
      <c r="W230" s="12">
        <f t="shared" si="25"/>
        <v>0</v>
      </c>
    </row>
    <row r="231" spans="10:23" x14ac:dyDescent="0.25">
      <c r="J231" s="2">
        <f>'Raw Data Hotspot'!A73</f>
        <v>0</v>
      </c>
      <c r="K231" s="2">
        <f>'Raw Data Hotspot'!B73</f>
        <v>0</v>
      </c>
      <c r="L231" s="2">
        <f>'Raw Data Hotspot'!C73</f>
        <v>0</v>
      </c>
      <c r="M231" s="2">
        <f>'Raw Data Hotspot'!D73</f>
        <v>0</v>
      </c>
      <c r="N231" s="2">
        <f>'Raw Data Hotspot'!E73</f>
        <v>0</v>
      </c>
      <c r="O231" s="2">
        <f>'Raw Data Hotspot'!G73</f>
        <v>0</v>
      </c>
      <c r="P231" s="2">
        <f>'Raw Data Hotspot'!H73</f>
        <v>0</v>
      </c>
      <c r="Q231" s="2">
        <f>'Raw Data Hotspot'!I73</f>
        <v>0</v>
      </c>
      <c r="R231" s="2">
        <f>'Raw Data Hotspot'!J73</f>
        <v>0</v>
      </c>
      <c r="S231" s="2">
        <f>'Raw Data Hotspot'!K73</f>
        <v>0</v>
      </c>
      <c r="T231" s="2">
        <f>'Raw Data Hotspot'!N73</f>
        <v>0</v>
      </c>
      <c r="U231" s="2">
        <f t="shared" si="24"/>
        <v>0</v>
      </c>
      <c r="V231" s="12" t="str">
        <f>IF($T231=0, "", IF(COUNTIF('C00026'!$B$7:$B$41, $T231)=0, "Missing", "Y"))</f>
        <v/>
      </c>
      <c r="W231" s="12">
        <f t="shared" si="25"/>
        <v>0</v>
      </c>
    </row>
    <row r="232" spans="10:23" x14ac:dyDescent="0.25">
      <c r="J232" s="2">
        <f>'Raw Data Hotspot'!A74</f>
        <v>0</v>
      </c>
      <c r="K232" s="2">
        <f>'Raw Data Hotspot'!B74</f>
        <v>0</v>
      </c>
      <c r="L232" s="2">
        <f>'Raw Data Hotspot'!C74</f>
        <v>0</v>
      </c>
      <c r="M232" s="2">
        <f>'Raw Data Hotspot'!D74</f>
        <v>0</v>
      </c>
      <c r="N232" s="2">
        <f>'Raw Data Hotspot'!E74</f>
        <v>0</v>
      </c>
      <c r="O232" s="2">
        <f>'Raw Data Hotspot'!G74</f>
        <v>0</v>
      </c>
      <c r="P232" s="2">
        <f>'Raw Data Hotspot'!H74</f>
        <v>0</v>
      </c>
      <c r="Q232" s="2">
        <f>'Raw Data Hotspot'!I74</f>
        <v>0</v>
      </c>
      <c r="R232" s="2">
        <f>'Raw Data Hotspot'!J74</f>
        <v>0</v>
      </c>
      <c r="S232" s="2">
        <f>'Raw Data Hotspot'!K74</f>
        <v>0</v>
      </c>
      <c r="T232" s="2">
        <f>'Raw Data Hotspot'!N74</f>
        <v>0</v>
      </c>
      <c r="U232" s="2">
        <f t="shared" si="24"/>
        <v>0</v>
      </c>
      <c r="V232" s="12" t="str">
        <f>IF($T232=0, "", IF(COUNTIF('C00026'!$B$7:$B$41, $T232)=0, "Missing", "Y"))</f>
        <v/>
      </c>
      <c r="W232" s="12">
        <f t="shared" si="25"/>
        <v>0</v>
      </c>
    </row>
    <row r="233" spans="10:23" x14ac:dyDescent="0.25">
      <c r="J233" s="2">
        <f>'Raw Data Hotspot'!A75</f>
        <v>0</v>
      </c>
      <c r="K233" s="2">
        <f>'Raw Data Hotspot'!B75</f>
        <v>0</v>
      </c>
      <c r="L233" s="2">
        <f>'Raw Data Hotspot'!C75</f>
        <v>0</v>
      </c>
      <c r="M233" s="2">
        <f>'Raw Data Hotspot'!D75</f>
        <v>0</v>
      </c>
      <c r="N233" s="2">
        <f>'Raw Data Hotspot'!E75</f>
        <v>0</v>
      </c>
      <c r="O233" s="2">
        <f>'Raw Data Hotspot'!G75</f>
        <v>0</v>
      </c>
      <c r="P233" s="2">
        <f>'Raw Data Hotspot'!H75</f>
        <v>0</v>
      </c>
      <c r="Q233" s="2">
        <f>'Raw Data Hotspot'!I75</f>
        <v>0</v>
      </c>
      <c r="R233" s="2">
        <f>'Raw Data Hotspot'!J75</f>
        <v>0</v>
      </c>
      <c r="S233" s="2">
        <f>'Raw Data Hotspot'!K75</f>
        <v>0</v>
      </c>
      <c r="T233" s="2">
        <f>'Raw Data Hotspot'!N75</f>
        <v>0</v>
      </c>
      <c r="U233" s="2">
        <f t="shared" si="24"/>
        <v>0</v>
      </c>
      <c r="V233" s="12" t="str">
        <f>IF($T233=0, "", IF(COUNTIF('C00026'!$B$7:$B$41, $T233)=0, "Missing", "Y"))</f>
        <v/>
      </c>
      <c r="W233" s="12">
        <f t="shared" si="25"/>
        <v>0</v>
      </c>
    </row>
    <row r="234" spans="10:23" x14ac:dyDescent="0.25">
      <c r="J234" s="2">
        <f>'Raw Data Hotspot'!A76</f>
        <v>0</v>
      </c>
      <c r="K234" s="2">
        <f>'Raw Data Hotspot'!B76</f>
        <v>0</v>
      </c>
      <c r="L234" s="2">
        <f>'Raw Data Hotspot'!C76</f>
        <v>0</v>
      </c>
      <c r="M234" s="2">
        <f>'Raw Data Hotspot'!D76</f>
        <v>0</v>
      </c>
      <c r="N234" s="2">
        <f>'Raw Data Hotspot'!E76</f>
        <v>0</v>
      </c>
      <c r="O234" s="2">
        <f>'Raw Data Hotspot'!G76</f>
        <v>0</v>
      </c>
      <c r="P234" s="2">
        <f>'Raw Data Hotspot'!H76</f>
        <v>0</v>
      </c>
      <c r="Q234" s="2">
        <f>'Raw Data Hotspot'!I76</f>
        <v>0</v>
      </c>
      <c r="R234" s="2">
        <f>'Raw Data Hotspot'!J76</f>
        <v>0</v>
      </c>
      <c r="S234" s="2">
        <f>'Raw Data Hotspot'!K76</f>
        <v>0</v>
      </c>
      <c r="T234" s="2">
        <f>'Raw Data Hotspot'!N76</f>
        <v>0</v>
      </c>
      <c r="U234" s="2">
        <f t="shared" ref="U234:U248" si="26">Q234</f>
        <v>0</v>
      </c>
      <c r="V234" s="12" t="str">
        <f>IF($T234=0, "", IF(COUNTIF('C00026'!$B$7:$B$41, $T234)=0, "Missing", "Y"))</f>
        <v/>
      </c>
      <c r="W234" s="12">
        <f t="shared" ref="W234:W248" si="27">K234</f>
        <v>0</v>
      </c>
    </row>
    <row r="235" spans="10:23" x14ac:dyDescent="0.25">
      <c r="J235" s="2">
        <f>'Raw Data Hotspot'!A77</f>
        <v>0</v>
      </c>
      <c r="K235" s="2">
        <f>'Raw Data Hotspot'!B77</f>
        <v>0</v>
      </c>
      <c r="L235" s="2">
        <f>'Raw Data Hotspot'!C77</f>
        <v>0</v>
      </c>
      <c r="M235" s="2">
        <f>'Raw Data Hotspot'!D77</f>
        <v>0</v>
      </c>
      <c r="N235" s="2">
        <f>'Raw Data Hotspot'!E77</f>
        <v>0</v>
      </c>
      <c r="O235" s="2">
        <f>'Raw Data Hotspot'!G77</f>
        <v>0</v>
      </c>
      <c r="P235" s="2">
        <f>'Raw Data Hotspot'!H77</f>
        <v>0</v>
      </c>
      <c r="Q235" s="2">
        <f>'Raw Data Hotspot'!I77</f>
        <v>0</v>
      </c>
      <c r="R235" s="2">
        <f>'Raw Data Hotspot'!J77</f>
        <v>0</v>
      </c>
      <c r="S235" s="2">
        <f>'Raw Data Hotspot'!K77</f>
        <v>0</v>
      </c>
      <c r="T235" s="2">
        <f>'Raw Data Hotspot'!N77</f>
        <v>0</v>
      </c>
      <c r="U235" s="2">
        <f t="shared" si="26"/>
        <v>0</v>
      </c>
      <c r="V235" s="12" t="str">
        <f>IF($T235=0, "", IF(COUNTIF('C00026'!$B$7:$B$41, $T235)=0, "Missing", "Y"))</f>
        <v/>
      </c>
      <c r="W235" s="12">
        <f t="shared" si="27"/>
        <v>0</v>
      </c>
    </row>
    <row r="236" spans="10:23" x14ac:dyDescent="0.25">
      <c r="J236" s="2">
        <f>'Raw Data Hotspot'!A78</f>
        <v>0</v>
      </c>
      <c r="K236" s="2">
        <f>'Raw Data Hotspot'!B78</f>
        <v>0</v>
      </c>
      <c r="L236" s="2">
        <f>'Raw Data Hotspot'!C78</f>
        <v>0</v>
      </c>
      <c r="M236" s="2">
        <f>'Raw Data Hotspot'!D78</f>
        <v>0</v>
      </c>
      <c r="N236" s="2">
        <f>'Raw Data Hotspot'!E78</f>
        <v>0</v>
      </c>
      <c r="O236" s="2">
        <f>'Raw Data Hotspot'!G78</f>
        <v>0</v>
      </c>
      <c r="P236" s="2">
        <f>'Raw Data Hotspot'!H78</f>
        <v>0</v>
      </c>
      <c r="Q236" s="2">
        <f>'Raw Data Hotspot'!I78</f>
        <v>0</v>
      </c>
      <c r="R236" s="2">
        <f>'Raw Data Hotspot'!J78</f>
        <v>0</v>
      </c>
      <c r="S236" s="2">
        <f>'Raw Data Hotspot'!K78</f>
        <v>0</v>
      </c>
      <c r="T236" s="2">
        <f>'Raw Data Hotspot'!N78</f>
        <v>0</v>
      </c>
      <c r="U236" s="2">
        <f t="shared" si="26"/>
        <v>0</v>
      </c>
      <c r="V236" s="12" t="str">
        <f>IF($T236=0, "", IF(COUNTIF('C00026'!$B$7:$B$41, $T236)=0, "Missing", "Y"))</f>
        <v/>
      </c>
      <c r="W236" s="12">
        <f t="shared" si="27"/>
        <v>0</v>
      </c>
    </row>
    <row r="237" spans="10:23" x14ac:dyDescent="0.25">
      <c r="J237" s="2">
        <f>'Raw Data Hotspot'!A79</f>
        <v>0</v>
      </c>
      <c r="K237" s="2">
        <f>'Raw Data Hotspot'!B79</f>
        <v>0</v>
      </c>
      <c r="L237" s="2">
        <f>'Raw Data Hotspot'!C79</f>
        <v>0</v>
      </c>
      <c r="M237" s="2">
        <f>'Raw Data Hotspot'!D79</f>
        <v>0</v>
      </c>
      <c r="N237" s="2">
        <f>'Raw Data Hotspot'!E79</f>
        <v>0</v>
      </c>
      <c r="O237" s="2">
        <f>'Raw Data Hotspot'!G79</f>
        <v>0</v>
      </c>
      <c r="P237" s="2">
        <f>'Raw Data Hotspot'!H79</f>
        <v>0</v>
      </c>
      <c r="Q237" s="2">
        <f>'Raw Data Hotspot'!I79</f>
        <v>0</v>
      </c>
      <c r="R237" s="2">
        <f>'Raw Data Hotspot'!J79</f>
        <v>0</v>
      </c>
      <c r="S237" s="2">
        <f>'Raw Data Hotspot'!K79</f>
        <v>0</v>
      </c>
      <c r="T237" s="2">
        <f>'Raw Data Hotspot'!N79</f>
        <v>0</v>
      </c>
      <c r="U237" s="2">
        <f t="shared" si="26"/>
        <v>0</v>
      </c>
      <c r="V237" s="12" t="str">
        <f>IF($T237=0, "", IF(COUNTIF('C00026'!$B$7:$B$41, $T237)=0, "Missing", "Y"))</f>
        <v/>
      </c>
      <c r="W237" s="12">
        <f t="shared" si="27"/>
        <v>0</v>
      </c>
    </row>
    <row r="238" spans="10:23" x14ac:dyDescent="0.25">
      <c r="J238" s="2">
        <f>'Raw Data Hotspot'!A80</f>
        <v>0</v>
      </c>
      <c r="K238" s="2">
        <f>'Raw Data Hotspot'!B80</f>
        <v>0</v>
      </c>
      <c r="L238" s="2">
        <f>'Raw Data Hotspot'!C80</f>
        <v>0</v>
      </c>
      <c r="M238" s="2">
        <f>'Raw Data Hotspot'!D80</f>
        <v>0</v>
      </c>
      <c r="N238" s="2">
        <f>'Raw Data Hotspot'!E80</f>
        <v>0</v>
      </c>
      <c r="O238" s="2">
        <f>'Raw Data Hotspot'!G80</f>
        <v>0</v>
      </c>
      <c r="P238" s="2">
        <f>'Raw Data Hotspot'!H80</f>
        <v>0</v>
      </c>
      <c r="Q238" s="2">
        <f>'Raw Data Hotspot'!I80</f>
        <v>0</v>
      </c>
      <c r="R238" s="2">
        <f>'Raw Data Hotspot'!J80</f>
        <v>0</v>
      </c>
      <c r="S238" s="2">
        <f>'Raw Data Hotspot'!K80</f>
        <v>0</v>
      </c>
      <c r="T238" s="2">
        <f>'Raw Data Hotspot'!N80</f>
        <v>0</v>
      </c>
      <c r="U238" s="2">
        <f t="shared" si="26"/>
        <v>0</v>
      </c>
      <c r="V238" s="12" t="str">
        <f>IF($T238=0, "", IF(COUNTIF('C00026'!$B$7:$B$41, $T238)=0, "Missing", "Y"))</f>
        <v/>
      </c>
      <c r="W238" s="12">
        <f t="shared" si="27"/>
        <v>0</v>
      </c>
    </row>
    <row r="239" spans="10:23" x14ac:dyDescent="0.25">
      <c r="J239" s="2">
        <f>'Raw Data Hotspot'!A81</f>
        <v>0</v>
      </c>
      <c r="K239" s="2">
        <f>'Raw Data Hotspot'!B81</f>
        <v>0</v>
      </c>
      <c r="L239" s="2">
        <f>'Raw Data Hotspot'!C81</f>
        <v>0</v>
      </c>
      <c r="M239" s="2">
        <f>'Raw Data Hotspot'!D81</f>
        <v>0</v>
      </c>
      <c r="N239" s="2">
        <f>'Raw Data Hotspot'!E81</f>
        <v>0</v>
      </c>
      <c r="O239" s="2">
        <f>'Raw Data Hotspot'!G81</f>
        <v>0</v>
      </c>
      <c r="P239" s="2">
        <f>'Raw Data Hotspot'!H81</f>
        <v>0</v>
      </c>
      <c r="Q239" s="2">
        <f>'Raw Data Hotspot'!I81</f>
        <v>0</v>
      </c>
      <c r="R239" s="2">
        <f>'Raw Data Hotspot'!J81</f>
        <v>0</v>
      </c>
      <c r="S239" s="2">
        <f>'Raw Data Hotspot'!K81</f>
        <v>0</v>
      </c>
      <c r="T239" s="2">
        <f>'Raw Data Hotspot'!N81</f>
        <v>0</v>
      </c>
      <c r="U239" s="2">
        <f t="shared" si="26"/>
        <v>0</v>
      </c>
      <c r="V239" s="12" t="str">
        <f>IF($T239=0, "", IF(COUNTIF('C00026'!$B$7:$B$41, $T239)=0, "Missing", "Y"))</f>
        <v/>
      </c>
      <c r="W239" s="12">
        <f t="shared" si="27"/>
        <v>0</v>
      </c>
    </row>
    <row r="240" spans="10:23" x14ac:dyDescent="0.25">
      <c r="J240" s="2">
        <f>'Raw Data Hotspot'!A82</f>
        <v>0</v>
      </c>
      <c r="K240" s="2">
        <f>'Raw Data Hotspot'!B82</f>
        <v>0</v>
      </c>
      <c r="L240" s="2">
        <f>'Raw Data Hotspot'!C82</f>
        <v>0</v>
      </c>
      <c r="M240" s="2">
        <f>'Raw Data Hotspot'!D82</f>
        <v>0</v>
      </c>
      <c r="N240" s="2">
        <f>'Raw Data Hotspot'!E82</f>
        <v>0</v>
      </c>
      <c r="O240" s="2">
        <f>'Raw Data Hotspot'!G82</f>
        <v>0</v>
      </c>
      <c r="P240" s="2">
        <f>'Raw Data Hotspot'!H82</f>
        <v>0</v>
      </c>
      <c r="Q240" s="2">
        <f>'Raw Data Hotspot'!I82</f>
        <v>0</v>
      </c>
      <c r="R240" s="2">
        <f>'Raw Data Hotspot'!J82</f>
        <v>0</v>
      </c>
      <c r="S240" s="2">
        <f>'Raw Data Hotspot'!K82</f>
        <v>0</v>
      </c>
      <c r="T240" s="2">
        <f>'Raw Data Hotspot'!N82</f>
        <v>0</v>
      </c>
      <c r="U240" s="2">
        <f t="shared" si="26"/>
        <v>0</v>
      </c>
      <c r="V240" s="12" t="str">
        <f>IF($T240=0, "", IF(COUNTIF('C00026'!$B$7:$B$41, $T240)=0, "Missing", "Y"))</f>
        <v/>
      </c>
      <c r="W240" s="12">
        <f t="shared" si="27"/>
        <v>0</v>
      </c>
    </row>
    <row r="241" spans="10:23" x14ac:dyDescent="0.25">
      <c r="J241" s="2">
        <f>'Raw Data Hotspot'!A83</f>
        <v>0</v>
      </c>
      <c r="K241" s="2">
        <f>'Raw Data Hotspot'!B83</f>
        <v>0</v>
      </c>
      <c r="L241" s="2">
        <f>'Raw Data Hotspot'!C83</f>
        <v>0</v>
      </c>
      <c r="M241" s="2">
        <f>'Raw Data Hotspot'!D83</f>
        <v>0</v>
      </c>
      <c r="N241" s="2">
        <f>'Raw Data Hotspot'!E83</f>
        <v>0</v>
      </c>
      <c r="O241" s="2">
        <f>'Raw Data Hotspot'!G83</f>
        <v>0</v>
      </c>
      <c r="P241" s="2">
        <f>'Raw Data Hotspot'!H83</f>
        <v>0</v>
      </c>
      <c r="Q241" s="2">
        <f>'Raw Data Hotspot'!I83</f>
        <v>0</v>
      </c>
      <c r="R241" s="2">
        <f>'Raw Data Hotspot'!J83</f>
        <v>0</v>
      </c>
      <c r="S241" s="2">
        <f>'Raw Data Hotspot'!K83</f>
        <v>0</v>
      </c>
      <c r="T241" s="2">
        <f>'Raw Data Hotspot'!N83</f>
        <v>0</v>
      </c>
      <c r="U241" s="2">
        <f t="shared" si="26"/>
        <v>0</v>
      </c>
      <c r="V241" s="12" t="str">
        <f>IF($T241=0, "", IF(COUNTIF('C00026'!$B$7:$B$41, $T241)=0, "Missing", "Y"))</f>
        <v/>
      </c>
      <c r="W241" s="12">
        <f t="shared" si="27"/>
        <v>0</v>
      </c>
    </row>
    <row r="242" spans="10:23" x14ac:dyDescent="0.25">
      <c r="J242" s="2">
        <f>'Raw Data Hotspot'!A84</f>
        <v>0</v>
      </c>
      <c r="K242" s="2">
        <f>'Raw Data Hotspot'!B84</f>
        <v>0</v>
      </c>
      <c r="L242" s="2">
        <f>'Raw Data Hotspot'!C84</f>
        <v>0</v>
      </c>
      <c r="M242" s="2">
        <f>'Raw Data Hotspot'!D84</f>
        <v>0</v>
      </c>
      <c r="N242" s="2">
        <f>'Raw Data Hotspot'!E84</f>
        <v>0</v>
      </c>
      <c r="O242" s="2">
        <f>'Raw Data Hotspot'!G84</f>
        <v>0</v>
      </c>
      <c r="P242" s="2">
        <f>'Raw Data Hotspot'!H84</f>
        <v>0</v>
      </c>
      <c r="Q242" s="2">
        <f>'Raw Data Hotspot'!I84</f>
        <v>0</v>
      </c>
      <c r="R242" s="2">
        <f>'Raw Data Hotspot'!J84</f>
        <v>0</v>
      </c>
      <c r="S242" s="2">
        <f>'Raw Data Hotspot'!K84</f>
        <v>0</v>
      </c>
      <c r="T242" s="2">
        <f>'Raw Data Hotspot'!N84</f>
        <v>0</v>
      </c>
      <c r="U242" s="2">
        <f t="shared" si="26"/>
        <v>0</v>
      </c>
      <c r="V242" s="12" t="str">
        <f>IF($T242=0, "", IF(COUNTIF('C00026'!$B$7:$B$41, $T242)=0, "Missing", "Y"))</f>
        <v/>
      </c>
      <c r="W242" s="12">
        <f t="shared" si="27"/>
        <v>0</v>
      </c>
    </row>
    <row r="243" spans="10:23" x14ac:dyDescent="0.25">
      <c r="J243" s="2">
        <f>'Raw Data Hotspot'!A85</f>
        <v>0</v>
      </c>
      <c r="K243" s="2">
        <f>'Raw Data Hotspot'!B85</f>
        <v>0</v>
      </c>
      <c r="L243" s="2">
        <f>'Raw Data Hotspot'!C85</f>
        <v>0</v>
      </c>
      <c r="M243" s="2">
        <f>'Raw Data Hotspot'!D85</f>
        <v>0</v>
      </c>
      <c r="N243" s="2">
        <f>'Raw Data Hotspot'!E85</f>
        <v>0</v>
      </c>
      <c r="O243" s="2">
        <f>'Raw Data Hotspot'!G85</f>
        <v>0</v>
      </c>
      <c r="P243" s="2">
        <f>'Raw Data Hotspot'!H85</f>
        <v>0</v>
      </c>
      <c r="Q243" s="2">
        <f>'Raw Data Hotspot'!I85</f>
        <v>0</v>
      </c>
      <c r="R243" s="2">
        <f>'Raw Data Hotspot'!J85</f>
        <v>0</v>
      </c>
      <c r="S243" s="2">
        <f>'Raw Data Hotspot'!K85</f>
        <v>0</v>
      </c>
      <c r="T243" s="2">
        <f>'Raw Data Hotspot'!N85</f>
        <v>0</v>
      </c>
      <c r="U243" s="2">
        <f t="shared" si="26"/>
        <v>0</v>
      </c>
      <c r="V243" s="12" t="str">
        <f>IF($T243=0, "", IF(COUNTIF('C00026'!$B$7:$B$41, $T243)=0, "Missing", "Y"))</f>
        <v/>
      </c>
      <c r="W243" s="12">
        <f t="shared" si="27"/>
        <v>0</v>
      </c>
    </row>
    <row r="244" spans="10:23" x14ac:dyDescent="0.25">
      <c r="J244" s="2">
        <f>'Raw Data Hotspot'!A86</f>
        <v>0</v>
      </c>
      <c r="K244" s="2">
        <f>'Raw Data Hotspot'!B86</f>
        <v>0</v>
      </c>
      <c r="L244" s="2">
        <f>'Raw Data Hotspot'!C86</f>
        <v>0</v>
      </c>
      <c r="M244" s="2">
        <f>'Raw Data Hotspot'!D86</f>
        <v>0</v>
      </c>
      <c r="N244" s="2">
        <f>'Raw Data Hotspot'!E86</f>
        <v>0</v>
      </c>
      <c r="O244" s="2">
        <f>'Raw Data Hotspot'!G86</f>
        <v>0</v>
      </c>
      <c r="P244" s="2">
        <f>'Raw Data Hotspot'!H86</f>
        <v>0</v>
      </c>
      <c r="Q244" s="2">
        <f>'Raw Data Hotspot'!I86</f>
        <v>0</v>
      </c>
      <c r="R244" s="2">
        <f>'Raw Data Hotspot'!J86</f>
        <v>0</v>
      </c>
      <c r="S244" s="2">
        <f>'Raw Data Hotspot'!K86</f>
        <v>0</v>
      </c>
      <c r="T244" s="2">
        <f>'Raw Data Hotspot'!N86</f>
        <v>0</v>
      </c>
      <c r="U244" s="2">
        <f t="shared" si="26"/>
        <v>0</v>
      </c>
      <c r="V244" s="12" t="str">
        <f>IF($T244=0, "", IF(COUNTIF('C00026'!$B$7:$B$41, $T244)=0, "Missing", "Y"))</f>
        <v/>
      </c>
      <c r="W244" s="12">
        <f t="shared" si="27"/>
        <v>0</v>
      </c>
    </row>
    <row r="245" spans="10:23" x14ac:dyDescent="0.25">
      <c r="J245" s="2">
        <f>'Raw Data Hotspot'!A87</f>
        <v>0</v>
      </c>
      <c r="K245" s="2">
        <f>'Raw Data Hotspot'!B87</f>
        <v>0</v>
      </c>
      <c r="L245" s="2">
        <f>'Raw Data Hotspot'!C87</f>
        <v>0</v>
      </c>
      <c r="M245" s="2">
        <f>'Raw Data Hotspot'!D87</f>
        <v>0</v>
      </c>
      <c r="N245" s="2">
        <f>'Raw Data Hotspot'!E87</f>
        <v>0</v>
      </c>
      <c r="O245" s="2">
        <f>'Raw Data Hotspot'!G87</f>
        <v>0</v>
      </c>
      <c r="P245" s="2">
        <f>'Raw Data Hotspot'!H87</f>
        <v>0</v>
      </c>
      <c r="Q245" s="2">
        <f>'Raw Data Hotspot'!I87</f>
        <v>0</v>
      </c>
      <c r="R245" s="2">
        <f>'Raw Data Hotspot'!J87</f>
        <v>0</v>
      </c>
      <c r="S245" s="2">
        <f>'Raw Data Hotspot'!K87</f>
        <v>0</v>
      </c>
      <c r="T245" s="2">
        <f>'Raw Data Hotspot'!N87</f>
        <v>0</v>
      </c>
      <c r="U245" s="2">
        <f t="shared" si="26"/>
        <v>0</v>
      </c>
      <c r="V245" s="12" t="str">
        <f>IF($T245=0, "", IF(COUNTIF('C00026'!$B$7:$B$41, $T245)=0, "Missing", "Y"))</f>
        <v/>
      </c>
      <c r="W245" s="12">
        <f t="shared" si="27"/>
        <v>0</v>
      </c>
    </row>
    <row r="246" spans="10:23" x14ac:dyDescent="0.25">
      <c r="J246" s="2">
        <f>'Raw Data Hotspot'!A88</f>
        <v>0</v>
      </c>
      <c r="K246" s="2">
        <f>'Raw Data Hotspot'!B88</f>
        <v>0</v>
      </c>
      <c r="L246" s="2">
        <f>'Raw Data Hotspot'!C88</f>
        <v>0</v>
      </c>
      <c r="M246" s="2">
        <f>'Raw Data Hotspot'!D88</f>
        <v>0</v>
      </c>
      <c r="N246" s="2">
        <f>'Raw Data Hotspot'!E88</f>
        <v>0</v>
      </c>
      <c r="O246" s="2">
        <f>'Raw Data Hotspot'!G88</f>
        <v>0</v>
      </c>
      <c r="P246" s="2">
        <f>'Raw Data Hotspot'!H88</f>
        <v>0</v>
      </c>
      <c r="Q246" s="2">
        <f>'Raw Data Hotspot'!I88</f>
        <v>0</v>
      </c>
      <c r="R246" s="2">
        <f>'Raw Data Hotspot'!J88</f>
        <v>0</v>
      </c>
      <c r="S246" s="2">
        <f>'Raw Data Hotspot'!K88</f>
        <v>0</v>
      </c>
      <c r="T246" s="2">
        <f>'Raw Data Hotspot'!N88</f>
        <v>0</v>
      </c>
      <c r="U246" s="2">
        <f t="shared" si="26"/>
        <v>0</v>
      </c>
      <c r="V246" s="12" t="str">
        <f>IF($T246=0, "", IF(COUNTIF('C00026'!$B$7:$B$41, $T246)=0, "Missing", "Y"))</f>
        <v/>
      </c>
      <c r="W246" s="12">
        <f t="shared" si="27"/>
        <v>0</v>
      </c>
    </row>
    <row r="247" spans="10:23" x14ac:dyDescent="0.25">
      <c r="J247" s="2">
        <f>'Raw Data Hotspot'!A89</f>
        <v>0</v>
      </c>
      <c r="K247" s="2">
        <f>'Raw Data Hotspot'!B89</f>
        <v>0</v>
      </c>
      <c r="L247" s="2">
        <f>'Raw Data Hotspot'!C89</f>
        <v>0</v>
      </c>
      <c r="M247" s="2">
        <f>'Raw Data Hotspot'!D89</f>
        <v>0</v>
      </c>
      <c r="N247" s="2">
        <f>'Raw Data Hotspot'!E89</f>
        <v>0</v>
      </c>
      <c r="O247" s="2">
        <f>'Raw Data Hotspot'!G89</f>
        <v>0</v>
      </c>
      <c r="P247" s="2">
        <f>'Raw Data Hotspot'!H89</f>
        <v>0</v>
      </c>
      <c r="Q247" s="2">
        <f>'Raw Data Hotspot'!I89</f>
        <v>0</v>
      </c>
      <c r="R247" s="2">
        <f>'Raw Data Hotspot'!J89</f>
        <v>0</v>
      </c>
      <c r="S247" s="2">
        <f>'Raw Data Hotspot'!K89</f>
        <v>0</v>
      </c>
      <c r="T247" s="2">
        <f>'Raw Data Hotspot'!N89</f>
        <v>0</v>
      </c>
      <c r="U247" s="2">
        <f t="shared" si="26"/>
        <v>0</v>
      </c>
      <c r="V247" s="12" t="str">
        <f>IF($T247=0, "", IF(COUNTIF('C00026'!$B$7:$B$41, $T247)=0, "Missing", "Y"))</f>
        <v/>
      </c>
      <c r="W247" s="12">
        <f t="shared" si="27"/>
        <v>0</v>
      </c>
    </row>
    <row r="248" spans="10:23" x14ac:dyDescent="0.25">
      <c r="J248" s="2">
        <f>'Raw Data Hotspot'!A90</f>
        <v>0</v>
      </c>
      <c r="K248" s="2">
        <f>'Raw Data Hotspot'!B90</f>
        <v>0</v>
      </c>
      <c r="L248" s="2">
        <f>'Raw Data Hotspot'!C90</f>
        <v>0</v>
      </c>
      <c r="M248" s="2">
        <f>'Raw Data Hotspot'!D90</f>
        <v>0</v>
      </c>
      <c r="N248" s="2">
        <f>'Raw Data Hotspot'!E90</f>
        <v>0</v>
      </c>
      <c r="O248" s="2">
        <f>'Raw Data Hotspot'!G90</f>
        <v>0</v>
      </c>
      <c r="P248" s="2">
        <f>'Raw Data Hotspot'!H90</f>
        <v>0</v>
      </c>
      <c r="Q248" s="2">
        <f>'Raw Data Hotspot'!I90</f>
        <v>0</v>
      </c>
      <c r="R248" s="2">
        <f>'Raw Data Hotspot'!J90</f>
        <v>0</v>
      </c>
      <c r="S248" s="2">
        <f>'Raw Data Hotspot'!K90</f>
        <v>0</v>
      </c>
      <c r="T248" s="2">
        <f>'Raw Data Hotspot'!N90</f>
        <v>0</v>
      </c>
      <c r="U248" s="2">
        <f t="shared" si="26"/>
        <v>0</v>
      </c>
      <c r="V248" s="12" t="str">
        <f>IF($T248=0, "", IF(COUNTIF('C00026'!$B$7:$B$41, $T248)=0, "Missing", "Y"))</f>
        <v/>
      </c>
      <c r="W248" s="12">
        <f t="shared" si="27"/>
        <v>0</v>
      </c>
    </row>
  </sheetData>
  <mergeCells count="2">
    <mergeCell ref="A38:G38"/>
    <mergeCell ref="A39:B41"/>
  </mergeCells>
  <conditionalFormatting sqref="E7:E37">
    <cfRule type="containsText" dxfId="29" priority="3" operator="containsText" text="F">
      <formula>NOT(ISERROR(SEARCH("F",E7)))</formula>
    </cfRule>
    <cfRule type="cellIs" dxfId="28" priority="280" operator="equal">
      <formula>"Fail"</formula>
    </cfRule>
  </conditionalFormatting>
  <conditionalFormatting sqref="E42:E44 E80:E1048576 E1:E37">
    <cfRule type="cellIs" dxfId="27" priority="279" operator="equal">
      <formula>"Inspect"</formula>
    </cfRule>
  </conditionalFormatting>
  <conditionalFormatting sqref="D43:D44 D80:D1048576 D1:D37">
    <cfRule type="cellIs" dxfId="26" priority="278" operator="equal">
      <formula>#N/A</formula>
    </cfRule>
  </conditionalFormatting>
  <conditionalFormatting sqref="F39:F41">
    <cfRule type="cellIs" dxfId="25" priority="241" operator="equal">
      <formula>"Fail"</formula>
    </cfRule>
  </conditionalFormatting>
  <conditionalFormatting sqref="F39:F41">
    <cfRule type="cellIs" dxfId="24" priority="240" operator="equal">
      <formula>"Inspect"</formula>
    </cfRule>
  </conditionalFormatting>
  <conditionalFormatting sqref="E39:E40">
    <cfRule type="cellIs" dxfId="23" priority="239" operator="equal">
      <formula>#N/A</formula>
    </cfRule>
  </conditionalFormatting>
  <conditionalFormatting sqref="F39:F41">
    <cfRule type="cellIs" dxfId="22" priority="238" operator="equal">
      <formula>"Fail"</formula>
    </cfRule>
  </conditionalFormatting>
  <conditionalFormatting sqref="F39:F41">
    <cfRule type="cellIs" dxfId="21" priority="237" operator="equal">
      <formula>"Inspect"</formula>
    </cfRule>
  </conditionalFormatting>
  <conditionalFormatting sqref="E39:E40">
    <cfRule type="cellIs" dxfId="20" priority="236" operator="equal">
      <formula>#N/A</formula>
    </cfRule>
  </conditionalFormatting>
  <conditionalFormatting sqref="E7:E37">
    <cfRule type="cellIs" dxfId="19" priority="124" operator="equal">
      <formula>"Fail"</formula>
    </cfRule>
  </conditionalFormatting>
  <conditionalFormatting sqref="E7:E37">
    <cfRule type="cellIs" dxfId="18" priority="123" operator="equal">
      <formula>"Inspect"</formula>
    </cfRule>
  </conditionalFormatting>
  <conditionalFormatting sqref="D7:D37">
    <cfRule type="cellIs" dxfId="17" priority="122" operator="equal">
      <formula>#N/A</formula>
    </cfRule>
  </conditionalFormatting>
  <conditionalFormatting sqref="B4">
    <cfRule type="cellIs" dxfId="16" priority="4" operator="lessThan">
      <formula>1000</formula>
    </cfRule>
  </conditionalFormatting>
  <conditionalFormatting sqref="G39:G40">
    <cfRule type="cellIs" dxfId="15" priority="2" operator="greaterThan">
      <formula>3</formula>
    </cfRule>
  </conditionalFormatting>
  <conditionalFormatting sqref="G41">
    <cfRule type="cellIs" dxfId="14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26</xdr:col>
                    <xdr:colOff>171450</xdr:colOff>
                    <xdr:row>12</xdr:row>
                    <xdr:rowOff>209550</xdr:rowOff>
                  </from>
                  <to>
                    <xdr:col>31</xdr:col>
                    <xdr:colOff>504825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26</xdr:col>
                    <xdr:colOff>180975</xdr:colOff>
                    <xdr:row>17</xdr:row>
                    <xdr:rowOff>28575</xdr:rowOff>
                  </from>
                  <to>
                    <xdr:col>31</xdr:col>
                    <xdr:colOff>514350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81</v>
      </c>
      <c r="G3" t="s">
        <v>109</v>
      </c>
      <c r="H3" t="s">
        <v>110</v>
      </c>
      <c r="I3" t="s">
        <v>111</v>
      </c>
      <c r="J3" t="s">
        <v>15</v>
      </c>
      <c r="K3" t="s">
        <v>16</v>
      </c>
      <c r="L3" t="s">
        <v>17</v>
      </c>
      <c r="M3" t="s">
        <v>112</v>
      </c>
      <c r="N3" t="s">
        <v>113</v>
      </c>
      <c r="O3" t="s">
        <v>114</v>
      </c>
      <c r="P3" t="s">
        <v>115</v>
      </c>
      <c r="Q3" t="s">
        <v>18</v>
      </c>
      <c r="R3" t="s">
        <v>116</v>
      </c>
      <c r="S3" t="s">
        <v>117</v>
      </c>
      <c r="T3" t="s">
        <v>118</v>
      </c>
      <c r="U3" t="s">
        <v>119</v>
      </c>
      <c r="V3" t="s">
        <v>120</v>
      </c>
      <c r="W3" t="s">
        <v>121</v>
      </c>
      <c r="X3" t="s">
        <v>122</v>
      </c>
      <c r="Y3" t="s">
        <v>123</v>
      </c>
      <c r="Z3" t="s">
        <v>124</v>
      </c>
      <c r="AA3" t="s">
        <v>125</v>
      </c>
      <c r="AB3" t="s">
        <v>99</v>
      </c>
      <c r="AC3" t="s">
        <v>100</v>
      </c>
      <c r="AD3" t="s">
        <v>101</v>
      </c>
      <c r="AE3" t="s">
        <v>82</v>
      </c>
      <c r="AF3" t="s">
        <v>83</v>
      </c>
      <c r="AG3" t="s">
        <v>20</v>
      </c>
      <c r="AH3" t="s">
        <v>84</v>
      </c>
      <c r="AI3" t="s">
        <v>126</v>
      </c>
      <c r="AJ3" t="s">
        <v>127</v>
      </c>
      <c r="AK3" t="s">
        <v>128</v>
      </c>
      <c r="AL3" t="s">
        <v>19</v>
      </c>
      <c r="AM3" t="s">
        <v>129</v>
      </c>
      <c r="AN3" t="s">
        <v>130</v>
      </c>
      <c r="AO3" t="s">
        <v>131</v>
      </c>
      <c r="AP3" t="s">
        <v>132</v>
      </c>
      <c r="AQ3" t="s">
        <v>133</v>
      </c>
      <c r="AR3" t="s">
        <v>134</v>
      </c>
      <c r="AS3" t="s">
        <v>135</v>
      </c>
      <c r="AT3" t="s">
        <v>136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85</v>
      </c>
      <c r="G4">
        <v>1</v>
      </c>
      <c r="I4" t="s">
        <v>137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85</v>
      </c>
      <c r="Z4">
        <v>1</v>
      </c>
      <c r="AA4" s="30">
        <v>125.74</v>
      </c>
      <c r="AB4">
        <v>1</v>
      </c>
      <c r="AC4">
        <v>7</v>
      </c>
      <c r="AD4">
        <v>0.12</v>
      </c>
      <c r="AE4" t="s">
        <v>138</v>
      </c>
      <c r="AF4" t="s">
        <v>139</v>
      </c>
      <c r="AG4" t="s">
        <v>54</v>
      </c>
      <c r="AH4" t="s">
        <v>87</v>
      </c>
      <c r="AI4" t="s">
        <v>140</v>
      </c>
      <c r="AJ4" t="s">
        <v>140</v>
      </c>
      <c r="AK4" t="s">
        <v>52</v>
      </c>
      <c r="AL4" t="s">
        <v>52</v>
      </c>
      <c r="AM4" t="s">
        <v>141</v>
      </c>
      <c r="AN4" t="s">
        <v>52</v>
      </c>
      <c r="AO4" t="s">
        <v>142</v>
      </c>
      <c r="AP4" t="s">
        <v>143</v>
      </c>
      <c r="AQ4" t="s">
        <v>144</v>
      </c>
      <c r="AR4" t="s">
        <v>52</v>
      </c>
      <c r="AS4" t="s">
        <v>145</v>
      </c>
      <c r="AT4" t="s">
        <v>146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81</v>
      </c>
      <c r="G6" t="s">
        <v>109</v>
      </c>
      <c r="H6" t="s">
        <v>110</v>
      </c>
      <c r="I6" t="s">
        <v>111</v>
      </c>
      <c r="J6" t="s">
        <v>15</v>
      </c>
      <c r="K6" t="s">
        <v>16</v>
      </c>
      <c r="L6" t="s">
        <v>17</v>
      </c>
      <c r="M6" t="s">
        <v>112</v>
      </c>
      <c r="N6" t="s">
        <v>113</v>
      </c>
      <c r="O6" t="s">
        <v>114</v>
      </c>
      <c r="P6" t="s">
        <v>115</v>
      </c>
      <c r="Q6" t="s">
        <v>18</v>
      </c>
      <c r="R6" t="s">
        <v>116</v>
      </c>
      <c r="S6" t="s">
        <v>117</v>
      </c>
      <c r="T6" t="s">
        <v>118</v>
      </c>
      <c r="U6" t="s">
        <v>119</v>
      </c>
      <c r="V6" t="s">
        <v>120</v>
      </c>
      <c r="W6" t="s">
        <v>121</v>
      </c>
      <c r="X6" t="s">
        <v>122</v>
      </c>
      <c r="Y6" t="s">
        <v>123</v>
      </c>
      <c r="Z6" t="s">
        <v>124</v>
      </c>
      <c r="AA6" t="s">
        <v>125</v>
      </c>
      <c r="AB6" t="s">
        <v>99</v>
      </c>
      <c r="AC6" t="s">
        <v>100</v>
      </c>
      <c r="AD6" t="s">
        <v>101</v>
      </c>
      <c r="AE6" t="s">
        <v>82</v>
      </c>
      <c r="AF6" t="s">
        <v>83</v>
      </c>
      <c r="AG6" t="s">
        <v>20</v>
      </c>
      <c r="AH6" t="s">
        <v>84</v>
      </c>
      <c r="AI6" t="s">
        <v>126</v>
      </c>
      <c r="AJ6" t="s">
        <v>127</v>
      </c>
      <c r="AK6" t="s">
        <v>128</v>
      </c>
      <c r="AL6" t="s">
        <v>19</v>
      </c>
      <c r="AM6" t="s">
        <v>129</v>
      </c>
      <c r="AN6" t="s">
        <v>130</v>
      </c>
      <c r="AO6" t="s">
        <v>131</v>
      </c>
      <c r="AP6" t="s">
        <v>132</v>
      </c>
      <c r="AQ6" t="s">
        <v>133</v>
      </c>
      <c r="AR6" t="s">
        <v>134</v>
      </c>
      <c r="AS6" t="s">
        <v>135</v>
      </c>
      <c r="AT6" t="s">
        <v>136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85</v>
      </c>
      <c r="G7">
        <v>3</v>
      </c>
      <c r="I7" t="s">
        <v>137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85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147</v>
      </c>
      <c r="AF7" t="s">
        <v>148</v>
      </c>
      <c r="AG7" t="s">
        <v>25</v>
      </c>
      <c r="AH7" t="s">
        <v>89</v>
      </c>
      <c r="AI7" t="s">
        <v>140</v>
      </c>
      <c r="AJ7" t="s">
        <v>140</v>
      </c>
      <c r="AK7" t="s">
        <v>24</v>
      </c>
      <c r="AL7" t="s">
        <v>24</v>
      </c>
      <c r="AM7" t="s">
        <v>149</v>
      </c>
      <c r="AN7" t="s">
        <v>24</v>
      </c>
      <c r="AO7" t="s">
        <v>142</v>
      </c>
      <c r="AP7" t="s">
        <v>150</v>
      </c>
      <c r="AQ7" t="s">
        <v>151</v>
      </c>
      <c r="AR7" t="s">
        <v>24</v>
      </c>
      <c r="AS7" t="s">
        <v>145</v>
      </c>
      <c r="AT7" t="s">
        <v>152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140</v>
      </c>
      <c r="G8">
        <v>3</v>
      </c>
      <c r="I8" t="s">
        <v>137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85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140</v>
      </c>
      <c r="AJ8" t="s">
        <v>85</v>
      </c>
      <c r="AK8" t="s">
        <v>24</v>
      </c>
      <c r="AL8" t="s">
        <v>24</v>
      </c>
      <c r="AM8" t="s">
        <v>149</v>
      </c>
      <c r="AN8" t="s">
        <v>24</v>
      </c>
      <c r="AO8" t="s">
        <v>142</v>
      </c>
      <c r="AP8" t="s">
        <v>150</v>
      </c>
      <c r="AQ8" t="s">
        <v>151</v>
      </c>
      <c r="AR8" t="s">
        <v>24</v>
      </c>
      <c r="AS8" t="s">
        <v>145</v>
      </c>
      <c r="AT8" t="s">
        <v>152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81</v>
      </c>
      <c r="G11" t="s">
        <v>109</v>
      </c>
      <c r="H11" t="s">
        <v>110</v>
      </c>
      <c r="I11" t="s">
        <v>111</v>
      </c>
      <c r="J11" t="s">
        <v>15</v>
      </c>
      <c r="K11" t="s">
        <v>16</v>
      </c>
      <c r="L11" t="s">
        <v>17</v>
      </c>
      <c r="M11" t="s">
        <v>112</v>
      </c>
      <c r="N11" t="s">
        <v>113</v>
      </c>
      <c r="O11" t="s">
        <v>114</v>
      </c>
      <c r="P11" t="s">
        <v>115</v>
      </c>
      <c r="Q11" t="s">
        <v>18</v>
      </c>
      <c r="R11" t="s">
        <v>116</v>
      </c>
      <c r="S11" t="s">
        <v>117</v>
      </c>
      <c r="T11" t="s">
        <v>118</v>
      </c>
      <c r="U11" t="s">
        <v>119</v>
      </c>
      <c r="V11" t="s">
        <v>120</v>
      </c>
      <c r="W11" t="s">
        <v>121</v>
      </c>
      <c r="X11" t="s">
        <v>122</v>
      </c>
      <c r="Y11" t="s">
        <v>123</v>
      </c>
      <c r="Z11" t="s">
        <v>124</v>
      </c>
      <c r="AA11" t="s">
        <v>125</v>
      </c>
      <c r="AB11" t="s">
        <v>99</v>
      </c>
      <c r="AC11" t="s">
        <v>100</v>
      </c>
      <c r="AD11" t="s">
        <v>101</v>
      </c>
      <c r="AE11" t="s">
        <v>82</v>
      </c>
      <c r="AF11" t="s">
        <v>83</v>
      </c>
      <c r="AG11" t="s">
        <v>20</v>
      </c>
      <c r="AH11" t="s">
        <v>84</v>
      </c>
      <c r="AI11" t="s">
        <v>126</v>
      </c>
      <c r="AJ11" t="s">
        <v>127</v>
      </c>
      <c r="AK11" t="s">
        <v>128</v>
      </c>
      <c r="AL11" t="s">
        <v>19</v>
      </c>
      <c r="AM11" t="s">
        <v>129</v>
      </c>
      <c r="AN11" t="s">
        <v>130</v>
      </c>
      <c r="AO11" t="s">
        <v>131</v>
      </c>
      <c r="AP11" t="s">
        <v>132</v>
      </c>
      <c r="AQ11" t="s">
        <v>133</v>
      </c>
      <c r="AR11" t="s">
        <v>134</v>
      </c>
      <c r="AS11" t="s">
        <v>135</v>
      </c>
      <c r="AT11" t="s">
        <v>136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85</v>
      </c>
      <c r="G12">
        <v>15</v>
      </c>
      <c r="I12" t="s">
        <v>137</v>
      </c>
      <c r="J12">
        <v>7</v>
      </c>
      <c r="K12">
        <v>1022</v>
      </c>
      <c r="L12" s="29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85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153</v>
      </c>
      <c r="AF12" t="s">
        <v>154</v>
      </c>
      <c r="AG12" t="s">
        <v>40</v>
      </c>
      <c r="AH12" t="s">
        <v>94</v>
      </c>
      <c r="AI12" t="s">
        <v>140</v>
      </c>
      <c r="AJ12" t="s">
        <v>140</v>
      </c>
      <c r="AK12" t="s">
        <v>36</v>
      </c>
      <c r="AL12" t="s">
        <v>36</v>
      </c>
      <c r="AM12" t="s">
        <v>155</v>
      </c>
      <c r="AN12" t="s">
        <v>36</v>
      </c>
      <c r="AO12" t="s">
        <v>145</v>
      </c>
      <c r="AP12" t="s">
        <v>156</v>
      </c>
      <c r="AQ12" t="s">
        <v>157</v>
      </c>
      <c r="AR12" t="s">
        <v>36</v>
      </c>
      <c r="AS12" t="s">
        <v>145</v>
      </c>
      <c r="AT12" t="s">
        <v>158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140</v>
      </c>
      <c r="G13">
        <v>15</v>
      </c>
      <c r="I13" t="s">
        <v>137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85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140</v>
      </c>
      <c r="AJ13" t="s">
        <v>85</v>
      </c>
      <c r="AK13" t="s">
        <v>36</v>
      </c>
      <c r="AL13" t="s">
        <v>36</v>
      </c>
      <c r="AM13" t="s">
        <v>155</v>
      </c>
      <c r="AN13" t="s">
        <v>36</v>
      </c>
      <c r="AO13" t="s">
        <v>145</v>
      </c>
      <c r="AP13" t="s">
        <v>156</v>
      </c>
      <c r="AQ13" t="s">
        <v>157</v>
      </c>
      <c r="AR13" t="s">
        <v>36</v>
      </c>
      <c r="AS13" t="s">
        <v>145</v>
      </c>
      <c r="AT13" t="s">
        <v>158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81</v>
      </c>
      <c r="G16" t="s">
        <v>109</v>
      </c>
      <c r="H16" t="s">
        <v>110</v>
      </c>
      <c r="I16" t="s">
        <v>111</v>
      </c>
      <c r="J16" t="s">
        <v>15</v>
      </c>
      <c r="K16" t="s">
        <v>16</v>
      </c>
      <c r="L16" t="s">
        <v>17</v>
      </c>
      <c r="M16" t="s">
        <v>112</v>
      </c>
      <c r="N16" t="s">
        <v>113</v>
      </c>
      <c r="O16" t="s">
        <v>114</v>
      </c>
      <c r="P16" t="s">
        <v>115</v>
      </c>
      <c r="Q16" t="s">
        <v>18</v>
      </c>
      <c r="R16" t="s">
        <v>116</v>
      </c>
      <c r="S16" t="s">
        <v>117</v>
      </c>
      <c r="T16" t="s">
        <v>118</v>
      </c>
      <c r="U16" t="s">
        <v>119</v>
      </c>
      <c r="V16" t="s">
        <v>120</v>
      </c>
      <c r="W16" t="s">
        <v>121</v>
      </c>
      <c r="X16" t="s">
        <v>122</v>
      </c>
      <c r="Y16" t="s">
        <v>123</v>
      </c>
      <c r="Z16" t="s">
        <v>124</v>
      </c>
      <c r="AA16" t="s">
        <v>125</v>
      </c>
      <c r="AB16" t="s">
        <v>99</v>
      </c>
      <c r="AC16" t="s">
        <v>100</v>
      </c>
      <c r="AD16" t="s">
        <v>101</v>
      </c>
      <c r="AE16" t="s">
        <v>82</v>
      </c>
      <c r="AF16" t="s">
        <v>83</v>
      </c>
      <c r="AG16" t="s">
        <v>20</v>
      </c>
      <c r="AH16" t="s">
        <v>84</v>
      </c>
      <c r="AI16" t="s">
        <v>126</v>
      </c>
      <c r="AJ16" t="s">
        <v>127</v>
      </c>
      <c r="AK16" t="s">
        <v>128</v>
      </c>
      <c r="AL16" t="s">
        <v>19</v>
      </c>
      <c r="AM16" t="s">
        <v>129</v>
      </c>
      <c r="AN16" t="s">
        <v>130</v>
      </c>
      <c r="AO16" t="s">
        <v>131</v>
      </c>
      <c r="AP16" t="s">
        <v>132</v>
      </c>
      <c r="AQ16" t="s">
        <v>133</v>
      </c>
      <c r="AR16" t="s">
        <v>134</v>
      </c>
      <c r="AS16" t="s">
        <v>135</v>
      </c>
      <c r="AT16" t="s">
        <v>136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85</v>
      </c>
      <c r="G17">
        <v>1</v>
      </c>
      <c r="I17" t="s">
        <v>137</v>
      </c>
      <c r="J17">
        <v>6</v>
      </c>
      <c r="K17">
        <v>1507</v>
      </c>
      <c r="L17" s="30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85</v>
      </c>
      <c r="Z17">
        <v>1</v>
      </c>
      <c r="AA17" s="30">
        <v>98.5</v>
      </c>
      <c r="AB17">
        <v>1</v>
      </c>
      <c r="AC17">
        <v>5</v>
      </c>
      <c r="AD17">
        <v>0.17</v>
      </c>
      <c r="AE17" t="s">
        <v>159</v>
      </c>
      <c r="AF17" t="s">
        <v>160</v>
      </c>
      <c r="AG17" t="s">
        <v>102</v>
      </c>
      <c r="AH17" t="s">
        <v>161</v>
      </c>
      <c r="AI17" t="s">
        <v>140</v>
      </c>
      <c r="AJ17" t="s">
        <v>140</v>
      </c>
      <c r="AK17" t="s">
        <v>162</v>
      </c>
      <c r="AL17" t="s">
        <v>163</v>
      </c>
      <c r="AM17" t="s">
        <v>164</v>
      </c>
      <c r="AN17" t="s">
        <v>162</v>
      </c>
      <c r="AO17" t="s">
        <v>165</v>
      </c>
      <c r="AP17" t="s">
        <v>166</v>
      </c>
      <c r="AQ17" t="s">
        <v>157</v>
      </c>
      <c r="AR17" t="s">
        <v>162</v>
      </c>
      <c r="AS17" t="s">
        <v>165</v>
      </c>
      <c r="AT17" t="s">
        <v>167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140</v>
      </c>
      <c r="G18">
        <v>1</v>
      </c>
      <c r="I18" t="s">
        <v>137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85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140</v>
      </c>
      <c r="AJ18" t="s">
        <v>85</v>
      </c>
      <c r="AK18" t="s">
        <v>162</v>
      </c>
      <c r="AL18" t="s">
        <v>163</v>
      </c>
      <c r="AM18" t="s">
        <v>164</v>
      </c>
      <c r="AN18" t="s">
        <v>162</v>
      </c>
      <c r="AO18" t="s">
        <v>165</v>
      </c>
      <c r="AP18" t="s">
        <v>166</v>
      </c>
      <c r="AQ18" t="s">
        <v>157</v>
      </c>
      <c r="AR18" t="s">
        <v>162</v>
      </c>
      <c r="AS18" t="s">
        <v>165</v>
      </c>
      <c r="AT18" t="s">
        <v>167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81</v>
      </c>
      <c r="G21" t="s">
        <v>109</v>
      </c>
      <c r="H21" t="s">
        <v>110</v>
      </c>
      <c r="I21" t="s">
        <v>111</v>
      </c>
      <c r="J21" t="s">
        <v>15</v>
      </c>
      <c r="K21" t="s">
        <v>16</v>
      </c>
      <c r="L21" t="s">
        <v>17</v>
      </c>
      <c r="M21" t="s">
        <v>112</v>
      </c>
      <c r="N21" t="s">
        <v>113</v>
      </c>
      <c r="O21" t="s">
        <v>114</v>
      </c>
      <c r="P21" t="s">
        <v>115</v>
      </c>
      <c r="Q21" t="s">
        <v>18</v>
      </c>
      <c r="R21" t="s">
        <v>116</v>
      </c>
      <c r="S21" t="s">
        <v>117</v>
      </c>
      <c r="T21" t="s">
        <v>118</v>
      </c>
      <c r="U21" t="s">
        <v>119</v>
      </c>
      <c r="V21" t="s">
        <v>120</v>
      </c>
      <c r="W21" t="s">
        <v>121</v>
      </c>
      <c r="X21" t="s">
        <v>122</v>
      </c>
      <c r="Y21" t="s">
        <v>123</v>
      </c>
      <c r="Z21" t="s">
        <v>124</v>
      </c>
      <c r="AA21" t="s">
        <v>125</v>
      </c>
      <c r="AB21" t="s">
        <v>99</v>
      </c>
      <c r="AC21" t="s">
        <v>100</v>
      </c>
      <c r="AD21" t="s">
        <v>101</v>
      </c>
      <c r="AE21" t="s">
        <v>82</v>
      </c>
      <c r="AF21" t="s">
        <v>83</v>
      </c>
      <c r="AG21" t="s">
        <v>20</v>
      </c>
      <c r="AH21" t="s">
        <v>84</v>
      </c>
      <c r="AI21" t="s">
        <v>126</v>
      </c>
      <c r="AJ21" t="s">
        <v>127</v>
      </c>
      <c r="AK21" t="s">
        <v>128</v>
      </c>
      <c r="AL21" t="s">
        <v>19</v>
      </c>
      <c r="AM21" t="s">
        <v>129</v>
      </c>
      <c r="AN21" t="s">
        <v>130</v>
      </c>
      <c r="AO21" t="s">
        <v>131</v>
      </c>
      <c r="AP21" t="s">
        <v>132</v>
      </c>
      <c r="AQ21" t="s">
        <v>133</v>
      </c>
      <c r="AR21" t="s">
        <v>134</v>
      </c>
      <c r="AS21" t="s">
        <v>135</v>
      </c>
      <c r="AT21" t="s">
        <v>136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85</v>
      </c>
      <c r="G22">
        <v>3</v>
      </c>
      <c r="I22" t="s">
        <v>137</v>
      </c>
      <c r="J22">
        <v>6</v>
      </c>
      <c r="K22">
        <v>945</v>
      </c>
      <c r="L22" s="30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85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168</v>
      </c>
      <c r="AF22" t="s">
        <v>169</v>
      </c>
      <c r="AG22" t="s">
        <v>49</v>
      </c>
      <c r="AH22" t="s">
        <v>88</v>
      </c>
      <c r="AI22" t="s">
        <v>85</v>
      </c>
      <c r="AJ22" t="s">
        <v>140</v>
      </c>
      <c r="AK22" t="s">
        <v>45</v>
      </c>
      <c r="AL22" t="s">
        <v>45</v>
      </c>
      <c r="AM22" t="s">
        <v>170</v>
      </c>
      <c r="AN22" t="s">
        <v>45</v>
      </c>
      <c r="AO22" t="s">
        <v>171</v>
      </c>
      <c r="AP22" t="s">
        <v>172</v>
      </c>
      <c r="AQ22" t="s">
        <v>173</v>
      </c>
      <c r="AR22" t="s">
        <v>45</v>
      </c>
      <c r="AS22" t="s">
        <v>145</v>
      </c>
      <c r="AT22" t="s">
        <v>174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140</v>
      </c>
      <c r="G23">
        <v>3</v>
      </c>
      <c r="I23" t="s">
        <v>137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85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85</v>
      </c>
      <c r="AJ23" t="s">
        <v>85</v>
      </c>
      <c r="AK23" t="s">
        <v>45</v>
      </c>
      <c r="AL23" t="s">
        <v>45</v>
      </c>
      <c r="AM23" t="s">
        <v>170</v>
      </c>
      <c r="AN23" t="s">
        <v>45</v>
      </c>
      <c r="AO23" t="s">
        <v>171</v>
      </c>
      <c r="AP23" t="s">
        <v>172</v>
      </c>
      <c r="AQ23" t="s">
        <v>173</v>
      </c>
      <c r="AR23" t="s">
        <v>45</v>
      </c>
      <c r="AS23" t="s">
        <v>145</v>
      </c>
      <c r="AT23" t="s">
        <v>174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81</v>
      </c>
      <c r="G25" t="s">
        <v>109</v>
      </c>
      <c r="H25" t="s">
        <v>110</v>
      </c>
      <c r="I25" t="s">
        <v>111</v>
      </c>
      <c r="J25" t="s">
        <v>15</v>
      </c>
      <c r="K25" t="s">
        <v>16</v>
      </c>
      <c r="L25" t="s">
        <v>17</v>
      </c>
      <c r="M25" t="s">
        <v>112</v>
      </c>
      <c r="N25" t="s">
        <v>113</v>
      </c>
      <c r="O25" t="s">
        <v>114</v>
      </c>
      <c r="P25" t="s">
        <v>115</v>
      </c>
      <c r="Q25" t="s">
        <v>18</v>
      </c>
      <c r="R25" t="s">
        <v>116</v>
      </c>
      <c r="S25" t="s">
        <v>117</v>
      </c>
      <c r="T25" t="s">
        <v>118</v>
      </c>
      <c r="U25" t="s">
        <v>119</v>
      </c>
      <c r="V25" t="s">
        <v>120</v>
      </c>
      <c r="W25" t="s">
        <v>121</v>
      </c>
      <c r="X25" t="s">
        <v>122</v>
      </c>
      <c r="Y25" t="s">
        <v>123</v>
      </c>
      <c r="Z25" t="s">
        <v>124</v>
      </c>
      <c r="AA25" t="s">
        <v>125</v>
      </c>
      <c r="AB25" t="s">
        <v>99</v>
      </c>
      <c r="AC25" t="s">
        <v>100</v>
      </c>
      <c r="AD25" t="s">
        <v>101</v>
      </c>
      <c r="AE25" t="s">
        <v>82</v>
      </c>
      <c r="AF25" t="s">
        <v>83</v>
      </c>
      <c r="AG25" t="s">
        <v>20</v>
      </c>
      <c r="AH25" t="s">
        <v>84</v>
      </c>
      <c r="AI25" t="s">
        <v>126</v>
      </c>
      <c r="AJ25" t="s">
        <v>127</v>
      </c>
      <c r="AK25" t="s">
        <v>128</v>
      </c>
      <c r="AL25" t="s">
        <v>19</v>
      </c>
      <c r="AM25" t="s">
        <v>129</v>
      </c>
      <c r="AN25" t="s">
        <v>130</v>
      </c>
      <c r="AO25" t="s">
        <v>131</v>
      </c>
      <c r="AP25" t="s">
        <v>132</v>
      </c>
      <c r="AQ25" t="s">
        <v>133</v>
      </c>
      <c r="AR25" t="s">
        <v>134</v>
      </c>
      <c r="AS25" t="s">
        <v>135</v>
      </c>
      <c r="AT25" t="s">
        <v>136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85</v>
      </c>
      <c r="G26">
        <v>1</v>
      </c>
      <c r="I26" t="s">
        <v>137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85</v>
      </c>
      <c r="Z26">
        <v>1</v>
      </c>
      <c r="AA26" s="30">
        <v>125.74</v>
      </c>
      <c r="AB26">
        <v>1</v>
      </c>
      <c r="AC26">
        <v>7</v>
      </c>
      <c r="AD26">
        <v>0.12</v>
      </c>
      <c r="AE26" t="s">
        <v>138</v>
      </c>
      <c r="AF26" t="s">
        <v>139</v>
      </c>
      <c r="AG26" t="s">
        <v>54</v>
      </c>
      <c r="AH26" t="s">
        <v>87</v>
      </c>
      <c r="AI26" t="s">
        <v>140</v>
      </c>
      <c r="AJ26" t="s">
        <v>140</v>
      </c>
      <c r="AK26" t="s">
        <v>52</v>
      </c>
      <c r="AL26" t="s">
        <v>52</v>
      </c>
      <c r="AM26" t="s">
        <v>141</v>
      </c>
      <c r="AN26" t="s">
        <v>52</v>
      </c>
      <c r="AO26" t="s">
        <v>142</v>
      </c>
      <c r="AP26" t="s">
        <v>143</v>
      </c>
      <c r="AQ26" t="s">
        <v>144</v>
      </c>
      <c r="AR26" t="s">
        <v>52</v>
      </c>
      <c r="AS26" t="s">
        <v>145</v>
      </c>
      <c r="AT26" t="s">
        <v>146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140</v>
      </c>
      <c r="G27">
        <v>1</v>
      </c>
      <c r="I27" t="s">
        <v>137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85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140</v>
      </c>
      <c r="AJ27" t="s">
        <v>85</v>
      </c>
      <c r="AK27" t="s">
        <v>52</v>
      </c>
      <c r="AL27" t="s">
        <v>52</v>
      </c>
      <c r="AM27" t="s">
        <v>141</v>
      </c>
      <c r="AN27" t="s">
        <v>52</v>
      </c>
      <c r="AO27" t="s">
        <v>142</v>
      </c>
      <c r="AP27" t="s">
        <v>143</v>
      </c>
      <c r="AQ27" t="s">
        <v>144</v>
      </c>
      <c r="AR27" t="s">
        <v>52</v>
      </c>
      <c r="AS27" t="s">
        <v>145</v>
      </c>
      <c r="AT27" t="s">
        <v>146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81</v>
      </c>
      <c r="G30" t="s">
        <v>109</v>
      </c>
      <c r="H30" t="s">
        <v>110</v>
      </c>
      <c r="I30" t="s">
        <v>111</v>
      </c>
      <c r="J30" t="s">
        <v>15</v>
      </c>
      <c r="K30" t="s">
        <v>16</v>
      </c>
      <c r="L30" t="s">
        <v>17</v>
      </c>
      <c r="M30" t="s">
        <v>112</v>
      </c>
      <c r="N30" t="s">
        <v>113</v>
      </c>
      <c r="O30" t="s">
        <v>114</v>
      </c>
      <c r="P30" t="s">
        <v>115</v>
      </c>
      <c r="Q30" t="s">
        <v>18</v>
      </c>
      <c r="R30" t="s">
        <v>116</v>
      </c>
      <c r="S30" t="s">
        <v>117</v>
      </c>
      <c r="T30" t="s">
        <v>118</v>
      </c>
      <c r="U30" t="s">
        <v>119</v>
      </c>
      <c r="V30" t="s">
        <v>120</v>
      </c>
      <c r="W30" t="s">
        <v>121</v>
      </c>
      <c r="X30" t="s">
        <v>122</v>
      </c>
      <c r="Y30" t="s">
        <v>123</v>
      </c>
      <c r="Z30" t="s">
        <v>124</v>
      </c>
      <c r="AA30" t="s">
        <v>125</v>
      </c>
      <c r="AB30" t="s">
        <v>99</v>
      </c>
      <c r="AC30" t="s">
        <v>100</v>
      </c>
      <c r="AD30" t="s">
        <v>101</v>
      </c>
      <c r="AE30" t="s">
        <v>82</v>
      </c>
      <c r="AF30" t="s">
        <v>83</v>
      </c>
      <c r="AG30" t="s">
        <v>20</v>
      </c>
      <c r="AH30" t="s">
        <v>84</v>
      </c>
      <c r="AI30" t="s">
        <v>126</v>
      </c>
      <c r="AJ30" t="s">
        <v>127</v>
      </c>
      <c r="AK30" t="s">
        <v>128</v>
      </c>
      <c r="AL30" t="s">
        <v>19</v>
      </c>
      <c r="AM30" t="s">
        <v>129</v>
      </c>
      <c r="AN30" t="s">
        <v>130</v>
      </c>
      <c r="AO30" t="s">
        <v>131</v>
      </c>
      <c r="AP30" t="s">
        <v>132</v>
      </c>
      <c r="AQ30" t="s">
        <v>133</v>
      </c>
      <c r="AR30" t="s">
        <v>134</v>
      </c>
      <c r="AS30" t="s">
        <v>135</v>
      </c>
      <c r="AT30" t="s">
        <v>136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85</v>
      </c>
      <c r="G31">
        <v>1</v>
      </c>
      <c r="I31" t="s">
        <v>137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85</v>
      </c>
      <c r="Z31">
        <v>1</v>
      </c>
      <c r="AA31" s="30">
        <v>114.58</v>
      </c>
      <c r="AB31">
        <v>3</v>
      </c>
      <c r="AC31">
        <v>1</v>
      </c>
      <c r="AD31">
        <v>0.75</v>
      </c>
      <c r="AE31" t="s">
        <v>175</v>
      </c>
      <c r="AF31" t="s">
        <v>176</v>
      </c>
      <c r="AG31" t="s">
        <v>103</v>
      </c>
      <c r="AH31" t="s">
        <v>177</v>
      </c>
      <c r="AI31" t="s">
        <v>140</v>
      </c>
      <c r="AJ31" t="s">
        <v>140</v>
      </c>
      <c r="AK31" t="s">
        <v>58</v>
      </c>
      <c r="AL31" t="s">
        <v>58</v>
      </c>
      <c r="AM31" t="s">
        <v>178</v>
      </c>
      <c r="AN31" t="s">
        <v>58</v>
      </c>
      <c r="AO31" t="s">
        <v>145</v>
      </c>
      <c r="AP31" t="s">
        <v>179</v>
      </c>
      <c r="AQ31" t="s">
        <v>180</v>
      </c>
      <c r="AR31" t="s">
        <v>58</v>
      </c>
      <c r="AS31" t="s">
        <v>145</v>
      </c>
      <c r="AT31" t="s">
        <v>181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85</v>
      </c>
      <c r="G32">
        <v>1</v>
      </c>
      <c r="I32" t="s">
        <v>137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85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182</v>
      </c>
      <c r="AF32" t="s">
        <v>183</v>
      </c>
      <c r="AG32" t="s">
        <v>60</v>
      </c>
      <c r="AH32" t="s">
        <v>95</v>
      </c>
      <c r="AI32" t="s">
        <v>140</v>
      </c>
      <c r="AJ32" t="s">
        <v>140</v>
      </c>
      <c r="AK32" t="s">
        <v>58</v>
      </c>
      <c r="AL32" t="s">
        <v>58</v>
      </c>
      <c r="AM32" t="s">
        <v>178</v>
      </c>
      <c r="AN32" t="s">
        <v>58</v>
      </c>
      <c r="AO32" t="s">
        <v>145</v>
      </c>
      <c r="AP32" t="s">
        <v>179</v>
      </c>
      <c r="AQ32" t="s">
        <v>180</v>
      </c>
      <c r="AR32" t="s">
        <v>58</v>
      </c>
      <c r="AS32" t="s">
        <v>145</v>
      </c>
      <c r="AT32" t="s">
        <v>181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140</v>
      </c>
      <c r="G33">
        <v>1</v>
      </c>
      <c r="I33" t="s">
        <v>137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85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140</v>
      </c>
      <c r="AJ33" t="s">
        <v>85</v>
      </c>
      <c r="AK33" t="s">
        <v>58</v>
      </c>
      <c r="AL33" t="s">
        <v>58</v>
      </c>
      <c r="AM33" t="s">
        <v>178</v>
      </c>
      <c r="AN33" t="s">
        <v>58</v>
      </c>
      <c r="AO33" t="s">
        <v>145</v>
      </c>
      <c r="AP33" t="s">
        <v>179</v>
      </c>
      <c r="AQ33" t="s">
        <v>180</v>
      </c>
      <c r="AR33" t="s">
        <v>58</v>
      </c>
      <c r="AS33" t="s">
        <v>145</v>
      </c>
      <c r="AT33" t="s">
        <v>181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81</v>
      </c>
      <c r="G36" t="s">
        <v>109</v>
      </c>
      <c r="H36" t="s">
        <v>110</v>
      </c>
      <c r="I36" t="s">
        <v>111</v>
      </c>
      <c r="J36" t="s">
        <v>15</v>
      </c>
      <c r="K36" t="s">
        <v>16</v>
      </c>
      <c r="L36" t="s">
        <v>17</v>
      </c>
      <c r="M36" t="s">
        <v>112</v>
      </c>
      <c r="N36" t="s">
        <v>113</v>
      </c>
      <c r="O36" t="s">
        <v>114</v>
      </c>
      <c r="P36" t="s">
        <v>115</v>
      </c>
      <c r="Q36" t="s">
        <v>18</v>
      </c>
      <c r="R36" t="s">
        <v>116</v>
      </c>
      <c r="S36" t="s">
        <v>117</v>
      </c>
      <c r="T36" t="s">
        <v>118</v>
      </c>
      <c r="U36" t="s">
        <v>119</v>
      </c>
      <c r="V36" t="s">
        <v>120</v>
      </c>
      <c r="W36" t="s">
        <v>121</v>
      </c>
      <c r="X36" t="s">
        <v>122</v>
      </c>
      <c r="Y36" t="s">
        <v>123</v>
      </c>
      <c r="Z36" t="s">
        <v>124</v>
      </c>
      <c r="AA36" t="s">
        <v>125</v>
      </c>
      <c r="AB36" t="s">
        <v>99</v>
      </c>
      <c r="AC36" t="s">
        <v>100</v>
      </c>
      <c r="AD36" t="s">
        <v>101</v>
      </c>
      <c r="AE36" t="s">
        <v>82</v>
      </c>
      <c r="AF36" t="s">
        <v>83</v>
      </c>
      <c r="AG36" t="s">
        <v>20</v>
      </c>
      <c r="AH36" t="s">
        <v>84</v>
      </c>
      <c r="AI36" t="s">
        <v>126</v>
      </c>
      <c r="AJ36" t="s">
        <v>127</v>
      </c>
      <c r="AK36" t="s">
        <v>128</v>
      </c>
      <c r="AL36" t="s">
        <v>19</v>
      </c>
      <c r="AM36" t="s">
        <v>129</v>
      </c>
      <c r="AN36" t="s">
        <v>130</v>
      </c>
      <c r="AO36" t="s">
        <v>131</v>
      </c>
      <c r="AP36" t="s">
        <v>132</v>
      </c>
      <c r="AQ36" t="s">
        <v>133</v>
      </c>
      <c r="AR36" t="s">
        <v>134</v>
      </c>
      <c r="AS36" t="s">
        <v>135</v>
      </c>
      <c r="AT36" t="s">
        <v>136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85</v>
      </c>
      <c r="G37">
        <v>1</v>
      </c>
      <c r="I37" t="s">
        <v>137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85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184</v>
      </c>
      <c r="AF37" t="s">
        <v>185</v>
      </c>
      <c r="AG37" t="s">
        <v>61</v>
      </c>
      <c r="AH37" t="s">
        <v>96</v>
      </c>
      <c r="AI37" t="s">
        <v>140</v>
      </c>
      <c r="AJ37" t="s">
        <v>140</v>
      </c>
      <c r="AK37" t="s">
        <v>58</v>
      </c>
      <c r="AL37" t="s">
        <v>58</v>
      </c>
      <c r="AM37" t="s">
        <v>178</v>
      </c>
      <c r="AN37" t="s">
        <v>58</v>
      </c>
      <c r="AO37" t="s">
        <v>145</v>
      </c>
      <c r="AP37" t="s">
        <v>179</v>
      </c>
      <c r="AQ37" t="s">
        <v>180</v>
      </c>
      <c r="AR37" t="s">
        <v>58</v>
      </c>
      <c r="AS37" t="s">
        <v>145</v>
      </c>
      <c r="AT37" t="s">
        <v>181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85</v>
      </c>
      <c r="G38">
        <v>1</v>
      </c>
      <c r="I38" t="s">
        <v>137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28">
        <v>4.1300000000000001E-13</v>
      </c>
      <c r="W38">
        <v>1</v>
      </c>
      <c r="X38">
        <v>-0.25</v>
      </c>
      <c r="Y38" t="s">
        <v>85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186</v>
      </c>
      <c r="AF38" t="s">
        <v>187</v>
      </c>
      <c r="AG38" t="s">
        <v>108</v>
      </c>
      <c r="AH38" t="s">
        <v>188</v>
      </c>
      <c r="AI38" t="s">
        <v>140</v>
      </c>
      <c r="AJ38" t="s">
        <v>140</v>
      </c>
      <c r="AK38" t="s">
        <v>58</v>
      </c>
      <c r="AL38" t="s">
        <v>58</v>
      </c>
      <c r="AM38" t="s">
        <v>178</v>
      </c>
      <c r="AN38" t="s">
        <v>58</v>
      </c>
      <c r="AO38" t="s">
        <v>145</v>
      </c>
      <c r="AP38" t="s">
        <v>179</v>
      </c>
      <c r="AQ38" t="s">
        <v>180</v>
      </c>
      <c r="AR38" t="s">
        <v>58</v>
      </c>
      <c r="AS38" t="s">
        <v>145</v>
      </c>
      <c r="AT38" t="s">
        <v>181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85</v>
      </c>
      <c r="G39">
        <v>1</v>
      </c>
      <c r="I39" t="s">
        <v>137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85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189</v>
      </c>
      <c r="AF39" t="s">
        <v>190</v>
      </c>
      <c r="AG39" t="s">
        <v>104</v>
      </c>
      <c r="AH39" t="s">
        <v>191</v>
      </c>
      <c r="AI39" t="s">
        <v>140</v>
      </c>
      <c r="AJ39" t="s">
        <v>140</v>
      </c>
      <c r="AK39" t="s">
        <v>58</v>
      </c>
      <c r="AL39" t="s">
        <v>58</v>
      </c>
      <c r="AM39" t="s">
        <v>178</v>
      </c>
      <c r="AN39" t="s">
        <v>58</v>
      </c>
      <c r="AO39" t="s">
        <v>145</v>
      </c>
      <c r="AP39" t="s">
        <v>179</v>
      </c>
      <c r="AQ39" t="s">
        <v>180</v>
      </c>
      <c r="AR39" t="s">
        <v>58</v>
      </c>
      <c r="AS39" t="s">
        <v>145</v>
      </c>
      <c r="AT39" t="s">
        <v>181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140</v>
      </c>
      <c r="G40">
        <v>1</v>
      </c>
      <c r="I40" t="s">
        <v>137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85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140</v>
      </c>
      <c r="AJ40" t="s">
        <v>85</v>
      </c>
      <c r="AK40" t="s">
        <v>58</v>
      </c>
      <c r="AL40" t="s">
        <v>58</v>
      </c>
      <c r="AM40" t="s">
        <v>178</v>
      </c>
      <c r="AN40" t="s">
        <v>58</v>
      </c>
      <c r="AO40" t="s">
        <v>145</v>
      </c>
      <c r="AP40" t="s">
        <v>179</v>
      </c>
      <c r="AQ40" t="s">
        <v>180</v>
      </c>
      <c r="AR40" t="s">
        <v>58</v>
      </c>
      <c r="AS40" t="s">
        <v>145</v>
      </c>
      <c r="AT40" t="s">
        <v>181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81</v>
      </c>
      <c r="G43" t="s">
        <v>109</v>
      </c>
      <c r="H43" t="s">
        <v>110</v>
      </c>
      <c r="I43" t="s">
        <v>111</v>
      </c>
      <c r="J43" t="s">
        <v>15</v>
      </c>
      <c r="K43" t="s">
        <v>16</v>
      </c>
      <c r="L43" t="s">
        <v>17</v>
      </c>
      <c r="M43" t="s">
        <v>112</v>
      </c>
      <c r="N43" t="s">
        <v>113</v>
      </c>
      <c r="O43" t="s">
        <v>114</v>
      </c>
      <c r="P43" t="s">
        <v>115</v>
      </c>
      <c r="Q43" t="s">
        <v>18</v>
      </c>
      <c r="R43" t="s">
        <v>116</v>
      </c>
      <c r="S43" t="s">
        <v>117</v>
      </c>
      <c r="T43" t="s">
        <v>118</v>
      </c>
      <c r="U43" t="s">
        <v>119</v>
      </c>
      <c r="V43" t="s">
        <v>120</v>
      </c>
      <c r="W43" t="s">
        <v>121</v>
      </c>
      <c r="X43" t="s">
        <v>122</v>
      </c>
      <c r="Y43" t="s">
        <v>123</v>
      </c>
      <c r="Z43" t="s">
        <v>124</v>
      </c>
      <c r="AA43" t="s">
        <v>125</v>
      </c>
      <c r="AB43" t="s">
        <v>99</v>
      </c>
      <c r="AC43" t="s">
        <v>100</v>
      </c>
      <c r="AD43" t="s">
        <v>101</v>
      </c>
      <c r="AE43" t="s">
        <v>82</v>
      </c>
      <c r="AF43" t="s">
        <v>83</v>
      </c>
      <c r="AG43" t="s">
        <v>20</v>
      </c>
      <c r="AH43" t="s">
        <v>84</v>
      </c>
      <c r="AI43" t="s">
        <v>126</v>
      </c>
      <c r="AJ43" t="s">
        <v>127</v>
      </c>
      <c r="AK43" t="s">
        <v>128</v>
      </c>
      <c r="AL43" t="s">
        <v>19</v>
      </c>
      <c r="AM43" t="s">
        <v>129</v>
      </c>
      <c r="AN43" t="s">
        <v>130</v>
      </c>
      <c r="AO43" t="s">
        <v>131</v>
      </c>
      <c r="AP43" t="s">
        <v>132</v>
      </c>
      <c r="AQ43" t="s">
        <v>133</v>
      </c>
      <c r="AR43" t="s">
        <v>134</v>
      </c>
      <c r="AS43" t="s">
        <v>135</v>
      </c>
      <c r="AT43" t="s">
        <v>136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85</v>
      </c>
      <c r="G44">
        <v>1</v>
      </c>
      <c r="I44" t="s">
        <v>137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85</v>
      </c>
      <c r="Z44">
        <v>1</v>
      </c>
      <c r="AA44" s="30">
        <v>114.58</v>
      </c>
      <c r="AB44">
        <v>3</v>
      </c>
      <c r="AC44">
        <v>1</v>
      </c>
      <c r="AD44">
        <v>0.75</v>
      </c>
      <c r="AE44" t="s">
        <v>175</v>
      </c>
      <c r="AF44" t="s">
        <v>176</v>
      </c>
      <c r="AG44" t="s">
        <v>103</v>
      </c>
      <c r="AH44" t="s">
        <v>177</v>
      </c>
      <c r="AI44" t="s">
        <v>140</v>
      </c>
      <c r="AJ44" t="s">
        <v>140</v>
      </c>
      <c r="AK44" t="s">
        <v>58</v>
      </c>
      <c r="AL44" t="s">
        <v>58</v>
      </c>
      <c r="AM44" t="s">
        <v>178</v>
      </c>
      <c r="AN44" t="s">
        <v>58</v>
      </c>
      <c r="AO44" t="s">
        <v>145</v>
      </c>
      <c r="AP44" t="s">
        <v>179</v>
      </c>
      <c r="AQ44" t="s">
        <v>180</v>
      </c>
      <c r="AR44" t="s">
        <v>58</v>
      </c>
      <c r="AS44" t="s">
        <v>145</v>
      </c>
      <c r="AT44" t="s">
        <v>181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85</v>
      </c>
      <c r="G45">
        <v>1</v>
      </c>
      <c r="I45" t="s">
        <v>137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85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182</v>
      </c>
      <c r="AF45" t="s">
        <v>183</v>
      </c>
      <c r="AG45" t="s">
        <v>60</v>
      </c>
      <c r="AH45" t="s">
        <v>95</v>
      </c>
      <c r="AI45" t="s">
        <v>140</v>
      </c>
      <c r="AJ45" t="s">
        <v>140</v>
      </c>
      <c r="AK45" t="s">
        <v>58</v>
      </c>
      <c r="AL45" t="s">
        <v>58</v>
      </c>
      <c r="AM45" t="s">
        <v>178</v>
      </c>
      <c r="AN45" t="s">
        <v>58</v>
      </c>
      <c r="AO45" t="s">
        <v>145</v>
      </c>
      <c r="AP45" t="s">
        <v>179</v>
      </c>
      <c r="AQ45" t="s">
        <v>180</v>
      </c>
      <c r="AR45" t="s">
        <v>58</v>
      </c>
      <c r="AS45" t="s">
        <v>145</v>
      </c>
      <c r="AT45" t="s">
        <v>181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140</v>
      </c>
      <c r="G46">
        <v>1</v>
      </c>
      <c r="I46" t="s">
        <v>137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85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140</v>
      </c>
      <c r="AJ46" t="s">
        <v>85</v>
      </c>
      <c r="AK46" t="s">
        <v>58</v>
      </c>
      <c r="AL46" t="s">
        <v>58</v>
      </c>
      <c r="AM46" t="s">
        <v>178</v>
      </c>
      <c r="AN46" t="s">
        <v>58</v>
      </c>
      <c r="AO46" t="s">
        <v>145</v>
      </c>
      <c r="AP46" t="s">
        <v>179</v>
      </c>
      <c r="AQ46" t="s">
        <v>180</v>
      </c>
      <c r="AR46" t="s">
        <v>58</v>
      </c>
      <c r="AS46" t="s">
        <v>145</v>
      </c>
      <c r="AT46" t="s">
        <v>181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81</v>
      </c>
      <c r="G49" t="s">
        <v>109</v>
      </c>
      <c r="H49" t="s">
        <v>110</v>
      </c>
      <c r="I49" t="s">
        <v>111</v>
      </c>
      <c r="J49" t="s">
        <v>15</v>
      </c>
      <c r="K49" t="s">
        <v>16</v>
      </c>
      <c r="L49" t="s">
        <v>17</v>
      </c>
      <c r="M49" t="s">
        <v>112</v>
      </c>
      <c r="N49" t="s">
        <v>113</v>
      </c>
      <c r="O49" t="s">
        <v>114</v>
      </c>
      <c r="P49" t="s">
        <v>115</v>
      </c>
      <c r="Q49" t="s">
        <v>18</v>
      </c>
      <c r="R49" t="s">
        <v>116</v>
      </c>
      <c r="S49" t="s">
        <v>117</v>
      </c>
      <c r="T49" t="s">
        <v>118</v>
      </c>
      <c r="U49" t="s">
        <v>119</v>
      </c>
      <c r="V49" t="s">
        <v>120</v>
      </c>
      <c r="W49" t="s">
        <v>121</v>
      </c>
      <c r="X49" t="s">
        <v>122</v>
      </c>
      <c r="Y49" t="s">
        <v>123</v>
      </c>
      <c r="Z49" t="s">
        <v>124</v>
      </c>
      <c r="AA49" t="s">
        <v>125</v>
      </c>
      <c r="AB49" t="s">
        <v>99</v>
      </c>
      <c r="AC49" t="s">
        <v>100</v>
      </c>
      <c r="AD49" t="s">
        <v>101</v>
      </c>
      <c r="AE49" t="s">
        <v>82</v>
      </c>
      <c r="AF49" t="s">
        <v>83</v>
      </c>
      <c r="AG49" t="s">
        <v>20</v>
      </c>
      <c r="AH49" t="s">
        <v>84</v>
      </c>
      <c r="AI49" t="s">
        <v>126</v>
      </c>
      <c r="AJ49" t="s">
        <v>127</v>
      </c>
      <c r="AK49" t="s">
        <v>128</v>
      </c>
      <c r="AL49" t="s">
        <v>19</v>
      </c>
      <c r="AM49" t="s">
        <v>129</v>
      </c>
      <c r="AN49" t="s">
        <v>130</v>
      </c>
      <c r="AO49" t="s">
        <v>131</v>
      </c>
      <c r="AP49" t="s">
        <v>132</v>
      </c>
      <c r="AQ49" t="s">
        <v>133</v>
      </c>
      <c r="AR49" t="s">
        <v>134</v>
      </c>
      <c r="AS49" t="s">
        <v>135</v>
      </c>
      <c r="AT49" t="s">
        <v>136</v>
      </c>
    </row>
    <row r="50" spans="1:46" x14ac:dyDescent="0.25">
      <c r="A50">
        <v>5</v>
      </c>
      <c r="B50" t="s">
        <v>66</v>
      </c>
      <c r="C50" t="s">
        <v>22</v>
      </c>
      <c r="D50" t="s">
        <v>67</v>
      </c>
      <c r="E50" t="s">
        <v>8</v>
      </c>
      <c r="F50" t="s">
        <v>85</v>
      </c>
      <c r="G50">
        <v>3</v>
      </c>
      <c r="I50" t="s">
        <v>137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85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192</v>
      </c>
      <c r="AF50" t="s">
        <v>193</v>
      </c>
      <c r="AG50" t="s">
        <v>68</v>
      </c>
      <c r="AH50" t="s">
        <v>93</v>
      </c>
      <c r="AI50" t="s">
        <v>85</v>
      </c>
      <c r="AJ50" t="s">
        <v>140</v>
      </c>
      <c r="AK50" t="s">
        <v>65</v>
      </c>
      <c r="AL50" t="s">
        <v>65</v>
      </c>
      <c r="AM50" t="s">
        <v>194</v>
      </c>
      <c r="AN50" t="s">
        <v>65</v>
      </c>
      <c r="AO50" t="s">
        <v>145</v>
      </c>
      <c r="AP50" t="s">
        <v>195</v>
      </c>
      <c r="AQ50" t="s">
        <v>196</v>
      </c>
      <c r="AR50" t="s">
        <v>65</v>
      </c>
      <c r="AS50" t="s">
        <v>145</v>
      </c>
      <c r="AT50" t="s">
        <v>197</v>
      </c>
    </row>
    <row r="51" spans="1:46" x14ac:dyDescent="0.25">
      <c r="A51">
        <v>5</v>
      </c>
      <c r="B51" t="s">
        <v>66</v>
      </c>
      <c r="C51" t="s">
        <v>33</v>
      </c>
      <c r="D51" t="s">
        <v>67</v>
      </c>
      <c r="E51" t="s">
        <v>67</v>
      </c>
      <c r="F51" t="s">
        <v>140</v>
      </c>
      <c r="G51">
        <v>3</v>
      </c>
      <c r="I51" t="s">
        <v>137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85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85</v>
      </c>
      <c r="AJ51" t="s">
        <v>85</v>
      </c>
      <c r="AK51" t="s">
        <v>65</v>
      </c>
      <c r="AL51" t="s">
        <v>65</v>
      </c>
      <c r="AM51" t="s">
        <v>194</v>
      </c>
      <c r="AN51" t="s">
        <v>65</v>
      </c>
      <c r="AO51" t="s">
        <v>145</v>
      </c>
      <c r="AP51" t="s">
        <v>195</v>
      </c>
      <c r="AQ51" t="s">
        <v>196</v>
      </c>
      <c r="AR51" t="s">
        <v>65</v>
      </c>
      <c r="AS51" t="s">
        <v>145</v>
      </c>
      <c r="AT51" t="s">
        <v>197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81</v>
      </c>
      <c r="G54" t="s">
        <v>109</v>
      </c>
      <c r="H54" t="s">
        <v>110</v>
      </c>
      <c r="I54" t="s">
        <v>111</v>
      </c>
      <c r="J54" t="s">
        <v>15</v>
      </c>
      <c r="K54" t="s">
        <v>16</v>
      </c>
      <c r="L54" t="s">
        <v>17</v>
      </c>
      <c r="M54" t="s">
        <v>112</v>
      </c>
      <c r="N54" t="s">
        <v>113</v>
      </c>
      <c r="O54" t="s">
        <v>114</v>
      </c>
      <c r="P54" t="s">
        <v>115</v>
      </c>
      <c r="Q54" t="s">
        <v>18</v>
      </c>
      <c r="R54" t="s">
        <v>116</v>
      </c>
      <c r="S54" t="s">
        <v>117</v>
      </c>
      <c r="T54" t="s">
        <v>118</v>
      </c>
      <c r="U54" t="s">
        <v>119</v>
      </c>
      <c r="V54" t="s">
        <v>120</v>
      </c>
      <c r="W54" t="s">
        <v>121</v>
      </c>
      <c r="X54" t="s">
        <v>122</v>
      </c>
      <c r="Y54" t="s">
        <v>123</v>
      </c>
      <c r="Z54" t="s">
        <v>124</v>
      </c>
      <c r="AA54" t="s">
        <v>125</v>
      </c>
      <c r="AB54" t="s">
        <v>99</v>
      </c>
      <c r="AC54" t="s">
        <v>100</v>
      </c>
      <c r="AD54" t="s">
        <v>101</v>
      </c>
      <c r="AE54" t="s">
        <v>82</v>
      </c>
      <c r="AF54" t="s">
        <v>83</v>
      </c>
      <c r="AG54" t="s">
        <v>20</v>
      </c>
      <c r="AH54" t="s">
        <v>84</v>
      </c>
      <c r="AI54" t="s">
        <v>126</v>
      </c>
      <c r="AJ54" t="s">
        <v>127</v>
      </c>
      <c r="AK54" t="s">
        <v>128</v>
      </c>
      <c r="AL54" t="s">
        <v>19</v>
      </c>
      <c r="AM54" t="s">
        <v>129</v>
      </c>
      <c r="AN54" t="s">
        <v>130</v>
      </c>
      <c r="AO54" t="s">
        <v>131</v>
      </c>
      <c r="AP54" t="s">
        <v>132</v>
      </c>
      <c r="AQ54" t="s">
        <v>133</v>
      </c>
      <c r="AR54" t="s">
        <v>134</v>
      </c>
      <c r="AS54" t="s">
        <v>135</v>
      </c>
      <c r="AT54" t="s">
        <v>136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85</v>
      </c>
      <c r="G55">
        <v>1</v>
      </c>
      <c r="I55" t="s">
        <v>137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85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90</v>
      </c>
      <c r="AF55" t="s">
        <v>70</v>
      </c>
      <c r="AG55" t="s">
        <v>70</v>
      </c>
      <c r="AH55" t="s">
        <v>90</v>
      </c>
      <c r="AI55" t="s">
        <v>140</v>
      </c>
      <c r="AJ55" t="s">
        <v>140</v>
      </c>
      <c r="AK55" t="s">
        <v>69</v>
      </c>
      <c r="AL55" t="s">
        <v>69</v>
      </c>
      <c r="AM55" t="s">
        <v>198</v>
      </c>
      <c r="AN55" t="s">
        <v>69</v>
      </c>
      <c r="AO55" t="s">
        <v>145</v>
      </c>
      <c r="AP55" t="s">
        <v>199</v>
      </c>
      <c r="AQ55" t="s">
        <v>200</v>
      </c>
      <c r="AR55" t="s">
        <v>69</v>
      </c>
      <c r="AS55" t="s">
        <v>145</v>
      </c>
      <c r="AT55" t="s">
        <v>201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85</v>
      </c>
      <c r="G56">
        <v>1</v>
      </c>
      <c r="I56" t="s">
        <v>137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85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91</v>
      </c>
      <c r="AF56" t="s">
        <v>71</v>
      </c>
      <c r="AG56" t="s">
        <v>71</v>
      </c>
      <c r="AH56" t="s">
        <v>91</v>
      </c>
      <c r="AI56" t="s">
        <v>140</v>
      </c>
      <c r="AJ56" t="s">
        <v>140</v>
      </c>
      <c r="AK56" t="s">
        <v>69</v>
      </c>
      <c r="AL56" t="s">
        <v>69</v>
      </c>
      <c r="AM56" t="s">
        <v>198</v>
      </c>
      <c r="AN56" t="s">
        <v>69</v>
      </c>
      <c r="AO56" t="s">
        <v>145</v>
      </c>
      <c r="AP56" t="s">
        <v>199</v>
      </c>
      <c r="AQ56" t="s">
        <v>200</v>
      </c>
      <c r="AR56" t="s">
        <v>69</v>
      </c>
      <c r="AS56" t="s">
        <v>145</v>
      </c>
      <c r="AT56" t="s">
        <v>201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140</v>
      </c>
      <c r="G57">
        <v>1</v>
      </c>
      <c r="I57" t="s">
        <v>137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85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140</v>
      </c>
      <c r="AJ57" t="s">
        <v>85</v>
      </c>
      <c r="AK57" t="s">
        <v>69</v>
      </c>
      <c r="AL57" t="s">
        <v>69</v>
      </c>
      <c r="AM57" t="s">
        <v>198</v>
      </c>
      <c r="AN57" t="s">
        <v>69</v>
      </c>
      <c r="AO57" t="s">
        <v>145</v>
      </c>
      <c r="AP57" t="s">
        <v>199</v>
      </c>
      <c r="AQ57" t="s">
        <v>200</v>
      </c>
      <c r="AR57" t="s">
        <v>69</v>
      </c>
      <c r="AS57" t="s">
        <v>145</v>
      </c>
      <c r="AT57" t="s">
        <v>201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81</v>
      </c>
      <c r="G59" t="s">
        <v>109</v>
      </c>
      <c r="H59" t="s">
        <v>110</v>
      </c>
      <c r="I59" t="s">
        <v>111</v>
      </c>
      <c r="J59" t="s">
        <v>15</v>
      </c>
      <c r="K59" t="s">
        <v>16</v>
      </c>
      <c r="L59" t="s">
        <v>17</v>
      </c>
      <c r="M59" t="s">
        <v>112</v>
      </c>
      <c r="N59" t="s">
        <v>113</v>
      </c>
      <c r="O59" t="s">
        <v>114</v>
      </c>
      <c r="P59" t="s">
        <v>115</v>
      </c>
      <c r="Q59" t="s">
        <v>18</v>
      </c>
      <c r="R59" t="s">
        <v>116</v>
      </c>
      <c r="S59" t="s">
        <v>117</v>
      </c>
      <c r="T59" t="s">
        <v>118</v>
      </c>
      <c r="U59" t="s">
        <v>119</v>
      </c>
      <c r="V59" t="s">
        <v>120</v>
      </c>
      <c r="W59" t="s">
        <v>121</v>
      </c>
      <c r="X59" t="s">
        <v>122</v>
      </c>
      <c r="Y59" t="s">
        <v>123</v>
      </c>
      <c r="Z59" t="s">
        <v>124</v>
      </c>
      <c r="AA59" t="s">
        <v>125</v>
      </c>
      <c r="AB59" t="s">
        <v>99</v>
      </c>
      <c r="AC59" t="s">
        <v>100</v>
      </c>
      <c r="AD59" t="s">
        <v>101</v>
      </c>
      <c r="AE59" t="s">
        <v>82</v>
      </c>
      <c r="AF59" t="s">
        <v>83</v>
      </c>
      <c r="AG59" t="s">
        <v>20</v>
      </c>
      <c r="AH59" t="s">
        <v>84</v>
      </c>
      <c r="AI59" t="s">
        <v>126</v>
      </c>
      <c r="AJ59" t="s">
        <v>127</v>
      </c>
      <c r="AK59" t="s">
        <v>128</v>
      </c>
      <c r="AL59" t="s">
        <v>19</v>
      </c>
      <c r="AM59" t="s">
        <v>129</v>
      </c>
      <c r="AN59" t="s">
        <v>130</v>
      </c>
      <c r="AO59" t="s">
        <v>131</v>
      </c>
      <c r="AP59" t="s">
        <v>132</v>
      </c>
      <c r="AQ59" t="s">
        <v>133</v>
      </c>
      <c r="AR59" t="s">
        <v>134</v>
      </c>
      <c r="AS59" t="s">
        <v>135</v>
      </c>
      <c r="AT59" t="s">
        <v>136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85</v>
      </c>
      <c r="G60">
        <v>1</v>
      </c>
      <c r="I60" t="s">
        <v>137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85</v>
      </c>
      <c r="Z60">
        <v>1</v>
      </c>
      <c r="AA60" s="30">
        <v>156.54</v>
      </c>
      <c r="AB60">
        <v>4</v>
      </c>
      <c r="AC60">
        <v>3</v>
      </c>
      <c r="AD60">
        <v>0.56999999999999995</v>
      </c>
      <c r="AE60" t="s">
        <v>86</v>
      </c>
      <c r="AF60" t="s">
        <v>72</v>
      </c>
      <c r="AG60" t="s">
        <v>72</v>
      </c>
      <c r="AH60" t="s">
        <v>86</v>
      </c>
      <c r="AI60" t="s">
        <v>140</v>
      </c>
      <c r="AJ60" t="s">
        <v>140</v>
      </c>
      <c r="AK60" t="s">
        <v>69</v>
      </c>
      <c r="AL60" t="s">
        <v>69</v>
      </c>
      <c r="AM60" t="s">
        <v>198</v>
      </c>
      <c r="AN60" t="s">
        <v>69</v>
      </c>
      <c r="AO60" t="s">
        <v>145</v>
      </c>
      <c r="AP60" t="s">
        <v>199</v>
      </c>
      <c r="AQ60" t="s">
        <v>200</v>
      </c>
      <c r="AR60" t="s">
        <v>69</v>
      </c>
      <c r="AS60" t="s">
        <v>145</v>
      </c>
      <c r="AT60" t="s">
        <v>201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140</v>
      </c>
      <c r="G61">
        <v>1</v>
      </c>
      <c r="I61" t="s">
        <v>137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85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140</v>
      </c>
      <c r="AJ61" t="s">
        <v>85</v>
      </c>
      <c r="AK61" t="s">
        <v>69</v>
      </c>
      <c r="AL61" t="s">
        <v>69</v>
      </c>
      <c r="AM61" t="s">
        <v>198</v>
      </c>
      <c r="AN61" t="s">
        <v>69</v>
      </c>
      <c r="AO61" t="s">
        <v>145</v>
      </c>
      <c r="AP61" t="s">
        <v>199</v>
      </c>
      <c r="AQ61" t="s">
        <v>200</v>
      </c>
      <c r="AR61" t="s">
        <v>69</v>
      </c>
      <c r="AS61" t="s">
        <v>145</v>
      </c>
      <c r="AT61" t="s">
        <v>201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81</v>
      </c>
      <c r="G65" t="s">
        <v>109</v>
      </c>
      <c r="H65" t="s">
        <v>110</v>
      </c>
      <c r="I65" t="s">
        <v>111</v>
      </c>
      <c r="J65" t="s">
        <v>15</v>
      </c>
      <c r="K65" t="s">
        <v>16</v>
      </c>
      <c r="L65" t="s">
        <v>17</v>
      </c>
      <c r="M65" t="s">
        <v>112</v>
      </c>
      <c r="N65" t="s">
        <v>113</v>
      </c>
      <c r="O65" t="s">
        <v>114</v>
      </c>
      <c r="P65" t="s">
        <v>115</v>
      </c>
      <c r="Q65" t="s">
        <v>18</v>
      </c>
      <c r="R65" t="s">
        <v>116</v>
      </c>
      <c r="S65" t="s">
        <v>117</v>
      </c>
      <c r="T65" t="s">
        <v>118</v>
      </c>
      <c r="U65" t="s">
        <v>119</v>
      </c>
      <c r="V65" t="s">
        <v>120</v>
      </c>
      <c r="W65" t="s">
        <v>121</v>
      </c>
      <c r="X65" t="s">
        <v>122</v>
      </c>
      <c r="Y65" t="s">
        <v>123</v>
      </c>
      <c r="Z65" t="s">
        <v>124</v>
      </c>
      <c r="AA65" t="s">
        <v>125</v>
      </c>
      <c r="AB65" t="s">
        <v>99</v>
      </c>
      <c r="AC65" t="s">
        <v>100</v>
      </c>
      <c r="AD65" t="s">
        <v>101</v>
      </c>
      <c r="AE65" t="s">
        <v>82</v>
      </c>
      <c r="AF65" t="s">
        <v>83</v>
      </c>
      <c r="AG65" t="s">
        <v>20</v>
      </c>
      <c r="AH65" t="s">
        <v>84</v>
      </c>
      <c r="AI65" t="s">
        <v>126</v>
      </c>
      <c r="AJ65" t="s">
        <v>127</v>
      </c>
      <c r="AK65" t="s">
        <v>128</v>
      </c>
      <c r="AL65" t="s">
        <v>19</v>
      </c>
      <c r="AM65" t="s">
        <v>129</v>
      </c>
      <c r="AN65" t="s">
        <v>130</v>
      </c>
      <c r="AO65" t="s">
        <v>131</v>
      </c>
      <c r="AP65" t="s">
        <v>132</v>
      </c>
      <c r="AQ65" t="s">
        <v>133</v>
      </c>
      <c r="AR65" t="s">
        <v>134</v>
      </c>
      <c r="AS65" t="s">
        <v>135</v>
      </c>
      <c r="AT65" t="s">
        <v>136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85</v>
      </c>
      <c r="G66">
        <v>1</v>
      </c>
      <c r="I66" t="s">
        <v>137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85</v>
      </c>
      <c r="Z66">
        <v>1</v>
      </c>
      <c r="AA66" s="30">
        <v>151.76</v>
      </c>
      <c r="AB66">
        <v>5</v>
      </c>
      <c r="AC66">
        <v>6</v>
      </c>
      <c r="AD66">
        <v>0.45</v>
      </c>
      <c r="AE66" t="s">
        <v>92</v>
      </c>
      <c r="AF66" t="s">
        <v>74</v>
      </c>
      <c r="AG66" t="s">
        <v>74</v>
      </c>
      <c r="AH66" t="s">
        <v>92</v>
      </c>
      <c r="AI66" t="s">
        <v>140</v>
      </c>
      <c r="AJ66" t="s">
        <v>140</v>
      </c>
      <c r="AK66" t="s">
        <v>73</v>
      </c>
      <c r="AL66" t="s">
        <v>73</v>
      </c>
      <c r="AM66" t="s">
        <v>202</v>
      </c>
      <c r="AN66" t="s">
        <v>73</v>
      </c>
      <c r="AO66" t="s">
        <v>145</v>
      </c>
      <c r="AP66" t="s">
        <v>203</v>
      </c>
      <c r="AQ66" t="s">
        <v>204</v>
      </c>
      <c r="AR66" t="s">
        <v>73</v>
      </c>
      <c r="AS66" t="s">
        <v>145</v>
      </c>
      <c r="AT66" t="s">
        <v>205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140</v>
      </c>
      <c r="G67">
        <v>1</v>
      </c>
      <c r="I67" t="s">
        <v>137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30" t="s">
        <v>140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140</v>
      </c>
      <c r="AJ67" t="s">
        <v>85</v>
      </c>
      <c r="AK67" t="s">
        <v>73</v>
      </c>
      <c r="AL67" t="s">
        <v>73</v>
      </c>
      <c r="AM67" t="s">
        <v>202</v>
      </c>
      <c r="AN67" t="s">
        <v>73</v>
      </c>
      <c r="AO67" t="s">
        <v>145</v>
      </c>
      <c r="AP67" t="s">
        <v>203</v>
      </c>
      <c r="AQ67" t="s">
        <v>204</v>
      </c>
      <c r="AR67" t="s">
        <v>73</v>
      </c>
      <c r="AS67" t="s">
        <v>145</v>
      </c>
      <c r="AT67" t="s">
        <v>205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6"/>
  <sheetViews>
    <sheetView workbookViewId="0">
      <selection activeCell="D39" sqref="D39"/>
    </sheetView>
  </sheetViews>
  <sheetFormatPr defaultRowHeight="15" x14ac:dyDescent="0.25"/>
  <sheetData>
    <row r="1" spans="1:15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5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</row>
    <row r="4" spans="1:15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</row>
    <row r="5" spans="1:15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</row>
    <row r="6" spans="1:15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</row>
    <row r="7" spans="1:15" x14ac:dyDescent="0.2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</row>
    <row r="8" spans="1:15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15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</row>
    <row r="10" spans="1:15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</row>
    <row r="11" spans="1:15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</row>
    <row r="12" spans="1:15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</row>
    <row r="13" spans="1:15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</row>
    <row r="14" spans="1:15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</row>
    <row r="15" spans="1:15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</row>
    <row r="16" spans="1:15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</row>
    <row r="17" spans="1:15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</row>
    <row r="18" spans="1:15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</row>
    <row r="19" spans="1:15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</row>
    <row r="20" spans="1:15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</row>
    <row r="21" spans="1:15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</row>
    <row r="22" spans="1:15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</row>
    <row r="23" spans="1:15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</row>
    <row r="24" spans="1:15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</row>
    <row r="25" spans="1:15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</row>
    <row r="26" spans="1:15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</row>
    <row r="27" spans="1:15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</row>
    <row r="28" spans="1:15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</row>
    <row r="29" spans="1:15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</row>
    <row r="30" spans="1:15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</row>
    <row r="31" spans="1:15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</row>
    <row r="32" spans="1:15" x14ac:dyDescent="0.25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</row>
    <row r="33" spans="1:15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</row>
    <row r="34" spans="1:15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</row>
    <row r="35" spans="1:15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</row>
    <row r="36" spans="1:15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</row>
    <row r="37" spans="1:15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</row>
    <row r="38" spans="1:15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</row>
    <row r="39" spans="1:15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</row>
    <row r="40" spans="1:15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</row>
    <row r="41" spans="1:15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</row>
    <row r="42" spans="1:15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</row>
    <row r="43" spans="1:15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</row>
    <row r="44" spans="1:15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</row>
    <row r="45" spans="1:15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</row>
    <row r="46" spans="1:15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</row>
    <row r="47" spans="1:15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</row>
    <row r="48" spans="1:15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</row>
    <row r="49" spans="1:15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</row>
    <row r="50" spans="1:15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</row>
    <row r="51" spans="1:15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</row>
    <row r="52" spans="1:15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</row>
    <row r="53" spans="1:15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</row>
    <row r="54" spans="1:15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</row>
    <row r="55" spans="1:15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</row>
    <row r="56" spans="1:15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</row>
    <row r="57" spans="1:15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</row>
    <row r="58" spans="1:15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</row>
    <row r="59" spans="1:15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</row>
    <row r="60" spans="1:15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</row>
    <row r="61" spans="1:15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</row>
    <row r="62" spans="1:15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</row>
    <row r="63" spans="1:15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</row>
    <row r="64" spans="1:15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</row>
    <row r="65" spans="1:15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</row>
    <row r="66" spans="1:15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</row>
    <row r="67" spans="1:15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</row>
    <row r="68" spans="1:15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</row>
    <row r="69" spans="1:15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</row>
    <row r="70" spans="1:15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</row>
    <row r="71" spans="1:15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</row>
    <row r="72" spans="1:15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</row>
    <row r="73" spans="1:15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</row>
    <row r="74" spans="1:15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</row>
    <row r="75" spans="1:15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</row>
    <row r="76" spans="1:15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</row>
    <row r="77" spans="1:15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</row>
    <row r="78" spans="1:15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</row>
    <row r="79" spans="1:15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</row>
    <row r="80" spans="1:15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</row>
    <row r="81" spans="1:15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</row>
    <row r="82" spans="1:15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</row>
    <row r="83" spans="1:15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</row>
    <row r="84" spans="1:15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</row>
    <row r="85" spans="1:15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</row>
    <row r="86" spans="1:15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</row>
    <row r="87" spans="1:15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</row>
    <row r="88" spans="1:15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</row>
    <row r="89" spans="1:15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</row>
    <row r="90" spans="1:15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</row>
    <row r="91" spans="1:15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</row>
    <row r="92" spans="1:15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</row>
    <row r="93" spans="1:15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</row>
    <row r="94" spans="1:15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</row>
    <row r="95" spans="1:15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</row>
    <row r="96" spans="1:15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</row>
    <row r="97" spans="1:15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</row>
    <row r="98" spans="1:15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</row>
    <row r="99" spans="1:15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</row>
    <row r="100" spans="1:15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</row>
    <row r="101" spans="1:15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</row>
    <row r="102" spans="1:15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</row>
    <row r="103" spans="1:15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</row>
    <row r="104" spans="1:15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</row>
    <row r="105" spans="1:15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</row>
    <row r="106" spans="1:15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</row>
    <row r="107" spans="1:15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</row>
    <row r="108" spans="1:15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</row>
    <row r="109" spans="1:15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</row>
    <row r="110" spans="1:15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</row>
    <row r="111" spans="1:15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</row>
    <row r="112" spans="1:15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</row>
    <row r="113" spans="1:15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</row>
    <row r="114" spans="1:15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</row>
    <row r="115" spans="1:15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</row>
    <row r="116" spans="1:15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</row>
    <row r="117" spans="1:15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</row>
    <row r="118" spans="1:15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</row>
    <row r="119" spans="1:15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</row>
    <row r="120" spans="1:15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</row>
    <row r="121" spans="1:15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</row>
    <row r="122" spans="1:15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</row>
    <row r="123" spans="1:15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</row>
    <row r="124" spans="1:15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</row>
    <row r="125" spans="1:15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</row>
    <row r="126" spans="1:15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</row>
    <row r="127" spans="1:15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</row>
    <row r="128" spans="1:15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</row>
    <row r="129" spans="1:15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</row>
    <row r="130" spans="1:15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</row>
    <row r="131" spans="1:15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</row>
    <row r="132" spans="1:15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</row>
    <row r="133" spans="1:15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</row>
    <row r="134" spans="1:15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</row>
    <row r="135" spans="1:15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</row>
    <row r="136" spans="1:15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9"/>
  <sheetViews>
    <sheetView workbookViewId="0">
      <selection activeCell="F38" sqref="F38"/>
    </sheetView>
  </sheetViews>
  <sheetFormatPr defaultRowHeight="15" x14ac:dyDescent="0.25"/>
  <sheetData>
    <row r="1" spans="1:15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5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</row>
    <row r="4" spans="1:15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</row>
    <row r="5" spans="1:15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</row>
    <row r="6" spans="1:15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</row>
    <row r="7" spans="1:15" x14ac:dyDescent="0.2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</row>
    <row r="8" spans="1:15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15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</row>
    <row r="10" spans="1:15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</row>
    <row r="11" spans="1:15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</row>
    <row r="12" spans="1:15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</row>
    <row r="13" spans="1:15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</row>
    <row r="14" spans="1:15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</row>
    <row r="15" spans="1:15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</row>
    <row r="16" spans="1:15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</row>
    <row r="17" spans="1:15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</row>
    <row r="18" spans="1:15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</row>
    <row r="19" spans="1:15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</row>
    <row r="20" spans="1:15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</row>
    <row r="21" spans="1:15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</row>
    <row r="22" spans="1:15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</row>
    <row r="23" spans="1:15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</row>
    <row r="24" spans="1:15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</row>
    <row r="25" spans="1:15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</row>
    <row r="26" spans="1:15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</row>
    <row r="27" spans="1:15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</row>
    <row r="28" spans="1:15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</row>
    <row r="29" spans="1:15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</row>
    <row r="30" spans="1:15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</row>
    <row r="31" spans="1:15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</row>
    <row r="32" spans="1:15" x14ac:dyDescent="0.25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</row>
    <row r="33" spans="1:15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</row>
    <row r="34" spans="1:15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</row>
    <row r="35" spans="1:15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</row>
    <row r="36" spans="1:15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</row>
    <row r="37" spans="1:15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</row>
    <row r="38" spans="1:15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</row>
    <row r="39" spans="1:15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1"/>
  <sheetViews>
    <sheetView workbookViewId="0">
      <selection activeCell="H8" sqref="H8"/>
    </sheetView>
  </sheetViews>
  <sheetFormatPr defaultRowHeight="15" x14ac:dyDescent="0.25"/>
  <sheetData>
    <row r="1" spans="1:15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917"/>
  <sheetViews>
    <sheetView workbookViewId="0">
      <selection activeCell="I36" sqref="I36"/>
    </sheetView>
  </sheetViews>
  <sheetFormatPr defaultRowHeight="15" x14ac:dyDescent="0.25"/>
  <sheetData>
    <row r="1" spans="1:3" ht="23.25" x14ac:dyDescent="0.35">
      <c r="A1" s="59"/>
    </row>
    <row r="2" spans="1:3" ht="20.25" x14ac:dyDescent="0.3">
      <c r="A2" s="60"/>
    </row>
    <row r="3" spans="1:3" x14ac:dyDescent="0.25">
      <c r="A3" s="44"/>
      <c r="B3" s="44"/>
    </row>
    <row r="4" spans="1:3" x14ac:dyDescent="0.25">
      <c r="A4" s="44"/>
      <c r="B4" s="44"/>
    </row>
    <row r="5" spans="1:3" x14ac:dyDescent="0.25">
      <c r="A5" s="44"/>
      <c r="B5" s="44"/>
    </row>
    <row r="6" spans="1:3" x14ac:dyDescent="0.25">
      <c r="A6" s="44"/>
      <c r="B6" s="44"/>
    </row>
    <row r="7" spans="1:3" x14ac:dyDescent="0.25">
      <c r="A7" s="44"/>
      <c r="B7" s="44"/>
    </row>
    <row r="9" spans="1:3" ht="20.25" x14ac:dyDescent="0.3">
      <c r="A9" s="60"/>
    </row>
    <row r="10" spans="1:3" x14ac:dyDescent="0.25">
      <c r="A10" s="43"/>
      <c r="B10" s="43"/>
      <c r="C10" s="43"/>
    </row>
    <row r="11" spans="1:3" x14ac:dyDescent="0.25">
      <c r="A11" s="44"/>
      <c r="B11" s="44"/>
      <c r="C11" s="44"/>
    </row>
    <row r="12" spans="1:3" x14ac:dyDescent="0.25">
      <c r="A12" s="44"/>
      <c r="B12" s="44"/>
      <c r="C12" s="44"/>
    </row>
    <row r="13" spans="1:3" x14ac:dyDescent="0.25">
      <c r="A13" s="44"/>
      <c r="B13" s="44"/>
      <c r="C13" s="44"/>
    </row>
    <row r="14" spans="1:3" x14ac:dyDescent="0.25">
      <c r="A14" s="44"/>
      <c r="B14" s="44"/>
      <c r="C14" s="44"/>
    </row>
    <row r="15" spans="1:3" x14ac:dyDescent="0.25">
      <c r="A15" s="44"/>
      <c r="B15" s="44"/>
      <c r="C15" s="44"/>
    </row>
    <row r="16" spans="1:3" x14ac:dyDescent="0.25">
      <c r="A16" s="44"/>
      <c r="B16" s="44"/>
      <c r="C16" s="44"/>
    </row>
    <row r="17" spans="1:3" x14ac:dyDescent="0.25">
      <c r="A17" s="44"/>
      <c r="B17" s="44"/>
      <c r="C17" s="44"/>
    </row>
    <row r="18" spans="1:3" x14ac:dyDescent="0.25">
      <c r="A18" s="44"/>
      <c r="B18" s="44"/>
      <c r="C18" s="44"/>
    </row>
    <row r="19" spans="1:3" x14ac:dyDescent="0.25">
      <c r="A19" s="44"/>
      <c r="B19" s="44"/>
      <c r="C19" s="44"/>
    </row>
    <row r="20" spans="1:3" x14ac:dyDescent="0.25">
      <c r="A20" s="44"/>
      <c r="B20" s="44"/>
      <c r="C20" s="44"/>
    </row>
    <row r="21" spans="1:3" x14ac:dyDescent="0.25">
      <c r="A21" s="44"/>
      <c r="B21" s="44"/>
      <c r="C21" s="44"/>
    </row>
    <row r="23" spans="1:3" ht="20.25" x14ac:dyDescent="0.3">
      <c r="A23" s="60"/>
    </row>
    <row r="24" spans="1:3" x14ac:dyDescent="0.25">
      <c r="A24" s="43"/>
      <c r="B24" s="43"/>
    </row>
    <row r="25" spans="1:3" x14ac:dyDescent="0.25">
      <c r="A25" s="44"/>
      <c r="B25" s="44"/>
    </row>
    <row r="26" spans="1:3" x14ac:dyDescent="0.25">
      <c r="A26" s="44"/>
      <c r="B26" s="44"/>
    </row>
    <row r="27" spans="1:3" x14ac:dyDescent="0.25">
      <c r="A27" s="44"/>
      <c r="B27" s="44"/>
    </row>
    <row r="28" spans="1:3" x14ac:dyDescent="0.25">
      <c r="A28" s="44"/>
      <c r="B28" s="44"/>
    </row>
    <row r="29" spans="1:3" x14ac:dyDescent="0.25">
      <c r="A29" s="44"/>
      <c r="B29" s="44"/>
    </row>
    <row r="30" spans="1:3" x14ac:dyDescent="0.25">
      <c r="A30" s="44"/>
      <c r="B30" s="44"/>
    </row>
    <row r="31" spans="1:3" x14ac:dyDescent="0.25">
      <c r="A31" s="44"/>
      <c r="B31" s="44"/>
    </row>
    <row r="32" spans="1:3" x14ac:dyDescent="0.25">
      <c r="A32" s="44"/>
      <c r="B32" s="44"/>
    </row>
    <row r="33" spans="1:2" x14ac:dyDescent="0.25">
      <c r="A33" s="44"/>
      <c r="B33" s="44"/>
    </row>
    <row r="34" spans="1:2" x14ac:dyDescent="0.25">
      <c r="A34" s="44"/>
      <c r="B34" s="44"/>
    </row>
    <row r="35" spans="1:2" x14ac:dyDescent="0.25">
      <c r="A35" s="44"/>
      <c r="B35" s="44"/>
    </row>
    <row r="36" spans="1:2" x14ac:dyDescent="0.25">
      <c r="A36" s="44"/>
      <c r="B36" s="44"/>
    </row>
    <row r="37" spans="1:2" x14ac:dyDescent="0.25">
      <c r="A37" s="44"/>
      <c r="B37" s="44"/>
    </row>
    <row r="38" spans="1:2" x14ac:dyDescent="0.25">
      <c r="A38" s="44"/>
      <c r="B38" s="44"/>
    </row>
    <row r="39" spans="1:2" x14ac:dyDescent="0.25">
      <c r="A39" s="44"/>
      <c r="B39" s="44"/>
    </row>
    <row r="40" spans="1:2" x14ac:dyDescent="0.25">
      <c r="A40" s="44"/>
      <c r="B40" s="44"/>
    </row>
    <row r="41" spans="1:2" x14ac:dyDescent="0.25">
      <c r="A41" s="44"/>
      <c r="B41" s="44"/>
    </row>
    <row r="42" spans="1:2" x14ac:dyDescent="0.25">
      <c r="A42" s="44"/>
      <c r="B42" s="44"/>
    </row>
    <row r="43" spans="1:2" x14ac:dyDescent="0.25">
      <c r="A43" s="44"/>
      <c r="B43" s="44"/>
    </row>
    <row r="44" spans="1:2" x14ac:dyDescent="0.25">
      <c r="A44" s="44"/>
      <c r="B44" s="44"/>
    </row>
    <row r="45" spans="1:2" x14ac:dyDescent="0.25">
      <c r="A45" s="44"/>
      <c r="B45" s="44"/>
    </row>
    <row r="46" spans="1:2" x14ac:dyDescent="0.25">
      <c r="A46" s="44"/>
      <c r="B46" s="44"/>
    </row>
    <row r="47" spans="1:2" x14ac:dyDescent="0.25">
      <c r="A47" s="44"/>
      <c r="B47" s="44"/>
    </row>
    <row r="48" spans="1:2" x14ac:dyDescent="0.25">
      <c r="A48" s="44"/>
      <c r="B48" s="44"/>
    </row>
    <row r="49" spans="1:2" x14ac:dyDescent="0.25">
      <c r="A49" s="44"/>
      <c r="B49" s="44"/>
    </row>
    <row r="50" spans="1:2" x14ac:dyDescent="0.25">
      <c r="A50" s="44"/>
      <c r="B50" s="44"/>
    </row>
    <row r="51" spans="1:2" x14ac:dyDescent="0.25">
      <c r="A51" s="44"/>
      <c r="B51" s="44"/>
    </row>
    <row r="52" spans="1:2" x14ac:dyDescent="0.25">
      <c r="A52" s="44"/>
      <c r="B52" s="44"/>
    </row>
    <row r="53" spans="1:2" x14ac:dyDescent="0.25">
      <c r="A53" s="44"/>
      <c r="B53" s="44"/>
    </row>
    <row r="54" spans="1:2" x14ac:dyDescent="0.25">
      <c r="A54" s="44"/>
      <c r="B54" s="44"/>
    </row>
    <row r="55" spans="1:2" x14ac:dyDescent="0.25">
      <c r="A55" s="44"/>
      <c r="B55" s="44"/>
    </row>
    <row r="56" spans="1:2" x14ac:dyDescent="0.25">
      <c r="A56" s="44"/>
      <c r="B56" s="44"/>
    </row>
    <row r="57" spans="1:2" x14ac:dyDescent="0.25">
      <c r="A57" s="44"/>
      <c r="B57" s="44"/>
    </row>
    <row r="58" spans="1:2" x14ac:dyDescent="0.25">
      <c r="A58" s="44"/>
      <c r="B58" s="44"/>
    </row>
    <row r="59" spans="1:2" x14ac:dyDescent="0.25">
      <c r="A59" s="44"/>
      <c r="B59" s="44"/>
    </row>
    <row r="60" spans="1:2" x14ac:dyDescent="0.25">
      <c r="A60" s="44"/>
      <c r="B60" s="44"/>
    </row>
    <row r="61" spans="1:2" x14ac:dyDescent="0.25">
      <c r="A61" s="44"/>
      <c r="B61" s="44"/>
    </row>
    <row r="62" spans="1:2" x14ac:dyDescent="0.25">
      <c r="A62" s="44"/>
      <c r="B62" s="44"/>
    </row>
    <row r="63" spans="1:2" x14ac:dyDescent="0.25">
      <c r="A63" s="44"/>
      <c r="B63" s="44"/>
    </row>
    <row r="64" spans="1:2" x14ac:dyDescent="0.25">
      <c r="A64" s="44"/>
      <c r="B64" s="44"/>
    </row>
    <row r="65" spans="1:2" x14ac:dyDescent="0.25">
      <c r="A65" s="44"/>
      <c r="B65" s="44"/>
    </row>
    <row r="66" spans="1:2" x14ac:dyDescent="0.25">
      <c r="A66" s="44"/>
      <c r="B66" s="44"/>
    </row>
    <row r="67" spans="1:2" x14ac:dyDescent="0.25">
      <c r="A67" s="44"/>
      <c r="B67" s="44"/>
    </row>
    <row r="68" spans="1:2" x14ac:dyDescent="0.25">
      <c r="A68" s="44"/>
      <c r="B68" s="44"/>
    </row>
    <row r="69" spans="1:2" x14ac:dyDescent="0.25">
      <c r="A69" s="44"/>
      <c r="B69" s="44"/>
    </row>
    <row r="70" spans="1:2" x14ac:dyDescent="0.25">
      <c r="A70" s="44"/>
      <c r="B70" s="44"/>
    </row>
    <row r="71" spans="1:2" x14ac:dyDescent="0.25">
      <c r="A71" s="44"/>
      <c r="B71" s="44"/>
    </row>
    <row r="72" spans="1:2" x14ac:dyDescent="0.25">
      <c r="A72" s="44"/>
      <c r="B72" s="44"/>
    </row>
    <row r="73" spans="1:2" x14ac:dyDescent="0.25">
      <c r="A73" s="44"/>
      <c r="B73" s="44"/>
    </row>
    <row r="74" spans="1:2" x14ac:dyDescent="0.25">
      <c r="A74" s="44"/>
      <c r="B74" s="44"/>
    </row>
    <row r="75" spans="1:2" x14ac:dyDescent="0.25">
      <c r="A75" s="44"/>
      <c r="B75" s="44"/>
    </row>
    <row r="78" spans="1:2" ht="20.25" x14ac:dyDescent="0.3">
      <c r="A78" s="60"/>
    </row>
    <row r="79" spans="1:2" x14ac:dyDescent="0.25">
      <c r="A79" s="43"/>
      <c r="B79" s="43"/>
    </row>
    <row r="80" spans="1:2" x14ac:dyDescent="0.25">
      <c r="A80" s="44"/>
      <c r="B80" s="44"/>
    </row>
    <row r="81" spans="1:2" x14ac:dyDescent="0.25">
      <c r="A81" s="44"/>
      <c r="B81" s="44"/>
    </row>
    <row r="82" spans="1:2" x14ac:dyDescent="0.25">
      <c r="A82" s="44"/>
      <c r="B82" s="44"/>
    </row>
    <row r="83" spans="1:2" x14ac:dyDescent="0.25">
      <c r="A83" s="44"/>
      <c r="B83" s="44"/>
    </row>
    <row r="84" spans="1:2" x14ac:dyDescent="0.25">
      <c r="A84" s="44"/>
      <c r="B84" s="44"/>
    </row>
    <row r="85" spans="1:2" x14ac:dyDescent="0.25">
      <c r="A85" s="44"/>
      <c r="B85" s="44"/>
    </row>
    <row r="86" spans="1:2" x14ac:dyDescent="0.25">
      <c r="A86" s="44"/>
      <c r="B86" s="44"/>
    </row>
    <row r="87" spans="1:2" x14ac:dyDescent="0.25">
      <c r="A87" s="44"/>
      <c r="B87" s="44"/>
    </row>
    <row r="88" spans="1:2" x14ac:dyDescent="0.25">
      <c r="A88" s="44"/>
      <c r="B88" s="44"/>
    </row>
    <row r="89" spans="1:2" x14ac:dyDescent="0.25">
      <c r="A89" s="44"/>
      <c r="B89" s="44"/>
    </row>
    <row r="90" spans="1:2" x14ac:dyDescent="0.25">
      <c r="A90" s="44"/>
      <c r="B90" s="44"/>
    </row>
    <row r="91" spans="1:2" x14ac:dyDescent="0.25">
      <c r="A91" s="44"/>
      <c r="B91" s="44"/>
    </row>
    <row r="92" spans="1:2" x14ac:dyDescent="0.25">
      <c r="A92" s="44"/>
      <c r="B92" s="44"/>
    </row>
    <row r="93" spans="1:2" x14ac:dyDescent="0.25">
      <c r="A93" s="44"/>
      <c r="B93" s="44"/>
    </row>
    <row r="94" spans="1:2" x14ac:dyDescent="0.25">
      <c r="A94" s="44"/>
      <c r="B94" s="44"/>
    </row>
    <row r="95" spans="1:2" x14ac:dyDescent="0.25">
      <c r="A95" s="44"/>
      <c r="B95" s="44"/>
    </row>
    <row r="96" spans="1:2" x14ac:dyDescent="0.25">
      <c r="A96" s="44"/>
      <c r="B96" s="44"/>
    </row>
    <row r="97" spans="1:2" x14ac:dyDescent="0.25">
      <c r="A97" s="44"/>
      <c r="B97" s="44"/>
    </row>
    <row r="98" spans="1:2" x14ac:dyDescent="0.25">
      <c r="A98" s="44"/>
      <c r="B98" s="44"/>
    </row>
    <row r="99" spans="1:2" x14ac:dyDescent="0.25">
      <c r="A99" s="44"/>
      <c r="B99" s="44"/>
    </row>
    <row r="100" spans="1:2" x14ac:dyDescent="0.25">
      <c r="A100" s="44"/>
      <c r="B100" s="44"/>
    </row>
    <row r="101" spans="1:2" x14ac:dyDescent="0.25">
      <c r="A101" s="44"/>
      <c r="B101" s="44"/>
    </row>
    <row r="102" spans="1:2" x14ac:dyDescent="0.25">
      <c r="A102" s="44"/>
      <c r="B102" s="44"/>
    </row>
    <row r="103" spans="1:2" x14ac:dyDescent="0.25">
      <c r="A103" s="44"/>
      <c r="B103" s="44"/>
    </row>
    <row r="104" spans="1:2" x14ac:dyDescent="0.25">
      <c r="A104" s="44"/>
      <c r="B104" s="44"/>
    </row>
    <row r="105" spans="1:2" x14ac:dyDescent="0.25">
      <c r="A105" s="44"/>
      <c r="B105" s="44"/>
    </row>
    <row r="106" spans="1:2" x14ac:dyDescent="0.25">
      <c r="A106" s="44"/>
      <c r="B106" s="44"/>
    </row>
    <row r="107" spans="1:2" x14ac:dyDescent="0.25">
      <c r="A107" s="44"/>
      <c r="B107" s="44"/>
    </row>
    <row r="108" spans="1:2" x14ac:dyDescent="0.25">
      <c r="A108" s="44"/>
      <c r="B108" s="44"/>
    </row>
    <row r="109" spans="1:2" x14ac:dyDescent="0.25">
      <c r="A109" s="44"/>
      <c r="B109" s="44"/>
    </row>
    <row r="110" spans="1:2" x14ac:dyDescent="0.25">
      <c r="A110" s="44"/>
      <c r="B110" s="44"/>
    </row>
    <row r="111" spans="1:2" x14ac:dyDescent="0.25">
      <c r="A111" s="44"/>
      <c r="B111" s="44"/>
    </row>
    <row r="112" spans="1:2" x14ac:dyDescent="0.25">
      <c r="A112" s="44"/>
      <c r="B112" s="44"/>
    </row>
    <row r="113" spans="1:2" x14ac:dyDescent="0.25">
      <c r="A113" s="44"/>
      <c r="B113" s="44"/>
    </row>
    <row r="114" spans="1:2" x14ac:dyDescent="0.25">
      <c r="A114" s="44"/>
      <c r="B114" s="44"/>
    </row>
    <row r="115" spans="1:2" x14ac:dyDescent="0.25">
      <c r="A115" s="44"/>
      <c r="B115" s="44"/>
    </row>
    <row r="116" spans="1:2" x14ac:dyDescent="0.25">
      <c r="A116" s="44"/>
      <c r="B116" s="44"/>
    </row>
    <row r="117" spans="1:2" x14ac:dyDescent="0.25">
      <c r="A117" s="44"/>
      <c r="B117" s="44"/>
    </row>
    <row r="118" spans="1:2" x14ac:dyDescent="0.25">
      <c r="A118" s="44"/>
      <c r="B118" s="44"/>
    </row>
    <row r="119" spans="1:2" x14ac:dyDescent="0.25">
      <c r="A119" s="44"/>
      <c r="B119" s="44"/>
    </row>
    <row r="120" spans="1:2" x14ac:dyDescent="0.25">
      <c r="A120" s="44"/>
      <c r="B120" s="44"/>
    </row>
    <row r="121" spans="1:2" x14ac:dyDescent="0.25">
      <c r="A121" s="44"/>
      <c r="B121" s="44"/>
    </row>
    <row r="122" spans="1:2" x14ac:dyDescent="0.25">
      <c r="A122" s="44"/>
      <c r="B122" s="44"/>
    </row>
    <row r="123" spans="1:2" x14ac:dyDescent="0.25">
      <c r="A123" s="44"/>
      <c r="B123" s="44"/>
    </row>
    <row r="124" spans="1:2" x14ac:dyDescent="0.25">
      <c r="A124" s="44"/>
      <c r="B124" s="44"/>
    </row>
    <row r="125" spans="1:2" x14ac:dyDescent="0.25">
      <c r="A125" s="44"/>
      <c r="B125" s="44"/>
    </row>
    <row r="126" spans="1:2" x14ac:dyDescent="0.25">
      <c r="A126" s="44"/>
      <c r="B126" s="44"/>
    </row>
    <row r="127" spans="1:2" x14ac:dyDescent="0.25">
      <c r="A127" s="44"/>
      <c r="B127" s="44"/>
    </row>
    <row r="128" spans="1:2" x14ac:dyDescent="0.25">
      <c r="A128" s="44"/>
      <c r="B128" s="44"/>
    </row>
    <row r="129" spans="1:2" x14ac:dyDescent="0.25">
      <c r="A129" s="44"/>
      <c r="B129" s="44"/>
    </row>
    <row r="130" spans="1:2" x14ac:dyDescent="0.25">
      <c r="A130" s="44"/>
      <c r="B130" s="44"/>
    </row>
    <row r="131" spans="1:2" x14ac:dyDescent="0.25">
      <c r="A131" s="44"/>
      <c r="B131" s="44"/>
    </row>
    <row r="132" spans="1:2" x14ac:dyDescent="0.25">
      <c r="A132" s="44"/>
      <c r="B132" s="44"/>
    </row>
    <row r="133" spans="1:2" x14ac:dyDescent="0.25">
      <c r="A133" s="44"/>
      <c r="B133" s="44"/>
    </row>
    <row r="134" spans="1:2" x14ac:dyDescent="0.25">
      <c r="A134" s="44"/>
      <c r="B134" s="44"/>
    </row>
    <row r="135" spans="1:2" x14ac:dyDescent="0.25">
      <c r="A135" s="44"/>
      <c r="B135" s="44"/>
    </row>
    <row r="136" spans="1:2" x14ac:dyDescent="0.25">
      <c r="A136" s="44"/>
      <c r="B136" s="44"/>
    </row>
    <row r="137" spans="1:2" x14ac:dyDescent="0.25">
      <c r="A137" s="44"/>
      <c r="B137" s="44"/>
    </row>
    <row r="138" spans="1:2" x14ac:dyDescent="0.25">
      <c r="A138" s="44"/>
      <c r="B138" s="44"/>
    </row>
    <row r="139" spans="1:2" x14ac:dyDescent="0.25">
      <c r="A139" s="44"/>
      <c r="B139" s="44"/>
    </row>
    <row r="140" spans="1:2" x14ac:dyDescent="0.25">
      <c r="A140" s="44"/>
      <c r="B140" s="44"/>
    </row>
    <row r="141" spans="1:2" x14ac:dyDescent="0.25">
      <c r="A141" s="44"/>
      <c r="B141" s="44"/>
    </row>
    <row r="142" spans="1:2" x14ac:dyDescent="0.25">
      <c r="A142" s="44"/>
      <c r="B142" s="44"/>
    </row>
    <row r="143" spans="1:2" x14ac:dyDescent="0.25">
      <c r="A143" s="44"/>
      <c r="B143" s="44"/>
    </row>
    <row r="144" spans="1:2" x14ac:dyDescent="0.25">
      <c r="A144" s="44"/>
      <c r="B144" s="44"/>
    </row>
    <row r="145" spans="1:2" x14ac:dyDescent="0.25">
      <c r="A145" s="44"/>
      <c r="B145" s="44"/>
    </row>
    <row r="146" spans="1:2" x14ac:dyDescent="0.25">
      <c r="A146" s="44"/>
      <c r="B146" s="44"/>
    </row>
    <row r="147" spans="1:2" x14ac:dyDescent="0.25">
      <c r="A147" s="44"/>
      <c r="B147" s="44"/>
    </row>
    <row r="148" spans="1:2" x14ac:dyDescent="0.25">
      <c r="A148" s="44"/>
      <c r="B148" s="44"/>
    </row>
    <row r="149" spans="1:2" x14ac:dyDescent="0.25">
      <c r="A149" s="44"/>
      <c r="B149" s="44"/>
    </row>
    <row r="150" spans="1:2" x14ac:dyDescent="0.25">
      <c r="A150" s="44"/>
      <c r="B150" s="44"/>
    </row>
    <row r="151" spans="1:2" x14ac:dyDescent="0.25">
      <c r="A151" s="44"/>
      <c r="B151" s="44"/>
    </row>
    <row r="152" spans="1:2" x14ac:dyDescent="0.25">
      <c r="A152" s="44"/>
      <c r="B152" s="44"/>
    </row>
    <row r="153" spans="1:2" x14ac:dyDescent="0.25">
      <c r="A153" s="44"/>
      <c r="B153" s="44"/>
    </row>
    <row r="154" spans="1:2" x14ac:dyDescent="0.25">
      <c r="A154" s="44"/>
      <c r="B154" s="44"/>
    </row>
    <row r="157" spans="1:2" x14ac:dyDescent="0.25">
      <c r="A157" s="43"/>
      <c r="B157" s="43"/>
    </row>
    <row r="158" spans="1:2" x14ac:dyDescent="0.25">
      <c r="A158" s="44"/>
      <c r="B158" s="44"/>
    </row>
    <row r="159" spans="1:2" x14ac:dyDescent="0.25">
      <c r="A159" s="44"/>
      <c r="B159" s="44"/>
    </row>
    <row r="160" spans="1:2" x14ac:dyDescent="0.25">
      <c r="A160" s="44"/>
      <c r="B160" s="44"/>
    </row>
    <row r="161" spans="1:2" x14ac:dyDescent="0.25">
      <c r="A161" s="44"/>
      <c r="B161" s="44"/>
    </row>
    <row r="162" spans="1:2" x14ac:dyDescent="0.25">
      <c r="A162" s="44"/>
      <c r="B162" s="44"/>
    </row>
    <row r="163" spans="1:2" x14ac:dyDescent="0.25">
      <c r="A163" s="44"/>
      <c r="B163" s="44"/>
    </row>
    <row r="164" spans="1:2" x14ac:dyDescent="0.25">
      <c r="A164" s="44"/>
      <c r="B164" s="44"/>
    </row>
    <row r="165" spans="1:2" x14ac:dyDescent="0.25">
      <c r="A165" s="44"/>
      <c r="B165" s="44"/>
    </row>
    <row r="166" spans="1:2" x14ac:dyDescent="0.25">
      <c r="A166" s="44"/>
      <c r="B166" s="44"/>
    </row>
    <row r="167" spans="1:2" x14ac:dyDescent="0.25">
      <c r="A167" s="44"/>
      <c r="B167" s="44"/>
    </row>
    <row r="168" spans="1:2" x14ac:dyDescent="0.25">
      <c r="A168" s="44"/>
      <c r="B168" s="44"/>
    </row>
    <row r="169" spans="1:2" x14ac:dyDescent="0.25">
      <c r="A169" s="44"/>
      <c r="B169" s="44"/>
    </row>
    <row r="170" spans="1:2" x14ac:dyDescent="0.25">
      <c r="A170" s="44"/>
      <c r="B170" s="44"/>
    </row>
    <row r="171" spans="1:2" x14ac:dyDescent="0.25">
      <c r="A171" s="44"/>
      <c r="B171" s="44"/>
    </row>
    <row r="172" spans="1:2" x14ac:dyDescent="0.25">
      <c r="A172" s="44"/>
      <c r="B172" s="44"/>
    </row>
    <row r="173" spans="1:2" x14ac:dyDescent="0.25">
      <c r="A173" s="44"/>
      <c r="B173" s="44"/>
    </row>
    <row r="174" spans="1:2" x14ac:dyDescent="0.25">
      <c r="A174" s="44"/>
      <c r="B174" s="44"/>
    </row>
    <row r="175" spans="1:2" x14ac:dyDescent="0.25">
      <c r="A175" s="44"/>
      <c r="B175" s="44"/>
    </row>
    <row r="176" spans="1:2" x14ac:dyDescent="0.25">
      <c r="A176" s="44"/>
      <c r="B176" s="44"/>
    </row>
    <row r="177" spans="1:2" x14ac:dyDescent="0.25">
      <c r="A177" s="44"/>
      <c r="B177" s="44"/>
    </row>
    <row r="178" spans="1:2" x14ac:dyDescent="0.25">
      <c r="A178" s="44"/>
      <c r="B178" s="44"/>
    </row>
    <row r="179" spans="1:2" x14ac:dyDescent="0.25">
      <c r="A179" s="44"/>
      <c r="B179" s="44"/>
    </row>
    <row r="180" spans="1:2" x14ac:dyDescent="0.25">
      <c r="A180" s="44"/>
      <c r="B180" s="44"/>
    </row>
    <row r="181" spans="1:2" x14ac:dyDescent="0.25">
      <c r="A181" s="44"/>
      <c r="B181" s="44"/>
    </row>
    <row r="182" spans="1:2" x14ac:dyDescent="0.25">
      <c r="A182" s="44"/>
      <c r="B182" s="44"/>
    </row>
    <row r="183" spans="1:2" x14ac:dyDescent="0.25">
      <c r="A183" s="44"/>
      <c r="B183" s="44"/>
    </row>
    <row r="184" spans="1:2" x14ac:dyDescent="0.25">
      <c r="A184" s="44"/>
      <c r="B184" s="44"/>
    </row>
    <row r="185" spans="1:2" x14ac:dyDescent="0.25">
      <c r="A185" s="44"/>
      <c r="B185" s="44"/>
    </row>
    <row r="186" spans="1:2" x14ac:dyDescent="0.25">
      <c r="A186" s="44"/>
      <c r="B186" s="44"/>
    </row>
    <row r="187" spans="1:2" x14ac:dyDescent="0.25">
      <c r="A187" s="44"/>
      <c r="B187" s="44"/>
    </row>
    <row r="188" spans="1:2" x14ac:dyDescent="0.25">
      <c r="A188" s="44"/>
      <c r="B188" s="44"/>
    </row>
    <row r="189" spans="1:2" x14ac:dyDescent="0.25">
      <c r="A189" s="44"/>
      <c r="B189" s="44"/>
    </row>
    <row r="190" spans="1:2" x14ac:dyDescent="0.25">
      <c r="A190" s="44"/>
      <c r="B190" s="44"/>
    </row>
    <row r="191" spans="1:2" x14ac:dyDescent="0.25">
      <c r="A191" s="44"/>
      <c r="B191" s="44"/>
    </row>
    <row r="192" spans="1:2" x14ac:dyDescent="0.25">
      <c r="A192" s="44"/>
      <c r="B192" s="44"/>
    </row>
    <row r="193" spans="1:2" x14ac:dyDescent="0.25">
      <c r="A193" s="44"/>
      <c r="B193" s="44"/>
    </row>
    <row r="194" spans="1:2" x14ac:dyDescent="0.25">
      <c r="A194" s="44"/>
      <c r="B194" s="44"/>
    </row>
    <row r="195" spans="1:2" x14ac:dyDescent="0.25">
      <c r="A195" s="44"/>
      <c r="B195" s="44"/>
    </row>
    <row r="196" spans="1:2" x14ac:dyDescent="0.25">
      <c r="A196" s="44"/>
      <c r="B196" s="44"/>
    </row>
    <row r="197" spans="1:2" x14ac:dyDescent="0.25">
      <c r="A197" s="44"/>
      <c r="B197" s="44"/>
    </row>
    <row r="198" spans="1:2" x14ac:dyDescent="0.25">
      <c r="A198" s="44"/>
      <c r="B198" s="44"/>
    </row>
    <row r="199" spans="1:2" x14ac:dyDescent="0.25">
      <c r="A199" s="44"/>
      <c r="B199" s="44"/>
    </row>
    <row r="200" spans="1:2" x14ac:dyDescent="0.25">
      <c r="A200" s="44"/>
      <c r="B200" s="44"/>
    </row>
    <row r="201" spans="1:2" x14ac:dyDescent="0.25">
      <c r="A201" s="44"/>
      <c r="B201" s="44"/>
    </row>
    <row r="202" spans="1:2" x14ac:dyDescent="0.25">
      <c r="A202" s="44"/>
      <c r="B202" s="44"/>
    </row>
    <row r="203" spans="1:2" x14ac:dyDescent="0.25">
      <c r="A203" s="44"/>
      <c r="B203" s="44"/>
    </row>
    <row r="204" spans="1:2" x14ac:dyDescent="0.25">
      <c r="A204" s="44"/>
      <c r="B204" s="44"/>
    </row>
    <row r="205" spans="1:2" x14ac:dyDescent="0.25">
      <c r="A205" s="44"/>
      <c r="B205" s="44"/>
    </row>
    <row r="206" spans="1:2" x14ac:dyDescent="0.25">
      <c r="A206" s="44"/>
      <c r="B206" s="44"/>
    </row>
    <row r="207" spans="1:2" x14ac:dyDescent="0.25">
      <c r="A207" s="44"/>
      <c r="B207" s="44"/>
    </row>
    <row r="208" spans="1:2" x14ac:dyDescent="0.25">
      <c r="A208" s="44"/>
      <c r="B208" s="44"/>
    </row>
    <row r="209" spans="1:7" x14ac:dyDescent="0.25">
      <c r="A209" s="44"/>
      <c r="B209" s="44"/>
    </row>
    <row r="210" spans="1:7" x14ac:dyDescent="0.25">
      <c r="A210" s="44"/>
      <c r="B210" s="44"/>
    </row>
    <row r="211" spans="1:7" x14ac:dyDescent="0.25">
      <c r="A211" s="44"/>
      <c r="B211" s="44"/>
    </row>
    <row r="214" spans="1:7" ht="20.25" x14ac:dyDescent="0.3">
      <c r="A214" s="60"/>
    </row>
    <row r="215" spans="1:7" x14ac:dyDescent="0.25">
      <c r="A215" s="43"/>
      <c r="B215" s="43"/>
    </row>
    <row r="216" spans="1:7" x14ac:dyDescent="0.25">
      <c r="A216" s="44"/>
      <c r="B216" s="44"/>
    </row>
    <row r="217" spans="1:7" x14ac:dyDescent="0.25">
      <c r="A217" s="44"/>
      <c r="B217" s="44"/>
    </row>
    <row r="218" spans="1:7" x14ac:dyDescent="0.25">
      <c r="A218" s="44"/>
      <c r="B218" s="44"/>
    </row>
    <row r="219" spans="1:7" x14ac:dyDescent="0.25">
      <c r="A219" s="44"/>
      <c r="B219" s="44"/>
    </row>
    <row r="220" spans="1:7" x14ac:dyDescent="0.25">
      <c r="A220" s="44"/>
      <c r="B220" s="44"/>
    </row>
    <row r="221" spans="1:7" x14ac:dyDescent="0.25">
      <c r="A221" s="44"/>
      <c r="B221" s="44"/>
    </row>
    <row r="223" spans="1:7" ht="23.25" x14ac:dyDescent="0.35">
      <c r="A223" s="59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4"/>
      <c r="B226" s="44"/>
      <c r="C226" s="44"/>
      <c r="D226" s="44"/>
      <c r="E226" s="44"/>
      <c r="F226" s="44"/>
      <c r="G226" s="44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4"/>
      <c r="B228" s="44"/>
      <c r="C228" s="44"/>
      <c r="D228" s="44"/>
      <c r="E228" s="44"/>
      <c r="F228" s="44"/>
      <c r="G228" s="44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4"/>
      <c r="B230" s="44"/>
      <c r="C230" s="44"/>
      <c r="D230" s="44"/>
      <c r="E230" s="44"/>
      <c r="F230" s="44"/>
      <c r="G230" s="44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4"/>
      <c r="B232" s="44"/>
      <c r="C232" s="44"/>
      <c r="D232" s="44"/>
      <c r="E232" s="44"/>
      <c r="F232" s="44"/>
      <c r="G232" s="44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4"/>
      <c r="B234" s="44"/>
      <c r="C234" s="44"/>
      <c r="D234" s="44"/>
      <c r="E234" s="44"/>
      <c r="F234" s="44"/>
      <c r="G234" s="44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4"/>
      <c r="B236" s="44"/>
      <c r="C236" s="44"/>
      <c r="D236" s="44"/>
      <c r="E236" s="44"/>
      <c r="F236" s="44"/>
      <c r="G236" s="44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4"/>
      <c r="B238" s="44"/>
      <c r="C238" s="44"/>
      <c r="D238" s="44"/>
      <c r="E238" s="44"/>
      <c r="F238" s="44"/>
      <c r="G238" s="44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4"/>
      <c r="B240" s="44"/>
      <c r="C240" s="44"/>
      <c r="D240" s="44"/>
      <c r="E240" s="44"/>
      <c r="F240" s="44"/>
      <c r="G240" s="44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4"/>
      <c r="B242" s="44"/>
      <c r="C242" s="44"/>
      <c r="D242" s="44"/>
      <c r="E242" s="44"/>
      <c r="F242" s="44"/>
      <c r="G242" s="44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4"/>
      <c r="B244" s="44"/>
      <c r="C244" s="44"/>
      <c r="D244" s="44"/>
      <c r="E244" s="44"/>
      <c r="F244" s="44"/>
      <c r="G244" s="44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4"/>
      <c r="B246" s="44"/>
      <c r="C246" s="44"/>
      <c r="D246" s="44"/>
      <c r="E246" s="44"/>
      <c r="F246" s="44"/>
      <c r="G246" s="44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4"/>
      <c r="B248" s="44"/>
      <c r="C248" s="44"/>
      <c r="D248" s="44"/>
      <c r="E248" s="44"/>
      <c r="F248" s="44"/>
      <c r="G248" s="44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4"/>
      <c r="B250" s="44"/>
      <c r="C250" s="44"/>
      <c r="D250" s="44"/>
      <c r="E250" s="44"/>
      <c r="F250" s="44"/>
      <c r="G250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4"/>
      <c r="B254" s="44"/>
      <c r="C254" s="44"/>
      <c r="D254" s="44"/>
      <c r="E254" s="44"/>
      <c r="F254" s="44"/>
      <c r="G254" s="44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4"/>
      <c r="B256" s="44"/>
      <c r="C256" s="44"/>
      <c r="D256" s="44"/>
      <c r="E256" s="44"/>
      <c r="F256" s="44"/>
      <c r="G256" s="44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4"/>
      <c r="B258" s="44"/>
      <c r="C258" s="44"/>
      <c r="D258" s="44"/>
      <c r="E258" s="44"/>
      <c r="F258" s="44"/>
      <c r="G258" s="44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4"/>
      <c r="B260" s="44"/>
      <c r="C260" s="44"/>
      <c r="D260" s="44"/>
      <c r="E260" s="44"/>
      <c r="F260" s="44"/>
      <c r="G260" s="44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4"/>
      <c r="B262" s="44"/>
      <c r="C262" s="44"/>
      <c r="D262" s="44"/>
      <c r="E262" s="44"/>
      <c r="F262" s="44"/>
      <c r="G262" s="44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4"/>
      <c r="B264" s="44"/>
      <c r="C264" s="44"/>
      <c r="D264" s="44"/>
      <c r="E264" s="44"/>
      <c r="F264" s="44"/>
      <c r="G264" s="44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4"/>
      <c r="B266" s="44"/>
      <c r="C266" s="44"/>
      <c r="D266" s="44"/>
      <c r="E266" s="44"/>
      <c r="F266" s="44"/>
      <c r="G266" s="44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4"/>
      <c r="B268" s="44"/>
      <c r="C268" s="44"/>
      <c r="D268" s="44"/>
      <c r="E268" s="44"/>
      <c r="F268" s="44"/>
      <c r="G268" s="44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4"/>
      <c r="B270" s="44"/>
      <c r="C270" s="44"/>
      <c r="D270" s="44"/>
      <c r="E270" s="44"/>
      <c r="F270" s="44"/>
      <c r="G270" s="44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4"/>
      <c r="B272" s="44"/>
      <c r="C272" s="44"/>
      <c r="D272" s="44"/>
      <c r="E272" s="44"/>
      <c r="F272" s="44"/>
      <c r="G272" s="44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4"/>
      <c r="B274" s="44"/>
      <c r="C274" s="44"/>
      <c r="D274" s="44"/>
      <c r="E274" s="44"/>
      <c r="F274" s="44"/>
      <c r="G274" s="44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4"/>
      <c r="B276" s="44"/>
      <c r="C276" s="44"/>
      <c r="D276" s="44"/>
      <c r="E276" s="44"/>
      <c r="F276" s="44"/>
      <c r="G276" s="44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4"/>
      <c r="B278" s="44"/>
      <c r="C278" s="44"/>
      <c r="D278" s="44"/>
      <c r="E278" s="44"/>
      <c r="F278" s="44"/>
      <c r="G278" s="44"/>
    </row>
    <row r="280" spans="1:7" ht="20.25" x14ac:dyDescent="0.3">
      <c r="A280" s="60"/>
    </row>
    <row r="281" spans="1:7" x14ac:dyDescent="0.25">
      <c r="A281" s="43"/>
      <c r="B281" s="43"/>
    </row>
    <row r="282" spans="1:7" x14ac:dyDescent="0.25">
      <c r="A282" s="44"/>
      <c r="B282" s="44"/>
    </row>
    <row r="283" spans="1:7" x14ac:dyDescent="0.25">
      <c r="A283" s="44"/>
      <c r="B283" s="44"/>
    </row>
    <row r="284" spans="1:7" x14ac:dyDescent="0.25">
      <c r="A284" s="44"/>
      <c r="B284" s="44"/>
    </row>
    <row r="285" spans="1:7" x14ac:dyDescent="0.25">
      <c r="A285" s="44"/>
      <c r="B285" s="44"/>
    </row>
    <row r="286" spans="1:7" x14ac:dyDescent="0.25">
      <c r="A286" s="44"/>
      <c r="B286" s="44"/>
    </row>
    <row r="287" spans="1:7" x14ac:dyDescent="0.25">
      <c r="A287" s="44"/>
      <c r="B287" s="44"/>
    </row>
    <row r="288" spans="1:7" x14ac:dyDescent="0.25">
      <c r="A288" s="44"/>
      <c r="B288" s="44"/>
    </row>
    <row r="289" spans="1:2" x14ac:dyDescent="0.25">
      <c r="A289" s="44"/>
      <c r="B289" s="44"/>
    </row>
    <row r="290" spans="1:2" x14ac:dyDescent="0.25">
      <c r="A290" s="44"/>
      <c r="B290" s="44"/>
    </row>
    <row r="291" spans="1:2" x14ac:dyDescent="0.25">
      <c r="A291" s="44"/>
      <c r="B291" s="44"/>
    </row>
    <row r="292" spans="1:2" x14ac:dyDescent="0.25">
      <c r="A292" s="44"/>
      <c r="B292" s="44"/>
    </row>
    <row r="293" spans="1:2" x14ac:dyDescent="0.25">
      <c r="A293" s="44"/>
      <c r="B293" s="44"/>
    </row>
    <row r="294" spans="1:2" x14ac:dyDescent="0.25">
      <c r="A294" s="44"/>
      <c r="B294" s="44"/>
    </row>
    <row r="295" spans="1:2" x14ac:dyDescent="0.25">
      <c r="A295" s="44"/>
      <c r="B295" s="44"/>
    </row>
    <row r="296" spans="1:2" x14ac:dyDescent="0.25">
      <c r="A296" s="44"/>
      <c r="B296" s="44"/>
    </row>
    <row r="297" spans="1:2" x14ac:dyDescent="0.25">
      <c r="A297" s="44"/>
      <c r="B297" s="44"/>
    </row>
    <row r="298" spans="1:2" x14ac:dyDescent="0.25">
      <c r="A298" s="44"/>
      <c r="B298" s="44"/>
    </row>
    <row r="299" spans="1:2" x14ac:dyDescent="0.25">
      <c r="A299" s="44"/>
      <c r="B299" s="44"/>
    </row>
    <row r="300" spans="1:2" x14ac:dyDescent="0.25">
      <c r="A300" s="44"/>
      <c r="B300" s="44"/>
    </row>
    <row r="301" spans="1:2" x14ac:dyDescent="0.25">
      <c r="A301" s="44"/>
      <c r="B301" s="44"/>
    </row>
    <row r="302" spans="1:2" x14ac:dyDescent="0.25">
      <c r="A302" s="44"/>
      <c r="B302" s="44"/>
    </row>
    <row r="303" spans="1:2" x14ac:dyDescent="0.25">
      <c r="A303" s="44"/>
      <c r="B303" s="44"/>
    </row>
    <row r="304" spans="1:2" x14ac:dyDescent="0.25">
      <c r="A304" s="44"/>
      <c r="B304" s="44"/>
    </row>
    <row r="305" spans="1:2" x14ac:dyDescent="0.25">
      <c r="A305" s="44"/>
      <c r="B305" s="44"/>
    </row>
    <row r="306" spans="1:2" x14ac:dyDescent="0.25">
      <c r="A306" s="44"/>
      <c r="B306" s="44"/>
    </row>
    <row r="307" spans="1:2" x14ac:dyDescent="0.25">
      <c r="A307" s="44"/>
      <c r="B307" s="44"/>
    </row>
    <row r="308" spans="1:2" x14ac:dyDescent="0.25">
      <c r="A308" s="44"/>
      <c r="B308" s="44"/>
    </row>
    <row r="309" spans="1:2" x14ac:dyDescent="0.25">
      <c r="A309" s="44"/>
      <c r="B309" s="44"/>
    </row>
    <row r="310" spans="1:2" x14ac:dyDescent="0.25">
      <c r="A310" s="44"/>
      <c r="B310" s="44"/>
    </row>
    <row r="311" spans="1:2" x14ac:dyDescent="0.25">
      <c r="A311" s="44"/>
      <c r="B311" s="44"/>
    </row>
    <row r="312" spans="1:2" x14ac:dyDescent="0.25">
      <c r="A312" s="44"/>
      <c r="B312" s="44"/>
    </row>
    <row r="313" spans="1:2" x14ac:dyDescent="0.25">
      <c r="A313" s="44"/>
      <c r="B313" s="44"/>
    </row>
    <row r="314" spans="1:2" x14ac:dyDescent="0.25">
      <c r="A314" s="44"/>
      <c r="B314" s="44"/>
    </row>
    <row r="315" spans="1:2" x14ac:dyDescent="0.25">
      <c r="A315" s="44"/>
      <c r="B315" s="44"/>
    </row>
    <row r="316" spans="1:2" x14ac:dyDescent="0.25">
      <c r="A316" s="44"/>
      <c r="B316" s="44"/>
    </row>
    <row r="317" spans="1:2" x14ac:dyDescent="0.25">
      <c r="A317" s="44"/>
      <c r="B317" s="44"/>
    </row>
    <row r="318" spans="1:2" x14ac:dyDescent="0.25">
      <c r="A318" s="44"/>
      <c r="B318" s="44"/>
    </row>
    <row r="319" spans="1:2" x14ac:dyDescent="0.25">
      <c r="A319" s="44"/>
      <c r="B319" s="44"/>
    </row>
    <row r="320" spans="1:2" x14ac:dyDescent="0.25">
      <c r="A320" s="44"/>
      <c r="B320" s="44"/>
    </row>
    <row r="321" spans="1:2" x14ac:dyDescent="0.25">
      <c r="A321" s="44"/>
      <c r="B321" s="44"/>
    </row>
    <row r="322" spans="1:2" x14ac:dyDescent="0.25">
      <c r="A322" s="44"/>
      <c r="B322" s="44"/>
    </row>
    <row r="323" spans="1:2" x14ac:dyDescent="0.25">
      <c r="A323" s="44"/>
      <c r="B323" s="44"/>
    </row>
    <row r="324" spans="1:2" x14ac:dyDescent="0.25">
      <c r="A324" s="44"/>
      <c r="B324" s="44"/>
    </row>
    <row r="325" spans="1:2" x14ac:dyDescent="0.25">
      <c r="A325" s="44"/>
      <c r="B325" s="44"/>
    </row>
    <row r="326" spans="1:2" x14ac:dyDescent="0.25">
      <c r="A326" s="44"/>
      <c r="B326" s="44"/>
    </row>
    <row r="327" spans="1:2" x14ac:dyDescent="0.25">
      <c r="A327" s="44"/>
      <c r="B327" s="44"/>
    </row>
    <row r="328" spans="1:2" x14ac:dyDescent="0.25">
      <c r="A328" s="44"/>
      <c r="B328" s="44"/>
    </row>
    <row r="329" spans="1:2" x14ac:dyDescent="0.25">
      <c r="A329" s="44"/>
      <c r="B329" s="44"/>
    </row>
    <row r="330" spans="1:2" x14ac:dyDescent="0.25">
      <c r="A330" s="44"/>
      <c r="B330" s="44"/>
    </row>
    <row r="331" spans="1:2" x14ac:dyDescent="0.25">
      <c r="A331" s="44"/>
      <c r="B331" s="44"/>
    </row>
    <row r="332" spans="1:2" x14ac:dyDescent="0.25">
      <c r="A332" s="44"/>
      <c r="B332" s="44"/>
    </row>
    <row r="333" spans="1:2" x14ac:dyDescent="0.25">
      <c r="A333" s="44"/>
      <c r="B333" s="44"/>
    </row>
    <row r="334" spans="1:2" x14ac:dyDescent="0.25">
      <c r="A334" s="44"/>
      <c r="B334" s="44"/>
    </row>
    <row r="335" spans="1:2" x14ac:dyDescent="0.25">
      <c r="A335" s="44"/>
      <c r="B335" s="44"/>
    </row>
    <row r="336" spans="1:2" x14ac:dyDescent="0.25">
      <c r="A336" s="44"/>
      <c r="B336" s="44"/>
    </row>
    <row r="337" spans="1:2" x14ac:dyDescent="0.25">
      <c r="A337" s="44"/>
      <c r="B337" s="44"/>
    </row>
    <row r="338" spans="1:2" x14ac:dyDescent="0.25">
      <c r="A338" s="44"/>
      <c r="B338" s="44"/>
    </row>
    <row r="339" spans="1:2" x14ac:dyDescent="0.25">
      <c r="A339" s="44"/>
      <c r="B339" s="44"/>
    </row>
    <row r="340" spans="1:2" x14ac:dyDescent="0.25">
      <c r="A340" s="44"/>
      <c r="B340" s="44"/>
    </row>
    <row r="341" spans="1:2" x14ac:dyDescent="0.25">
      <c r="A341" s="44"/>
      <c r="B341" s="44"/>
    </row>
    <row r="342" spans="1:2" x14ac:dyDescent="0.25">
      <c r="A342" s="44"/>
      <c r="B342" s="44"/>
    </row>
    <row r="343" spans="1:2" x14ac:dyDescent="0.25">
      <c r="A343" s="44"/>
      <c r="B343" s="44"/>
    </row>
    <row r="344" spans="1:2" x14ac:dyDescent="0.25">
      <c r="A344" s="44"/>
      <c r="B344" s="44"/>
    </row>
    <row r="345" spans="1:2" x14ac:dyDescent="0.25">
      <c r="A345" s="44"/>
      <c r="B345" s="44"/>
    </row>
    <row r="346" spans="1:2" x14ac:dyDescent="0.25">
      <c r="A346" s="44"/>
      <c r="B346" s="44"/>
    </row>
    <row r="347" spans="1:2" x14ac:dyDescent="0.25">
      <c r="A347" s="44"/>
      <c r="B347" s="44"/>
    </row>
    <row r="348" spans="1:2" x14ac:dyDescent="0.25">
      <c r="A348" s="44"/>
      <c r="B348" s="44"/>
    </row>
    <row r="349" spans="1:2" x14ac:dyDescent="0.25">
      <c r="A349" s="44"/>
      <c r="B349" s="44"/>
    </row>
    <row r="350" spans="1:2" x14ac:dyDescent="0.25">
      <c r="A350" s="44"/>
      <c r="B350" s="44"/>
    </row>
    <row r="351" spans="1:2" x14ac:dyDescent="0.25">
      <c r="A351" s="44"/>
      <c r="B351" s="44"/>
    </row>
    <row r="352" spans="1:2" x14ac:dyDescent="0.25">
      <c r="A352" s="44"/>
      <c r="B352" s="44"/>
    </row>
    <row r="353" spans="1:2" x14ac:dyDescent="0.25">
      <c r="A353" s="44"/>
      <c r="B353" s="44"/>
    </row>
    <row r="354" spans="1:2" x14ac:dyDescent="0.25">
      <c r="A354" s="44"/>
      <c r="B354" s="44"/>
    </row>
    <row r="355" spans="1:2" x14ac:dyDescent="0.25">
      <c r="A355" s="44"/>
      <c r="B355" s="44"/>
    </row>
    <row r="356" spans="1:2" x14ac:dyDescent="0.25">
      <c r="A356" s="44"/>
      <c r="B356" s="44"/>
    </row>
    <row r="357" spans="1:2" x14ac:dyDescent="0.25">
      <c r="A357" s="44"/>
      <c r="B357" s="44"/>
    </row>
    <row r="358" spans="1:2" x14ac:dyDescent="0.25">
      <c r="A358" s="44"/>
      <c r="B358" s="44"/>
    </row>
    <row r="359" spans="1:2" x14ac:dyDescent="0.25">
      <c r="A359" s="44"/>
      <c r="B359" s="44"/>
    </row>
    <row r="360" spans="1:2" x14ac:dyDescent="0.25">
      <c r="A360" s="44"/>
      <c r="B360" s="44"/>
    </row>
    <row r="361" spans="1:2" x14ac:dyDescent="0.25">
      <c r="A361" s="44"/>
      <c r="B361" s="44"/>
    </row>
    <row r="362" spans="1:2" x14ac:dyDescent="0.25">
      <c r="A362" s="44"/>
      <c r="B362" s="44"/>
    </row>
    <row r="363" spans="1:2" x14ac:dyDescent="0.25">
      <c r="A363" s="44"/>
      <c r="B363" s="44"/>
    </row>
    <row r="364" spans="1:2" x14ac:dyDescent="0.25">
      <c r="A364" s="44"/>
      <c r="B364" s="44"/>
    </row>
    <row r="365" spans="1:2" x14ac:dyDescent="0.25">
      <c r="A365" s="44"/>
      <c r="B365" s="44"/>
    </row>
    <row r="366" spans="1:2" x14ac:dyDescent="0.25">
      <c r="A366" s="44"/>
      <c r="B366" s="44"/>
    </row>
    <row r="367" spans="1:2" x14ac:dyDescent="0.25">
      <c r="A367" s="44"/>
      <c r="B367" s="44"/>
    </row>
    <row r="368" spans="1:2" x14ac:dyDescent="0.25">
      <c r="A368" s="44"/>
      <c r="B368" s="44"/>
    </row>
    <row r="369" spans="1:2" x14ac:dyDescent="0.25">
      <c r="A369" s="44"/>
      <c r="B369" s="44"/>
    </row>
    <row r="370" spans="1:2" x14ac:dyDescent="0.25">
      <c r="A370" s="44"/>
      <c r="B370" s="44"/>
    </row>
    <row r="371" spans="1:2" x14ac:dyDescent="0.25">
      <c r="A371" s="44"/>
      <c r="B371" s="44"/>
    </row>
    <row r="372" spans="1:2" x14ac:dyDescent="0.25">
      <c r="A372" s="44"/>
      <c r="B372" s="44"/>
    </row>
    <row r="373" spans="1:2" x14ac:dyDescent="0.25">
      <c r="A373" s="44"/>
      <c r="B373" s="44"/>
    </row>
    <row r="374" spans="1:2" x14ac:dyDescent="0.25">
      <c r="A374" s="44"/>
      <c r="B374" s="44"/>
    </row>
    <row r="375" spans="1:2" x14ac:dyDescent="0.25">
      <c r="A375" s="44"/>
      <c r="B375" s="44"/>
    </row>
    <row r="376" spans="1:2" x14ac:dyDescent="0.25">
      <c r="A376" s="44"/>
      <c r="B376" s="44"/>
    </row>
    <row r="377" spans="1:2" x14ac:dyDescent="0.25">
      <c r="A377" s="44"/>
      <c r="B377" s="44"/>
    </row>
    <row r="378" spans="1:2" x14ac:dyDescent="0.25">
      <c r="A378" s="44"/>
      <c r="B378" s="44"/>
    </row>
    <row r="379" spans="1:2" x14ac:dyDescent="0.25">
      <c r="A379" s="44"/>
      <c r="B379" s="44"/>
    </row>
    <row r="380" spans="1:2" x14ac:dyDescent="0.25">
      <c r="A380" s="44"/>
      <c r="B380" s="44"/>
    </row>
    <row r="383" spans="1:2" x14ac:dyDescent="0.25">
      <c r="A383" s="43"/>
      <c r="B383" s="43"/>
    </row>
    <row r="384" spans="1:2" x14ac:dyDescent="0.25">
      <c r="A384" s="44"/>
      <c r="B384" s="44"/>
    </row>
    <row r="385" spans="1:2" x14ac:dyDescent="0.25">
      <c r="A385" s="44"/>
      <c r="B385" s="44"/>
    </row>
    <row r="386" spans="1:2" x14ac:dyDescent="0.25">
      <c r="A386" s="44"/>
      <c r="B386" s="44"/>
    </row>
    <row r="387" spans="1:2" x14ac:dyDescent="0.25">
      <c r="A387" s="44"/>
      <c r="B387" s="44"/>
    </row>
    <row r="388" spans="1:2" x14ac:dyDescent="0.25">
      <c r="A388" s="44"/>
      <c r="B388" s="44"/>
    </row>
    <row r="389" spans="1:2" x14ac:dyDescent="0.25">
      <c r="A389" s="44"/>
      <c r="B389" s="44"/>
    </row>
    <row r="390" spans="1:2" x14ac:dyDescent="0.25">
      <c r="A390" s="44"/>
      <c r="B390" s="44"/>
    </row>
    <row r="391" spans="1:2" x14ac:dyDescent="0.25">
      <c r="A391" s="44"/>
      <c r="B391" s="44"/>
    </row>
    <row r="392" spans="1:2" x14ac:dyDescent="0.25">
      <c r="A392" s="44"/>
      <c r="B392" s="44"/>
    </row>
    <row r="393" spans="1:2" x14ac:dyDescent="0.25">
      <c r="A393" s="44"/>
      <c r="B393" s="44"/>
    </row>
    <row r="394" spans="1:2" x14ac:dyDescent="0.25">
      <c r="A394" s="44"/>
      <c r="B394" s="44"/>
    </row>
    <row r="395" spans="1:2" x14ac:dyDescent="0.25">
      <c r="A395" s="44"/>
      <c r="B395" s="44"/>
    </row>
    <row r="396" spans="1:2" x14ac:dyDescent="0.25">
      <c r="A396" s="44"/>
      <c r="B396" s="44"/>
    </row>
    <row r="397" spans="1:2" x14ac:dyDescent="0.25">
      <c r="A397" s="44"/>
      <c r="B397" s="44"/>
    </row>
    <row r="398" spans="1:2" x14ac:dyDescent="0.25">
      <c r="A398" s="44"/>
      <c r="B398" s="44"/>
    </row>
    <row r="399" spans="1:2" x14ac:dyDescent="0.25">
      <c r="A399" s="44"/>
      <c r="B399" s="44"/>
    </row>
    <row r="400" spans="1:2" x14ac:dyDescent="0.25">
      <c r="A400" s="44"/>
      <c r="B400" s="44"/>
    </row>
    <row r="401" spans="1:2" x14ac:dyDescent="0.25">
      <c r="A401" s="44"/>
      <c r="B401" s="44"/>
    </row>
    <row r="402" spans="1:2" x14ac:dyDescent="0.25">
      <c r="A402" s="44"/>
      <c r="B402" s="44"/>
    </row>
    <row r="403" spans="1:2" x14ac:dyDescent="0.25">
      <c r="A403" s="44"/>
      <c r="B403" s="44"/>
    </row>
    <row r="404" spans="1:2" x14ac:dyDescent="0.25">
      <c r="A404" s="44"/>
      <c r="B404" s="44"/>
    </row>
    <row r="405" spans="1:2" x14ac:dyDescent="0.25">
      <c r="A405" s="44"/>
      <c r="B405" s="44"/>
    </row>
    <row r="406" spans="1:2" x14ac:dyDescent="0.25">
      <c r="A406" s="44"/>
      <c r="B406" s="44"/>
    </row>
    <row r="407" spans="1:2" x14ac:dyDescent="0.25">
      <c r="A407" s="44"/>
      <c r="B407" s="44"/>
    </row>
    <row r="408" spans="1:2" x14ac:dyDescent="0.25">
      <c r="A408" s="44"/>
      <c r="B408" s="44"/>
    </row>
    <row r="409" spans="1:2" x14ac:dyDescent="0.25">
      <c r="A409" s="44"/>
      <c r="B409" s="44"/>
    </row>
    <row r="410" spans="1:2" x14ac:dyDescent="0.25">
      <c r="A410" s="44"/>
      <c r="B410" s="44"/>
    </row>
    <row r="411" spans="1:2" x14ac:dyDescent="0.25">
      <c r="A411" s="44"/>
      <c r="B411" s="44"/>
    </row>
    <row r="412" spans="1:2" x14ac:dyDescent="0.25">
      <c r="A412" s="44"/>
      <c r="B412" s="44"/>
    </row>
    <row r="413" spans="1:2" x14ac:dyDescent="0.25">
      <c r="A413" s="44"/>
      <c r="B413" s="44"/>
    </row>
    <row r="414" spans="1:2" x14ac:dyDescent="0.25">
      <c r="A414" s="44"/>
      <c r="B414" s="44"/>
    </row>
    <row r="415" spans="1:2" x14ac:dyDescent="0.25">
      <c r="A415" s="44"/>
      <c r="B415" s="44"/>
    </row>
    <row r="416" spans="1:2" x14ac:dyDescent="0.25">
      <c r="A416" s="44"/>
      <c r="B416" s="44"/>
    </row>
    <row r="417" spans="1:2" x14ac:dyDescent="0.25">
      <c r="A417" s="44"/>
      <c r="B417" s="44"/>
    </row>
    <row r="418" spans="1:2" x14ac:dyDescent="0.25">
      <c r="A418" s="44"/>
      <c r="B418" s="44"/>
    </row>
    <row r="419" spans="1:2" x14ac:dyDescent="0.25">
      <c r="A419" s="44"/>
      <c r="B419" s="44"/>
    </row>
    <row r="420" spans="1:2" x14ac:dyDescent="0.25">
      <c r="A420" s="44"/>
      <c r="B420" s="44"/>
    </row>
    <row r="421" spans="1:2" x14ac:dyDescent="0.25">
      <c r="A421" s="44"/>
      <c r="B421" s="44"/>
    </row>
    <row r="422" spans="1:2" x14ac:dyDescent="0.25">
      <c r="A422" s="44"/>
      <c r="B422" s="44"/>
    </row>
    <row r="423" spans="1:2" x14ac:dyDescent="0.25">
      <c r="A423" s="44"/>
      <c r="B423" s="44"/>
    </row>
    <row r="424" spans="1:2" x14ac:dyDescent="0.25">
      <c r="A424" s="44"/>
      <c r="B424" s="44"/>
    </row>
    <row r="425" spans="1:2" x14ac:dyDescent="0.25">
      <c r="A425" s="44"/>
      <c r="B425" s="44"/>
    </row>
    <row r="426" spans="1:2" x14ac:dyDescent="0.25">
      <c r="A426" s="44"/>
      <c r="B426" s="44"/>
    </row>
    <row r="427" spans="1:2" x14ac:dyDescent="0.25">
      <c r="A427" s="44"/>
      <c r="B427" s="44"/>
    </row>
    <row r="428" spans="1:2" x14ac:dyDescent="0.25">
      <c r="A428" s="44"/>
      <c r="B428" s="44"/>
    </row>
    <row r="429" spans="1:2" x14ac:dyDescent="0.25">
      <c r="A429" s="44"/>
      <c r="B429" s="44"/>
    </row>
    <row r="430" spans="1:2" x14ac:dyDescent="0.25">
      <c r="A430" s="44"/>
      <c r="B430" s="44"/>
    </row>
    <row r="431" spans="1:2" x14ac:dyDescent="0.25">
      <c r="A431" s="44"/>
      <c r="B431" s="44"/>
    </row>
    <row r="432" spans="1:2" x14ac:dyDescent="0.25">
      <c r="A432" s="44"/>
      <c r="B432" s="44"/>
    </row>
    <row r="433" spans="1:2" x14ac:dyDescent="0.25">
      <c r="A433" s="44"/>
      <c r="B433" s="44"/>
    </row>
    <row r="434" spans="1:2" x14ac:dyDescent="0.25">
      <c r="A434" s="44"/>
      <c r="B434" s="44"/>
    </row>
    <row r="435" spans="1:2" x14ac:dyDescent="0.25">
      <c r="A435" s="44"/>
      <c r="B435" s="44"/>
    </row>
    <row r="436" spans="1:2" x14ac:dyDescent="0.25">
      <c r="A436" s="44"/>
      <c r="B436" s="44"/>
    </row>
    <row r="437" spans="1:2" x14ac:dyDescent="0.25">
      <c r="A437" s="44"/>
      <c r="B437" s="44"/>
    </row>
    <row r="438" spans="1:2" x14ac:dyDescent="0.25">
      <c r="A438" s="44"/>
      <c r="B438" s="44"/>
    </row>
    <row r="439" spans="1:2" x14ac:dyDescent="0.25">
      <c r="A439" s="44"/>
      <c r="B439" s="44"/>
    </row>
    <row r="440" spans="1:2" x14ac:dyDescent="0.25">
      <c r="A440" s="44"/>
      <c r="B440" s="44"/>
    </row>
    <row r="441" spans="1:2" x14ac:dyDescent="0.25">
      <c r="A441" s="44"/>
      <c r="B441" s="44"/>
    </row>
    <row r="442" spans="1:2" x14ac:dyDescent="0.25">
      <c r="A442" s="44"/>
      <c r="B442" s="44"/>
    </row>
    <row r="443" spans="1:2" x14ac:dyDescent="0.25">
      <c r="A443" s="44"/>
      <c r="B443" s="44"/>
    </row>
    <row r="444" spans="1:2" x14ac:dyDescent="0.25">
      <c r="A444" s="44"/>
      <c r="B444" s="44"/>
    </row>
    <row r="445" spans="1:2" x14ac:dyDescent="0.25">
      <c r="A445" s="44"/>
      <c r="B445" s="44"/>
    </row>
    <row r="446" spans="1:2" x14ac:dyDescent="0.25">
      <c r="A446" s="44"/>
      <c r="B446" s="44"/>
    </row>
    <row r="447" spans="1:2" x14ac:dyDescent="0.25">
      <c r="A447" s="44"/>
      <c r="B447" s="44"/>
    </row>
    <row r="448" spans="1:2" x14ac:dyDescent="0.25">
      <c r="A448" s="44"/>
      <c r="B448" s="44"/>
    </row>
    <row r="449" spans="1:2" x14ac:dyDescent="0.25">
      <c r="A449" s="44"/>
      <c r="B449" s="44"/>
    </row>
    <row r="450" spans="1:2" x14ac:dyDescent="0.25">
      <c r="A450" s="44"/>
      <c r="B450" s="44"/>
    </row>
    <row r="451" spans="1:2" x14ac:dyDescent="0.25">
      <c r="A451" s="44"/>
      <c r="B451" s="44"/>
    </row>
    <row r="452" spans="1:2" x14ac:dyDescent="0.25">
      <c r="A452" s="44"/>
      <c r="B452" s="44"/>
    </row>
    <row r="453" spans="1:2" x14ac:dyDescent="0.25">
      <c r="A453" s="44"/>
      <c r="B453" s="44"/>
    </row>
    <row r="454" spans="1:2" x14ac:dyDescent="0.25">
      <c r="A454" s="44"/>
      <c r="B454" s="44"/>
    </row>
    <row r="455" spans="1:2" x14ac:dyDescent="0.25">
      <c r="A455" s="44"/>
      <c r="B455" s="44"/>
    </row>
    <row r="456" spans="1:2" x14ac:dyDescent="0.25">
      <c r="A456" s="44"/>
      <c r="B456" s="44"/>
    </row>
    <row r="457" spans="1:2" x14ac:dyDescent="0.25">
      <c r="A457" s="44"/>
      <c r="B457" s="44"/>
    </row>
    <row r="458" spans="1:2" x14ac:dyDescent="0.25">
      <c r="A458" s="44"/>
      <c r="B458" s="44"/>
    </row>
    <row r="459" spans="1:2" x14ac:dyDescent="0.25">
      <c r="A459" s="44"/>
      <c r="B459" s="44"/>
    </row>
    <row r="460" spans="1:2" x14ac:dyDescent="0.25">
      <c r="A460" s="44"/>
      <c r="B460" s="44"/>
    </row>
    <row r="461" spans="1:2" x14ac:dyDescent="0.25">
      <c r="A461" s="44"/>
      <c r="B461" s="44"/>
    </row>
    <row r="462" spans="1:2" x14ac:dyDescent="0.25">
      <c r="A462" s="44"/>
      <c r="B462" s="44"/>
    </row>
    <row r="463" spans="1:2" x14ac:dyDescent="0.25">
      <c r="A463" s="44"/>
      <c r="B463" s="44"/>
    </row>
    <row r="464" spans="1:2" x14ac:dyDescent="0.25">
      <c r="A464" s="44"/>
      <c r="B464" s="44"/>
    </row>
    <row r="465" spans="1:2" x14ac:dyDescent="0.25">
      <c r="A465" s="44"/>
      <c r="B465" s="44"/>
    </row>
    <row r="466" spans="1:2" x14ac:dyDescent="0.25">
      <c r="A466" s="44"/>
      <c r="B466" s="44"/>
    </row>
    <row r="467" spans="1:2" x14ac:dyDescent="0.25">
      <c r="A467" s="44"/>
      <c r="B467" s="44"/>
    </row>
    <row r="468" spans="1:2" x14ac:dyDescent="0.25">
      <c r="A468" s="44"/>
      <c r="B468" s="44"/>
    </row>
    <row r="469" spans="1:2" x14ac:dyDescent="0.25">
      <c r="A469" s="44"/>
      <c r="B469" s="44"/>
    </row>
    <row r="470" spans="1:2" x14ac:dyDescent="0.25">
      <c r="A470" s="44"/>
      <c r="B470" s="44"/>
    </row>
    <row r="471" spans="1:2" x14ac:dyDescent="0.25">
      <c r="A471" s="44"/>
      <c r="B471" s="44"/>
    </row>
    <row r="472" spans="1:2" x14ac:dyDescent="0.25">
      <c r="A472" s="44"/>
      <c r="B472" s="44"/>
    </row>
    <row r="473" spans="1:2" x14ac:dyDescent="0.25">
      <c r="A473" s="44"/>
      <c r="B473" s="44"/>
    </row>
    <row r="474" spans="1:2" x14ac:dyDescent="0.25">
      <c r="A474" s="44"/>
      <c r="B474" s="44"/>
    </row>
    <row r="475" spans="1:2" x14ac:dyDescent="0.25">
      <c r="A475" s="44"/>
      <c r="B475" s="44"/>
    </row>
    <row r="476" spans="1:2" x14ac:dyDescent="0.25">
      <c r="A476" s="44"/>
      <c r="B476" s="44"/>
    </row>
    <row r="477" spans="1:2" x14ac:dyDescent="0.25">
      <c r="A477" s="44"/>
      <c r="B477" s="44"/>
    </row>
    <row r="478" spans="1:2" x14ac:dyDescent="0.25">
      <c r="A478" s="44"/>
      <c r="B478" s="44"/>
    </row>
    <row r="479" spans="1:2" x14ac:dyDescent="0.25">
      <c r="A479" s="44"/>
      <c r="B479" s="44"/>
    </row>
    <row r="480" spans="1:2" x14ac:dyDescent="0.25">
      <c r="A480" s="44"/>
      <c r="B480" s="44"/>
    </row>
    <row r="481" spans="1:2" x14ac:dyDescent="0.25">
      <c r="A481" s="44"/>
      <c r="B481" s="44"/>
    </row>
    <row r="482" spans="1:2" x14ac:dyDescent="0.25">
      <c r="A482" s="44"/>
      <c r="B482" s="44"/>
    </row>
    <row r="483" spans="1:2" x14ac:dyDescent="0.25">
      <c r="A483" s="44"/>
      <c r="B483" s="44"/>
    </row>
    <row r="486" spans="1:2" ht="23.25" x14ac:dyDescent="0.35">
      <c r="A486" s="59"/>
    </row>
    <row r="487" spans="1:2" ht="20.25" x14ac:dyDescent="0.3">
      <c r="A487" s="60"/>
    </row>
    <row r="488" spans="1:2" x14ac:dyDescent="0.25">
      <c r="A488" s="43"/>
      <c r="B488" s="43"/>
    </row>
    <row r="489" spans="1:2" x14ac:dyDescent="0.25">
      <c r="A489" s="44"/>
      <c r="B489" s="44"/>
    </row>
    <row r="490" spans="1:2" x14ac:dyDescent="0.25">
      <c r="A490" s="44"/>
      <c r="B490" s="44"/>
    </row>
    <row r="491" spans="1:2" x14ac:dyDescent="0.25">
      <c r="A491" s="44"/>
      <c r="B491" s="44"/>
    </row>
    <row r="492" spans="1:2" x14ac:dyDescent="0.25">
      <c r="A492" s="44"/>
      <c r="B492" s="44"/>
    </row>
    <row r="493" spans="1:2" x14ac:dyDescent="0.25">
      <c r="A493" s="44"/>
      <c r="B493" s="44"/>
    </row>
    <row r="494" spans="1:2" x14ac:dyDescent="0.25">
      <c r="A494" s="44"/>
      <c r="B494" s="44"/>
    </row>
    <row r="496" spans="1:2" ht="20.25" x14ac:dyDescent="0.3">
      <c r="A496" s="60"/>
    </row>
    <row r="497" spans="1:2" x14ac:dyDescent="0.25">
      <c r="A497" s="43"/>
      <c r="B497" s="43"/>
    </row>
    <row r="498" spans="1:2" x14ac:dyDescent="0.25">
      <c r="A498" s="44"/>
      <c r="B498" s="44"/>
    </row>
    <row r="499" spans="1:2" x14ac:dyDescent="0.25">
      <c r="A499" s="44"/>
      <c r="B499" s="44"/>
    </row>
    <row r="500" spans="1:2" x14ac:dyDescent="0.25">
      <c r="A500" s="44"/>
      <c r="B500" s="44"/>
    </row>
    <row r="501" spans="1:2" x14ac:dyDescent="0.25">
      <c r="A501" s="44"/>
      <c r="B501" s="44"/>
    </row>
    <row r="502" spans="1:2" x14ac:dyDescent="0.25">
      <c r="A502" s="44"/>
      <c r="B502" s="44"/>
    </row>
    <row r="503" spans="1:2" x14ac:dyDescent="0.25">
      <c r="A503" s="44"/>
      <c r="B503" s="44"/>
    </row>
    <row r="504" spans="1:2" x14ac:dyDescent="0.25">
      <c r="A504" s="44"/>
      <c r="B504" s="44"/>
    </row>
    <row r="505" spans="1:2" x14ac:dyDescent="0.25">
      <c r="A505" s="44"/>
      <c r="B505" s="44"/>
    </row>
    <row r="506" spans="1:2" x14ac:dyDescent="0.25">
      <c r="A506" s="44"/>
      <c r="B506" s="44"/>
    </row>
    <row r="507" spans="1:2" x14ac:dyDescent="0.25">
      <c r="A507" s="44"/>
      <c r="B507" s="44"/>
    </row>
    <row r="508" spans="1:2" x14ac:dyDescent="0.25">
      <c r="A508" s="44"/>
      <c r="B508" s="44"/>
    </row>
    <row r="509" spans="1:2" x14ac:dyDescent="0.25">
      <c r="A509" s="44"/>
      <c r="B509" s="44"/>
    </row>
    <row r="510" spans="1:2" x14ac:dyDescent="0.25">
      <c r="A510" s="44"/>
      <c r="B510" s="44"/>
    </row>
    <row r="511" spans="1:2" x14ac:dyDescent="0.25">
      <c r="A511" s="44"/>
      <c r="B511" s="44"/>
    </row>
    <row r="512" spans="1:2" x14ac:dyDescent="0.25">
      <c r="A512" s="44"/>
      <c r="B512" s="44"/>
    </row>
    <row r="513" spans="1:4" x14ac:dyDescent="0.25">
      <c r="A513" s="44"/>
      <c r="B513" s="44"/>
    </row>
    <row r="514" spans="1:4" x14ac:dyDescent="0.25">
      <c r="A514" s="44"/>
      <c r="B514" s="44"/>
    </row>
    <row r="515" spans="1:4" x14ac:dyDescent="0.25">
      <c r="A515" s="44"/>
      <c r="B515" s="44"/>
    </row>
    <row r="516" spans="1:4" x14ac:dyDescent="0.25">
      <c r="A516" s="44"/>
      <c r="B516" s="44"/>
    </row>
    <row r="517" spans="1:4" x14ac:dyDescent="0.25">
      <c r="A517" s="44"/>
      <c r="B517" s="44"/>
    </row>
    <row r="520" spans="1:4" ht="23.25" x14ac:dyDescent="0.35">
      <c r="A520" s="59"/>
    </row>
    <row r="521" spans="1:4" ht="20.25" x14ac:dyDescent="0.3">
      <c r="A521" s="60"/>
    </row>
    <row r="522" spans="1:4" x14ac:dyDescent="0.25">
      <c r="A522" s="43"/>
      <c r="B522" s="43"/>
      <c r="C522" s="43"/>
      <c r="D522" s="43"/>
    </row>
    <row r="523" spans="1:4" x14ac:dyDescent="0.25">
      <c r="A523" s="44"/>
      <c r="B523" s="44"/>
      <c r="C523" s="44"/>
      <c r="D523" s="44"/>
    </row>
    <row r="524" spans="1:4" x14ac:dyDescent="0.25">
      <c r="A524" s="44"/>
      <c r="B524" s="44"/>
      <c r="C524" s="44"/>
      <c r="D524" s="44"/>
    </row>
    <row r="525" spans="1:4" x14ac:dyDescent="0.25">
      <c r="A525" s="44"/>
      <c r="B525" s="44"/>
      <c r="C525" s="44"/>
      <c r="D525" s="44"/>
    </row>
    <row r="526" spans="1:4" x14ac:dyDescent="0.25">
      <c r="A526" s="44"/>
      <c r="B526" s="44"/>
      <c r="C526" s="44"/>
      <c r="D526" s="44"/>
    </row>
    <row r="527" spans="1:4" x14ac:dyDescent="0.25">
      <c r="A527" s="44"/>
      <c r="B527" s="44"/>
      <c r="C527" s="44"/>
      <c r="D527" s="44"/>
    </row>
    <row r="528" spans="1:4" x14ac:dyDescent="0.25">
      <c r="A528" s="44"/>
      <c r="B528" s="44"/>
      <c r="C528" s="44"/>
      <c r="D528" s="44"/>
    </row>
    <row r="529" spans="1:4" x14ac:dyDescent="0.25">
      <c r="A529" s="44"/>
      <c r="B529" s="44"/>
      <c r="C529" s="44"/>
      <c r="D529" s="44"/>
    </row>
    <row r="530" spans="1:4" x14ac:dyDescent="0.25">
      <c r="A530" s="44"/>
      <c r="B530" s="44"/>
      <c r="C530" s="44"/>
      <c r="D530" s="44"/>
    </row>
    <row r="531" spans="1:4" x14ac:dyDescent="0.25">
      <c r="A531" s="44"/>
      <c r="B531" s="44"/>
      <c r="C531" s="44"/>
      <c r="D531" s="44"/>
    </row>
    <row r="532" spans="1:4" x14ac:dyDescent="0.25">
      <c r="A532" s="44"/>
      <c r="B532" s="44"/>
      <c r="C532" s="44"/>
      <c r="D532" s="44"/>
    </row>
    <row r="533" spans="1:4" x14ac:dyDescent="0.25">
      <c r="A533" s="44"/>
      <c r="B533" s="44"/>
      <c r="C533" s="44"/>
      <c r="D533" s="44"/>
    </row>
    <row r="534" spans="1:4" x14ac:dyDescent="0.25">
      <c r="A534" s="44"/>
      <c r="B534" s="44"/>
      <c r="C534" s="44"/>
      <c r="D534" s="44"/>
    </row>
    <row r="535" spans="1:4" x14ac:dyDescent="0.25">
      <c r="A535" s="44"/>
      <c r="B535" s="44"/>
      <c r="C535" s="44"/>
      <c r="D535" s="44"/>
    </row>
    <row r="536" spans="1:4" x14ac:dyDescent="0.25">
      <c r="A536" s="44"/>
      <c r="B536" s="44"/>
      <c r="C536" s="44"/>
      <c r="D536" s="44"/>
    </row>
    <row r="537" spans="1:4" x14ac:dyDescent="0.25">
      <c r="A537" s="44"/>
      <c r="B537" s="44"/>
      <c r="C537" s="44"/>
      <c r="D537" s="44"/>
    </row>
    <row r="538" spans="1:4" x14ac:dyDescent="0.25">
      <c r="A538" s="44"/>
      <c r="B538" s="44"/>
      <c r="C538" s="44"/>
      <c r="D538" s="44"/>
    </row>
    <row r="539" spans="1:4" x14ac:dyDescent="0.25">
      <c r="A539" s="44"/>
      <c r="B539" s="44"/>
      <c r="C539" s="44"/>
      <c r="D539" s="44"/>
    </row>
    <row r="540" spans="1:4" x14ac:dyDescent="0.25">
      <c r="A540" s="44"/>
      <c r="B540" s="44"/>
      <c r="C540" s="44"/>
      <c r="D540" s="44"/>
    </row>
    <row r="541" spans="1:4" x14ac:dyDescent="0.25">
      <c r="A541" s="44"/>
      <c r="B541" s="44"/>
      <c r="C541" s="44"/>
      <c r="D541" s="44"/>
    </row>
    <row r="542" spans="1:4" x14ac:dyDescent="0.25">
      <c r="A542" s="44"/>
      <c r="B542" s="44"/>
      <c r="C542" s="44"/>
      <c r="D542" s="44"/>
    </row>
    <row r="543" spans="1:4" x14ac:dyDescent="0.25">
      <c r="A543" s="44"/>
      <c r="B543" s="44"/>
      <c r="C543" s="44"/>
      <c r="D543" s="44"/>
    </row>
    <row r="544" spans="1:4" x14ac:dyDescent="0.25">
      <c r="A544" s="44"/>
      <c r="B544" s="44"/>
      <c r="C544" s="44"/>
      <c r="D544" s="44"/>
    </row>
    <row r="545" spans="1:4" x14ac:dyDescent="0.25">
      <c r="A545" s="44"/>
      <c r="B545" s="44"/>
      <c r="C545" s="44"/>
      <c r="D545" s="44"/>
    </row>
    <row r="546" spans="1:4" x14ac:dyDescent="0.25">
      <c r="A546" s="44"/>
      <c r="B546" s="44"/>
      <c r="C546" s="44"/>
      <c r="D546" s="44"/>
    </row>
    <row r="547" spans="1:4" x14ac:dyDescent="0.25">
      <c r="A547" s="44"/>
      <c r="B547" s="44"/>
      <c r="C547" s="44"/>
      <c r="D547" s="44"/>
    </row>
    <row r="548" spans="1:4" x14ac:dyDescent="0.25">
      <c r="A548" s="44"/>
      <c r="B548" s="44"/>
      <c r="C548" s="44"/>
      <c r="D548" s="44"/>
    </row>
    <row r="549" spans="1:4" x14ac:dyDescent="0.25">
      <c r="A549" s="44"/>
      <c r="B549" s="44"/>
      <c r="C549" s="44"/>
      <c r="D549" s="44"/>
    </row>
    <row r="550" spans="1:4" x14ac:dyDescent="0.25">
      <c r="A550" s="44"/>
      <c r="B550" s="44"/>
      <c r="C550" s="44"/>
      <c r="D550" s="44"/>
    </row>
    <row r="551" spans="1:4" x14ac:dyDescent="0.25">
      <c r="A551" s="44"/>
      <c r="B551" s="44"/>
      <c r="C551" s="44"/>
      <c r="D551" s="44"/>
    </row>
    <row r="552" spans="1:4" x14ac:dyDescent="0.25">
      <c r="A552" s="44"/>
      <c r="B552" s="44"/>
      <c r="C552" s="44"/>
      <c r="D552" s="44"/>
    </row>
    <row r="553" spans="1:4" x14ac:dyDescent="0.25">
      <c r="A553" s="44"/>
      <c r="B553" s="44"/>
      <c r="C553" s="44"/>
      <c r="D553" s="44"/>
    </row>
    <row r="554" spans="1:4" x14ac:dyDescent="0.25">
      <c r="A554" s="44"/>
      <c r="B554" s="44"/>
      <c r="C554" s="44"/>
      <c r="D554" s="44"/>
    </row>
    <row r="555" spans="1:4" x14ac:dyDescent="0.25">
      <c r="A555" s="44"/>
      <c r="B555" s="44"/>
      <c r="C555" s="44"/>
      <c r="D555" s="44"/>
    </row>
    <row r="556" spans="1:4" x14ac:dyDescent="0.25">
      <c r="A556" s="44"/>
      <c r="B556" s="44"/>
      <c r="C556" s="44"/>
      <c r="D556" s="44"/>
    </row>
    <row r="557" spans="1:4" x14ac:dyDescent="0.25">
      <c r="A557" s="44"/>
      <c r="B557" s="44"/>
      <c r="C557" s="44"/>
      <c r="D557" s="44"/>
    </row>
    <row r="558" spans="1:4" x14ac:dyDescent="0.25">
      <c r="A558" s="44"/>
      <c r="B558" s="44"/>
      <c r="C558" s="44"/>
      <c r="D558" s="44"/>
    </row>
    <row r="559" spans="1:4" x14ac:dyDescent="0.25">
      <c r="A559" s="44"/>
      <c r="B559" s="44"/>
      <c r="C559" s="44"/>
      <c r="D559" s="44"/>
    </row>
    <row r="560" spans="1:4" x14ac:dyDescent="0.25">
      <c r="A560" s="44"/>
      <c r="B560" s="44"/>
      <c r="C560" s="44"/>
      <c r="D560" s="44"/>
    </row>
    <row r="561" spans="1:4" x14ac:dyDescent="0.25">
      <c r="A561" s="44"/>
      <c r="B561" s="44"/>
      <c r="C561" s="44"/>
      <c r="D561" s="44"/>
    </row>
    <row r="562" spans="1:4" x14ac:dyDescent="0.25">
      <c r="A562" s="44"/>
      <c r="B562" s="44"/>
      <c r="C562" s="44"/>
      <c r="D562" s="44"/>
    </row>
    <row r="563" spans="1:4" x14ac:dyDescent="0.25">
      <c r="A563" s="44"/>
      <c r="B563" s="44"/>
      <c r="C563" s="44"/>
      <c r="D563" s="44"/>
    </row>
    <row r="564" spans="1:4" x14ac:dyDescent="0.25">
      <c r="A564" s="44"/>
      <c r="B564" s="44"/>
      <c r="C564" s="44"/>
      <c r="D564" s="44"/>
    </row>
    <row r="565" spans="1:4" x14ac:dyDescent="0.25">
      <c r="A565" s="44"/>
      <c r="B565" s="44"/>
      <c r="C565" s="44"/>
      <c r="D565" s="44"/>
    </row>
    <row r="566" spans="1:4" x14ac:dyDescent="0.25">
      <c r="A566" s="44"/>
      <c r="B566" s="44"/>
      <c r="C566" s="44"/>
      <c r="D566" s="44"/>
    </row>
    <row r="567" spans="1:4" x14ac:dyDescent="0.25">
      <c r="A567" s="44"/>
      <c r="B567" s="44"/>
      <c r="C567" s="44"/>
      <c r="D567" s="44"/>
    </row>
    <row r="568" spans="1:4" x14ac:dyDescent="0.25">
      <c r="A568" s="44"/>
      <c r="B568" s="44"/>
      <c r="C568" s="44"/>
      <c r="D568" s="44"/>
    </row>
    <row r="569" spans="1:4" x14ac:dyDescent="0.25">
      <c r="A569" s="44"/>
      <c r="B569" s="44"/>
      <c r="C569" s="44"/>
      <c r="D569" s="44"/>
    </row>
    <row r="570" spans="1:4" x14ac:dyDescent="0.25">
      <c r="A570" s="44"/>
      <c r="B570" s="44"/>
      <c r="C570" s="44"/>
      <c r="D570" s="44"/>
    </row>
    <row r="571" spans="1:4" x14ac:dyDescent="0.25">
      <c r="A571" s="44"/>
      <c r="B571" s="44"/>
      <c r="C571" s="44"/>
      <c r="D571" s="44"/>
    </row>
    <row r="572" spans="1:4" x14ac:dyDescent="0.25">
      <c r="A572" s="44"/>
      <c r="B572" s="44"/>
      <c r="C572" s="44"/>
      <c r="D572" s="44"/>
    </row>
    <row r="573" spans="1:4" x14ac:dyDescent="0.25">
      <c r="A573" s="44"/>
      <c r="B573" s="44"/>
      <c r="C573" s="44"/>
      <c r="D573" s="44"/>
    </row>
    <row r="574" spans="1:4" x14ac:dyDescent="0.25">
      <c r="A574" s="44"/>
      <c r="B574" s="44"/>
      <c r="C574" s="44"/>
      <c r="D574" s="44"/>
    </row>
    <row r="575" spans="1:4" x14ac:dyDescent="0.25">
      <c r="A575" s="44"/>
      <c r="B575" s="44"/>
      <c r="C575" s="44"/>
      <c r="D575" s="44"/>
    </row>
    <row r="576" spans="1:4" x14ac:dyDescent="0.25">
      <c r="A576" s="44"/>
      <c r="B576" s="44"/>
      <c r="C576" s="44"/>
      <c r="D576" s="44"/>
    </row>
    <row r="577" spans="1:4" x14ac:dyDescent="0.25">
      <c r="A577" s="44"/>
      <c r="B577" s="44"/>
      <c r="C577" s="44"/>
      <c r="D577" s="44"/>
    </row>
    <row r="578" spans="1:4" x14ac:dyDescent="0.25">
      <c r="A578" s="44"/>
      <c r="B578" s="44"/>
      <c r="C578" s="44"/>
      <c r="D578" s="44"/>
    </row>
    <row r="579" spans="1:4" x14ac:dyDescent="0.25">
      <c r="A579" s="44"/>
      <c r="B579" s="44"/>
      <c r="C579" s="44"/>
      <c r="D579" s="44"/>
    </row>
    <row r="580" spans="1:4" x14ac:dyDescent="0.25">
      <c r="A580" s="44"/>
      <c r="B580" s="44"/>
      <c r="C580" s="44"/>
      <c r="D580" s="44"/>
    </row>
    <row r="581" spans="1:4" x14ac:dyDescent="0.25">
      <c r="A581" s="44"/>
      <c r="B581" s="44"/>
      <c r="C581" s="44"/>
      <c r="D581" s="44"/>
    </row>
    <row r="582" spans="1:4" x14ac:dyDescent="0.25">
      <c r="A582" s="44"/>
      <c r="B582" s="44"/>
      <c r="C582" s="44"/>
      <c r="D582" s="44"/>
    </row>
    <row r="583" spans="1:4" x14ac:dyDescent="0.25">
      <c r="A583" s="44"/>
      <c r="B583" s="44"/>
      <c r="C583" s="44"/>
      <c r="D583" s="44"/>
    </row>
    <row r="584" spans="1:4" x14ac:dyDescent="0.25">
      <c r="A584" s="44"/>
      <c r="B584" s="44"/>
      <c r="C584" s="44"/>
      <c r="D584" s="44"/>
    </row>
    <row r="585" spans="1:4" x14ac:dyDescent="0.25">
      <c r="A585" s="44"/>
      <c r="B585" s="44"/>
      <c r="C585" s="44"/>
      <c r="D585" s="44"/>
    </row>
    <row r="586" spans="1:4" x14ac:dyDescent="0.25">
      <c r="A586" s="44"/>
      <c r="B586" s="44"/>
      <c r="C586" s="44"/>
      <c r="D586" s="44"/>
    </row>
    <row r="587" spans="1:4" x14ac:dyDescent="0.25">
      <c r="A587" s="44"/>
      <c r="B587" s="44"/>
      <c r="C587" s="44"/>
      <c r="D587" s="44"/>
    </row>
    <row r="588" spans="1:4" x14ac:dyDescent="0.25">
      <c r="A588" s="44"/>
      <c r="B588" s="44"/>
      <c r="C588" s="44"/>
      <c r="D588" s="44"/>
    </row>
    <row r="589" spans="1:4" x14ac:dyDescent="0.25">
      <c r="A589" s="44"/>
      <c r="B589" s="44"/>
      <c r="C589" s="44"/>
      <c r="D589" s="44"/>
    </row>
    <row r="590" spans="1:4" x14ac:dyDescent="0.25">
      <c r="A590" s="44"/>
      <c r="B590" s="44"/>
      <c r="C590" s="44"/>
      <c r="D590" s="44"/>
    </row>
    <row r="591" spans="1:4" x14ac:dyDescent="0.25">
      <c r="A591" s="44"/>
      <c r="B591" s="44"/>
      <c r="C591" s="44"/>
      <c r="D591" s="44"/>
    </row>
    <row r="592" spans="1:4" x14ac:dyDescent="0.25">
      <c r="A592" s="44"/>
      <c r="B592" s="44"/>
      <c r="C592" s="44"/>
      <c r="D592" s="44"/>
    </row>
    <row r="593" spans="1:4" x14ac:dyDescent="0.25">
      <c r="A593" s="44"/>
      <c r="B593" s="44"/>
      <c r="C593" s="44"/>
      <c r="D593" s="44"/>
    </row>
    <row r="594" spans="1:4" x14ac:dyDescent="0.25">
      <c r="A594" s="44"/>
      <c r="B594" s="44"/>
      <c r="C594" s="44"/>
      <c r="D594" s="44"/>
    </row>
    <row r="595" spans="1:4" x14ac:dyDescent="0.25">
      <c r="A595" s="44"/>
      <c r="B595" s="44"/>
      <c r="C595" s="44"/>
      <c r="D595" s="44"/>
    </row>
    <row r="596" spans="1:4" x14ac:dyDescent="0.25">
      <c r="A596" s="44"/>
      <c r="B596" s="44"/>
      <c r="C596" s="44"/>
      <c r="D596" s="44"/>
    </row>
    <row r="597" spans="1:4" x14ac:dyDescent="0.25">
      <c r="A597" s="44"/>
      <c r="B597" s="44"/>
      <c r="C597" s="44"/>
      <c r="D597" s="44"/>
    </row>
    <row r="598" spans="1:4" x14ac:dyDescent="0.25">
      <c r="A598" s="44"/>
      <c r="B598" s="44"/>
      <c r="C598" s="44"/>
      <c r="D598" s="44"/>
    </row>
    <row r="599" spans="1:4" x14ac:dyDescent="0.25">
      <c r="A599" s="44"/>
      <c r="B599" s="44"/>
      <c r="C599" s="44"/>
      <c r="D599" s="44"/>
    </row>
    <row r="600" spans="1:4" x14ac:dyDescent="0.25">
      <c r="A600" s="44"/>
      <c r="B600" s="44"/>
      <c r="C600" s="44"/>
      <c r="D600" s="44"/>
    </row>
    <row r="601" spans="1:4" x14ac:dyDescent="0.25">
      <c r="A601" s="44"/>
      <c r="B601" s="44"/>
      <c r="C601" s="44"/>
      <c r="D601" s="44"/>
    </row>
    <row r="602" spans="1:4" x14ac:dyDescent="0.25">
      <c r="A602" s="44"/>
      <c r="B602" s="44"/>
      <c r="C602" s="44"/>
      <c r="D602" s="44"/>
    </row>
    <row r="603" spans="1:4" x14ac:dyDescent="0.25">
      <c r="A603" s="44"/>
      <c r="B603" s="44"/>
      <c r="C603" s="44"/>
      <c r="D603" s="44"/>
    </row>
    <row r="604" spans="1:4" x14ac:dyDescent="0.25">
      <c r="A604" s="44"/>
      <c r="B604" s="44"/>
      <c r="C604" s="44"/>
      <c r="D604" s="44"/>
    </row>
    <row r="605" spans="1:4" x14ac:dyDescent="0.25">
      <c r="A605" s="44"/>
      <c r="B605" s="44"/>
      <c r="C605" s="44"/>
      <c r="D605" s="44"/>
    </row>
    <row r="606" spans="1:4" x14ac:dyDescent="0.25">
      <c r="A606" s="44"/>
      <c r="B606" s="44"/>
      <c r="C606" s="44"/>
      <c r="D606" s="44"/>
    </row>
    <row r="607" spans="1:4" x14ac:dyDescent="0.25">
      <c r="A607" s="44"/>
      <c r="B607" s="44"/>
      <c r="C607" s="44"/>
      <c r="D607" s="44"/>
    </row>
    <row r="608" spans="1:4" x14ac:dyDescent="0.25">
      <c r="A608" s="44"/>
      <c r="B608" s="44"/>
      <c r="C608" s="44"/>
      <c r="D608" s="44"/>
    </row>
    <row r="609" spans="1:4" x14ac:dyDescent="0.25">
      <c r="A609" s="44"/>
      <c r="B609" s="44"/>
      <c r="C609" s="44"/>
      <c r="D609" s="44"/>
    </row>
    <row r="610" spans="1:4" x14ac:dyDescent="0.25">
      <c r="A610" s="44"/>
      <c r="B610" s="44"/>
      <c r="C610" s="44"/>
      <c r="D610" s="44"/>
    </row>
    <row r="611" spans="1:4" x14ac:dyDescent="0.25">
      <c r="A611" s="44"/>
      <c r="B611" s="44"/>
      <c r="C611" s="44"/>
      <c r="D611" s="44"/>
    </row>
    <row r="612" spans="1:4" x14ac:dyDescent="0.25">
      <c r="A612" s="44"/>
      <c r="B612" s="44"/>
      <c r="C612" s="44"/>
      <c r="D612" s="44"/>
    </row>
    <row r="613" spans="1:4" x14ac:dyDescent="0.25">
      <c r="A613" s="44"/>
      <c r="B613" s="44"/>
      <c r="C613" s="44"/>
      <c r="D613" s="44"/>
    </row>
    <row r="614" spans="1:4" x14ac:dyDescent="0.25">
      <c r="A614" s="44"/>
      <c r="B614" s="44"/>
      <c r="C614" s="44"/>
      <c r="D614" s="44"/>
    </row>
    <row r="615" spans="1:4" x14ac:dyDescent="0.25">
      <c r="A615" s="44"/>
      <c r="B615" s="44"/>
      <c r="C615" s="44"/>
      <c r="D615" s="44"/>
    </row>
    <row r="616" spans="1:4" x14ac:dyDescent="0.25">
      <c r="A616" s="44"/>
      <c r="B616" s="44"/>
      <c r="C616" s="44"/>
      <c r="D616" s="44"/>
    </row>
    <row r="617" spans="1:4" x14ac:dyDescent="0.25">
      <c r="A617" s="44"/>
      <c r="B617" s="44"/>
      <c r="C617" s="44"/>
      <c r="D617" s="44"/>
    </row>
    <row r="618" spans="1:4" x14ac:dyDescent="0.25">
      <c r="A618" s="44"/>
      <c r="B618" s="44"/>
      <c r="C618" s="44"/>
      <c r="D618" s="44"/>
    </row>
    <row r="619" spans="1:4" x14ac:dyDescent="0.25">
      <c r="A619" s="44"/>
      <c r="B619" s="44"/>
      <c r="C619" s="44"/>
      <c r="D619" s="44"/>
    </row>
    <row r="620" spans="1:4" x14ac:dyDescent="0.25">
      <c r="A620" s="44"/>
      <c r="B620" s="44"/>
      <c r="C620" s="44"/>
      <c r="D620" s="44"/>
    </row>
    <row r="621" spans="1:4" x14ac:dyDescent="0.25">
      <c r="A621" s="44"/>
      <c r="B621" s="44"/>
      <c r="C621" s="44"/>
      <c r="D621" s="44"/>
    </row>
    <row r="622" spans="1:4" x14ac:dyDescent="0.25">
      <c r="A622" s="44"/>
      <c r="B622" s="44"/>
      <c r="C622" s="44"/>
      <c r="D622" s="44"/>
    </row>
    <row r="625" spans="1:4" ht="20.25" x14ac:dyDescent="0.3">
      <c r="A625" s="60"/>
    </row>
    <row r="626" spans="1:4" x14ac:dyDescent="0.25">
      <c r="A626" s="43"/>
      <c r="B626" s="43"/>
      <c r="C626" s="43"/>
      <c r="D626" s="43"/>
    </row>
    <row r="627" spans="1:4" x14ac:dyDescent="0.25">
      <c r="A627" s="44"/>
      <c r="B627" s="44"/>
      <c r="C627" s="44"/>
      <c r="D627" s="44"/>
    </row>
    <row r="628" spans="1:4" x14ac:dyDescent="0.25">
      <c r="A628" s="44"/>
      <c r="B628" s="44"/>
      <c r="C628" s="44"/>
      <c r="D628" s="44"/>
    </row>
    <row r="629" spans="1:4" x14ac:dyDescent="0.25">
      <c r="A629" s="44"/>
      <c r="B629" s="44"/>
      <c r="C629" s="44"/>
      <c r="D629" s="44"/>
    </row>
    <row r="630" spans="1:4" x14ac:dyDescent="0.25">
      <c r="A630" s="44"/>
      <c r="B630" s="44"/>
      <c r="C630" s="44"/>
      <c r="D630" s="44"/>
    </row>
    <row r="631" spans="1:4" x14ac:dyDescent="0.25">
      <c r="A631" s="44"/>
      <c r="B631" s="44"/>
      <c r="C631" s="44"/>
      <c r="D631" s="44"/>
    </row>
    <row r="632" spans="1:4" x14ac:dyDescent="0.25">
      <c r="A632" s="44"/>
      <c r="B632" s="44"/>
      <c r="C632" s="44"/>
      <c r="D632" s="44"/>
    </row>
    <row r="633" spans="1:4" x14ac:dyDescent="0.25">
      <c r="A633" s="44"/>
      <c r="B633" s="44"/>
      <c r="C633" s="44"/>
      <c r="D633" s="44"/>
    </row>
    <row r="634" spans="1:4" x14ac:dyDescent="0.25">
      <c r="A634" s="44"/>
      <c r="B634" s="44"/>
      <c r="C634" s="44"/>
      <c r="D634" s="44"/>
    </row>
    <row r="635" spans="1:4" x14ac:dyDescent="0.25">
      <c r="A635" s="44"/>
      <c r="B635" s="44"/>
      <c r="C635" s="44"/>
      <c r="D635" s="44"/>
    </row>
    <row r="636" spans="1:4" x14ac:dyDescent="0.25">
      <c r="A636" s="44"/>
      <c r="B636" s="44"/>
      <c r="C636" s="44"/>
      <c r="D636" s="44"/>
    </row>
    <row r="637" spans="1:4" x14ac:dyDescent="0.25">
      <c r="A637" s="44"/>
      <c r="B637" s="44"/>
      <c r="C637" s="44"/>
      <c r="D637" s="44"/>
    </row>
    <row r="638" spans="1:4" x14ac:dyDescent="0.25">
      <c r="A638" s="44"/>
      <c r="B638" s="44"/>
      <c r="C638" s="44"/>
      <c r="D638" s="44"/>
    </row>
    <row r="639" spans="1:4" x14ac:dyDescent="0.25">
      <c r="A639" s="44"/>
      <c r="B639" s="44"/>
      <c r="C639" s="44"/>
      <c r="D639" s="44"/>
    </row>
    <row r="640" spans="1:4" x14ac:dyDescent="0.25">
      <c r="A640" s="44"/>
      <c r="B640" s="44"/>
      <c r="C640" s="44"/>
      <c r="D640" s="44"/>
    </row>
    <row r="641" spans="1:4" x14ac:dyDescent="0.25">
      <c r="A641" s="44"/>
      <c r="B641" s="44"/>
      <c r="C641" s="44"/>
      <c r="D641" s="44"/>
    </row>
    <row r="642" spans="1:4" x14ac:dyDescent="0.25">
      <c r="A642" s="44"/>
      <c r="B642" s="44"/>
      <c r="C642" s="44"/>
      <c r="D642" s="44"/>
    </row>
    <row r="643" spans="1:4" x14ac:dyDescent="0.25">
      <c r="A643" s="44"/>
      <c r="B643" s="44"/>
      <c r="C643" s="44"/>
      <c r="D643" s="44"/>
    </row>
    <row r="644" spans="1:4" x14ac:dyDescent="0.25">
      <c r="A644" s="44"/>
      <c r="B644" s="44"/>
      <c r="C644" s="44"/>
      <c r="D644" s="44"/>
    </row>
    <row r="645" spans="1:4" x14ac:dyDescent="0.25">
      <c r="A645" s="44"/>
      <c r="B645" s="44"/>
      <c r="C645" s="44"/>
      <c r="D645" s="44"/>
    </row>
    <row r="646" spans="1:4" x14ac:dyDescent="0.25">
      <c r="A646" s="44"/>
      <c r="B646" s="44"/>
      <c r="C646" s="44"/>
      <c r="D646" s="44"/>
    </row>
    <row r="647" spans="1:4" x14ac:dyDescent="0.25">
      <c r="A647" s="44"/>
      <c r="B647" s="44"/>
      <c r="C647" s="44"/>
      <c r="D647" s="44"/>
    </row>
    <row r="648" spans="1:4" x14ac:dyDescent="0.25">
      <c r="A648" s="44"/>
      <c r="B648" s="44"/>
      <c r="C648" s="44"/>
      <c r="D648" s="44"/>
    </row>
    <row r="649" spans="1:4" x14ac:dyDescent="0.25">
      <c r="A649" s="44"/>
      <c r="B649" s="44"/>
      <c r="C649" s="44"/>
      <c r="D649" s="44"/>
    </row>
    <row r="650" spans="1:4" x14ac:dyDescent="0.25">
      <c r="A650" s="44"/>
      <c r="B650" s="44"/>
      <c r="C650" s="44"/>
      <c r="D650" s="44"/>
    </row>
    <row r="651" spans="1:4" x14ac:dyDescent="0.25">
      <c r="A651" s="44"/>
      <c r="B651" s="44"/>
      <c r="C651" s="44"/>
      <c r="D651" s="44"/>
    </row>
    <row r="652" spans="1:4" x14ac:dyDescent="0.25">
      <c r="A652" s="44"/>
      <c r="B652" s="44"/>
      <c r="C652" s="44"/>
      <c r="D652" s="44"/>
    </row>
    <row r="653" spans="1:4" x14ac:dyDescent="0.25">
      <c r="A653" s="44"/>
      <c r="B653" s="44"/>
      <c r="C653" s="44"/>
      <c r="D653" s="44"/>
    </row>
    <row r="654" spans="1:4" x14ac:dyDescent="0.25">
      <c r="A654" s="44"/>
      <c r="B654" s="44"/>
      <c r="C654" s="44"/>
      <c r="D654" s="44"/>
    </row>
    <row r="655" spans="1:4" x14ac:dyDescent="0.25">
      <c r="A655" s="44"/>
      <c r="B655" s="44"/>
      <c r="C655" s="44"/>
      <c r="D655" s="44"/>
    </row>
    <row r="656" spans="1:4" x14ac:dyDescent="0.25">
      <c r="A656" s="44"/>
      <c r="B656" s="44"/>
      <c r="C656" s="44"/>
      <c r="D656" s="44"/>
    </row>
    <row r="657" spans="1:4" x14ac:dyDescent="0.25">
      <c r="A657" s="44"/>
      <c r="B657" s="44"/>
      <c r="C657" s="44"/>
      <c r="D657" s="44"/>
    </row>
    <row r="658" spans="1:4" x14ac:dyDescent="0.25">
      <c r="A658" s="44"/>
      <c r="B658" s="44"/>
      <c r="C658" s="44"/>
      <c r="D658" s="44"/>
    </row>
    <row r="659" spans="1:4" x14ac:dyDescent="0.25">
      <c r="A659" s="44"/>
      <c r="B659" s="44"/>
      <c r="C659" s="44"/>
      <c r="D659" s="44"/>
    </row>
    <row r="660" spans="1:4" x14ac:dyDescent="0.25">
      <c r="A660" s="44"/>
      <c r="B660" s="44"/>
      <c r="C660" s="44"/>
      <c r="D660" s="44"/>
    </row>
    <row r="661" spans="1:4" x14ac:dyDescent="0.25">
      <c r="A661" s="44"/>
      <c r="B661" s="44"/>
      <c r="C661" s="44"/>
      <c r="D661" s="44"/>
    </row>
    <row r="662" spans="1:4" x14ac:dyDescent="0.25">
      <c r="A662" s="44"/>
      <c r="B662" s="44"/>
      <c r="C662" s="44"/>
      <c r="D662" s="44"/>
    </row>
    <row r="663" spans="1:4" x14ac:dyDescent="0.25">
      <c r="A663" s="44"/>
      <c r="B663" s="44"/>
      <c r="C663" s="44"/>
      <c r="D663" s="44"/>
    </row>
    <row r="664" spans="1:4" x14ac:dyDescent="0.25">
      <c r="A664" s="44"/>
      <c r="B664" s="44"/>
      <c r="C664" s="44"/>
      <c r="D664" s="44"/>
    </row>
    <row r="665" spans="1:4" x14ac:dyDescent="0.25">
      <c r="A665" s="44"/>
      <c r="B665" s="44"/>
      <c r="C665" s="44"/>
      <c r="D665" s="44"/>
    </row>
    <row r="666" spans="1:4" x14ac:dyDescent="0.25">
      <c r="A666" s="44"/>
      <c r="B666" s="44"/>
      <c r="C666" s="44"/>
      <c r="D666" s="44"/>
    </row>
    <row r="667" spans="1:4" x14ac:dyDescent="0.25">
      <c r="A667" s="44"/>
      <c r="B667" s="44"/>
      <c r="C667" s="44"/>
      <c r="D667" s="44"/>
    </row>
    <row r="668" spans="1:4" x14ac:dyDescent="0.25">
      <c r="A668" s="44"/>
      <c r="B668" s="44"/>
      <c r="C668" s="44"/>
      <c r="D668" s="44"/>
    </row>
    <row r="669" spans="1:4" x14ac:dyDescent="0.25">
      <c r="A669" s="44"/>
      <c r="B669" s="44"/>
      <c r="C669" s="44"/>
      <c r="D669" s="44"/>
    </row>
    <row r="670" spans="1:4" x14ac:dyDescent="0.25">
      <c r="A670" s="44"/>
      <c r="B670" s="44"/>
      <c r="C670" s="44"/>
      <c r="D670" s="44"/>
    </row>
    <row r="671" spans="1:4" x14ac:dyDescent="0.25">
      <c r="A671" s="44"/>
      <c r="B671" s="44"/>
      <c r="C671" s="44"/>
      <c r="D671" s="44"/>
    </row>
    <row r="672" spans="1:4" x14ac:dyDescent="0.25">
      <c r="A672" s="44"/>
      <c r="B672" s="44"/>
      <c r="C672" s="44"/>
      <c r="D672" s="44"/>
    </row>
    <row r="673" spans="1:4" x14ac:dyDescent="0.25">
      <c r="A673" s="44"/>
      <c r="B673" s="44"/>
      <c r="C673" s="44"/>
      <c r="D673" s="44"/>
    </row>
    <row r="674" spans="1:4" x14ac:dyDescent="0.25">
      <c r="A674" s="44"/>
      <c r="B674" s="44"/>
      <c r="C674" s="44"/>
      <c r="D674" s="44"/>
    </row>
    <row r="675" spans="1:4" x14ac:dyDescent="0.25">
      <c r="A675" s="44"/>
      <c r="B675" s="44"/>
      <c r="C675" s="44"/>
      <c r="D675" s="44"/>
    </row>
    <row r="676" spans="1:4" x14ac:dyDescent="0.25">
      <c r="A676" s="44"/>
      <c r="B676" s="44"/>
      <c r="C676" s="44"/>
      <c r="D676" s="44"/>
    </row>
    <row r="677" spans="1:4" x14ac:dyDescent="0.25">
      <c r="A677" s="44"/>
      <c r="B677" s="44"/>
      <c r="C677" s="44"/>
      <c r="D677" s="44"/>
    </row>
    <row r="678" spans="1:4" x14ac:dyDescent="0.25">
      <c r="A678" s="44"/>
      <c r="B678" s="44"/>
      <c r="C678" s="44"/>
      <c r="D678" s="44"/>
    </row>
    <row r="679" spans="1:4" x14ac:dyDescent="0.25">
      <c r="A679" s="44"/>
      <c r="B679" s="44"/>
      <c r="C679" s="44"/>
      <c r="D679" s="44"/>
    </row>
    <row r="680" spans="1:4" x14ac:dyDescent="0.25">
      <c r="A680" s="44"/>
      <c r="B680" s="44"/>
      <c r="C680" s="44"/>
      <c r="D680" s="44"/>
    </row>
    <row r="681" spans="1:4" x14ac:dyDescent="0.25">
      <c r="A681" s="44"/>
      <c r="B681" s="44"/>
      <c r="C681" s="44"/>
      <c r="D681" s="44"/>
    </row>
    <row r="682" spans="1:4" x14ac:dyDescent="0.25">
      <c r="A682" s="44"/>
      <c r="B682" s="44"/>
      <c r="C682" s="44"/>
      <c r="D682" s="44"/>
    </row>
    <row r="683" spans="1:4" x14ac:dyDescent="0.25">
      <c r="A683" s="44"/>
      <c r="B683" s="44"/>
      <c r="C683" s="44"/>
      <c r="D683" s="44"/>
    </row>
    <row r="684" spans="1:4" x14ac:dyDescent="0.25">
      <c r="A684" s="44"/>
      <c r="B684" s="44"/>
      <c r="C684" s="44"/>
      <c r="D684" s="44"/>
    </row>
    <row r="685" spans="1:4" x14ac:dyDescent="0.25">
      <c r="A685" s="44"/>
      <c r="B685" s="44"/>
      <c r="C685" s="44"/>
      <c r="D685" s="44"/>
    </row>
    <row r="686" spans="1:4" x14ac:dyDescent="0.25">
      <c r="A686" s="44"/>
      <c r="B686" s="44"/>
      <c r="C686" s="44"/>
      <c r="D686" s="44"/>
    </row>
    <row r="687" spans="1:4" x14ac:dyDescent="0.25">
      <c r="A687" s="44"/>
      <c r="B687" s="44"/>
      <c r="C687" s="44"/>
      <c r="D687" s="44"/>
    </row>
    <row r="688" spans="1:4" x14ac:dyDescent="0.25">
      <c r="A688" s="44"/>
      <c r="B688" s="44"/>
      <c r="C688" s="44"/>
      <c r="D688" s="44"/>
    </row>
    <row r="689" spans="1:4" x14ac:dyDescent="0.25">
      <c r="A689" s="44"/>
      <c r="B689" s="44"/>
      <c r="C689" s="44"/>
      <c r="D689" s="44"/>
    </row>
    <row r="690" spans="1:4" x14ac:dyDescent="0.25">
      <c r="A690" s="44"/>
      <c r="B690" s="44"/>
      <c r="C690" s="44"/>
      <c r="D690" s="44"/>
    </row>
    <row r="691" spans="1:4" x14ac:dyDescent="0.25">
      <c r="A691" s="44"/>
      <c r="B691" s="44"/>
      <c r="C691" s="44"/>
      <c r="D691" s="44"/>
    </row>
    <row r="692" spans="1:4" x14ac:dyDescent="0.25">
      <c r="A692" s="44"/>
      <c r="B692" s="44"/>
      <c r="C692" s="44"/>
      <c r="D692" s="44"/>
    </row>
    <row r="693" spans="1:4" x14ac:dyDescent="0.25">
      <c r="A693" s="44"/>
      <c r="B693" s="44"/>
      <c r="C693" s="44"/>
      <c r="D693" s="44"/>
    </row>
    <row r="694" spans="1:4" x14ac:dyDescent="0.25">
      <c r="A694" s="44"/>
      <c r="B694" s="44"/>
      <c r="C694" s="44"/>
      <c r="D694" s="44"/>
    </row>
    <row r="695" spans="1:4" x14ac:dyDescent="0.25">
      <c r="A695" s="44"/>
      <c r="B695" s="44"/>
      <c r="C695" s="44"/>
      <c r="D695" s="44"/>
    </row>
    <row r="696" spans="1:4" x14ac:dyDescent="0.25">
      <c r="A696" s="44"/>
      <c r="B696" s="44"/>
      <c r="C696" s="44"/>
      <c r="D696" s="44"/>
    </row>
    <row r="697" spans="1:4" x14ac:dyDescent="0.25">
      <c r="A697" s="44"/>
      <c r="B697" s="44"/>
      <c r="C697" s="44"/>
      <c r="D697" s="44"/>
    </row>
    <row r="698" spans="1:4" x14ac:dyDescent="0.25">
      <c r="A698" s="44"/>
      <c r="B698" s="44"/>
      <c r="C698" s="44"/>
      <c r="D698" s="44"/>
    </row>
    <row r="699" spans="1:4" x14ac:dyDescent="0.25">
      <c r="A699" s="44"/>
      <c r="B699" s="44"/>
      <c r="C699" s="44"/>
      <c r="D699" s="44"/>
    </row>
    <row r="700" spans="1:4" x14ac:dyDescent="0.25">
      <c r="A700" s="44"/>
      <c r="B700" s="44"/>
      <c r="C700" s="44"/>
      <c r="D700" s="44"/>
    </row>
    <row r="701" spans="1:4" x14ac:dyDescent="0.25">
      <c r="A701" s="44"/>
      <c r="B701" s="44"/>
      <c r="C701" s="44"/>
      <c r="D701" s="44"/>
    </row>
    <row r="702" spans="1:4" x14ac:dyDescent="0.25">
      <c r="A702" s="44"/>
      <c r="B702" s="44"/>
      <c r="C702" s="44"/>
      <c r="D702" s="44"/>
    </row>
    <row r="703" spans="1:4" x14ac:dyDescent="0.25">
      <c r="A703" s="44"/>
      <c r="B703" s="44"/>
      <c r="C703" s="44"/>
      <c r="D703" s="44"/>
    </row>
    <row r="704" spans="1:4" x14ac:dyDescent="0.25">
      <c r="A704" s="44"/>
      <c r="B704" s="44"/>
      <c r="C704" s="44"/>
      <c r="D704" s="44"/>
    </row>
    <row r="705" spans="1:4" x14ac:dyDescent="0.25">
      <c r="A705" s="44"/>
      <c r="B705" s="44"/>
      <c r="C705" s="44"/>
      <c r="D705" s="44"/>
    </row>
    <row r="706" spans="1:4" x14ac:dyDescent="0.25">
      <c r="A706" s="44"/>
      <c r="B706" s="44"/>
      <c r="C706" s="44"/>
      <c r="D706" s="44"/>
    </row>
    <row r="707" spans="1:4" x14ac:dyDescent="0.25">
      <c r="A707" s="44"/>
      <c r="B707" s="44"/>
      <c r="C707" s="44"/>
      <c r="D707" s="44"/>
    </row>
    <row r="708" spans="1:4" x14ac:dyDescent="0.25">
      <c r="A708" s="44"/>
      <c r="B708" s="44"/>
      <c r="C708" s="44"/>
      <c r="D708" s="44"/>
    </row>
    <row r="709" spans="1:4" x14ac:dyDescent="0.25">
      <c r="A709" s="44"/>
      <c r="B709" s="44"/>
      <c r="C709" s="44"/>
      <c r="D709" s="44"/>
    </row>
    <row r="710" spans="1:4" x14ac:dyDescent="0.25">
      <c r="A710" s="44"/>
      <c r="B710" s="44"/>
      <c r="C710" s="44"/>
      <c r="D710" s="44"/>
    </row>
    <row r="711" spans="1:4" x14ac:dyDescent="0.25">
      <c r="A711" s="44"/>
      <c r="B711" s="44"/>
      <c r="C711" s="44"/>
      <c r="D711" s="44"/>
    </row>
    <row r="712" spans="1:4" x14ac:dyDescent="0.25">
      <c r="A712" s="44"/>
      <c r="B712" s="44"/>
      <c r="C712" s="44"/>
      <c r="D712" s="44"/>
    </row>
    <row r="713" spans="1:4" x14ac:dyDescent="0.25">
      <c r="A713" s="44"/>
      <c r="B713" s="44"/>
      <c r="C713" s="44"/>
      <c r="D713" s="44"/>
    </row>
    <row r="714" spans="1:4" x14ac:dyDescent="0.25">
      <c r="A714" s="44"/>
      <c r="B714" s="44"/>
      <c r="C714" s="44"/>
      <c r="D714" s="44"/>
    </row>
    <row r="715" spans="1:4" x14ac:dyDescent="0.25">
      <c r="A715" s="44"/>
      <c r="B715" s="44"/>
      <c r="C715" s="44"/>
      <c r="D715" s="44"/>
    </row>
    <row r="716" spans="1:4" x14ac:dyDescent="0.25">
      <c r="A716" s="44"/>
      <c r="B716" s="44"/>
      <c r="C716" s="44"/>
      <c r="D716" s="44"/>
    </row>
    <row r="717" spans="1:4" x14ac:dyDescent="0.25">
      <c r="A717" s="44"/>
      <c r="B717" s="44"/>
      <c r="C717" s="44"/>
      <c r="D717" s="44"/>
    </row>
    <row r="718" spans="1:4" x14ac:dyDescent="0.25">
      <c r="A718" s="44"/>
      <c r="B718" s="44"/>
      <c r="C718" s="44"/>
      <c r="D718" s="44"/>
    </row>
    <row r="719" spans="1:4" x14ac:dyDescent="0.25">
      <c r="A719" s="44"/>
      <c r="B719" s="44"/>
      <c r="C719" s="44"/>
      <c r="D719" s="44"/>
    </row>
    <row r="720" spans="1:4" x14ac:dyDescent="0.25">
      <c r="A720" s="44"/>
      <c r="B720" s="44"/>
      <c r="C720" s="44"/>
      <c r="D720" s="44"/>
    </row>
    <row r="721" spans="1:4" x14ac:dyDescent="0.25">
      <c r="A721" s="44"/>
      <c r="B721" s="44"/>
      <c r="C721" s="44"/>
      <c r="D721" s="44"/>
    </row>
    <row r="722" spans="1:4" x14ac:dyDescent="0.25">
      <c r="A722" s="44"/>
      <c r="B722" s="44"/>
      <c r="C722" s="44"/>
      <c r="D722" s="44"/>
    </row>
    <row r="723" spans="1:4" x14ac:dyDescent="0.25">
      <c r="A723" s="44"/>
      <c r="B723" s="44"/>
      <c r="C723" s="44"/>
      <c r="D723" s="44"/>
    </row>
    <row r="724" spans="1:4" x14ac:dyDescent="0.25">
      <c r="A724" s="44"/>
      <c r="B724" s="44"/>
      <c r="C724" s="44"/>
      <c r="D724" s="44"/>
    </row>
    <row r="725" spans="1:4" x14ac:dyDescent="0.25">
      <c r="A725" s="44"/>
      <c r="B725" s="44"/>
      <c r="C725" s="44"/>
      <c r="D725" s="44"/>
    </row>
    <row r="726" spans="1:4" x14ac:dyDescent="0.25">
      <c r="A726" s="44"/>
      <c r="B726" s="44"/>
      <c r="C726" s="44"/>
      <c r="D726" s="44"/>
    </row>
    <row r="729" spans="1:4" ht="20.25" x14ac:dyDescent="0.3">
      <c r="A729" s="60"/>
    </row>
    <row r="730" spans="1:4" x14ac:dyDescent="0.25">
      <c r="A730" s="43"/>
      <c r="B730" s="43"/>
      <c r="C730" s="43"/>
      <c r="D730" s="43"/>
    </row>
    <row r="731" spans="1:4" x14ac:dyDescent="0.25">
      <c r="A731" s="44"/>
      <c r="B731" s="44"/>
      <c r="C731" s="44"/>
      <c r="D731" s="44"/>
    </row>
    <row r="732" spans="1:4" x14ac:dyDescent="0.25">
      <c r="A732" s="44"/>
      <c r="B732" s="44"/>
      <c r="C732" s="44"/>
      <c r="D732" s="44"/>
    </row>
    <row r="733" spans="1:4" x14ac:dyDescent="0.25">
      <c r="A733" s="44"/>
      <c r="B733" s="44"/>
      <c r="C733" s="44"/>
      <c r="D733" s="44"/>
    </row>
    <row r="734" spans="1:4" x14ac:dyDescent="0.25">
      <c r="A734" s="44"/>
      <c r="B734" s="44"/>
      <c r="C734" s="44"/>
      <c r="D734" s="44"/>
    </row>
    <row r="735" spans="1:4" x14ac:dyDescent="0.25">
      <c r="A735" s="44"/>
      <c r="B735" s="44"/>
      <c r="C735" s="44"/>
      <c r="D735" s="44"/>
    </row>
    <row r="736" spans="1:4" x14ac:dyDescent="0.25">
      <c r="A736" s="44"/>
      <c r="B736" s="44"/>
      <c r="C736" s="44"/>
      <c r="D736" s="44"/>
    </row>
    <row r="737" spans="1:4" x14ac:dyDescent="0.25">
      <c r="A737" s="44"/>
      <c r="B737" s="44"/>
      <c r="C737" s="44"/>
      <c r="D737" s="44"/>
    </row>
    <row r="738" spans="1:4" x14ac:dyDescent="0.25">
      <c r="A738" s="44"/>
      <c r="B738" s="44"/>
      <c r="C738" s="44"/>
      <c r="D738" s="44"/>
    </row>
    <row r="739" spans="1:4" x14ac:dyDescent="0.25">
      <c r="A739" s="44"/>
      <c r="B739" s="44"/>
      <c r="C739" s="44"/>
      <c r="D739" s="44"/>
    </row>
    <row r="740" spans="1:4" x14ac:dyDescent="0.25">
      <c r="A740" s="44"/>
      <c r="B740" s="44"/>
      <c r="C740" s="44"/>
      <c r="D740" s="44"/>
    </row>
    <row r="741" spans="1:4" x14ac:dyDescent="0.25">
      <c r="A741" s="44"/>
      <c r="B741" s="44"/>
      <c r="C741" s="44"/>
      <c r="D741" s="44"/>
    </row>
    <row r="742" spans="1:4" x14ac:dyDescent="0.25">
      <c r="A742" s="44"/>
      <c r="B742" s="44"/>
      <c r="C742" s="44"/>
      <c r="D742" s="44"/>
    </row>
    <row r="743" spans="1:4" x14ac:dyDescent="0.25">
      <c r="A743" s="44"/>
      <c r="B743" s="44"/>
      <c r="C743" s="44"/>
      <c r="D743" s="44"/>
    </row>
    <row r="744" spans="1:4" x14ac:dyDescent="0.25">
      <c r="A744" s="44"/>
      <c r="B744" s="44"/>
      <c r="C744" s="44"/>
      <c r="D744" s="44"/>
    </row>
    <row r="745" spans="1:4" x14ac:dyDescent="0.25">
      <c r="A745" s="44"/>
      <c r="B745" s="44"/>
      <c r="C745" s="44"/>
      <c r="D745" s="44"/>
    </row>
    <row r="746" spans="1:4" x14ac:dyDescent="0.25">
      <c r="A746" s="44"/>
      <c r="B746" s="44"/>
      <c r="C746" s="44"/>
      <c r="D746" s="44"/>
    </row>
    <row r="747" spans="1:4" x14ac:dyDescent="0.25">
      <c r="A747" s="44"/>
      <c r="B747" s="44"/>
      <c r="C747" s="44"/>
      <c r="D747" s="44"/>
    </row>
    <row r="748" spans="1:4" x14ac:dyDescent="0.25">
      <c r="A748" s="44"/>
      <c r="B748" s="44"/>
      <c r="C748" s="44"/>
      <c r="D748" s="44"/>
    </row>
    <row r="749" spans="1:4" x14ac:dyDescent="0.25">
      <c r="A749" s="44"/>
      <c r="B749" s="44"/>
      <c r="C749" s="44"/>
      <c r="D749" s="44"/>
    </row>
    <row r="750" spans="1:4" x14ac:dyDescent="0.25">
      <c r="A750" s="44"/>
      <c r="B750" s="44"/>
      <c r="C750" s="44"/>
      <c r="D750" s="44"/>
    </row>
    <row r="751" spans="1:4" x14ac:dyDescent="0.25">
      <c r="A751" s="44"/>
      <c r="B751" s="44"/>
      <c r="C751" s="44"/>
      <c r="D751" s="44"/>
    </row>
    <row r="752" spans="1:4" x14ac:dyDescent="0.25">
      <c r="A752" s="44"/>
      <c r="B752" s="44"/>
      <c r="C752" s="44"/>
      <c r="D752" s="44"/>
    </row>
    <row r="753" spans="1:4" x14ac:dyDescent="0.25">
      <c r="A753" s="44"/>
      <c r="B753" s="44"/>
      <c r="C753" s="44"/>
      <c r="D753" s="44"/>
    </row>
    <row r="754" spans="1:4" x14ac:dyDescent="0.25">
      <c r="A754" s="44"/>
      <c r="B754" s="44"/>
      <c r="C754" s="44"/>
      <c r="D754" s="44"/>
    </row>
    <row r="755" spans="1:4" x14ac:dyDescent="0.25">
      <c r="A755" s="44"/>
      <c r="B755" s="44"/>
      <c r="C755" s="44"/>
      <c r="D755" s="44"/>
    </row>
    <row r="756" spans="1:4" x14ac:dyDescent="0.25">
      <c r="A756" s="44"/>
      <c r="B756" s="44"/>
      <c r="C756" s="44"/>
      <c r="D756" s="44"/>
    </row>
    <row r="757" spans="1:4" x14ac:dyDescent="0.25">
      <c r="A757" s="44"/>
      <c r="B757" s="44"/>
      <c r="C757" s="44"/>
      <c r="D757" s="44"/>
    </row>
    <row r="758" spans="1:4" x14ac:dyDescent="0.25">
      <c r="A758" s="44"/>
      <c r="B758" s="44"/>
      <c r="C758" s="44"/>
      <c r="D758" s="44"/>
    </row>
    <row r="759" spans="1:4" x14ac:dyDescent="0.25">
      <c r="A759" s="44"/>
      <c r="B759" s="44"/>
      <c r="C759" s="44"/>
      <c r="D759" s="44"/>
    </row>
    <row r="760" spans="1:4" x14ac:dyDescent="0.25">
      <c r="A760" s="44"/>
      <c r="B760" s="44"/>
      <c r="C760" s="44"/>
      <c r="D760" s="44"/>
    </row>
    <row r="761" spans="1:4" x14ac:dyDescent="0.25">
      <c r="A761" s="44"/>
      <c r="B761" s="44"/>
      <c r="C761" s="44"/>
      <c r="D761" s="44"/>
    </row>
    <row r="762" spans="1:4" x14ac:dyDescent="0.25">
      <c r="A762" s="44"/>
      <c r="B762" s="44"/>
      <c r="C762" s="44"/>
      <c r="D762" s="44"/>
    </row>
    <row r="763" spans="1:4" x14ac:dyDescent="0.25">
      <c r="A763" s="44"/>
      <c r="B763" s="44"/>
      <c r="C763" s="44"/>
      <c r="D763" s="44"/>
    </row>
    <row r="764" spans="1:4" x14ac:dyDescent="0.25">
      <c r="A764" s="44"/>
      <c r="B764" s="44"/>
      <c r="C764" s="44"/>
      <c r="D764" s="44"/>
    </row>
    <row r="765" spans="1:4" x14ac:dyDescent="0.25">
      <c r="A765" s="44"/>
      <c r="B765" s="44"/>
      <c r="C765" s="44"/>
      <c r="D765" s="44"/>
    </row>
    <row r="766" spans="1:4" x14ac:dyDescent="0.25">
      <c r="A766" s="44"/>
      <c r="B766" s="44"/>
      <c r="C766" s="44"/>
      <c r="D766" s="44"/>
    </row>
    <row r="767" spans="1:4" x14ac:dyDescent="0.25">
      <c r="A767" s="44"/>
      <c r="B767" s="44"/>
      <c r="C767" s="44"/>
      <c r="D767" s="44"/>
    </row>
    <row r="768" spans="1:4" x14ac:dyDescent="0.25">
      <c r="A768" s="44"/>
      <c r="B768" s="44"/>
      <c r="C768" s="44"/>
      <c r="D768" s="44"/>
    </row>
    <row r="769" spans="1:4" x14ac:dyDescent="0.25">
      <c r="A769" s="44"/>
      <c r="B769" s="44"/>
      <c r="C769" s="44"/>
      <c r="D769" s="44"/>
    </row>
    <row r="770" spans="1:4" x14ac:dyDescent="0.25">
      <c r="A770" s="44"/>
      <c r="B770" s="44"/>
      <c r="C770" s="44"/>
      <c r="D770" s="44"/>
    </row>
    <row r="771" spans="1:4" x14ac:dyDescent="0.25">
      <c r="A771" s="44"/>
      <c r="B771" s="44"/>
      <c r="C771" s="44"/>
      <c r="D771" s="44"/>
    </row>
    <row r="772" spans="1:4" x14ac:dyDescent="0.25">
      <c r="A772" s="44"/>
      <c r="B772" s="44"/>
      <c r="C772" s="44"/>
      <c r="D772" s="44"/>
    </row>
    <row r="773" spans="1:4" x14ac:dyDescent="0.25">
      <c r="A773" s="44"/>
      <c r="B773" s="44"/>
      <c r="C773" s="44"/>
      <c r="D773" s="44"/>
    </row>
    <row r="774" spans="1:4" x14ac:dyDescent="0.25">
      <c r="A774" s="44"/>
      <c r="B774" s="44"/>
      <c r="C774" s="44"/>
      <c r="D774" s="44"/>
    </row>
    <row r="775" spans="1:4" x14ac:dyDescent="0.25">
      <c r="A775" s="44"/>
      <c r="B775" s="44"/>
      <c r="C775" s="44"/>
      <c r="D775" s="44"/>
    </row>
    <row r="776" spans="1:4" x14ac:dyDescent="0.25">
      <c r="A776" s="44"/>
      <c r="B776" s="44"/>
      <c r="C776" s="44"/>
      <c r="D776" s="44"/>
    </row>
    <row r="777" spans="1:4" x14ac:dyDescent="0.25">
      <c r="A777" s="44"/>
      <c r="B777" s="44"/>
      <c r="C777" s="44"/>
      <c r="D777" s="44"/>
    </row>
    <row r="778" spans="1:4" x14ac:dyDescent="0.25">
      <c r="A778" s="44"/>
      <c r="B778" s="44"/>
      <c r="C778" s="44"/>
      <c r="D778" s="44"/>
    </row>
    <row r="779" spans="1:4" x14ac:dyDescent="0.25">
      <c r="A779" s="44"/>
      <c r="B779" s="44"/>
      <c r="C779" s="44"/>
      <c r="D779" s="44"/>
    </row>
    <row r="780" spans="1:4" x14ac:dyDescent="0.25">
      <c r="A780" s="44"/>
      <c r="B780" s="44"/>
      <c r="C780" s="44"/>
      <c r="D780" s="44"/>
    </row>
    <row r="781" spans="1:4" x14ac:dyDescent="0.25">
      <c r="A781" s="44"/>
      <c r="B781" s="44"/>
      <c r="C781" s="44"/>
      <c r="D781" s="44"/>
    </row>
    <row r="782" spans="1:4" x14ac:dyDescent="0.25">
      <c r="A782" s="44"/>
      <c r="B782" s="44"/>
      <c r="C782" s="44"/>
      <c r="D782" s="44"/>
    </row>
    <row r="783" spans="1:4" x14ac:dyDescent="0.25">
      <c r="A783" s="44"/>
      <c r="B783" s="44"/>
      <c r="C783" s="44"/>
      <c r="D783" s="44"/>
    </row>
    <row r="784" spans="1:4" x14ac:dyDescent="0.25">
      <c r="A784" s="44"/>
      <c r="B784" s="44"/>
      <c r="C784" s="44"/>
      <c r="D784" s="44"/>
    </row>
    <row r="785" spans="1:4" x14ac:dyDescent="0.25">
      <c r="A785" s="44"/>
      <c r="B785" s="44"/>
      <c r="C785" s="44"/>
      <c r="D785" s="44"/>
    </row>
    <row r="786" spans="1:4" x14ac:dyDescent="0.25">
      <c r="A786" s="44"/>
      <c r="B786" s="44"/>
      <c r="C786" s="44"/>
      <c r="D786" s="44"/>
    </row>
    <row r="787" spans="1:4" x14ac:dyDescent="0.25">
      <c r="A787" s="44"/>
      <c r="B787" s="44"/>
      <c r="C787" s="44"/>
      <c r="D787" s="44"/>
    </row>
    <row r="788" spans="1:4" x14ac:dyDescent="0.25">
      <c r="A788" s="44"/>
      <c r="B788" s="44"/>
      <c r="C788" s="44"/>
      <c r="D788" s="44"/>
    </row>
    <row r="789" spans="1:4" x14ac:dyDescent="0.25">
      <c r="A789" s="44"/>
      <c r="B789" s="44"/>
      <c r="C789" s="44"/>
      <c r="D789" s="44"/>
    </row>
    <row r="790" spans="1:4" x14ac:dyDescent="0.25">
      <c r="A790" s="44"/>
      <c r="B790" s="44"/>
      <c r="C790" s="44"/>
      <c r="D790" s="44"/>
    </row>
    <row r="791" spans="1:4" x14ac:dyDescent="0.25">
      <c r="A791" s="44"/>
      <c r="B791" s="44"/>
      <c r="C791" s="44"/>
      <c r="D791" s="44"/>
    </row>
    <row r="792" spans="1:4" x14ac:dyDescent="0.25">
      <c r="A792" s="44"/>
      <c r="B792" s="44"/>
      <c r="C792" s="44"/>
      <c r="D792" s="44"/>
    </row>
    <row r="793" spans="1:4" x14ac:dyDescent="0.25">
      <c r="A793" s="44"/>
      <c r="B793" s="44"/>
      <c r="C793" s="44"/>
      <c r="D793" s="44"/>
    </row>
    <row r="794" spans="1:4" x14ac:dyDescent="0.25">
      <c r="A794" s="44"/>
      <c r="B794" s="44"/>
      <c r="C794" s="44"/>
      <c r="D794" s="44"/>
    </row>
    <row r="795" spans="1:4" x14ac:dyDescent="0.25">
      <c r="A795" s="44"/>
      <c r="B795" s="44"/>
      <c r="C795" s="44"/>
      <c r="D795" s="44"/>
    </row>
    <row r="796" spans="1:4" x14ac:dyDescent="0.25">
      <c r="A796" s="44"/>
      <c r="B796" s="44"/>
      <c r="C796" s="44"/>
      <c r="D796" s="44"/>
    </row>
    <row r="797" spans="1:4" x14ac:dyDescent="0.25">
      <c r="A797" s="44"/>
      <c r="B797" s="44"/>
      <c r="C797" s="44"/>
      <c r="D797" s="44"/>
    </row>
    <row r="798" spans="1:4" x14ac:dyDescent="0.25">
      <c r="A798" s="44"/>
      <c r="B798" s="44"/>
      <c r="C798" s="44"/>
      <c r="D798" s="44"/>
    </row>
    <row r="799" spans="1:4" x14ac:dyDescent="0.25">
      <c r="A799" s="44"/>
      <c r="B799" s="44"/>
      <c r="C799" s="44"/>
      <c r="D799" s="44"/>
    </row>
    <row r="800" spans="1:4" x14ac:dyDescent="0.25">
      <c r="A800" s="44"/>
      <c r="B800" s="44"/>
      <c r="C800" s="44"/>
      <c r="D800" s="44"/>
    </row>
    <row r="801" spans="1:4" x14ac:dyDescent="0.25">
      <c r="A801" s="44"/>
      <c r="B801" s="44"/>
      <c r="C801" s="44"/>
      <c r="D801" s="44"/>
    </row>
    <row r="802" spans="1:4" x14ac:dyDescent="0.25">
      <c r="A802" s="44"/>
      <c r="B802" s="44"/>
      <c r="C802" s="44"/>
      <c r="D802" s="44"/>
    </row>
    <row r="803" spans="1:4" x14ac:dyDescent="0.25">
      <c r="A803" s="44"/>
      <c r="B803" s="44"/>
      <c r="C803" s="44"/>
      <c r="D803" s="44"/>
    </row>
    <row r="804" spans="1:4" x14ac:dyDescent="0.25">
      <c r="A804" s="44"/>
      <c r="B804" s="44"/>
      <c r="C804" s="44"/>
      <c r="D804" s="44"/>
    </row>
    <row r="805" spans="1:4" x14ac:dyDescent="0.25">
      <c r="A805" s="44"/>
      <c r="B805" s="44"/>
      <c r="C805" s="44"/>
      <c r="D805" s="44"/>
    </row>
    <row r="806" spans="1:4" x14ac:dyDescent="0.25">
      <c r="A806" s="44"/>
      <c r="B806" s="44"/>
      <c r="C806" s="44"/>
      <c r="D806" s="44"/>
    </row>
    <row r="807" spans="1:4" x14ac:dyDescent="0.25">
      <c r="A807" s="44"/>
      <c r="B807" s="44"/>
      <c r="C807" s="44"/>
      <c r="D807" s="44"/>
    </row>
    <row r="808" spans="1:4" x14ac:dyDescent="0.25">
      <c r="A808" s="44"/>
      <c r="B808" s="44"/>
      <c r="C808" s="44"/>
      <c r="D808" s="44"/>
    </row>
    <row r="809" spans="1:4" x14ac:dyDescent="0.25">
      <c r="A809" s="44"/>
      <c r="B809" s="44"/>
      <c r="C809" s="44"/>
      <c r="D809" s="44"/>
    </row>
    <row r="810" spans="1:4" x14ac:dyDescent="0.25">
      <c r="A810" s="44"/>
      <c r="B810" s="44"/>
      <c r="C810" s="44"/>
      <c r="D810" s="44"/>
    </row>
    <row r="811" spans="1:4" x14ac:dyDescent="0.25">
      <c r="A811" s="44"/>
      <c r="B811" s="44"/>
      <c r="C811" s="44"/>
      <c r="D811" s="44"/>
    </row>
    <row r="812" spans="1:4" x14ac:dyDescent="0.25">
      <c r="A812" s="44"/>
      <c r="B812" s="44"/>
      <c r="C812" s="44"/>
      <c r="D812" s="44"/>
    </row>
    <row r="813" spans="1:4" x14ac:dyDescent="0.25">
      <c r="A813" s="44"/>
      <c r="B813" s="44"/>
      <c r="C813" s="44"/>
      <c r="D813" s="44"/>
    </row>
    <row r="814" spans="1:4" x14ac:dyDescent="0.25">
      <c r="A814" s="44"/>
      <c r="B814" s="44"/>
      <c r="C814" s="44"/>
      <c r="D814" s="44"/>
    </row>
    <row r="815" spans="1:4" x14ac:dyDescent="0.25">
      <c r="A815" s="44"/>
      <c r="B815" s="44"/>
      <c r="C815" s="44"/>
      <c r="D815" s="44"/>
    </row>
    <row r="816" spans="1:4" x14ac:dyDescent="0.25">
      <c r="A816" s="44"/>
      <c r="B816" s="44"/>
      <c r="C816" s="44"/>
      <c r="D816" s="44"/>
    </row>
    <row r="817" spans="1:4" x14ac:dyDescent="0.25">
      <c r="A817" s="44"/>
      <c r="B817" s="44"/>
      <c r="C817" s="44"/>
      <c r="D817" s="44"/>
    </row>
    <row r="818" spans="1:4" x14ac:dyDescent="0.25">
      <c r="A818" s="44"/>
      <c r="B818" s="44"/>
      <c r="C818" s="44"/>
      <c r="D818" s="44"/>
    </row>
    <row r="819" spans="1:4" x14ac:dyDescent="0.25">
      <c r="A819" s="44"/>
      <c r="B819" s="44"/>
      <c r="C819" s="44"/>
      <c r="D819" s="44"/>
    </row>
    <row r="820" spans="1:4" x14ac:dyDescent="0.25">
      <c r="A820" s="44"/>
      <c r="B820" s="44"/>
      <c r="C820" s="44"/>
      <c r="D820" s="44"/>
    </row>
    <row r="821" spans="1:4" x14ac:dyDescent="0.25">
      <c r="A821" s="44"/>
      <c r="B821" s="44"/>
      <c r="C821" s="44"/>
      <c r="D821" s="44"/>
    </row>
    <row r="822" spans="1:4" x14ac:dyDescent="0.25">
      <c r="A822" s="44"/>
      <c r="B822" s="44"/>
      <c r="C822" s="44"/>
      <c r="D822" s="44"/>
    </row>
    <row r="823" spans="1:4" x14ac:dyDescent="0.25">
      <c r="A823" s="44"/>
      <c r="B823" s="44"/>
      <c r="C823" s="44"/>
      <c r="D823" s="44"/>
    </row>
    <row r="824" spans="1:4" x14ac:dyDescent="0.25">
      <c r="A824" s="44"/>
      <c r="B824" s="44"/>
      <c r="C824" s="44"/>
      <c r="D824" s="44"/>
    </row>
    <row r="825" spans="1:4" x14ac:dyDescent="0.25">
      <c r="A825" s="44"/>
      <c r="B825" s="44"/>
      <c r="C825" s="44"/>
      <c r="D825" s="44"/>
    </row>
    <row r="826" spans="1:4" x14ac:dyDescent="0.25">
      <c r="A826" s="44"/>
      <c r="B826" s="44"/>
      <c r="C826" s="44"/>
      <c r="D826" s="44"/>
    </row>
    <row r="827" spans="1:4" x14ac:dyDescent="0.25">
      <c r="A827" s="44"/>
      <c r="B827" s="44"/>
      <c r="C827" s="44"/>
      <c r="D827" s="44"/>
    </row>
    <row r="828" spans="1:4" x14ac:dyDescent="0.25">
      <c r="A828" s="44"/>
      <c r="B828" s="44"/>
      <c r="C828" s="44"/>
      <c r="D828" s="44"/>
    </row>
    <row r="829" spans="1:4" x14ac:dyDescent="0.25">
      <c r="A829" s="44"/>
      <c r="B829" s="44"/>
      <c r="C829" s="44"/>
      <c r="D829" s="44"/>
    </row>
    <row r="830" spans="1:4" x14ac:dyDescent="0.25">
      <c r="A830" s="44"/>
      <c r="B830" s="44"/>
      <c r="C830" s="44"/>
      <c r="D830" s="44"/>
    </row>
    <row r="833" spans="1:2" ht="23.25" x14ac:dyDescent="0.35">
      <c r="A833" s="59"/>
    </row>
    <row r="834" spans="1:2" ht="20.25" x14ac:dyDescent="0.3">
      <c r="A834" s="60"/>
    </row>
    <row r="835" spans="1:2" x14ac:dyDescent="0.25">
      <c r="A835" s="43"/>
      <c r="B835" s="43"/>
    </row>
    <row r="836" spans="1:2" x14ac:dyDescent="0.25">
      <c r="A836" s="44"/>
      <c r="B836" s="44"/>
    </row>
    <row r="837" spans="1:2" x14ac:dyDescent="0.25">
      <c r="A837" s="44"/>
      <c r="B837" s="44"/>
    </row>
    <row r="838" spans="1:2" x14ac:dyDescent="0.25">
      <c r="A838" s="44"/>
      <c r="B838" s="44"/>
    </row>
    <row r="839" spans="1:2" x14ac:dyDescent="0.25">
      <c r="A839" s="44"/>
      <c r="B839" s="44"/>
    </row>
    <row r="840" spans="1:2" x14ac:dyDescent="0.25">
      <c r="A840" s="44"/>
      <c r="B840" s="44"/>
    </row>
    <row r="841" spans="1:2" x14ac:dyDescent="0.25">
      <c r="A841" s="44"/>
      <c r="B841" s="44"/>
    </row>
    <row r="842" spans="1:2" x14ac:dyDescent="0.25">
      <c r="A842" s="44"/>
      <c r="B842" s="44"/>
    </row>
    <row r="843" spans="1:2" x14ac:dyDescent="0.25">
      <c r="A843" s="44"/>
      <c r="B843" s="44"/>
    </row>
    <row r="844" spans="1:2" x14ac:dyDescent="0.25">
      <c r="A844" s="44"/>
      <c r="B844" s="44"/>
    </row>
    <row r="845" spans="1:2" x14ac:dyDescent="0.25">
      <c r="A845" s="44"/>
      <c r="B845" s="44"/>
    </row>
    <row r="846" spans="1:2" x14ac:dyDescent="0.25">
      <c r="A846" s="44"/>
      <c r="B846" s="44"/>
    </row>
    <row r="847" spans="1:2" x14ac:dyDescent="0.25">
      <c r="A847" s="44"/>
      <c r="B847" s="44"/>
    </row>
    <row r="848" spans="1:2" x14ac:dyDescent="0.25">
      <c r="A848" s="44"/>
      <c r="B848" s="44"/>
    </row>
    <row r="849" spans="1:2" x14ac:dyDescent="0.25">
      <c r="A849" s="44"/>
      <c r="B849" s="44"/>
    </row>
    <row r="850" spans="1:2" x14ac:dyDescent="0.25">
      <c r="A850" s="44"/>
      <c r="B850" s="44"/>
    </row>
    <row r="851" spans="1:2" x14ac:dyDescent="0.25">
      <c r="A851" s="44"/>
      <c r="B851" s="44"/>
    </row>
    <row r="852" spans="1:2" x14ac:dyDescent="0.25">
      <c r="A852" s="44"/>
      <c r="B852" s="44"/>
    </row>
    <row r="853" spans="1:2" x14ac:dyDescent="0.25">
      <c r="A853" s="44"/>
      <c r="B853" s="44"/>
    </row>
    <row r="854" spans="1:2" x14ac:dyDescent="0.25">
      <c r="A854" s="44"/>
      <c r="B854" s="44"/>
    </row>
    <row r="855" spans="1:2" x14ac:dyDescent="0.25">
      <c r="A855" s="44"/>
      <c r="B855" s="44"/>
    </row>
    <row r="856" spans="1:2" x14ac:dyDescent="0.25">
      <c r="A856" s="44"/>
      <c r="B856" s="44"/>
    </row>
    <row r="857" spans="1:2" x14ac:dyDescent="0.25">
      <c r="A857" s="44"/>
      <c r="B857" s="44"/>
    </row>
    <row r="858" spans="1:2" x14ac:dyDescent="0.25">
      <c r="A858" s="44"/>
      <c r="B858" s="44"/>
    </row>
    <row r="859" spans="1:2" x14ac:dyDescent="0.25">
      <c r="A859" s="44"/>
      <c r="B859" s="44"/>
    </row>
    <row r="860" spans="1:2" x14ac:dyDescent="0.25">
      <c r="A860" s="44"/>
      <c r="B860" s="44"/>
    </row>
    <row r="861" spans="1:2" x14ac:dyDescent="0.25">
      <c r="A861" s="44"/>
      <c r="B861" s="44"/>
    </row>
    <row r="862" spans="1:2" x14ac:dyDescent="0.25">
      <c r="A862" s="44"/>
      <c r="B862" s="44"/>
    </row>
    <row r="863" spans="1:2" x14ac:dyDescent="0.25">
      <c r="A863" s="44"/>
      <c r="B863" s="44"/>
    </row>
    <row r="864" spans="1:2" x14ac:dyDescent="0.25">
      <c r="A864" s="44"/>
      <c r="B864" s="44"/>
    </row>
    <row r="865" spans="1:2" x14ac:dyDescent="0.25">
      <c r="A865" s="44"/>
      <c r="B865" s="44"/>
    </row>
    <row r="866" spans="1:2" x14ac:dyDescent="0.25">
      <c r="A866" s="44"/>
      <c r="B866" s="44"/>
    </row>
    <row r="867" spans="1:2" x14ac:dyDescent="0.25">
      <c r="A867" s="44"/>
      <c r="B867" s="44"/>
    </row>
    <row r="868" spans="1:2" x14ac:dyDescent="0.25">
      <c r="A868" s="44"/>
      <c r="B868" s="44"/>
    </row>
    <row r="869" spans="1:2" x14ac:dyDescent="0.25">
      <c r="A869" s="44"/>
      <c r="B869" s="44"/>
    </row>
    <row r="870" spans="1:2" x14ac:dyDescent="0.25">
      <c r="A870" s="44"/>
      <c r="B870" s="44"/>
    </row>
    <row r="871" spans="1:2" x14ac:dyDescent="0.25">
      <c r="A871" s="44"/>
      <c r="B871" s="44"/>
    </row>
    <row r="872" spans="1:2" x14ac:dyDescent="0.25">
      <c r="A872" s="44"/>
      <c r="B872" s="44"/>
    </row>
    <row r="873" spans="1:2" x14ac:dyDescent="0.25">
      <c r="A873" s="44"/>
      <c r="B873" s="44"/>
    </row>
    <row r="874" spans="1:2" x14ac:dyDescent="0.25">
      <c r="A874" s="44"/>
      <c r="B874" s="44"/>
    </row>
    <row r="875" spans="1:2" x14ac:dyDescent="0.25">
      <c r="A875" s="44"/>
      <c r="B875" s="44"/>
    </row>
    <row r="876" spans="1:2" x14ac:dyDescent="0.25">
      <c r="A876" s="44"/>
      <c r="B876" s="44"/>
    </row>
    <row r="877" spans="1:2" x14ac:dyDescent="0.25">
      <c r="A877" s="44"/>
      <c r="B877" s="44"/>
    </row>
    <row r="878" spans="1:2" x14ac:dyDescent="0.25">
      <c r="A878" s="44"/>
      <c r="B878" s="44"/>
    </row>
    <row r="879" spans="1:2" x14ac:dyDescent="0.25">
      <c r="A879" s="44"/>
      <c r="B879" s="44"/>
    </row>
    <row r="880" spans="1:2" x14ac:dyDescent="0.25">
      <c r="A880" s="44"/>
      <c r="B880" s="44"/>
    </row>
    <row r="881" spans="1:2" x14ac:dyDescent="0.25">
      <c r="A881" s="44"/>
      <c r="B881" s="44"/>
    </row>
    <row r="882" spans="1:2" x14ac:dyDescent="0.25">
      <c r="A882" s="44"/>
      <c r="B882" s="44"/>
    </row>
    <row r="883" spans="1:2" x14ac:dyDescent="0.25">
      <c r="A883" s="44"/>
      <c r="B883" s="44"/>
    </row>
    <row r="884" spans="1:2" x14ac:dyDescent="0.25">
      <c r="A884" s="44"/>
      <c r="B884" s="44"/>
    </row>
    <row r="885" spans="1:2" x14ac:dyDescent="0.25">
      <c r="A885" s="44"/>
      <c r="B885" s="44"/>
    </row>
    <row r="886" spans="1:2" x14ac:dyDescent="0.25">
      <c r="A886" s="44"/>
      <c r="B886" s="44"/>
    </row>
    <row r="887" spans="1:2" x14ac:dyDescent="0.25">
      <c r="A887" s="44"/>
      <c r="B887" s="44"/>
    </row>
    <row r="888" spans="1:2" x14ac:dyDescent="0.25">
      <c r="A888" s="44"/>
      <c r="B888" s="44"/>
    </row>
    <row r="889" spans="1:2" x14ac:dyDescent="0.25">
      <c r="A889" s="44"/>
      <c r="B889" s="44"/>
    </row>
    <row r="890" spans="1:2" x14ac:dyDescent="0.25">
      <c r="A890" s="44"/>
      <c r="B890" s="44"/>
    </row>
    <row r="891" spans="1:2" x14ac:dyDescent="0.25">
      <c r="A891" s="44"/>
      <c r="B891" s="44"/>
    </row>
    <row r="892" spans="1:2" x14ac:dyDescent="0.25">
      <c r="A892" s="44"/>
      <c r="B892" s="44"/>
    </row>
    <row r="893" spans="1:2" x14ac:dyDescent="0.25">
      <c r="A893" s="44"/>
      <c r="B893" s="44"/>
    </row>
    <row r="894" spans="1:2" x14ac:dyDescent="0.25">
      <c r="A894" s="44"/>
      <c r="B894" s="44"/>
    </row>
    <row r="895" spans="1:2" x14ac:dyDescent="0.25">
      <c r="A895" s="44"/>
      <c r="B895" s="44"/>
    </row>
    <row r="896" spans="1:2" x14ac:dyDescent="0.25">
      <c r="A896" s="44"/>
      <c r="B896" s="44"/>
    </row>
    <row r="897" spans="1:2" x14ac:dyDescent="0.25">
      <c r="A897" s="44"/>
      <c r="B897" s="44"/>
    </row>
    <row r="898" spans="1:2" x14ac:dyDescent="0.25">
      <c r="A898" s="44"/>
      <c r="B898" s="44"/>
    </row>
    <row r="899" spans="1:2" x14ac:dyDescent="0.25">
      <c r="A899" s="44"/>
      <c r="B899" s="44"/>
    </row>
    <row r="900" spans="1:2" x14ac:dyDescent="0.25">
      <c r="A900" s="44"/>
      <c r="B900" s="44"/>
    </row>
    <row r="901" spans="1:2" x14ac:dyDescent="0.25">
      <c r="A901" s="44"/>
      <c r="B901" s="44"/>
    </row>
    <row r="902" spans="1:2" x14ac:dyDescent="0.25">
      <c r="A902" s="44"/>
      <c r="B902" s="44"/>
    </row>
    <row r="903" spans="1:2" x14ac:dyDescent="0.25">
      <c r="A903" s="44"/>
      <c r="B903" s="44"/>
    </row>
    <row r="904" spans="1:2" x14ac:dyDescent="0.25">
      <c r="A904" s="44"/>
      <c r="B904" s="44"/>
    </row>
    <row r="905" spans="1:2" x14ac:dyDescent="0.25">
      <c r="A905" s="44"/>
      <c r="B905" s="44"/>
    </row>
    <row r="906" spans="1:2" x14ac:dyDescent="0.25">
      <c r="A906" s="44"/>
      <c r="B906" s="44"/>
    </row>
    <row r="907" spans="1:2" x14ac:dyDescent="0.25">
      <c r="A907" s="44"/>
      <c r="B907" s="44"/>
    </row>
    <row r="908" spans="1:2" x14ac:dyDescent="0.25">
      <c r="A908" s="44"/>
      <c r="B908" s="44"/>
    </row>
    <row r="909" spans="1:2" x14ac:dyDescent="0.25">
      <c r="A909" s="44"/>
      <c r="B909" s="44"/>
    </row>
    <row r="910" spans="1:2" x14ac:dyDescent="0.25">
      <c r="A910" s="44"/>
      <c r="B910" s="44"/>
    </row>
    <row r="911" spans="1:2" x14ac:dyDescent="0.25">
      <c r="A911" s="44"/>
      <c r="B911" s="44"/>
    </row>
    <row r="912" spans="1:2" x14ac:dyDescent="0.25">
      <c r="A912" s="44"/>
      <c r="B912" s="44"/>
    </row>
    <row r="913" spans="1:2" x14ac:dyDescent="0.25">
      <c r="A913" s="44"/>
      <c r="B913" s="44"/>
    </row>
    <row r="914" spans="1:2" x14ac:dyDescent="0.25">
      <c r="A914" s="44"/>
      <c r="B914" s="44"/>
    </row>
    <row r="915" spans="1:2" x14ac:dyDescent="0.25">
      <c r="A915" s="44"/>
      <c r="B915" s="44"/>
    </row>
    <row r="916" spans="1:2" x14ac:dyDescent="0.25">
      <c r="A916" s="44"/>
      <c r="B916" s="44"/>
    </row>
    <row r="917" spans="1:2" x14ac:dyDescent="0.25">
      <c r="A917" s="44"/>
      <c r="B917" s="44"/>
    </row>
    <row r="918" spans="1:2" x14ac:dyDescent="0.25">
      <c r="A918" s="44"/>
      <c r="B918" s="44"/>
    </row>
    <row r="919" spans="1:2" x14ac:dyDescent="0.25">
      <c r="A919" s="44"/>
      <c r="B919" s="44"/>
    </row>
    <row r="920" spans="1:2" x14ac:dyDescent="0.25">
      <c r="A920" s="44"/>
      <c r="B920" s="44"/>
    </row>
    <row r="921" spans="1:2" x14ac:dyDescent="0.25">
      <c r="A921" s="44"/>
      <c r="B921" s="44"/>
    </row>
    <row r="922" spans="1:2" x14ac:dyDescent="0.25">
      <c r="A922" s="44"/>
      <c r="B922" s="44"/>
    </row>
    <row r="923" spans="1:2" x14ac:dyDescent="0.25">
      <c r="A923" s="44"/>
      <c r="B923" s="44"/>
    </row>
    <row r="924" spans="1:2" x14ac:dyDescent="0.25">
      <c r="A924" s="44"/>
      <c r="B924" s="44"/>
    </row>
    <row r="925" spans="1:2" x14ac:dyDescent="0.25">
      <c r="A925" s="44"/>
      <c r="B925" s="44"/>
    </row>
    <row r="926" spans="1:2" x14ac:dyDescent="0.25">
      <c r="A926" s="44"/>
      <c r="B926" s="44"/>
    </row>
    <row r="927" spans="1:2" x14ac:dyDescent="0.25">
      <c r="A927" s="44"/>
      <c r="B927" s="44"/>
    </row>
    <row r="928" spans="1:2" x14ac:dyDescent="0.25">
      <c r="A928" s="44"/>
      <c r="B928" s="44"/>
    </row>
    <row r="929" spans="1:2" x14ac:dyDescent="0.25">
      <c r="A929" s="44"/>
      <c r="B929" s="44"/>
    </row>
    <row r="930" spans="1:2" x14ac:dyDescent="0.25">
      <c r="A930" s="44"/>
      <c r="B930" s="44"/>
    </row>
    <row r="931" spans="1:2" x14ac:dyDescent="0.25">
      <c r="A931" s="44"/>
      <c r="B931" s="44"/>
    </row>
    <row r="932" spans="1:2" x14ac:dyDescent="0.25">
      <c r="A932" s="44"/>
      <c r="B932" s="44"/>
    </row>
    <row r="933" spans="1:2" x14ac:dyDescent="0.25">
      <c r="A933" s="44"/>
      <c r="B933" s="44"/>
    </row>
    <row r="934" spans="1:2" x14ac:dyDescent="0.25">
      <c r="A934" s="44"/>
      <c r="B934" s="44"/>
    </row>
    <row r="935" spans="1:2" x14ac:dyDescent="0.25">
      <c r="A935" s="44"/>
      <c r="B935" s="44"/>
    </row>
    <row r="936" spans="1:2" x14ac:dyDescent="0.25">
      <c r="A936" s="44"/>
      <c r="B936" s="44"/>
    </row>
    <row r="937" spans="1:2" x14ac:dyDescent="0.25">
      <c r="A937" s="44"/>
      <c r="B937" s="44"/>
    </row>
    <row r="938" spans="1:2" x14ac:dyDescent="0.25">
      <c r="A938" s="44"/>
      <c r="B938" s="44"/>
    </row>
    <row r="939" spans="1:2" x14ac:dyDescent="0.25">
      <c r="A939" s="44"/>
      <c r="B939" s="44"/>
    </row>
    <row r="940" spans="1:2" x14ac:dyDescent="0.25">
      <c r="A940" s="44"/>
      <c r="B940" s="44"/>
    </row>
    <row r="941" spans="1:2" x14ac:dyDescent="0.25">
      <c r="A941" s="44"/>
      <c r="B941" s="44"/>
    </row>
    <row r="942" spans="1:2" x14ac:dyDescent="0.25">
      <c r="A942" s="44"/>
      <c r="B942" s="44"/>
    </row>
    <row r="943" spans="1:2" x14ac:dyDescent="0.25">
      <c r="A943" s="44"/>
      <c r="B943" s="44"/>
    </row>
    <row r="944" spans="1:2" x14ac:dyDescent="0.25">
      <c r="A944" s="44"/>
      <c r="B944" s="44"/>
    </row>
    <row r="945" spans="1:2" x14ac:dyDescent="0.25">
      <c r="A945" s="44"/>
      <c r="B945" s="44"/>
    </row>
    <row r="946" spans="1:2" x14ac:dyDescent="0.25">
      <c r="A946" s="44"/>
      <c r="B946" s="44"/>
    </row>
    <row r="947" spans="1:2" x14ac:dyDescent="0.25">
      <c r="A947" s="44"/>
      <c r="B947" s="44"/>
    </row>
    <row r="948" spans="1:2" x14ac:dyDescent="0.25">
      <c r="A948" s="44"/>
      <c r="B948" s="44"/>
    </row>
    <row r="949" spans="1:2" x14ac:dyDescent="0.25">
      <c r="A949" s="44"/>
      <c r="B949" s="44"/>
    </row>
    <row r="950" spans="1:2" x14ac:dyDescent="0.25">
      <c r="A950" s="44"/>
      <c r="B950" s="44"/>
    </row>
    <row r="951" spans="1:2" x14ac:dyDescent="0.25">
      <c r="A951" s="44"/>
      <c r="B951" s="44"/>
    </row>
    <row r="952" spans="1:2" x14ac:dyDescent="0.25">
      <c r="A952" s="44"/>
      <c r="B952" s="44"/>
    </row>
    <row r="953" spans="1:2" x14ac:dyDescent="0.25">
      <c r="A953" s="44"/>
      <c r="B953" s="44"/>
    </row>
    <row r="954" spans="1:2" x14ac:dyDescent="0.25">
      <c r="A954" s="44"/>
      <c r="B954" s="44"/>
    </row>
    <row r="955" spans="1:2" x14ac:dyDescent="0.25">
      <c r="A955" s="44"/>
      <c r="B955" s="44"/>
    </row>
    <row r="956" spans="1:2" x14ac:dyDescent="0.25">
      <c r="A956" s="44"/>
      <c r="B956" s="44"/>
    </row>
    <row r="957" spans="1:2" x14ac:dyDescent="0.25">
      <c r="A957" s="44"/>
      <c r="B957" s="44"/>
    </row>
    <row r="958" spans="1:2" x14ac:dyDescent="0.25">
      <c r="A958" s="44"/>
      <c r="B958" s="44"/>
    </row>
    <row r="959" spans="1:2" x14ac:dyDescent="0.25">
      <c r="A959" s="44"/>
      <c r="B959" s="44"/>
    </row>
    <row r="960" spans="1:2" x14ac:dyDescent="0.25">
      <c r="A960" s="44"/>
      <c r="B960" s="44"/>
    </row>
    <row r="961" spans="1:2" x14ac:dyDescent="0.25">
      <c r="A961" s="44"/>
      <c r="B961" s="44"/>
    </row>
    <row r="962" spans="1:2" x14ac:dyDescent="0.25">
      <c r="A962" s="44"/>
      <c r="B962" s="44"/>
    </row>
    <row r="963" spans="1:2" x14ac:dyDescent="0.25">
      <c r="A963" s="44"/>
      <c r="B963" s="44"/>
    </row>
    <row r="964" spans="1:2" x14ac:dyDescent="0.25">
      <c r="A964" s="44"/>
      <c r="B964" s="44"/>
    </row>
    <row r="965" spans="1:2" x14ac:dyDescent="0.25">
      <c r="A965" s="44"/>
      <c r="B965" s="44"/>
    </row>
    <row r="966" spans="1:2" x14ac:dyDescent="0.25">
      <c r="A966" s="44"/>
      <c r="B966" s="44"/>
    </row>
    <row r="967" spans="1:2" x14ac:dyDescent="0.25">
      <c r="A967" s="44"/>
      <c r="B967" s="44"/>
    </row>
    <row r="968" spans="1:2" x14ac:dyDescent="0.25">
      <c r="A968" s="44"/>
      <c r="B968" s="44"/>
    </row>
    <row r="969" spans="1:2" x14ac:dyDescent="0.25">
      <c r="A969" s="44"/>
      <c r="B969" s="44"/>
    </row>
    <row r="970" spans="1:2" x14ac:dyDescent="0.25">
      <c r="A970" s="44"/>
      <c r="B970" s="44"/>
    </row>
    <row r="971" spans="1:2" x14ac:dyDescent="0.25">
      <c r="A971" s="44"/>
      <c r="B971" s="44"/>
    </row>
    <row r="972" spans="1:2" x14ac:dyDescent="0.25">
      <c r="A972" s="44"/>
      <c r="B972" s="44"/>
    </row>
    <row r="973" spans="1:2" x14ac:dyDescent="0.25">
      <c r="A973" s="44"/>
      <c r="B973" s="44"/>
    </row>
    <row r="974" spans="1:2" x14ac:dyDescent="0.25">
      <c r="A974" s="44"/>
      <c r="B974" s="44"/>
    </row>
    <row r="975" spans="1:2" x14ac:dyDescent="0.25">
      <c r="A975" s="44"/>
      <c r="B975" s="44"/>
    </row>
    <row r="976" spans="1:2" x14ac:dyDescent="0.25">
      <c r="A976" s="44"/>
      <c r="B976" s="44"/>
    </row>
    <row r="977" spans="1:2" x14ac:dyDescent="0.25">
      <c r="A977" s="44"/>
      <c r="B977" s="44"/>
    </row>
    <row r="978" spans="1:2" x14ac:dyDescent="0.25">
      <c r="A978" s="44"/>
      <c r="B978" s="44"/>
    </row>
    <row r="979" spans="1:2" x14ac:dyDescent="0.25">
      <c r="A979" s="44"/>
      <c r="B979" s="44"/>
    </row>
    <row r="980" spans="1:2" x14ac:dyDescent="0.25">
      <c r="A980" s="44"/>
      <c r="B980" s="44"/>
    </row>
    <row r="981" spans="1:2" x14ac:dyDescent="0.25">
      <c r="A981" s="44"/>
      <c r="B981" s="44"/>
    </row>
    <row r="982" spans="1:2" x14ac:dyDescent="0.25">
      <c r="A982" s="44"/>
      <c r="B982" s="44"/>
    </row>
    <row r="983" spans="1:2" x14ac:dyDescent="0.25">
      <c r="A983" s="44"/>
      <c r="B983" s="44"/>
    </row>
    <row r="984" spans="1:2" x14ac:dyDescent="0.25">
      <c r="A984" s="44"/>
      <c r="B984" s="44"/>
    </row>
    <row r="985" spans="1:2" x14ac:dyDescent="0.25">
      <c r="A985" s="44"/>
      <c r="B985" s="44"/>
    </row>
    <row r="986" spans="1:2" x14ac:dyDescent="0.25">
      <c r="A986" s="44"/>
      <c r="B986" s="44"/>
    </row>
    <row r="987" spans="1:2" x14ac:dyDescent="0.25">
      <c r="A987" s="44"/>
      <c r="B987" s="44"/>
    </row>
    <row r="988" spans="1:2" x14ac:dyDescent="0.25">
      <c r="A988" s="44"/>
      <c r="B988" s="44"/>
    </row>
    <row r="989" spans="1:2" x14ac:dyDescent="0.25">
      <c r="A989" s="44"/>
      <c r="B989" s="44"/>
    </row>
    <row r="990" spans="1:2" x14ac:dyDescent="0.25">
      <c r="A990" s="44"/>
      <c r="B990" s="44"/>
    </row>
    <row r="991" spans="1:2" x14ac:dyDescent="0.25">
      <c r="A991" s="44"/>
      <c r="B991" s="44"/>
    </row>
    <row r="992" spans="1:2" x14ac:dyDescent="0.25">
      <c r="A992" s="44"/>
      <c r="B992" s="44"/>
    </row>
    <row r="993" spans="1:2" x14ac:dyDescent="0.25">
      <c r="A993" s="44"/>
      <c r="B993" s="44"/>
    </row>
    <row r="994" spans="1:2" x14ac:dyDescent="0.25">
      <c r="A994" s="44"/>
      <c r="B994" s="44"/>
    </row>
    <row r="995" spans="1:2" x14ac:dyDescent="0.25">
      <c r="A995" s="44"/>
      <c r="B995" s="44"/>
    </row>
    <row r="996" spans="1:2" x14ac:dyDescent="0.25">
      <c r="A996" s="44"/>
      <c r="B996" s="44"/>
    </row>
    <row r="997" spans="1:2" x14ac:dyDescent="0.25">
      <c r="A997" s="44"/>
      <c r="B997" s="44"/>
    </row>
    <row r="998" spans="1:2" x14ac:dyDescent="0.25">
      <c r="A998" s="44"/>
      <c r="B998" s="44"/>
    </row>
    <row r="999" spans="1:2" x14ac:dyDescent="0.25">
      <c r="A999" s="44"/>
      <c r="B999" s="44"/>
    </row>
    <row r="1000" spans="1:2" x14ac:dyDescent="0.25">
      <c r="A1000" s="44"/>
      <c r="B1000" s="44"/>
    </row>
    <row r="1001" spans="1:2" x14ac:dyDescent="0.25">
      <c r="A1001" s="44"/>
      <c r="B1001" s="44"/>
    </row>
    <row r="1002" spans="1:2" x14ac:dyDescent="0.25">
      <c r="A1002" s="44"/>
      <c r="B1002" s="44"/>
    </row>
    <row r="1003" spans="1:2" x14ac:dyDescent="0.25">
      <c r="A1003" s="44"/>
      <c r="B1003" s="44"/>
    </row>
    <row r="1004" spans="1:2" x14ac:dyDescent="0.25">
      <c r="A1004" s="44"/>
      <c r="B1004" s="44"/>
    </row>
    <row r="1005" spans="1:2" x14ac:dyDescent="0.25">
      <c r="A1005" s="44"/>
      <c r="B1005" s="44"/>
    </row>
    <row r="1006" spans="1:2" x14ac:dyDescent="0.25">
      <c r="A1006" s="44"/>
      <c r="B1006" s="44"/>
    </row>
    <row r="1007" spans="1:2" x14ac:dyDescent="0.25">
      <c r="A1007" s="44"/>
      <c r="B1007" s="44"/>
    </row>
    <row r="1008" spans="1:2" x14ac:dyDescent="0.25">
      <c r="A1008" s="44"/>
      <c r="B1008" s="44"/>
    </row>
    <row r="1009" spans="1:2" x14ac:dyDescent="0.25">
      <c r="A1009" s="44"/>
      <c r="B1009" s="44"/>
    </row>
    <row r="1010" spans="1:2" x14ac:dyDescent="0.25">
      <c r="A1010" s="44"/>
      <c r="B1010" s="44"/>
    </row>
    <row r="1011" spans="1:2" x14ac:dyDescent="0.25">
      <c r="A1011" s="44"/>
      <c r="B1011" s="44"/>
    </row>
    <row r="1012" spans="1:2" x14ac:dyDescent="0.25">
      <c r="A1012" s="44"/>
      <c r="B1012" s="44"/>
    </row>
    <row r="1013" spans="1:2" x14ac:dyDescent="0.25">
      <c r="A1013" s="44"/>
      <c r="B1013" s="44"/>
    </row>
    <row r="1014" spans="1:2" x14ac:dyDescent="0.25">
      <c r="A1014" s="44"/>
      <c r="B1014" s="44"/>
    </row>
    <row r="1015" spans="1:2" x14ac:dyDescent="0.25">
      <c r="A1015" s="44"/>
      <c r="B1015" s="44"/>
    </row>
    <row r="1016" spans="1:2" x14ac:dyDescent="0.25">
      <c r="A1016" s="44"/>
      <c r="B1016" s="44"/>
    </row>
    <row r="1017" spans="1:2" x14ac:dyDescent="0.25">
      <c r="A1017" s="44"/>
      <c r="B1017" s="44"/>
    </row>
    <row r="1018" spans="1:2" x14ac:dyDescent="0.25">
      <c r="A1018" s="44"/>
      <c r="B1018" s="44"/>
    </row>
    <row r="1019" spans="1:2" x14ac:dyDescent="0.25">
      <c r="A1019" s="44"/>
      <c r="B1019" s="44"/>
    </row>
    <row r="1020" spans="1:2" x14ac:dyDescent="0.25">
      <c r="A1020" s="44"/>
      <c r="B1020" s="44"/>
    </row>
    <row r="1021" spans="1:2" x14ac:dyDescent="0.25">
      <c r="A1021" s="44"/>
      <c r="B1021" s="44"/>
    </row>
    <row r="1022" spans="1:2" x14ac:dyDescent="0.25">
      <c r="A1022" s="44"/>
      <c r="B1022" s="44"/>
    </row>
    <row r="1023" spans="1:2" x14ac:dyDescent="0.25">
      <c r="A1023" s="44"/>
      <c r="B1023" s="44"/>
    </row>
    <row r="1024" spans="1:2" x14ac:dyDescent="0.25">
      <c r="A1024" s="44"/>
      <c r="B1024" s="44"/>
    </row>
    <row r="1025" spans="1:2" x14ac:dyDescent="0.25">
      <c r="A1025" s="44"/>
      <c r="B1025" s="44"/>
    </row>
    <row r="1026" spans="1:2" x14ac:dyDescent="0.25">
      <c r="A1026" s="44"/>
      <c r="B1026" s="44"/>
    </row>
    <row r="1027" spans="1:2" x14ac:dyDescent="0.25">
      <c r="A1027" s="44"/>
      <c r="B1027" s="44"/>
    </row>
    <row r="1028" spans="1:2" x14ac:dyDescent="0.25">
      <c r="A1028" s="44"/>
      <c r="B1028" s="44"/>
    </row>
    <row r="1029" spans="1:2" x14ac:dyDescent="0.25">
      <c r="A1029" s="44"/>
      <c r="B1029" s="44"/>
    </row>
    <row r="1030" spans="1:2" x14ac:dyDescent="0.25">
      <c r="A1030" s="44"/>
      <c r="B1030" s="44"/>
    </row>
    <row r="1031" spans="1:2" x14ac:dyDescent="0.25">
      <c r="A1031" s="44"/>
      <c r="B1031" s="44"/>
    </row>
    <row r="1032" spans="1:2" x14ac:dyDescent="0.25">
      <c r="A1032" s="44"/>
      <c r="B1032" s="44"/>
    </row>
    <row r="1033" spans="1:2" x14ac:dyDescent="0.25">
      <c r="A1033" s="44"/>
      <c r="B1033" s="44"/>
    </row>
    <row r="1034" spans="1:2" x14ac:dyDescent="0.25">
      <c r="A1034" s="44"/>
      <c r="B1034" s="44"/>
    </row>
    <row r="1035" spans="1:2" x14ac:dyDescent="0.25">
      <c r="A1035" s="44"/>
      <c r="B1035" s="44"/>
    </row>
    <row r="1036" spans="1:2" x14ac:dyDescent="0.25">
      <c r="A1036" s="44"/>
      <c r="B1036" s="44"/>
    </row>
    <row r="1037" spans="1:2" x14ac:dyDescent="0.25">
      <c r="A1037" s="44"/>
      <c r="B1037" s="44"/>
    </row>
    <row r="1038" spans="1:2" x14ac:dyDescent="0.25">
      <c r="A1038" s="44"/>
      <c r="B1038" s="44"/>
    </row>
    <row r="1039" spans="1:2" x14ac:dyDescent="0.25">
      <c r="A1039" s="44"/>
      <c r="B1039" s="44"/>
    </row>
    <row r="1040" spans="1:2" x14ac:dyDescent="0.25">
      <c r="A1040" s="44"/>
      <c r="B1040" s="44"/>
    </row>
    <row r="1041" spans="1:2" x14ac:dyDescent="0.25">
      <c r="A1041" s="44"/>
      <c r="B1041" s="44"/>
    </row>
    <row r="1042" spans="1:2" x14ac:dyDescent="0.25">
      <c r="A1042" s="44"/>
      <c r="B1042" s="44"/>
    </row>
    <row r="1043" spans="1:2" x14ac:dyDescent="0.25">
      <c r="A1043" s="44"/>
      <c r="B1043" s="44"/>
    </row>
    <row r="1044" spans="1:2" x14ac:dyDescent="0.25">
      <c r="A1044" s="44"/>
      <c r="B1044" s="44"/>
    </row>
    <row r="1045" spans="1:2" x14ac:dyDescent="0.25">
      <c r="A1045" s="44"/>
      <c r="B1045" s="44"/>
    </row>
    <row r="1046" spans="1:2" x14ac:dyDescent="0.25">
      <c r="A1046" s="44"/>
      <c r="B1046" s="44"/>
    </row>
    <row r="1047" spans="1:2" x14ac:dyDescent="0.25">
      <c r="A1047" s="44"/>
      <c r="B1047" s="44"/>
    </row>
    <row r="1048" spans="1:2" x14ac:dyDescent="0.25">
      <c r="A1048" s="44"/>
      <c r="B1048" s="44"/>
    </row>
    <row r="1049" spans="1:2" x14ac:dyDescent="0.25">
      <c r="A1049" s="44"/>
      <c r="B1049" s="44"/>
    </row>
    <row r="1050" spans="1:2" x14ac:dyDescent="0.25">
      <c r="A1050" s="44"/>
      <c r="B1050" s="44"/>
    </row>
    <row r="1051" spans="1:2" x14ac:dyDescent="0.25">
      <c r="A1051" s="44"/>
      <c r="B1051" s="44"/>
    </row>
    <row r="1052" spans="1:2" x14ac:dyDescent="0.25">
      <c r="A1052" s="44"/>
      <c r="B1052" s="44"/>
    </row>
    <row r="1053" spans="1:2" x14ac:dyDescent="0.25">
      <c r="A1053" s="44"/>
      <c r="B1053" s="44"/>
    </row>
    <row r="1054" spans="1:2" x14ac:dyDescent="0.25">
      <c r="A1054" s="44"/>
      <c r="B1054" s="44"/>
    </row>
    <row r="1055" spans="1:2" x14ac:dyDescent="0.25">
      <c r="A1055" s="44"/>
      <c r="B1055" s="44"/>
    </row>
    <row r="1056" spans="1:2" x14ac:dyDescent="0.25">
      <c r="A1056" s="44"/>
      <c r="B1056" s="44"/>
    </row>
    <row r="1057" spans="1:2" x14ac:dyDescent="0.25">
      <c r="A1057" s="44"/>
      <c r="B1057" s="44"/>
    </row>
    <row r="1058" spans="1:2" x14ac:dyDescent="0.25">
      <c r="A1058" s="44"/>
      <c r="B1058" s="44"/>
    </row>
    <row r="1059" spans="1:2" x14ac:dyDescent="0.25">
      <c r="A1059" s="44"/>
      <c r="B1059" s="44"/>
    </row>
    <row r="1060" spans="1:2" x14ac:dyDescent="0.25">
      <c r="A1060" s="44"/>
      <c r="B1060" s="44"/>
    </row>
    <row r="1061" spans="1:2" x14ac:dyDescent="0.25">
      <c r="A1061" s="44"/>
      <c r="B1061" s="44"/>
    </row>
    <row r="1062" spans="1:2" x14ac:dyDescent="0.25">
      <c r="A1062" s="44"/>
      <c r="B1062" s="44"/>
    </row>
    <row r="1063" spans="1:2" x14ac:dyDescent="0.25">
      <c r="A1063" s="44"/>
      <c r="B1063" s="44"/>
    </row>
    <row r="1064" spans="1:2" x14ac:dyDescent="0.25">
      <c r="A1064" s="44"/>
      <c r="B1064" s="44"/>
    </row>
    <row r="1065" spans="1:2" x14ac:dyDescent="0.25">
      <c r="A1065" s="44"/>
      <c r="B1065" s="44"/>
    </row>
    <row r="1066" spans="1:2" x14ac:dyDescent="0.25">
      <c r="A1066" s="44"/>
      <c r="B1066" s="44"/>
    </row>
    <row r="1067" spans="1:2" x14ac:dyDescent="0.25">
      <c r="A1067" s="44"/>
      <c r="B1067" s="44"/>
    </row>
    <row r="1068" spans="1:2" x14ac:dyDescent="0.25">
      <c r="A1068" s="44"/>
      <c r="B1068" s="44"/>
    </row>
    <row r="1069" spans="1:2" x14ac:dyDescent="0.25">
      <c r="A1069" s="44"/>
      <c r="B1069" s="44"/>
    </row>
    <row r="1070" spans="1:2" x14ac:dyDescent="0.25">
      <c r="A1070" s="44"/>
      <c r="B1070" s="44"/>
    </row>
    <row r="1071" spans="1:2" x14ac:dyDescent="0.25">
      <c r="A1071" s="44"/>
      <c r="B1071" s="44"/>
    </row>
    <row r="1072" spans="1:2" x14ac:dyDescent="0.25">
      <c r="A1072" s="44"/>
      <c r="B1072" s="44"/>
    </row>
    <row r="1073" spans="1:2" x14ac:dyDescent="0.25">
      <c r="A1073" s="44"/>
      <c r="B1073" s="44"/>
    </row>
    <row r="1074" spans="1:2" x14ac:dyDescent="0.25">
      <c r="A1074" s="44"/>
      <c r="B1074" s="44"/>
    </row>
    <row r="1075" spans="1:2" x14ac:dyDescent="0.25">
      <c r="A1075" s="44"/>
      <c r="B1075" s="44"/>
    </row>
    <row r="1076" spans="1:2" x14ac:dyDescent="0.25">
      <c r="A1076" s="44"/>
      <c r="B1076" s="44"/>
    </row>
    <row r="1077" spans="1:2" x14ac:dyDescent="0.25">
      <c r="A1077" s="44"/>
      <c r="B1077" s="44"/>
    </row>
    <row r="1078" spans="1:2" x14ac:dyDescent="0.25">
      <c r="A1078" s="44"/>
      <c r="B1078" s="44"/>
    </row>
    <row r="1079" spans="1:2" x14ac:dyDescent="0.25">
      <c r="A1079" s="44"/>
      <c r="B1079" s="44"/>
    </row>
    <row r="1080" spans="1:2" x14ac:dyDescent="0.25">
      <c r="A1080" s="44"/>
      <c r="B1080" s="44"/>
    </row>
    <row r="1081" spans="1:2" x14ac:dyDescent="0.25">
      <c r="A1081" s="44"/>
      <c r="B1081" s="44"/>
    </row>
    <row r="1082" spans="1:2" x14ac:dyDescent="0.25">
      <c r="A1082" s="44"/>
      <c r="B1082" s="44"/>
    </row>
    <row r="1083" spans="1:2" x14ac:dyDescent="0.25">
      <c r="A1083" s="44"/>
      <c r="B1083" s="44"/>
    </row>
    <row r="1084" spans="1:2" x14ac:dyDescent="0.25">
      <c r="A1084" s="44"/>
      <c r="B1084" s="44"/>
    </row>
    <row r="1085" spans="1:2" x14ac:dyDescent="0.25">
      <c r="A1085" s="44"/>
      <c r="B1085" s="44"/>
    </row>
    <row r="1086" spans="1:2" x14ac:dyDescent="0.25">
      <c r="A1086" s="44"/>
      <c r="B1086" s="44"/>
    </row>
    <row r="1087" spans="1:2" x14ac:dyDescent="0.25">
      <c r="A1087" s="44"/>
      <c r="B1087" s="44"/>
    </row>
    <row r="1088" spans="1:2" x14ac:dyDescent="0.25">
      <c r="A1088" s="44"/>
      <c r="B1088" s="44"/>
    </row>
    <row r="1089" spans="1:2" x14ac:dyDescent="0.25">
      <c r="A1089" s="44"/>
      <c r="B1089" s="44"/>
    </row>
    <row r="1090" spans="1:2" x14ac:dyDescent="0.25">
      <c r="A1090" s="44"/>
      <c r="B1090" s="44"/>
    </row>
    <row r="1091" spans="1:2" x14ac:dyDescent="0.25">
      <c r="A1091" s="44"/>
      <c r="B1091" s="44"/>
    </row>
    <row r="1092" spans="1:2" x14ac:dyDescent="0.25">
      <c r="A1092" s="44"/>
      <c r="B1092" s="44"/>
    </row>
    <row r="1093" spans="1:2" x14ac:dyDescent="0.25">
      <c r="A1093" s="44"/>
      <c r="B1093" s="44"/>
    </row>
    <row r="1094" spans="1:2" x14ac:dyDescent="0.25">
      <c r="A1094" s="44"/>
      <c r="B1094" s="44"/>
    </row>
    <row r="1095" spans="1:2" x14ac:dyDescent="0.25">
      <c r="A1095" s="44"/>
      <c r="B1095" s="44"/>
    </row>
    <row r="1096" spans="1:2" x14ac:dyDescent="0.25">
      <c r="A1096" s="44"/>
      <c r="B1096" s="44"/>
    </row>
    <row r="1097" spans="1:2" x14ac:dyDescent="0.25">
      <c r="A1097" s="44"/>
      <c r="B1097" s="44"/>
    </row>
    <row r="1098" spans="1:2" x14ac:dyDescent="0.25">
      <c r="A1098" s="44"/>
      <c r="B1098" s="44"/>
    </row>
    <row r="1099" spans="1:2" x14ac:dyDescent="0.25">
      <c r="A1099" s="44"/>
      <c r="B1099" s="44"/>
    </row>
    <row r="1100" spans="1:2" x14ac:dyDescent="0.25">
      <c r="A1100" s="44"/>
      <c r="B1100" s="44"/>
    </row>
    <row r="1101" spans="1:2" x14ac:dyDescent="0.25">
      <c r="A1101" s="44"/>
      <c r="B1101" s="44"/>
    </row>
    <row r="1102" spans="1:2" x14ac:dyDescent="0.25">
      <c r="A1102" s="44"/>
      <c r="B1102" s="44"/>
    </row>
    <row r="1103" spans="1:2" x14ac:dyDescent="0.25">
      <c r="A1103" s="44"/>
      <c r="B1103" s="44"/>
    </row>
    <row r="1104" spans="1:2" x14ac:dyDescent="0.25">
      <c r="A1104" s="44"/>
      <c r="B1104" s="44"/>
    </row>
    <row r="1105" spans="1:2" x14ac:dyDescent="0.25">
      <c r="A1105" s="44"/>
      <c r="B1105" s="44"/>
    </row>
    <row r="1106" spans="1:2" x14ac:dyDescent="0.25">
      <c r="A1106" s="44"/>
      <c r="B1106" s="44"/>
    </row>
    <row r="1107" spans="1:2" x14ac:dyDescent="0.25">
      <c r="A1107" s="44"/>
      <c r="B1107" s="44"/>
    </row>
    <row r="1108" spans="1:2" x14ac:dyDescent="0.25">
      <c r="A1108" s="44"/>
      <c r="B1108" s="44"/>
    </row>
    <row r="1109" spans="1:2" x14ac:dyDescent="0.25">
      <c r="A1109" s="44"/>
      <c r="B1109" s="44"/>
    </row>
    <row r="1110" spans="1:2" x14ac:dyDescent="0.25">
      <c r="A1110" s="44"/>
      <c r="B1110" s="44"/>
    </row>
    <row r="1111" spans="1:2" x14ac:dyDescent="0.25">
      <c r="A1111" s="44"/>
      <c r="B1111" s="44"/>
    </row>
    <row r="1112" spans="1:2" x14ac:dyDescent="0.25">
      <c r="A1112" s="44"/>
      <c r="B1112" s="44"/>
    </row>
    <row r="1113" spans="1:2" x14ac:dyDescent="0.25">
      <c r="A1113" s="44"/>
      <c r="B1113" s="44"/>
    </row>
    <row r="1114" spans="1:2" x14ac:dyDescent="0.25">
      <c r="A1114" s="44"/>
      <c r="B1114" s="44"/>
    </row>
    <row r="1115" spans="1:2" x14ac:dyDescent="0.25">
      <c r="A1115" s="44"/>
      <c r="B1115" s="44"/>
    </row>
    <row r="1116" spans="1:2" x14ac:dyDescent="0.25">
      <c r="A1116" s="44"/>
      <c r="B1116" s="44"/>
    </row>
    <row r="1117" spans="1:2" x14ac:dyDescent="0.25">
      <c r="A1117" s="44"/>
      <c r="B1117" s="44"/>
    </row>
    <row r="1118" spans="1:2" x14ac:dyDescent="0.25">
      <c r="A1118" s="44"/>
      <c r="B1118" s="44"/>
    </row>
    <row r="1119" spans="1:2" x14ac:dyDescent="0.25">
      <c r="A1119" s="44"/>
      <c r="B1119" s="44"/>
    </row>
    <row r="1120" spans="1:2" x14ac:dyDescent="0.25">
      <c r="A1120" s="44"/>
      <c r="B1120" s="44"/>
    </row>
    <row r="1121" spans="1:2" x14ac:dyDescent="0.25">
      <c r="A1121" s="44"/>
      <c r="B1121" s="44"/>
    </row>
    <row r="1122" spans="1:2" x14ac:dyDescent="0.25">
      <c r="A1122" s="44"/>
      <c r="B1122" s="44"/>
    </row>
    <row r="1123" spans="1:2" x14ac:dyDescent="0.25">
      <c r="A1123" s="44"/>
      <c r="B1123" s="44"/>
    </row>
    <row r="1124" spans="1:2" x14ac:dyDescent="0.25">
      <c r="A1124" s="44"/>
      <c r="B1124" s="44"/>
    </row>
    <row r="1125" spans="1:2" x14ac:dyDescent="0.25">
      <c r="A1125" s="44"/>
      <c r="B1125" s="44"/>
    </row>
    <row r="1126" spans="1:2" x14ac:dyDescent="0.25">
      <c r="A1126" s="44"/>
      <c r="B1126" s="44"/>
    </row>
    <row r="1127" spans="1:2" x14ac:dyDescent="0.25">
      <c r="A1127" s="44"/>
      <c r="B1127" s="44"/>
    </row>
    <row r="1128" spans="1:2" x14ac:dyDescent="0.25">
      <c r="A1128" s="44"/>
      <c r="B1128" s="44"/>
    </row>
    <row r="1129" spans="1:2" x14ac:dyDescent="0.25">
      <c r="A1129" s="44"/>
      <c r="B1129" s="44"/>
    </row>
    <row r="1130" spans="1:2" x14ac:dyDescent="0.25">
      <c r="A1130" s="44"/>
      <c r="B1130" s="44"/>
    </row>
    <row r="1131" spans="1:2" x14ac:dyDescent="0.25">
      <c r="A1131" s="44"/>
      <c r="B1131" s="44"/>
    </row>
    <row r="1132" spans="1:2" x14ac:dyDescent="0.25">
      <c r="A1132" s="44"/>
      <c r="B1132" s="44"/>
    </row>
    <row r="1133" spans="1:2" x14ac:dyDescent="0.25">
      <c r="A1133" s="44"/>
      <c r="B1133" s="44"/>
    </row>
    <row r="1134" spans="1:2" x14ac:dyDescent="0.25">
      <c r="A1134" s="44"/>
      <c r="B1134" s="44"/>
    </row>
    <row r="1135" spans="1:2" x14ac:dyDescent="0.25">
      <c r="A1135" s="44"/>
      <c r="B1135" s="44"/>
    </row>
    <row r="1136" spans="1:2" x14ac:dyDescent="0.25">
      <c r="A1136" s="44"/>
      <c r="B1136" s="44"/>
    </row>
    <row r="1137" spans="1:2" x14ac:dyDescent="0.25">
      <c r="A1137" s="44"/>
      <c r="B1137" s="44"/>
    </row>
    <row r="1138" spans="1:2" x14ac:dyDescent="0.25">
      <c r="A1138" s="44"/>
      <c r="B1138" s="44"/>
    </row>
    <row r="1139" spans="1:2" x14ac:dyDescent="0.25">
      <c r="A1139" s="44"/>
      <c r="B1139" s="44"/>
    </row>
    <row r="1140" spans="1:2" x14ac:dyDescent="0.25">
      <c r="A1140" s="44"/>
      <c r="B1140" s="44"/>
    </row>
    <row r="1141" spans="1:2" x14ac:dyDescent="0.25">
      <c r="A1141" s="44"/>
      <c r="B1141" s="44"/>
    </row>
    <row r="1142" spans="1:2" x14ac:dyDescent="0.25">
      <c r="A1142" s="44"/>
      <c r="B1142" s="44"/>
    </row>
    <row r="1143" spans="1:2" x14ac:dyDescent="0.25">
      <c r="A1143" s="44"/>
      <c r="B1143" s="44"/>
    </row>
    <row r="1144" spans="1:2" x14ac:dyDescent="0.25">
      <c r="A1144" s="44"/>
      <c r="B1144" s="44"/>
    </row>
    <row r="1145" spans="1:2" x14ac:dyDescent="0.25">
      <c r="A1145" s="44"/>
      <c r="B1145" s="44"/>
    </row>
    <row r="1146" spans="1:2" x14ac:dyDescent="0.25">
      <c r="A1146" s="44"/>
      <c r="B1146" s="44"/>
    </row>
    <row r="1147" spans="1:2" x14ac:dyDescent="0.25">
      <c r="A1147" s="44"/>
      <c r="B1147" s="44"/>
    </row>
    <row r="1148" spans="1:2" x14ac:dyDescent="0.25">
      <c r="A1148" s="44"/>
      <c r="B1148" s="44"/>
    </row>
    <row r="1149" spans="1:2" x14ac:dyDescent="0.25">
      <c r="A1149" s="44"/>
      <c r="B1149" s="44"/>
    </row>
    <row r="1150" spans="1:2" x14ac:dyDescent="0.25">
      <c r="A1150" s="44"/>
      <c r="B1150" s="44"/>
    </row>
    <row r="1151" spans="1:2" x14ac:dyDescent="0.25">
      <c r="A1151" s="44"/>
      <c r="B1151" s="44"/>
    </row>
    <row r="1152" spans="1:2" x14ac:dyDescent="0.25">
      <c r="A1152" s="44"/>
      <c r="B1152" s="44"/>
    </row>
    <row r="1153" spans="1:2" x14ac:dyDescent="0.25">
      <c r="A1153" s="44"/>
      <c r="B1153" s="44"/>
    </row>
    <row r="1154" spans="1:2" x14ac:dyDescent="0.25">
      <c r="A1154" s="44"/>
      <c r="B1154" s="44"/>
    </row>
    <row r="1155" spans="1:2" x14ac:dyDescent="0.25">
      <c r="A1155" s="44"/>
      <c r="B1155" s="44"/>
    </row>
    <row r="1156" spans="1:2" x14ac:dyDescent="0.25">
      <c r="A1156" s="44"/>
      <c r="B1156" s="44"/>
    </row>
    <row r="1157" spans="1:2" x14ac:dyDescent="0.25">
      <c r="A1157" s="44"/>
      <c r="B1157" s="44"/>
    </row>
    <row r="1158" spans="1:2" x14ac:dyDescent="0.25">
      <c r="A1158" s="44"/>
      <c r="B1158" s="44"/>
    </row>
    <row r="1159" spans="1:2" x14ac:dyDescent="0.25">
      <c r="A1159" s="44"/>
      <c r="B1159" s="44"/>
    </row>
    <row r="1160" spans="1:2" x14ac:dyDescent="0.25">
      <c r="A1160" s="44"/>
      <c r="B1160" s="44"/>
    </row>
    <row r="1161" spans="1:2" x14ac:dyDescent="0.25">
      <c r="A1161" s="44"/>
      <c r="B1161" s="44"/>
    </row>
    <row r="1162" spans="1:2" x14ac:dyDescent="0.25">
      <c r="A1162" s="44"/>
      <c r="B1162" s="44"/>
    </row>
    <row r="1163" spans="1:2" x14ac:dyDescent="0.25">
      <c r="A1163" s="44"/>
      <c r="B1163" s="44"/>
    </row>
    <row r="1164" spans="1:2" x14ac:dyDescent="0.25">
      <c r="A1164" s="44"/>
      <c r="B1164" s="44"/>
    </row>
    <row r="1165" spans="1:2" x14ac:dyDescent="0.25">
      <c r="A1165" s="44"/>
      <c r="B1165" s="44"/>
    </row>
    <row r="1166" spans="1:2" x14ac:dyDescent="0.25">
      <c r="A1166" s="44"/>
      <c r="B1166" s="44"/>
    </row>
    <row r="1167" spans="1:2" x14ac:dyDescent="0.25">
      <c r="A1167" s="44"/>
      <c r="B1167" s="44"/>
    </row>
    <row r="1168" spans="1:2" x14ac:dyDescent="0.25">
      <c r="A1168" s="44"/>
      <c r="B1168" s="44"/>
    </row>
    <row r="1169" spans="1:2" x14ac:dyDescent="0.25">
      <c r="A1169" s="44"/>
      <c r="B1169" s="44"/>
    </row>
    <row r="1170" spans="1:2" x14ac:dyDescent="0.25">
      <c r="A1170" s="44"/>
      <c r="B1170" s="44"/>
    </row>
    <row r="1171" spans="1:2" x14ac:dyDescent="0.25">
      <c r="A1171" s="44"/>
      <c r="B1171" s="44"/>
    </row>
    <row r="1172" spans="1:2" x14ac:dyDescent="0.25">
      <c r="A1172" s="44"/>
      <c r="B1172" s="44"/>
    </row>
    <row r="1173" spans="1:2" x14ac:dyDescent="0.25">
      <c r="A1173" s="44"/>
      <c r="B1173" s="44"/>
    </row>
    <row r="1174" spans="1:2" x14ac:dyDescent="0.25">
      <c r="A1174" s="44"/>
      <c r="B1174" s="44"/>
    </row>
    <row r="1175" spans="1:2" x14ac:dyDescent="0.25">
      <c r="A1175" s="44"/>
      <c r="B1175" s="44"/>
    </row>
    <row r="1176" spans="1:2" x14ac:dyDescent="0.25">
      <c r="A1176" s="44"/>
      <c r="B1176" s="44"/>
    </row>
    <row r="1177" spans="1:2" x14ac:dyDescent="0.25">
      <c r="A1177" s="44"/>
      <c r="B1177" s="44"/>
    </row>
    <row r="1178" spans="1:2" x14ac:dyDescent="0.25">
      <c r="A1178" s="44"/>
      <c r="B1178" s="44"/>
    </row>
    <row r="1179" spans="1:2" x14ac:dyDescent="0.25">
      <c r="A1179" s="44"/>
      <c r="B1179" s="44"/>
    </row>
    <row r="1180" spans="1:2" x14ac:dyDescent="0.25">
      <c r="A1180" s="44"/>
      <c r="B1180" s="44"/>
    </row>
    <row r="1181" spans="1:2" x14ac:dyDescent="0.25">
      <c r="A1181" s="44"/>
      <c r="B1181" s="44"/>
    </row>
    <row r="1182" spans="1:2" x14ac:dyDescent="0.25">
      <c r="A1182" s="44"/>
      <c r="B1182" s="44"/>
    </row>
    <row r="1183" spans="1:2" x14ac:dyDescent="0.25">
      <c r="A1183" s="44"/>
      <c r="B1183" s="44"/>
    </row>
    <row r="1184" spans="1:2" x14ac:dyDescent="0.25">
      <c r="A1184" s="44"/>
      <c r="B1184" s="44"/>
    </row>
    <row r="1185" spans="1:2" x14ac:dyDescent="0.25">
      <c r="A1185" s="44"/>
      <c r="B1185" s="44"/>
    </row>
    <row r="1186" spans="1:2" x14ac:dyDescent="0.25">
      <c r="A1186" s="44"/>
      <c r="B1186" s="44"/>
    </row>
    <row r="1187" spans="1:2" x14ac:dyDescent="0.25">
      <c r="A1187" s="44"/>
      <c r="B1187" s="44"/>
    </row>
    <row r="1188" spans="1:2" x14ac:dyDescent="0.25">
      <c r="A1188" s="44"/>
      <c r="B1188" s="44"/>
    </row>
    <row r="1189" spans="1:2" x14ac:dyDescent="0.25">
      <c r="A1189" s="44"/>
      <c r="B1189" s="44"/>
    </row>
    <row r="1190" spans="1:2" x14ac:dyDescent="0.25">
      <c r="A1190" s="44"/>
      <c r="B1190" s="44"/>
    </row>
    <row r="1191" spans="1:2" x14ac:dyDescent="0.25">
      <c r="A1191" s="44"/>
      <c r="B1191" s="44"/>
    </row>
    <row r="1192" spans="1:2" x14ac:dyDescent="0.25">
      <c r="A1192" s="44"/>
      <c r="B1192" s="44"/>
    </row>
    <row r="1193" spans="1:2" x14ac:dyDescent="0.25">
      <c r="A1193" s="44"/>
      <c r="B1193" s="44"/>
    </row>
    <row r="1194" spans="1:2" x14ac:dyDescent="0.25">
      <c r="A1194" s="44"/>
      <c r="B1194" s="44"/>
    </row>
    <row r="1195" spans="1:2" x14ac:dyDescent="0.25">
      <c r="A1195" s="44"/>
      <c r="B1195" s="44"/>
    </row>
    <row r="1196" spans="1:2" x14ac:dyDescent="0.25">
      <c r="A1196" s="44"/>
      <c r="B1196" s="44"/>
    </row>
    <row r="1197" spans="1:2" x14ac:dyDescent="0.25">
      <c r="A1197" s="44"/>
      <c r="B1197" s="44"/>
    </row>
    <row r="1198" spans="1:2" x14ac:dyDescent="0.25">
      <c r="A1198" s="44"/>
      <c r="B1198" s="44"/>
    </row>
    <row r="1199" spans="1:2" x14ac:dyDescent="0.25">
      <c r="A1199" s="44"/>
      <c r="B1199" s="44"/>
    </row>
    <row r="1200" spans="1:2" x14ac:dyDescent="0.25">
      <c r="A1200" s="44"/>
      <c r="B1200" s="44"/>
    </row>
    <row r="1201" spans="1:2" x14ac:dyDescent="0.25">
      <c r="A1201" s="44"/>
      <c r="B1201" s="44"/>
    </row>
    <row r="1202" spans="1:2" x14ac:dyDescent="0.25">
      <c r="A1202" s="44"/>
      <c r="B1202" s="44"/>
    </row>
    <row r="1203" spans="1:2" x14ac:dyDescent="0.25">
      <c r="A1203" s="44"/>
      <c r="B1203" s="44"/>
    </row>
    <row r="1204" spans="1:2" x14ac:dyDescent="0.25">
      <c r="A1204" s="44"/>
      <c r="B1204" s="44"/>
    </row>
    <row r="1205" spans="1:2" x14ac:dyDescent="0.25">
      <c r="A1205" s="44"/>
      <c r="B1205" s="44"/>
    </row>
    <row r="1206" spans="1:2" x14ac:dyDescent="0.25">
      <c r="A1206" s="44"/>
      <c r="B1206" s="44"/>
    </row>
    <row r="1207" spans="1:2" x14ac:dyDescent="0.25">
      <c r="A1207" s="44"/>
      <c r="B1207" s="44"/>
    </row>
    <row r="1208" spans="1:2" x14ac:dyDescent="0.25">
      <c r="A1208" s="44"/>
      <c r="B1208" s="44"/>
    </row>
    <row r="1209" spans="1:2" x14ac:dyDescent="0.25">
      <c r="A1209" s="44"/>
      <c r="B1209" s="44"/>
    </row>
    <row r="1210" spans="1:2" x14ac:dyDescent="0.25">
      <c r="A1210" s="44"/>
      <c r="B1210" s="44"/>
    </row>
    <row r="1211" spans="1:2" x14ac:dyDescent="0.25">
      <c r="A1211" s="44"/>
      <c r="B1211" s="44"/>
    </row>
    <row r="1212" spans="1:2" x14ac:dyDescent="0.25">
      <c r="A1212" s="44"/>
      <c r="B1212" s="44"/>
    </row>
    <row r="1213" spans="1:2" x14ac:dyDescent="0.25">
      <c r="A1213" s="44"/>
      <c r="B1213" s="44"/>
    </row>
    <row r="1214" spans="1:2" x14ac:dyDescent="0.25">
      <c r="A1214" s="44"/>
      <c r="B1214" s="44"/>
    </row>
    <row r="1215" spans="1:2" x14ac:dyDescent="0.25">
      <c r="A1215" s="44"/>
      <c r="B1215" s="44"/>
    </row>
    <row r="1216" spans="1:2" x14ac:dyDescent="0.25">
      <c r="A1216" s="44"/>
      <c r="B1216" s="44"/>
    </row>
    <row r="1217" spans="1:2" x14ac:dyDescent="0.25">
      <c r="A1217" s="44"/>
      <c r="B1217" s="44"/>
    </row>
    <row r="1218" spans="1:2" x14ac:dyDescent="0.25">
      <c r="A1218" s="44"/>
      <c r="B1218" s="44"/>
    </row>
    <row r="1219" spans="1:2" x14ac:dyDescent="0.25">
      <c r="A1219" s="44"/>
      <c r="B1219" s="44"/>
    </row>
    <row r="1220" spans="1:2" x14ac:dyDescent="0.25">
      <c r="A1220" s="44"/>
      <c r="B1220" s="44"/>
    </row>
    <row r="1221" spans="1:2" x14ac:dyDescent="0.25">
      <c r="A1221" s="44"/>
      <c r="B1221" s="44"/>
    </row>
    <row r="1222" spans="1:2" x14ac:dyDescent="0.25">
      <c r="A1222" s="44"/>
      <c r="B1222" s="44"/>
    </row>
    <row r="1223" spans="1:2" x14ac:dyDescent="0.25">
      <c r="A1223" s="44"/>
      <c r="B1223" s="44"/>
    </row>
    <row r="1224" spans="1:2" x14ac:dyDescent="0.25">
      <c r="A1224" s="44"/>
      <c r="B1224" s="44"/>
    </row>
    <row r="1225" spans="1:2" x14ac:dyDescent="0.25">
      <c r="A1225" s="44"/>
      <c r="B1225" s="44"/>
    </row>
    <row r="1226" spans="1:2" x14ac:dyDescent="0.25">
      <c r="A1226" s="44"/>
      <c r="B1226" s="44"/>
    </row>
    <row r="1227" spans="1:2" x14ac:dyDescent="0.25">
      <c r="A1227" s="44"/>
      <c r="B1227" s="44"/>
    </row>
    <row r="1228" spans="1:2" x14ac:dyDescent="0.25">
      <c r="A1228" s="44"/>
      <c r="B1228" s="44"/>
    </row>
    <row r="1229" spans="1:2" x14ac:dyDescent="0.25">
      <c r="A1229" s="44"/>
      <c r="B1229" s="44"/>
    </row>
    <row r="1230" spans="1:2" x14ac:dyDescent="0.25">
      <c r="A1230" s="44"/>
      <c r="B1230" s="44"/>
    </row>
    <row r="1231" spans="1:2" x14ac:dyDescent="0.25">
      <c r="A1231" s="44"/>
      <c r="B1231" s="44"/>
    </row>
    <row r="1232" spans="1:2" x14ac:dyDescent="0.25">
      <c r="A1232" s="44"/>
      <c r="B1232" s="44"/>
    </row>
    <row r="1233" spans="1:2" x14ac:dyDescent="0.25">
      <c r="A1233" s="44"/>
      <c r="B1233" s="44"/>
    </row>
    <row r="1234" spans="1:2" x14ac:dyDescent="0.25">
      <c r="A1234" s="44"/>
      <c r="B1234" s="44"/>
    </row>
    <row r="1235" spans="1:2" x14ac:dyDescent="0.25">
      <c r="A1235" s="44"/>
      <c r="B1235" s="44"/>
    </row>
    <row r="1236" spans="1:2" x14ac:dyDescent="0.25">
      <c r="A1236" s="44"/>
      <c r="B1236" s="44"/>
    </row>
    <row r="1237" spans="1:2" x14ac:dyDescent="0.25">
      <c r="A1237" s="44"/>
      <c r="B1237" s="44"/>
    </row>
    <row r="1238" spans="1:2" x14ac:dyDescent="0.25">
      <c r="A1238" s="44"/>
      <c r="B1238" s="44"/>
    </row>
    <row r="1239" spans="1:2" x14ac:dyDescent="0.25">
      <c r="A1239" s="44"/>
      <c r="B1239" s="44"/>
    </row>
    <row r="1240" spans="1:2" x14ac:dyDescent="0.25">
      <c r="A1240" s="44"/>
      <c r="B1240" s="44"/>
    </row>
    <row r="1241" spans="1:2" x14ac:dyDescent="0.25">
      <c r="A1241" s="44"/>
      <c r="B1241" s="44"/>
    </row>
    <row r="1242" spans="1:2" x14ac:dyDescent="0.25">
      <c r="A1242" s="44"/>
      <c r="B1242" s="44"/>
    </row>
    <row r="1243" spans="1:2" x14ac:dyDescent="0.25">
      <c r="A1243" s="44"/>
      <c r="B1243" s="44"/>
    </row>
    <row r="1244" spans="1:2" x14ac:dyDescent="0.25">
      <c r="A1244" s="44"/>
      <c r="B1244" s="44"/>
    </row>
    <row r="1245" spans="1:2" x14ac:dyDescent="0.25">
      <c r="A1245" s="44"/>
      <c r="B1245" s="44"/>
    </row>
    <row r="1246" spans="1:2" x14ac:dyDescent="0.25">
      <c r="A1246" s="44"/>
      <c r="B1246" s="44"/>
    </row>
    <row r="1247" spans="1:2" x14ac:dyDescent="0.25">
      <c r="A1247" s="44"/>
      <c r="B1247" s="44"/>
    </row>
    <row r="1248" spans="1:2" x14ac:dyDescent="0.25">
      <c r="A1248" s="44"/>
      <c r="B1248" s="44"/>
    </row>
    <row r="1249" spans="1:2" x14ac:dyDescent="0.25">
      <c r="A1249" s="44"/>
      <c r="B1249" s="44"/>
    </row>
    <row r="1250" spans="1:2" x14ac:dyDescent="0.25">
      <c r="A1250" s="44"/>
      <c r="B1250" s="44"/>
    </row>
    <row r="1251" spans="1:2" x14ac:dyDescent="0.25">
      <c r="A1251" s="44"/>
      <c r="B1251" s="44"/>
    </row>
    <row r="1252" spans="1:2" x14ac:dyDescent="0.25">
      <c r="A1252" s="44"/>
      <c r="B1252" s="44"/>
    </row>
    <row r="1253" spans="1:2" x14ac:dyDescent="0.25">
      <c r="A1253" s="44"/>
      <c r="B1253" s="44"/>
    </row>
    <row r="1254" spans="1:2" x14ac:dyDescent="0.25">
      <c r="A1254" s="44"/>
      <c r="B1254" s="44"/>
    </row>
    <row r="1255" spans="1:2" x14ac:dyDescent="0.25">
      <c r="A1255" s="44"/>
      <c r="B1255" s="44"/>
    </row>
    <row r="1256" spans="1:2" x14ac:dyDescent="0.25">
      <c r="A1256" s="44"/>
      <c r="B1256" s="44"/>
    </row>
    <row r="1257" spans="1:2" x14ac:dyDescent="0.25">
      <c r="A1257" s="44"/>
      <c r="B1257" s="44"/>
    </row>
    <row r="1258" spans="1:2" x14ac:dyDescent="0.25">
      <c r="A1258" s="44"/>
      <c r="B1258" s="44"/>
    </row>
    <row r="1259" spans="1:2" x14ac:dyDescent="0.25">
      <c r="A1259" s="44"/>
      <c r="B1259" s="44"/>
    </row>
    <row r="1260" spans="1:2" x14ac:dyDescent="0.25">
      <c r="A1260" s="44"/>
      <c r="B1260" s="44"/>
    </row>
    <row r="1261" spans="1:2" x14ac:dyDescent="0.25">
      <c r="A1261" s="44"/>
      <c r="B1261" s="44"/>
    </row>
    <row r="1262" spans="1:2" x14ac:dyDescent="0.25">
      <c r="A1262" s="44"/>
      <c r="B1262" s="44"/>
    </row>
    <row r="1263" spans="1:2" x14ac:dyDescent="0.25">
      <c r="A1263" s="44"/>
      <c r="B1263" s="44"/>
    </row>
    <row r="1264" spans="1:2" x14ac:dyDescent="0.25">
      <c r="A1264" s="44"/>
      <c r="B1264" s="44"/>
    </row>
    <row r="1265" spans="1:2" x14ac:dyDescent="0.25">
      <c r="A1265" s="44"/>
      <c r="B1265" s="44"/>
    </row>
    <row r="1266" spans="1:2" x14ac:dyDescent="0.25">
      <c r="A1266" s="44"/>
      <c r="B1266" s="44"/>
    </row>
    <row r="1267" spans="1:2" x14ac:dyDescent="0.25">
      <c r="A1267" s="44"/>
      <c r="B1267" s="44"/>
    </row>
    <row r="1268" spans="1:2" x14ac:dyDescent="0.25">
      <c r="A1268" s="44"/>
      <c r="B1268" s="44"/>
    </row>
    <row r="1269" spans="1:2" x14ac:dyDescent="0.25">
      <c r="A1269" s="44"/>
      <c r="B1269" s="44"/>
    </row>
    <row r="1270" spans="1:2" x14ac:dyDescent="0.25">
      <c r="A1270" s="44"/>
      <c r="B1270" s="44"/>
    </row>
    <row r="1271" spans="1:2" x14ac:dyDescent="0.25">
      <c r="A1271" s="44"/>
      <c r="B1271" s="44"/>
    </row>
    <row r="1272" spans="1:2" x14ac:dyDescent="0.25">
      <c r="A1272" s="44"/>
      <c r="B1272" s="44"/>
    </row>
    <row r="1273" spans="1:2" x14ac:dyDescent="0.25">
      <c r="A1273" s="44"/>
      <c r="B1273" s="44"/>
    </row>
    <row r="1274" spans="1:2" x14ac:dyDescent="0.25">
      <c r="A1274" s="44"/>
      <c r="B1274" s="44"/>
    </row>
    <row r="1275" spans="1:2" x14ac:dyDescent="0.25">
      <c r="A1275" s="44"/>
      <c r="B1275" s="44"/>
    </row>
    <row r="1276" spans="1:2" x14ac:dyDescent="0.25">
      <c r="A1276" s="44"/>
      <c r="B1276" s="44"/>
    </row>
    <row r="1277" spans="1:2" x14ac:dyDescent="0.25">
      <c r="A1277" s="44"/>
      <c r="B1277" s="44"/>
    </row>
    <row r="1278" spans="1:2" x14ac:dyDescent="0.25">
      <c r="A1278" s="44"/>
      <c r="B1278" s="44"/>
    </row>
    <row r="1279" spans="1:2" x14ac:dyDescent="0.25">
      <c r="A1279" s="44"/>
      <c r="B1279" s="44"/>
    </row>
    <row r="1280" spans="1:2" x14ac:dyDescent="0.25">
      <c r="A1280" s="44"/>
      <c r="B1280" s="44"/>
    </row>
    <row r="1281" spans="1:2" x14ac:dyDescent="0.25">
      <c r="A1281" s="44"/>
      <c r="B1281" s="44"/>
    </row>
    <row r="1282" spans="1:2" x14ac:dyDescent="0.25">
      <c r="A1282" s="44"/>
      <c r="B1282" s="44"/>
    </row>
    <row r="1283" spans="1:2" x14ac:dyDescent="0.25">
      <c r="A1283" s="44"/>
      <c r="B1283" s="44"/>
    </row>
    <row r="1284" spans="1:2" x14ac:dyDescent="0.25">
      <c r="A1284" s="44"/>
      <c r="B1284" s="44"/>
    </row>
    <row r="1285" spans="1:2" x14ac:dyDescent="0.25">
      <c r="A1285" s="44"/>
      <c r="B1285" s="44"/>
    </row>
    <row r="1286" spans="1:2" x14ac:dyDescent="0.25">
      <c r="A1286" s="44"/>
      <c r="B1286" s="44"/>
    </row>
    <row r="1287" spans="1:2" x14ac:dyDescent="0.25">
      <c r="A1287" s="44"/>
      <c r="B1287" s="44"/>
    </row>
    <row r="1288" spans="1:2" x14ac:dyDescent="0.25">
      <c r="A1288" s="44"/>
      <c r="B1288" s="44"/>
    </row>
    <row r="1289" spans="1:2" x14ac:dyDescent="0.25">
      <c r="A1289" s="44"/>
      <c r="B1289" s="44"/>
    </row>
    <row r="1290" spans="1:2" x14ac:dyDescent="0.25">
      <c r="A1290" s="44"/>
      <c r="B1290" s="44"/>
    </row>
    <row r="1291" spans="1:2" x14ac:dyDescent="0.25">
      <c r="A1291" s="44"/>
      <c r="B1291" s="44"/>
    </row>
    <row r="1292" spans="1:2" x14ac:dyDescent="0.25">
      <c r="A1292" s="44"/>
      <c r="B1292" s="44"/>
    </row>
    <row r="1293" spans="1:2" x14ac:dyDescent="0.25">
      <c r="A1293" s="44"/>
      <c r="B1293" s="44"/>
    </row>
    <row r="1294" spans="1:2" x14ac:dyDescent="0.25">
      <c r="A1294" s="44"/>
      <c r="B1294" s="44"/>
    </row>
    <row r="1295" spans="1:2" x14ac:dyDescent="0.25">
      <c r="A1295" s="44"/>
      <c r="B1295" s="44"/>
    </row>
    <row r="1296" spans="1:2" x14ac:dyDescent="0.25">
      <c r="A1296" s="44"/>
      <c r="B1296" s="44"/>
    </row>
    <row r="1297" spans="1:2" x14ac:dyDescent="0.25">
      <c r="A1297" s="44"/>
      <c r="B1297" s="44"/>
    </row>
    <row r="1298" spans="1:2" x14ac:dyDescent="0.25">
      <c r="A1298" s="44"/>
      <c r="B1298" s="44"/>
    </row>
    <row r="1299" spans="1:2" x14ac:dyDescent="0.25">
      <c r="A1299" s="44"/>
      <c r="B1299" s="44"/>
    </row>
    <row r="1300" spans="1:2" x14ac:dyDescent="0.25">
      <c r="A1300" s="44"/>
      <c r="B1300" s="44"/>
    </row>
    <row r="1301" spans="1:2" x14ac:dyDescent="0.25">
      <c r="A1301" s="44"/>
      <c r="B1301" s="44"/>
    </row>
    <row r="1302" spans="1:2" x14ac:dyDescent="0.25">
      <c r="A1302" s="44"/>
      <c r="B1302" s="44"/>
    </row>
    <row r="1303" spans="1:2" x14ac:dyDescent="0.25">
      <c r="A1303" s="44"/>
      <c r="B1303" s="44"/>
    </row>
    <row r="1304" spans="1:2" x14ac:dyDescent="0.25">
      <c r="A1304" s="44"/>
      <c r="B1304" s="44"/>
    </row>
    <row r="1305" spans="1:2" x14ac:dyDescent="0.25">
      <c r="A1305" s="44"/>
      <c r="B1305" s="44"/>
    </row>
    <row r="1306" spans="1:2" x14ac:dyDescent="0.25">
      <c r="A1306" s="44"/>
      <c r="B1306" s="44"/>
    </row>
    <row r="1307" spans="1:2" x14ac:dyDescent="0.25">
      <c r="A1307" s="44"/>
      <c r="B1307" s="44"/>
    </row>
    <row r="1308" spans="1:2" x14ac:dyDescent="0.25">
      <c r="A1308" s="44"/>
      <c r="B1308" s="44"/>
    </row>
    <row r="1309" spans="1:2" x14ac:dyDescent="0.25">
      <c r="A1309" s="44"/>
      <c r="B1309" s="44"/>
    </row>
    <row r="1310" spans="1:2" x14ac:dyDescent="0.25">
      <c r="A1310" s="44"/>
      <c r="B1310" s="44"/>
    </row>
    <row r="1311" spans="1:2" x14ac:dyDescent="0.25">
      <c r="A1311" s="44"/>
      <c r="B1311" s="44"/>
    </row>
    <row r="1312" spans="1:2" x14ac:dyDescent="0.25">
      <c r="A1312" s="44"/>
      <c r="B1312" s="44"/>
    </row>
    <row r="1313" spans="1:2" x14ac:dyDescent="0.25">
      <c r="A1313" s="44"/>
      <c r="B1313" s="44"/>
    </row>
    <row r="1314" spans="1:2" x14ac:dyDescent="0.25">
      <c r="A1314" s="44"/>
      <c r="B1314" s="44"/>
    </row>
    <row r="1315" spans="1:2" x14ac:dyDescent="0.25">
      <c r="A1315" s="44"/>
      <c r="B1315" s="44"/>
    </row>
    <row r="1316" spans="1:2" x14ac:dyDescent="0.25">
      <c r="A1316" s="44"/>
      <c r="B1316" s="44"/>
    </row>
    <row r="1317" spans="1:2" x14ac:dyDescent="0.25">
      <c r="A1317" s="44"/>
      <c r="B1317" s="44"/>
    </row>
    <row r="1318" spans="1:2" x14ac:dyDescent="0.25">
      <c r="A1318" s="44"/>
      <c r="B1318" s="44"/>
    </row>
    <row r="1319" spans="1:2" x14ac:dyDescent="0.25">
      <c r="A1319" s="44"/>
      <c r="B1319" s="44"/>
    </row>
    <row r="1320" spans="1:2" x14ac:dyDescent="0.25">
      <c r="A1320" s="44"/>
      <c r="B1320" s="44"/>
    </row>
    <row r="1321" spans="1:2" x14ac:dyDescent="0.25">
      <c r="A1321" s="44"/>
      <c r="B1321" s="44"/>
    </row>
    <row r="1322" spans="1:2" x14ac:dyDescent="0.25">
      <c r="A1322" s="44"/>
      <c r="B1322" s="44"/>
    </row>
    <row r="1323" spans="1:2" x14ac:dyDescent="0.25">
      <c r="A1323" s="44"/>
      <c r="B1323" s="44"/>
    </row>
    <row r="1324" spans="1:2" x14ac:dyDescent="0.25">
      <c r="A1324" s="44"/>
      <c r="B1324" s="44"/>
    </row>
    <row r="1325" spans="1:2" x14ac:dyDescent="0.25">
      <c r="A1325" s="44"/>
      <c r="B1325" s="44"/>
    </row>
    <row r="1326" spans="1:2" x14ac:dyDescent="0.25">
      <c r="A1326" s="44"/>
      <c r="B1326" s="44"/>
    </row>
    <row r="1327" spans="1:2" x14ac:dyDescent="0.25">
      <c r="A1327" s="44"/>
      <c r="B1327" s="44"/>
    </row>
    <row r="1328" spans="1:2" x14ac:dyDescent="0.25">
      <c r="A1328" s="44"/>
      <c r="B1328" s="44"/>
    </row>
    <row r="1329" spans="1:2" x14ac:dyDescent="0.25">
      <c r="A1329" s="44"/>
      <c r="B1329" s="44"/>
    </row>
    <row r="1330" spans="1:2" x14ac:dyDescent="0.25">
      <c r="A1330" s="44"/>
      <c r="B1330" s="44"/>
    </row>
    <row r="1331" spans="1:2" x14ac:dyDescent="0.25">
      <c r="A1331" s="44"/>
      <c r="B1331" s="44"/>
    </row>
    <row r="1332" spans="1:2" x14ac:dyDescent="0.25">
      <c r="A1332" s="44"/>
      <c r="B1332" s="44"/>
    </row>
    <row r="1333" spans="1:2" x14ac:dyDescent="0.25">
      <c r="A1333" s="44"/>
      <c r="B1333" s="44"/>
    </row>
    <row r="1334" spans="1:2" x14ac:dyDescent="0.25">
      <c r="A1334" s="44"/>
      <c r="B1334" s="44"/>
    </row>
    <row r="1335" spans="1:2" x14ac:dyDescent="0.25">
      <c r="A1335" s="44"/>
      <c r="B1335" s="44"/>
    </row>
    <row r="1336" spans="1:2" x14ac:dyDescent="0.25">
      <c r="A1336" s="44"/>
      <c r="B1336" s="44"/>
    </row>
    <row r="1337" spans="1:2" x14ac:dyDescent="0.25">
      <c r="A1337" s="44"/>
      <c r="B1337" s="44"/>
    </row>
    <row r="1338" spans="1:2" x14ac:dyDescent="0.25">
      <c r="A1338" s="44"/>
      <c r="B1338" s="44"/>
    </row>
    <row r="1339" spans="1:2" x14ac:dyDescent="0.25">
      <c r="A1339" s="44"/>
      <c r="B1339" s="44"/>
    </row>
    <row r="1340" spans="1:2" x14ac:dyDescent="0.25">
      <c r="A1340" s="44"/>
      <c r="B1340" s="44"/>
    </row>
    <row r="1341" spans="1:2" x14ac:dyDescent="0.25">
      <c r="A1341" s="44"/>
      <c r="B1341" s="44"/>
    </row>
    <row r="1342" spans="1:2" x14ac:dyDescent="0.25">
      <c r="A1342" s="44"/>
      <c r="B1342" s="44"/>
    </row>
    <row r="1343" spans="1:2" x14ac:dyDescent="0.25">
      <c r="A1343" s="44"/>
      <c r="B1343" s="44"/>
    </row>
    <row r="1344" spans="1:2" x14ac:dyDescent="0.25">
      <c r="A1344" s="44"/>
      <c r="B1344" s="44"/>
    </row>
    <row r="1345" spans="1:2" x14ac:dyDescent="0.25">
      <c r="A1345" s="44"/>
      <c r="B1345" s="44"/>
    </row>
    <row r="1346" spans="1:2" x14ac:dyDescent="0.25">
      <c r="A1346" s="44"/>
      <c r="B1346" s="44"/>
    </row>
    <row r="1347" spans="1:2" x14ac:dyDescent="0.25">
      <c r="A1347" s="44"/>
      <c r="B1347" s="44"/>
    </row>
    <row r="1348" spans="1:2" x14ac:dyDescent="0.25">
      <c r="A1348" s="44"/>
      <c r="B1348" s="44"/>
    </row>
    <row r="1349" spans="1:2" x14ac:dyDescent="0.25">
      <c r="A1349" s="44"/>
      <c r="B1349" s="44"/>
    </row>
    <row r="1350" spans="1:2" x14ac:dyDescent="0.25">
      <c r="A1350" s="44"/>
      <c r="B1350" s="44"/>
    </row>
    <row r="1351" spans="1:2" x14ac:dyDescent="0.25">
      <c r="A1351" s="44"/>
      <c r="B1351" s="44"/>
    </row>
    <row r="1352" spans="1:2" x14ac:dyDescent="0.25">
      <c r="A1352" s="44"/>
      <c r="B1352" s="44"/>
    </row>
    <row r="1353" spans="1:2" x14ac:dyDescent="0.25">
      <c r="A1353" s="44"/>
      <c r="B1353" s="44"/>
    </row>
    <row r="1354" spans="1:2" x14ac:dyDescent="0.25">
      <c r="A1354" s="44"/>
      <c r="B1354" s="44"/>
    </row>
    <row r="1355" spans="1:2" x14ac:dyDescent="0.25">
      <c r="A1355" s="44"/>
      <c r="B1355" s="44"/>
    </row>
    <row r="1356" spans="1:2" x14ac:dyDescent="0.25">
      <c r="A1356" s="44"/>
      <c r="B1356" s="44"/>
    </row>
    <row r="1357" spans="1:2" x14ac:dyDescent="0.25">
      <c r="A1357" s="44"/>
      <c r="B1357" s="44"/>
    </row>
    <row r="1358" spans="1:2" x14ac:dyDescent="0.25">
      <c r="A1358" s="44"/>
      <c r="B1358" s="44"/>
    </row>
    <row r="1359" spans="1:2" x14ac:dyDescent="0.25">
      <c r="A1359" s="44"/>
      <c r="B1359" s="44"/>
    </row>
    <row r="1360" spans="1:2" x14ac:dyDescent="0.25">
      <c r="A1360" s="44"/>
      <c r="B1360" s="44"/>
    </row>
    <row r="1361" spans="1:2" x14ac:dyDescent="0.25">
      <c r="A1361" s="44"/>
      <c r="B1361" s="44"/>
    </row>
    <row r="1362" spans="1:2" x14ac:dyDescent="0.25">
      <c r="A1362" s="44"/>
      <c r="B1362" s="44"/>
    </row>
    <row r="1363" spans="1:2" x14ac:dyDescent="0.25">
      <c r="A1363" s="44"/>
      <c r="B1363" s="44"/>
    </row>
    <row r="1364" spans="1:2" x14ac:dyDescent="0.25">
      <c r="A1364" s="44"/>
      <c r="B1364" s="44"/>
    </row>
    <row r="1365" spans="1:2" x14ac:dyDescent="0.25">
      <c r="A1365" s="44"/>
      <c r="B1365" s="44"/>
    </row>
    <row r="1366" spans="1:2" x14ac:dyDescent="0.25">
      <c r="A1366" s="44"/>
      <c r="B1366" s="44"/>
    </row>
    <row r="1367" spans="1:2" x14ac:dyDescent="0.25">
      <c r="A1367" s="44"/>
      <c r="B1367" s="44"/>
    </row>
    <row r="1368" spans="1:2" x14ac:dyDescent="0.25">
      <c r="A1368" s="44"/>
      <c r="B1368" s="44"/>
    </row>
    <row r="1369" spans="1:2" x14ac:dyDescent="0.25">
      <c r="A1369" s="44"/>
      <c r="B1369" s="44"/>
    </row>
    <row r="1370" spans="1:2" x14ac:dyDescent="0.25">
      <c r="A1370" s="44"/>
      <c r="B1370" s="44"/>
    </row>
    <row r="1371" spans="1:2" x14ac:dyDescent="0.25">
      <c r="A1371" s="44"/>
      <c r="B1371" s="44"/>
    </row>
    <row r="1372" spans="1:2" x14ac:dyDescent="0.25">
      <c r="A1372" s="44"/>
      <c r="B1372" s="44"/>
    </row>
    <row r="1373" spans="1:2" x14ac:dyDescent="0.25">
      <c r="A1373" s="44"/>
      <c r="B1373" s="44"/>
    </row>
    <row r="1374" spans="1:2" x14ac:dyDescent="0.25">
      <c r="A1374" s="44"/>
      <c r="B1374" s="44"/>
    </row>
    <row r="1375" spans="1:2" x14ac:dyDescent="0.25">
      <c r="A1375" s="44"/>
      <c r="B1375" s="44"/>
    </row>
    <row r="1376" spans="1:2" x14ac:dyDescent="0.25">
      <c r="A1376" s="44"/>
      <c r="B1376" s="44"/>
    </row>
    <row r="1377" spans="1:2" x14ac:dyDescent="0.25">
      <c r="A1377" s="44"/>
      <c r="B1377" s="44"/>
    </row>
    <row r="1378" spans="1:2" x14ac:dyDescent="0.25">
      <c r="A1378" s="44"/>
      <c r="B1378" s="44"/>
    </row>
    <row r="1379" spans="1:2" x14ac:dyDescent="0.25">
      <c r="A1379" s="44"/>
      <c r="B1379" s="44"/>
    </row>
    <row r="1380" spans="1:2" x14ac:dyDescent="0.25">
      <c r="A1380" s="44"/>
      <c r="B1380" s="44"/>
    </row>
    <row r="1381" spans="1:2" x14ac:dyDescent="0.25">
      <c r="A1381" s="44"/>
      <c r="B1381" s="44"/>
    </row>
    <row r="1382" spans="1:2" x14ac:dyDescent="0.25">
      <c r="A1382" s="44"/>
      <c r="B1382" s="44"/>
    </row>
    <row r="1383" spans="1:2" x14ac:dyDescent="0.25">
      <c r="A1383" s="44"/>
      <c r="B1383" s="44"/>
    </row>
    <row r="1384" spans="1:2" x14ac:dyDescent="0.25">
      <c r="A1384" s="44"/>
      <c r="B1384" s="44"/>
    </row>
    <row r="1385" spans="1:2" x14ac:dyDescent="0.25">
      <c r="A1385" s="44"/>
      <c r="B1385" s="44"/>
    </row>
    <row r="1386" spans="1:2" x14ac:dyDescent="0.25">
      <c r="A1386" s="44"/>
      <c r="B1386" s="44"/>
    </row>
    <row r="1387" spans="1:2" x14ac:dyDescent="0.25">
      <c r="A1387" s="44"/>
      <c r="B1387" s="44"/>
    </row>
    <row r="1388" spans="1:2" x14ac:dyDescent="0.25">
      <c r="A1388" s="44"/>
      <c r="B1388" s="44"/>
    </row>
    <row r="1389" spans="1:2" x14ac:dyDescent="0.25">
      <c r="A1389" s="44"/>
      <c r="B1389" s="44"/>
    </row>
    <row r="1390" spans="1:2" x14ac:dyDescent="0.25">
      <c r="A1390" s="44"/>
      <c r="B1390" s="44"/>
    </row>
    <row r="1391" spans="1:2" x14ac:dyDescent="0.25">
      <c r="A1391" s="44"/>
      <c r="B1391" s="44"/>
    </row>
    <row r="1392" spans="1:2" x14ac:dyDescent="0.25">
      <c r="A1392" s="44"/>
      <c r="B1392" s="44"/>
    </row>
    <row r="1393" spans="1:2" x14ac:dyDescent="0.25">
      <c r="A1393" s="44"/>
      <c r="B1393" s="44"/>
    </row>
    <row r="1394" spans="1:2" x14ac:dyDescent="0.25">
      <c r="A1394" s="44"/>
      <c r="B1394" s="44"/>
    </row>
    <row r="1395" spans="1:2" x14ac:dyDescent="0.25">
      <c r="A1395" s="44"/>
      <c r="B1395" s="44"/>
    </row>
    <row r="1396" spans="1:2" x14ac:dyDescent="0.25">
      <c r="A1396" s="44"/>
      <c r="B1396" s="44"/>
    </row>
    <row r="1397" spans="1:2" x14ac:dyDescent="0.25">
      <c r="A1397" s="44"/>
      <c r="B1397" s="44"/>
    </row>
    <row r="1398" spans="1:2" x14ac:dyDescent="0.25">
      <c r="A1398" s="44"/>
      <c r="B1398" s="44"/>
    </row>
    <row r="1399" spans="1:2" x14ac:dyDescent="0.25">
      <c r="A1399" s="44"/>
      <c r="B1399" s="44"/>
    </row>
    <row r="1400" spans="1:2" x14ac:dyDescent="0.25">
      <c r="A1400" s="44"/>
      <c r="B1400" s="44"/>
    </row>
    <row r="1401" spans="1:2" x14ac:dyDescent="0.25">
      <c r="A1401" s="44"/>
      <c r="B1401" s="44"/>
    </row>
    <row r="1402" spans="1:2" x14ac:dyDescent="0.25">
      <c r="A1402" s="44"/>
      <c r="B1402" s="44"/>
    </row>
    <row r="1403" spans="1:2" x14ac:dyDescent="0.25">
      <c r="A1403" s="44"/>
      <c r="B1403" s="44"/>
    </row>
    <row r="1404" spans="1:2" x14ac:dyDescent="0.25">
      <c r="A1404" s="44"/>
      <c r="B1404" s="44"/>
    </row>
    <row r="1405" spans="1:2" x14ac:dyDescent="0.25">
      <c r="A1405" s="44"/>
      <c r="B1405" s="44"/>
    </row>
    <row r="1406" spans="1:2" x14ac:dyDescent="0.25">
      <c r="A1406" s="44"/>
      <c r="B1406" s="44"/>
    </row>
    <row r="1407" spans="1:2" x14ac:dyDescent="0.25">
      <c r="A1407" s="44"/>
      <c r="B1407" s="44"/>
    </row>
    <row r="1408" spans="1:2" x14ac:dyDescent="0.25">
      <c r="A1408" s="44"/>
      <c r="B1408" s="44"/>
    </row>
    <row r="1409" spans="1:2" x14ac:dyDescent="0.25">
      <c r="A1409" s="44"/>
      <c r="B1409" s="44"/>
    </row>
    <row r="1410" spans="1:2" x14ac:dyDescent="0.25">
      <c r="A1410" s="44"/>
      <c r="B1410" s="44"/>
    </row>
    <row r="1411" spans="1:2" x14ac:dyDescent="0.25">
      <c r="A1411" s="44"/>
      <c r="B1411" s="44"/>
    </row>
    <row r="1412" spans="1:2" x14ac:dyDescent="0.25">
      <c r="A1412" s="44"/>
      <c r="B1412" s="44"/>
    </row>
    <row r="1413" spans="1:2" x14ac:dyDescent="0.25">
      <c r="A1413" s="44"/>
      <c r="B1413" s="44"/>
    </row>
    <row r="1414" spans="1:2" x14ac:dyDescent="0.25">
      <c r="A1414" s="44"/>
      <c r="B1414" s="44"/>
    </row>
    <row r="1415" spans="1:2" x14ac:dyDescent="0.25">
      <c r="A1415" s="44"/>
      <c r="B1415" s="44"/>
    </row>
    <row r="1416" spans="1:2" x14ac:dyDescent="0.25">
      <c r="A1416" s="44"/>
      <c r="B1416" s="44"/>
    </row>
    <row r="1417" spans="1:2" x14ac:dyDescent="0.25">
      <c r="A1417" s="44"/>
      <c r="B1417" s="44"/>
    </row>
    <row r="1418" spans="1:2" x14ac:dyDescent="0.25">
      <c r="A1418" s="44"/>
      <c r="B1418" s="44"/>
    </row>
    <row r="1419" spans="1:2" x14ac:dyDescent="0.25">
      <c r="A1419" s="44"/>
      <c r="B1419" s="44"/>
    </row>
    <row r="1420" spans="1:2" x14ac:dyDescent="0.25">
      <c r="A1420" s="44"/>
      <c r="B1420" s="44"/>
    </row>
    <row r="1421" spans="1:2" x14ac:dyDescent="0.25">
      <c r="A1421" s="44"/>
      <c r="B1421" s="44"/>
    </row>
    <row r="1422" spans="1:2" x14ac:dyDescent="0.25">
      <c r="A1422" s="44"/>
      <c r="B1422" s="44"/>
    </row>
    <row r="1423" spans="1:2" x14ac:dyDescent="0.25">
      <c r="A1423" s="44"/>
      <c r="B1423" s="44"/>
    </row>
    <row r="1424" spans="1:2" x14ac:dyDescent="0.25">
      <c r="A1424" s="44"/>
      <c r="B1424" s="44"/>
    </row>
    <row r="1425" spans="1:2" x14ac:dyDescent="0.25">
      <c r="A1425" s="44"/>
      <c r="B1425" s="44"/>
    </row>
    <row r="1426" spans="1:2" x14ac:dyDescent="0.25">
      <c r="A1426" s="44"/>
      <c r="B1426" s="44"/>
    </row>
    <row r="1427" spans="1:2" x14ac:dyDescent="0.25">
      <c r="A1427" s="44"/>
      <c r="B1427" s="44"/>
    </row>
    <row r="1428" spans="1:2" x14ac:dyDescent="0.25">
      <c r="A1428" s="44"/>
      <c r="B1428" s="44"/>
    </row>
    <row r="1429" spans="1:2" x14ac:dyDescent="0.25">
      <c r="A1429" s="44"/>
      <c r="B1429" s="44"/>
    </row>
    <row r="1430" spans="1:2" x14ac:dyDescent="0.25">
      <c r="A1430" s="44"/>
      <c r="B1430" s="44"/>
    </row>
    <row r="1431" spans="1:2" x14ac:dyDescent="0.25">
      <c r="A1431" s="44"/>
      <c r="B1431" s="44"/>
    </row>
    <row r="1432" spans="1:2" x14ac:dyDescent="0.25">
      <c r="A1432" s="44"/>
      <c r="B1432" s="44"/>
    </row>
    <row r="1433" spans="1:2" x14ac:dyDescent="0.25">
      <c r="A1433" s="44"/>
      <c r="B1433" s="44"/>
    </row>
    <row r="1434" spans="1:2" x14ac:dyDescent="0.25">
      <c r="A1434" s="44"/>
      <c r="B1434" s="44"/>
    </row>
    <row r="1435" spans="1:2" x14ac:dyDescent="0.25">
      <c r="A1435" s="44"/>
      <c r="B1435" s="44"/>
    </row>
    <row r="1436" spans="1:2" x14ac:dyDescent="0.25">
      <c r="A1436" s="44"/>
      <c r="B1436" s="44"/>
    </row>
    <row r="1437" spans="1:2" x14ac:dyDescent="0.25">
      <c r="A1437" s="44"/>
      <c r="B1437" s="44"/>
    </row>
    <row r="1438" spans="1:2" x14ac:dyDescent="0.25">
      <c r="A1438" s="44"/>
      <c r="B1438" s="44"/>
    </row>
    <row r="1439" spans="1:2" x14ac:dyDescent="0.25">
      <c r="A1439" s="44"/>
      <c r="B1439" s="44"/>
    </row>
    <row r="1440" spans="1:2" x14ac:dyDescent="0.25">
      <c r="A1440" s="44"/>
      <c r="B1440" s="44"/>
    </row>
    <row r="1441" spans="1:2" x14ac:dyDescent="0.25">
      <c r="A1441" s="44"/>
      <c r="B1441" s="44"/>
    </row>
    <row r="1442" spans="1:2" x14ac:dyDescent="0.25">
      <c r="A1442" s="44"/>
      <c r="B1442" s="44"/>
    </row>
    <row r="1443" spans="1:2" x14ac:dyDescent="0.25">
      <c r="A1443" s="44"/>
      <c r="B1443" s="44"/>
    </row>
    <row r="1444" spans="1:2" x14ac:dyDescent="0.25">
      <c r="A1444" s="44"/>
      <c r="B1444" s="44"/>
    </row>
    <row r="1445" spans="1:2" x14ac:dyDescent="0.25">
      <c r="A1445" s="44"/>
      <c r="B1445" s="44"/>
    </row>
    <row r="1446" spans="1:2" x14ac:dyDescent="0.25">
      <c r="A1446" s="44"/>
      <c r="B1446" s="44"/>
    </row>
    <row r="1447" spans="1:2" x14ac:dyDescent="0.25">
      <c r="A1447" s="44"/>
      <c r="B1447" s="44"/>
    </row>
    <row r="1448" spans="1:2" x14ac:dyDescent="0.25">
      <c r="A1448" s="44"/>
      <c r="B1448" s="44"/>
    </row>
    <row r="1449" spans="1:2" x14ac:dyDescent="0.25">
      <c r="A1449" s="44"/>
      <c r="B1449" s="44"/>
    </row>
    <row r="1450" spans="1:2" x14ac:dyDescent="0.25">
      <c r="A1450" s="44"/>
      <c r="B1450" s="44"/>
    </row>
    <row r="1451" spans="1:2" x14ac:dyDescent="0.25">
      <c r="A1451" s="44"/>
      <c r="B1451" s="44"/>
    </row>
    <row r="1452" spans="1:2" x14ac:dyDescent="0.25">
      <c r="A1452" s="44"/>
      <c r="B1452" s="44"/>
    </row>
    <row r="1453" spans="1:2" x14ac:dyDescent="0.25">
      <c r="A1453" s="44"/>
      <c r="B1453" s="44"/>
    </row>
    <row r="1454" spans="1:2" x14ac:dyDescent="0.25">
      <c r="A1454" s="44"/>
      <c r="B1454" s="44"/>
    </row>
    <row r="1455" spans="1:2" x14ac:dyDescent="0.25">
      <c r="A1455" s="44"/>
      <c r="B1455" s="44"/>
    </row>
    <row r="1456" spans="1:2" x14ac:dyDescent="0.25">
      <c r="A1456" s="44"/>
      <c r="B1456" s="44"/>
    </row>
    <row r="1457" spans="1:2" x14ac:dyDescent="0.25">
      <c r="A1457" s="44"/>
      <c r="B1457" s="44"/>
    </row>
    <row r="1458" spans="1:2" x14ac:dyDescent="0.25">
      <c r="A1458" s="44"/>
      <c r="B1458" s="44"/>
    </row>
    <row r="1459" spans="1:2" x14ac:dyDescent="0.25">
      <c r="A1459" s="44"/>
      <c r="B1459" s="44"/>
    </row>
    <row r="1460" spans="1:2" x14ac:dyDescent="0.25">
      <c r="A1460" s="44"/>
      <c r="B1460" s="44"/>
    </row>
    <row r="1461" spans="1:2" x14ac:dyDescent="0.25">
      <c r="A1461" s="44"/>
      <c r="B1461" s="44"/>
    </row>
    <row r="1462" spans="1:2" x14ac:dyDescent="0.25">
      <c r="A1462" s="44"/>
      <c r="B1462" s="44"/>
    </row>
    <row r="1463" spans="1:2" x14ac:dyDescent="0.25">
      <c r="A1463" s="44"/>
      <c r="B1463" s="44"/>
    </row>
    <row r="1464" spans="1:2" x14ac:dyDescent="0.25">
      <c r="A1464" s="44"/>
      <c r="B1464" s="44"/>
    </row>
    <row r="1465" spans="1:2" x14ac:dyDescent="0.25">
      <c r="A1465" s="44"/>
      <c r="B1465" s="44"/>
    </row>
    <row r="1466" spans="1:2" x14ac:dyDescent="0.25">
      <c r="A1466" s="44"/>
      <c r="B1466" s="44"/>
    </row>
    <row r="1467" spans="1:2" x14ac:dyDescent="0.25">
      <c r="A1467" s="44"/>
      <c r="B1467" s="44"/>
    </row>
    <row r="1468" spans="1:2" x14ac:dyDescent="0.25">
      <c r="A1468" s="44"/>
      <c r="B1468" s="44"/>
    </row>
    <row r="1469" spans="1:2" x14ac:dyDescent="0.25">
      <c r="A1469" s="44"/>
      <c r="B1469" s="44"/>
    </row>
    <row r="1470" spans="1:2" x14ac:dyDescent="0.25">
      <c r="A1470" s="44"/>
      <c r="B1470" s="44"/>
    </row>
    <row r="1471" spans="1:2" x14ac:dyDescent="0.25">
      <c r="A1471" s="44"/>
      <c r="B1471" s="44"/>
    </row>
    <row r="1472" spans="1:2" x14ac:dyDescent="0.25">
      <c r="A1472" s="44"/>
      <c r="B1472" s="44"/>
    </row>
    <row r="1473" spans="1:2" x14ac:dyDescent="0.25">
      <c r="A1473" s="44"/>
      <c r="B1473" s="44"/>
    </row>
    <row r="1474" spans="1:2" x14ac:dyDescent="0.25">
      <c r="A1474" s="44"/>
      <c r="B1474" s="44"/>
    </row>
    <row r="1475" spans="1:2" x14ac:dyDescent="0.25">
      <c r="A1475" s="44"/>
      <c r="B1475" s="44"/>
    </row>
    <row r="1476" spans="1:2" x14ac:dyDescent="0.25">
      <c r="A1476" s="44"/>
      <c r="B1476" s="44"/>
    </row>
    <row r="1477" spans="1:2" x14ac:dyDescent="0.25">
      <c r="A1477" s="44"/>
      <c r="B1477" s="44"/>
    </row>
    <row r="1478" spans="1:2" x14ac:dyDescent="0.25">
      <c r="A1478" s="44"/>
      <c r="B1478" s="44"/>
    </row>
    <row r="1479" spans="1:2" x14ac:dyDescent="0.25">
      <c r="A1479" s="44"/>
      <c r="B1479" s="44"/>
    </row>
    <row r="1480" spans="1:2" x14ac:dyDescent="0.25">
      <c r="A1480" s="44"/>
      <c r="B1480" s="44"/>
    </row>
    <row r="1481" spans="1:2" x14ac:dyDescent="0.25">
      <c r="A1481" s="44"/>
      <c r="B1481" s="44"/>
    </row>
    <row r="1482" spans="1:2" x14ac:dyDescent="0.25">
      <c r="A1482" s="44"/>
      <c r="B1482" s="44"/>
    </row>
    <row r="1483" spans="1:2" x14ac:dyDescent="0.25">
      <c r="A1483" s="44"/>
      <c r="B1483" s="44"/>
    </row>
    <row r="1484" spans="1:2" x14ac:dyDescent="0.25">
      <c r="A1484" s="44"/>
      <c r="B1484" s="44"/>
    </row>
    <row r="1485" spans="1:2" x14ac:dyDescent="0.25">
      <c r="A1485" s="44"/>
      <c r="B1485" s="44"/>
    </row>
    <row r="1486" spans="1:2" x14ac:dyDescent="0.25">
      <c r="A1486" s="44"/>
      <c r="B1486" s="44"/>
    </row>
    <row r="1487" spans="1:2" x14ac:dyDescent="0.25">
      <c r="A1487" s="44"/>
      <c r="B1487" s="44"/>
    </row>
    <row r="1488" spans="1:2" x14ac:dyDescent="0.25">
      <c r="A1488" s="44"/>
      <c r="B1488" s="44"/>
    </row>
    <row r="1489" spans="1:2" x14ac:dyDescent="0.25">
      <c r="A1489" s="44"/>
      <c r="B1489" s="44"/>
    </row>
    <row r="1490" spans="1:2" x14ac:dyDescent="0.25">
      <c r="A1490" s="44"/>
      <c r="B1490" s="44"/>
    </row>
    <row r="1491" spans="1:2" x14ac:dyDescent="0.25">
      <c r="A1491" s="44"/>
      <c r="B1491" s="44"/>
    </row>
    <row r="1492" spans="1:2" x14ac:dyDescent="0.25">
      <c r="A1492" s="44"/>
      <c r="B1492" s="44"/>
    </row>
    <row r="1493" spans="1:2" x14ac:dyDescent="0.25">
      <c r="A1493" s="44"/>
      <c r="B1493" s="44"/>
    </row>
    <row r="1494" spans="1:2" x14ac:dyDescent="0.25">
      <c r="A1494" s="44"/>
      <c r="B1494" s="44"/>
    </row>
    <row r="1495" spans="1:2" x14ac:dyDescent="0.25">
      <c r="A1495" s="44"/>
      <c r="B1495" s="44"/>
    </row>
    <row r="1496" spans="1:2" x14ac:dyDescent="0.25">
      <c r="A1496" s="44"/>
      <c r="B1496" s="44"/>
    </row>
    <row r="1497" spans="1:2" x14ac:dyDescent="0.25">
      <c r="A1497" s="44"/>
      <c r="B1497" s="44"/>
    </row>
    <row r="1498" spans="1:2" x14ac:dyDescent="0.25">
      <c r="A1498" s="44"/>
      <c r="B1498" s="44"/>
    </row>
    <row r="1499" spans="1:2" x14ac:dyDescent="0.25">
      <c r="A1499" s="44"/>
      <c r="B1499" s="44"/>
    </row>
    <row r="1500" spans="1:2" x14ac:dyDescent="0.25">
      <c r="A1500" s="44"/>
      <c r="B1500" s="44"/>
    </row>
    <row r="1501" spans="1:2" x14ac:dyDescent="0.25">
      <c r="A1501" s="44"/>
      <c r="B1501" s="44"/>
    </row>
    <row r="1502" spans="1:2" x14ac:dyDescent="0.25">
      <c r="A1502" s="44"/>
      <c r="B1502" s="44"/>
    </row>
    <row r="1503" spans="1:2" x14ac:dyDescent="0.25">
      <c r="A1503" s="44"/>
      <c r="B1503" s="44"/>
    </row>
    <row r="1504" spans="1:2" x14ac:dyDescent="0.25">
      <c r="A1504" s="44"/>
      <c r="B1504" s="44"/>
    </row>
    <row r="1505" spans="1:2" x14ac:dyDescent="0.25">
      <c r="A1505" s="44"/>
      <c r="B1505" s="44"/>
    </row>
    <row r="1506" spans="1:2" x14ac:dyDescent="0.25">
      <c r="A1506" s="44"/>
      <c r="B1506" s="44"/>
    </row>
    <row r="1507" spans="1:2" x14ac:dyDescent="0.25">
      <c r="A1507" s="44"/>
      <c r="B1507" s="44"/>
    </row>
    <row r="1508" spans="1:2" x14ac:dyDescent="0.25">
      <c r="A1508" s="44"/>
      <c r="B1508" s="44"/>
    </row>
    <row r="1509" spans="1:2" x14ac:dyDescent="0.25">
      <c r="A1509" s="44"/>
      <c r="B1509" s="44"/>
    </row>
    <row r="1510" spans="1:2" x14ac:dyDescent="0.25">
      <c r="A1510" s="44"/>
      <c r="B1510" s="44"/>
    </row>
    <row r="1511" spans="1:2" x14ac:dyDescent="0.25">
      <c r="A1511" s="44"/>
      <c r="B1511" s="44"/>
    </row>
    <row r="1512" spans="1:2" x14ac:dyDescent="0.25">
      <c r="A1512" s="44"/>
      <c r="B1512" s="44"/>
    </row>
    <row r="1513" spans="1:2" x14ac:dyDescent="0.25">
      <c r="A1513" s="44"/>
      <c r="B1513" s="44"/>
    </row>
    <row r="1514" spans="1:2" x14ac:dyDescent="0.25">
      <c r="A1514" s="44"/>
      <c r="B1514" s="44"/>
    </row>
    <row r="1515" spans="1:2" x14ac:dyDescent="0.25">
      <c r="A1515" s="44"/>
      <c r="B1515" s="44"/>
    </row>
    <row r="1516" spans="1:2" x14ac:dyDescent="0.25">
      <c r="A1516" s="44"/>
      <c r="B1516" s="44"/>
    </row>
    <row r="1517" spans="1:2" x14ac:dyDescent="0.25">
      <c r="A1517" s="44"/>
      <c r="B1517" s="44"/>
    </row>
    <row r="1518" spans="1:2" x14ac:dyDescent="0.25">
      <c r="A1518" s="44"/>
      <c r="B1518" s="44"/>
    </row>
    <row r="1519" spans="1:2" x14ac:dyDescent="0.25">
      <c r="A1519" s="44"/>
      <c r="B1519" s="44"/>
    </row>
    <row r="1520" spans="1:2" x14ac:dyDescent="0.25">
      <c r="A1520" s="44"/>
      <c r="B1520" s="44"/>
    </row>
    <row r="1521" spans="1:2" x14ac:dyDescent="0.25">
      <c r="A1521" s="44"/>
      <c r="B1521" s="44"/>
    </row>
    <row r="1522" spans="1:2" x14ac:dyDescent="0.25">
      <c r="A1522" s="44"/>
      <c r="B1522" s="44"/>
    </row>
    <row r="1523" spans="1:2" x14ac:dyDescent="0.25">
      <c r="A1523" s="44"/>
      <c r="B1523" s="44"/>
    </row>
    <row r="1524" spans="1:2" x14ac:dyDescent="0.25">
      <c r="A1524" s="44"/>
      <c r="B1524" s="44"/>
    </row>
    <row r="1525" spans="1:2" x14ac:dyDescent="0.25">
      <c r="A1525" s="44"/>
      <c r="B1525" s="44"/>
    </row>
    <row r="1526" spans="1:2" x14ac:dyDescent="0.25">
      <c r="A1526" s="44"/>
      <c r="B1526" s="44"/>
    </row>
    <row r="1527" spans="1:2" x14ac:dyDescent="0.25">
      <c r="A1527" s="44"/>
      <c r="B1527" s="44"/>
    </row>
    <row r="1528" spans="1:2" x14ac:dyDescent="0.25">
      <c r="A1528" s="44"/>
      <c r="B1528" s="44"/>
    </row>
    <row r="1529" spans="1:2" x14ac:dyDescent="0.25">
      <c r="A1529" s="44"/>
      <c r="B1529" s="44"/>
    </row>
    <row r="1530" spans="1:2" x14ac:dyDescent="0.25">
      <c r="A1530" s="44"/>
      <c r="B1530" s="44"/>
    </row>
    <row r="1531" spans="1:2" x14ac:dyDescent="0.25">
      <c r="A1531" s="44"/>
      <c r="B1531" s="44"/>
    </row>
    <row r="1532" spans="1:2" x14ac:dyDescent="0.25">
      <c r="A1532" s="44"/>
      <c r="B1532" s="44"/>
    </row>
    <row r="1533" spans="1:2" x14ac:dyDescent="0.25">
      <c r="A1533" s="44"/>
      <c r="B1533" s="44"/>
    </row>
    <row r="1534" spans="1:2" x14ac:dyDescent="0.25">
      <c r="A1534" s="44"/>
      <c r="B1534" s="44"/>
    </row>
    <row r="1535" spans="1:2" x14ac:dyDescent="0.25">
      <c r="A1535" s="44"/>
      <c r="B1535" s="44"/>
    </row>
    <row r="1536" spans="1:2" x14ac:dyDescent="0.25">
      <c r="A1536" s="44"/>
      <c r="B1536" s="44"/>
    </row>
    <row r="1537" spans="1:2" x14ac:dyDescent="0.25">
      <c r="A1537" s="44"/>
      <c r="B1537" s="44"/>
    </row>
    <row r="1538" spans="1:2" x14ac:dyDescent="0.25">
      <c r="A1538" s="44"/>
      <c r="B1538" s="44"/>
    </row>
    <row r="1539" spans="1:2" x14ac:dyDescent="0.25">
      <c r="A1539" s="44"/>
      <c r="B1539" s="44"/>
    </row>
    <row r="1540" spans="1:2" x14ac:dyDescent="0.25">
      <c r="A1540" s="44"/>
      <c r="B1540" s="44"/>
    </row>
    <row r="1541" spans="1:2" x14ac:dyDescent="0.25">
      <c r="A1541" s="44"/>
      <c r="B1541" s="44"/>
    </row>
    <row r="1542" spans="1:2" x14ac:dyDescent="0.25">
      <c r="A1542" s="44"/>
      <c r="B1542" s="44"/>
    </row>
    <row r="1543" spans="1:2" x14ac:dyDescent="0.25">
      <c r="A1543" s="44"/>
      <c r="B1543" s="44"/>
    </row>
    <row r="1544" spans="1:2" x14ac:dyDescent="0.25">
      <c r="A1544" s="44"/>
      <c r="B1544" s="44"/>
    </row>
    <row r="1545" spans="1:2" x14ac:dyDescent="0.25">
      <c r="A1545" s="44"/>
      <c r="B1545" s="44"/>
    </row>
    <row r="1546" spans="1:2" x14ac:dyDescent="0.25">
      <c r="A1546" s="44"/>
      <c r="B1546" s="44"/>
    </row>
    <row r="1547" spans="1:2" x14ac:dyDescent="0.25">
      <c r="A1547" s="44"/>
      <c r="B1547" s="44"/>
    </row>
    <row r="1548" spans="1:2" x14ac:dyDescent="0.25">
      <c r="A1548" s="44"/>
      <c r="B1548" s="44"/>
    </row>
    <row r="1549" spans="1:2" x14ac:dyDescent="0.25">
      <c r="A1549" s="44"/>
      <c r="B1549" s="44"/>
    </row>
    <row r="1550" spans="1:2" x14ac:dyDescent="0.25">
      <c r="A1550" s="44"/>
      <c r="B1550" s="44"/>
    </row>
    <row r="1551" spans="1:2" x14ac:dyDescent="0.25">
      <c r="A1551" s="44"/>
      <c r="B1551" s="44"/>
    </row>
    <row r="1552" spans="1:2" x14ac:dyDescent="0.25">
      <c r="A1552" s="44"/>
      <c r="B1552" s="44"/>
    </row>
    <row r="1553" spans="1:2" x14ac:dyDescent="0.25">
      <c r="A1553" s="44"/>
      <c r="B1553" s="44"/>
    </row>
    <row r="1554" spans="1:2" x14ac:dyDescent="0.25">
      <c r="A1554" s="44"/>
      <c r="B1554" s="44"/>
    </row>
    <row r="1555" spans="1:2" x14ac:dyDescent="0.25">
      <c r="A1555" s="44"/>
      <c r="B1555" s="44"/>
    </row>
    <row r="1556" spans="1:2" x14ac:dyDescent="0.25">
      <c r="A1556" s="44"/>
      <c r="B1556" s="44"/>
    </row>
    <row r="1557" spans="1:2" x14ac:dyDescent="0.25">
      <c r="A1557" s="44"/>
      <c r="B1557" s="44"/>
    </row>
    <row r="1558" spans="1:2" x14ac:dyDescent="0.25">
      <c r="A1558" s="44"/>
      <c r="B1558" s="44"/>
    </row>
    <row r="1559" spans="1:2" x14ac:dyDescent="0.25">
      <c r="A1559" s="44"/>
      <c r="B1559" s="44"/>
    </row>
    <row r="1560" spans="1:2" x14ac:dyDescent="0.25">
      <c r="A1560" s="44"/>
      <c r="B1560" s="44"/>
    </row>
    <row r="1561" spans="1:2" x14ac:dyDescent="0.25">
      <c r="A1561" s="44"/>
      <c r="B1561" s="44"/>
    </row>
    <row r="1562" spans="1:2" x14ac:dyDescent="0.25">
      <c r="A1562" s="44"/>
      <c r="B1562" s="44"/>
    </row>
    <row r="1563" spans="1:2" x14ac:dyDescent="0.25">
      <c r="A1563" s="44"/>
      <c r="B1563" s="44"/>
    </row>
    <row r="1564" spans="1:2" x14ac:dyDescent="0.25">
      <c r="A1564" s="44"/>
      <c r="B1564" s="44"/>
    </row>
    <row r="1565" spans="1:2" x14ac:dyDescent="0.25">
      <c r="A1565" s="44"/>
      <c r="B1565" s="44"/>
    </row>
    <row r="1566" spans="1:2" x14ac:dyDescent="0.25">
      <c r="A1566" s="44"/>
      <c r="B1566" s="44"/>
    </row>
    <row r="1567" spans="1:2" x14ac:dyDescent="0.25">
      <c r="A1567" s="44"/>
      <c r="B1567" s="44"/>
    </row>
    <row r="1568" spans="1:2" x14ac:dyDescent="0.25">
      <c r="A1568" s="44"/>
      <c r="B1568" s="44"/>
    </row>
    <row r="1569" spans="1:2" x14ac:dyDescent="0.25">
      <c r="A1569" s="44"/>
      <c r="B1569" s="44"/>
    </row>
    <row r="1570" spans="1:2" x14ac:dyDescent="0.25">
      <c r="A1570" s="44"/>
      <c r="B1570" s="44"/>
    </row>
    <row r="1571" spans="1:2" x14ac:dyDescent="0.25">
      <c r="A1571" s="44"/>
      <c r="B1571" s="44"/>
    </row>
    <row r="1572" spans="1:2" x14ac:dyDescent="0.25">
      <c r="A1572" s="44"/>
      <c r="B1572" s="44"/>
    </row>
    <row r="1573" spans="1:2" x14ac:dyDescent="0.25">
      <c r="A1573" s="44"/>
      <c r="B1573" s="44"/>
    </row>
    <row r="1574" spans="1:2" x14ac:dyDescent="0.25">
      <c r="A1574" s="44"/>
      <c r="B1574" s="44"/>
    </row>
    <row r="1575" spans="1:2" x14ac:dyDescent="0.25">
      <c r="A1575" s="44"/>
      <c r="B1575" s="44"/>
    </row>
    <row r="1576" spans="1:2" x14ac:dyDescent="0.25">
      <c r="A1576" s="44"/>
      <c r="B1576" s="44"/>
    </row>
    <row r="1577" spans="1:2" x14ac:dyDescent="0.25">
      <c r="A1577" s="44"/>
      <c r="B1577" s="44"/>
    </row>
    <row r="1578" spans="1:2" x14ac:dyDescent="0.25">
      <c r="A1578" s="44"/>
      <c r="B1578" s="44"/>
    </row>
    <row r="1579" spans="1:2" x14ac:dyDescent="0.25">
      <c r="A1579" s="44"/>
      <c r="B1579" s="44"/>
    </row>
    <row r="1580" spans="1:2" x14ac:dyDescent="0.25">
      <c r="A1580" s="44"/>
      <c r="B1580" s="44"/>
    </row>
    <row r="1581" spans="1:2" x14ac:dyDescent="0.25">
      <c r="A1581" s="44"/>
      <c r="B1581" s="44"/>
    </row>
    <row r="1582" spans="1:2" x14ac:dyDescent="0.25">
      <c r="A1582" s="44"/>
      <c r="B1582" s="44"/>
    </row>
    <row r="1583" spans="1:2" x14ac:dyDescent="0.25">
      <c r="A1583" s="44"/>
      <c r="B1583" s="44"/>
    </row>
    <row r="1584" spans="1:2" x14ac:dyDescent="0.25">
      <c r="A1584" s="44"/>
      <c r="B1584" s="44"/>
    </row>
    <row r="1585" spans="1:2" x14ac:dyDescent="0.25">
      <c r="A1585" s="44"/>
      <c r="B1585" s="44"/>
    </row>
    <row r="1586" spans="1:2" x14ac:dyDescent="0.25">
      <c r="A1586" s="44"/>
      <c r="B1586" s="44"/>
    </row>
    <row r="1587" spans="1:2" x14ac:dyDescent="0.25">
      <c r="A1587" s="44"/>
      <c r="B1587" s="44"/>
    </row>
    <row r="1588" spans="1:2" x14ac:dyDescent="0.25">
      <c r="A1588" s="44"/>
      <c r="B1588" s="44"/>
    </row>
    <row r="1589" spans="1:2" x14ac:dyDescent="0.25">
      <c r="A1589" s="44"/>
      <c r="B1589" s="44"/>
    </row>
    <row r="1590" spans="1:2" x14ac:dyDescent="0.25">
      <c r="A1590" s="44"/>
      <c r="B1590" s="44"/>
    </row>
    <row r="1591" spans="1:2" x14ac:dyDescent="0.25">
      <c r="A1591" s="44"/>
      <c r="B1591" s="44"/>
    </row>
    <row r="1592" spans="1:2" x14ac:dyDescent="0.25">
      <c r="A1592" s="44"/>
      <c r="B1592" s="44"/>
    </row>
    <row r="1593" spans="1:2" x14ac:dyDescent="0.25">
      <c r="A1593" s="44"/>
      <c r="B1593" s="44"/>
    </row>
    <row r="1594" spans="1:2" x14ac:dyDescent="0.25">
      <c r="A1594" s="44"/>
      <c r="B1594" s="44"/>
    </row>
    <row r="1595" spans="1:2" x14ac:dyDescent="0.25">
      <c r="A1595" s="44"/>
      <c r="B1595" s="44"/>
    </row>
    <row r="1596" spans="1:2" x14ac:dyDescent="0.25">
      <c r="A1596" s="44"/>
      <c r="B1596" s="44"/>
    </row>
    <row r="1597" spans="1:2" x14ac:dyDescent="0.25">
      <c r="A1597" s="44"/>
      <c r="B1597" s="44"/>
    </row>
    <row r="1598" spans="1:2" x14ac:dyDescent="0.25">
      <c r="A1598" s="44"/>
      <c r="B1598" s="44"/>
    </row>
    <row r="1599" spans="1:2" x14ac:dyDescent="0.25">
      <c r="A1599" s="44"/>
      <c r="B1599" s="44"/>
    </row>
    <row r="1600" spans="1:2" x14ac:dyDescent="0.25">
      <c r="A1600" s="44"/>
      <c r="B1600" s="44"/>
    </row>
    <row r="1601" spans="1:2" x14ac:dyDescent="0.25">
      <c r="A1601" s="44"/>
      <c r="B1601" s="44"/>
    </row>
    <row r="1602" spans="1:2" x14ac:dyDescent="0.25">
      <c r="A1602" s="44"/>
      <c r="B1602" s="44"/>
    </row>
    <row r="1603" spans="1:2" x14ac:dyDescent="0.25">
      <c r="A1603" s="44"/>
      <c r="B1603" s="44"/>
    </row>
    <row r="1604" spans="1:2" x14ac:dyDescent="0.25">
      <c r="A1604" s="44"/>
      <c r="B1604" s="44"/>
    </row>
    <row r="1605" spans="1:2" x14ac:dyDescent="0.25">
      <c r="A1605" s="44"/>
      <c r="B1605" s="44"/>
    </row>
    <row r="1606" spans="1:2" x14ac:dyDescent="0.25">
      <c r="A1606" s="44"/>
      <c r="B1606" s="44"/>
    </row>
    <row r="1607" spans="1:2" x14ac:dyDescent="0.25">
      <c r="A1607" s="44"/>
      <c r="B1607" s="44"/>
    </row>
    <row r="1608" spans="1:2" x14ac:dyDescent="0.25">
      <c r="A1608" s="44"/>
      <c r="B1608" s="44"/>
    </row>
    <row r="1609" spans="1:2" x14ac:dyDescent="0.25">
      <c r="A1609" s="44"/>
      <c r="B1609" s="44"/>
    </row>
    <row r="1610" spans="1:2" x14ac:dyDescent="0.25">
      <c r="A1610" s="44"/>
      <c r="B1610" s="44"/>
    </row>
    <row r="1611" spans="1:2" x14ac:dyDescent="0.25">
      <c r="A1611" s="44"/>
      <c r="B1611" s="44"/>
    </row>
    <row r="1612" spans="1:2" x14ac:dyDescent="0.25">
      <c r="A1612" s="44"/>
      <c r="B1612" s="44"/>
    </row>
    <row r="1613" spans="1:2" x14ac:dyDescent="0.25">
      <c r="A1613" s="44"/>
      <c r="B1613" s="44"/>
    </row>
    <row r="1614" spans="1:2" x14ac:dyDescent="0.25">
      <c r="A1614" s="44"/>
      <c r="B1614" s="44"/>
    </row>
    <row r="1615" spans="1:2" x14ac:dyDescent="0.25">
      <c r="A1615" s="44"/>
      <c r="B1615" s="44"/>
    </row>
    <row r="1616" spans="1:2" x14ac:dyDescent="0.25">
      <c r="A1616" s="44"/>
      <c r="B1616" s="44"/>
    </row>
    <row r="1617" spans="1:2" x14ac:dyDescent="0.25">
      <c r="A1617" s="44"/>
      <c r="B1617" s="44"/>
    </row>
    <row r="1618" spans="1:2" x14ac:dyDescent="0.25">
      <c r="A1618" s="44"/>
      <c r="B1618" s="44"/>
    </row>
    <row r="1619" spans="1:2" x14ac:dyDescent="0.25">
      <c r="A1619" s="44"/>
      <c r="B1619" s="44"/>
    </row>
    <row r="1620" spans="1:2" x14ac:dyDescent="0.25">
      <c r="A1620" s="44"/>
      <c r="B1620" s="44"/>
    </row>
    <row r="1621" spans="1:2" x14ac:dyDescent="0.25">
      <c r="A1621" s="44"/>
      <c r="B1621" s="44"/>
    </row>
    <row r="1622" spans="1:2" x14ac:dyDescent="0.25">
      <c r="A1622" s="44"/>
      <c r="B1622" s="44"/>
    </row>
    <row r="1623" spans="1:2" x14ac:dyDescent="0.25">
      <c r="A1623" s="44"/>
      <c r="B1623" s="44"/>
    </row>
    <row r="1624" spans="1:2" x14ac:dyDescent="0.25">
      <c r="A1624" s="44"/>
      <c r="B1624" s="44"/>
    </row>
    <row r="1625" spans="1:2" x14ac:dyDescent="0.25">
      <c r="A1625" s="44"/>
      <c r="B1625" s="44"/>
    </row>
    <row r="1626" spans="1:2" x14ac:dyDescent="0.25">
      <c r="A1626" s="44"/>
      <c r="B1626" s="44"/>
    </row>
    <row r="1627" spans="1:2" x14ac:dyDescent="0.25">
      <c r="A1627" s="44"/>
      <c r="B1627" s="44"/>
    </row>
    <row r="1628" spans="1:2" x14ac:dyDescent="0.25">
      <c r="A1628" s="44"/>
      <c r="B1628" s="44"/>
    </row>
    <row r="1629" spans="1:2" x14ac:dyDescent="0.25">
      <c r="A1629" s="44"/>
      <c r="B1629" s="44"/>
    </row>
    <row r="1630" spans="1:2" x14ac:dyDescent="0.25">
      <c r="A1630" s="44"/>
      <c r="B1630" s="44"/>
    </row>
    <row r="1631" spans="1:2" x14ac:dyDescent="0.25">
      <c r="A1631" s="44"/>
      <c r="B1631" s="44"/>
    </row>
    <row r="1632" spans="1:2" x14ac:dyDescent="0.25">
      <c r="A1632" s="44"/>
      <c r="B1632" s="44"/>
    </row>
    <row r="1633" spans="1:2" x14ac:dyDescent="0.25">
      <c r="A1633" s="44"/>
      <c r="B1633" s="44"/>
    </row>
    <row r="1634" spans="1:2" x14ac:dyDescent="0.25">
      <c r="A1634" s="44"/>
      <c r="B1634" s="44"/>
    </row>
    <row r="1635" spans="1:2" x14ac:dyDescent="0.25">
      <c r="A1635" s="44"/>
      <c r="B1635" s="44"/>
    </row>
    <row r="1636" spans="1:2" x14ac:dyDescent="0.25">
      <c r="A1636" s="44"/>
      <c r="B1636" s="44"/>
    </row>
    <row r="1637" spans="1:2" x14ac:dyDescent="0.25">
      <c r="A1637" s="44"/>
      <c r="B1637" s="44"/>
    </row>
    <row r="1638" spans="1:2" x14ac:dyDescent="0.25">
      <c r="A1638" s="44"/>
      <c r="B1638" s="44"/>
    </row>
    <row r="1639" spans="1:2" x14ac:dyDescent="0.25">
      <c r="A1639" s="44"/>
      <c r="B1639" s="44"/>
    </row>
    <row r="1640" spans="1:2" x14ac:dyDescent="0.25">
      <c r="A1640" s="44"/>
      <c r="B1640" s="44"/>
    </row>
    <row r="1641" spans="1:2" x14ac:dyDescent="0.25">
      <c r="A1641" s="44"/>
      <c r="B1641" s="44"/>
    </row>
    <row r="1642" spans="1:2" x14ac:dyDescent="0.25">
      <c r="A1642" s="44"/>
      <c r="B1642" s="44"/>
    </row>
    <row r="1643" spans="1:2" x14ac:dyDescent="0.25">
      <c r="A1643" s="44"/>
      <c r="B1643" s="44"/>
    </row>
    <row r="1644" spans="1:2" x14ac:dyDescent="0.25">
      <c r="A1644" s="44"/>
      <c r="B1644" s="44"/>
    </row>
    <row r="1645" spans="1:2" x14ac:dyDescent="0.25">
      <c r="A1645" s="44"/>
      <c r="B1645" s="44"/>
    </row>
    <row r="1646" spans="1:2" x14ac:dyDescent="0.25">
      <c r="A1646" s="44"/>
      <c r="B1646" s="44"/>
    </row>
    <row r="1647" spans="1:2" x14ac:dyDescent="0.25">
      <c r="A1647" s="44"/>
      <c r="B1647" s="44"/>
    </row>
    <row r="1648" spans="1:2" x14ac:dyDescent="0.25">
      <c r="A1648" s="44"/>
      <c r="B1648" s="44"/>
    </row>
    <row r="1649" spans="1:2" x14ac:dyDescent="0.25">
      <c r="A1649" s="44"/>
      <c r="B1649" s="44"/>
    </row>
    <row r="1650" spans="1:2" x14ac:dyDescent="0.25">
      <c r="A1650" s="44"/>
      <c r="B1650" s="44"/>
    </row>
    <row r="1651" spans="1:2" x14ac:dyDescent="0.25">
      <c r="A1651" s="44"/>
      <c r="B1651" s="44"/>
    </row>
    <row r="1652" spans="1:2" x14ac:dyDescent="0.25">
      <c r="A1652" s="44"/>
      <c r="B1652" s="44"/>
    </row>
    <row r="1653" spans="1:2" x14ac:dyDescent="0.25">
      <c r="A1653" s="44"/>
      <c r="B1653" s="44"/>
    </row>
    <row r="1654" spans="1:2" x14ac:dyDescent="0.25">
      <c r="A1654" s="44"/>
      <c r="B1654" s="44"/>
    </row>
    <row r="1655" spans="1:2" x14ac:dyDescent="0.25">
      <c r="A1655" s="44"/>
      <c r="B1655" s="44"/>
    </row>
    <row r="1656" spans="1:2" x14ac:dyDescent="0.25">
      <c r="A1656" s="44"/>
      <c r="B1656" s="44"/>
    </row>
    <row r="1657" spans="1:2" x14ac:dyDescent="0.25">
      <c r="A1657" s="44"/>
      <c r="B1657" s="44"/>
    </row>
    <row r="1658" spans="1:2" x14ac:dyDescent="0.25">
      <c r="A1658" s="44"/>
      <c r="B1658" s="44"/>
    </row>
    <row r="1659" spans="1:2" x14ac:dyDescent="0.25">
      <c r="A1659" s="44"/>
      <c r="B1659" s="44"/>
    </row>
    <row r="1660" spans="1:2" x14ac:dyDescent="0.25">
      <c r="A1660" s="44"/>
      <c r="B1660" s="44"/>
    </row>
    <row r="1661" spans="1:2" x14ac:dyDescent="0.25">
      <c r="A1661" s="44"/>
      <c r="B1661" s="44"/>
    </row>
    <row r="1662" spans="1:2" x14ac:dyDescent="0.25">
      <c r="A1662" s="44"/>
      <c r="B1662" s="44"/>
    </row>
    <row r="1663" spans="1:2" x14ac:dyDescent="0.25">
      <c r="A1663" s="44"/>
      <c r="B1663" s="44"/>
    </row>
    <row r="1664" spans="1:2" x14ac:dyDescent="0.25">
      <c r="A1664" s="44"/>
      <c r="B1664" s="44"/>
    </row>
    <row r="1665" spans="1:2" x14ac:dyDescent="0.25">
      <c r="A1665" s="44"/>
      <c r="B1665" s="44"/>
    </row>
    <row r="1666" spans="1:2" x14ac:dyDescent="0.25">
      <c r="A1666" s="44"/>
      <c r="B1666" s="44"/>
    </row>
    <row r="1667" spans="1:2" x14ac:dyDescent="0.25">
      <c r="A1667" s="44"/>
      <c r="B1667" s="44"/>
    </row>
    <row r="1668" spans="1:2" x14ac:dyDescent="0.25">
      <c r="A1668" s="44"/>
      <c r="B1668" s="44"/>
    </row>
    <row r="1669" spans="1:2" x14ac:dyDescent="0.25">
      <c r="A1669" s="44"/>
      <c r="B1669" s="44"/>
    </row>
    <row r="1670" spans="1:2" x14ac:dyDescent="0.25">
      <c r="A1670" s="44"/>
      <c r="B1670" s="44"/>
    </row>
    <row r="1671" spans="1:2" x14ac:dyDescent="0.25">
      <c r="A1671" s="44"/>
      <c r="B1671" s="44"/>
    </row>
    <row r="1672" spans="1:2" x14ac:dyDescent="0.25">
      <c r="A1672" s="44"/>
      <c r="B1672" s="44"/>
    </row>
    <row r="1673" spans="1:2" x14ac:dyDescent="0.25">
      <c r="A1673" s="44"/>
      <c r="B1673" s="44"/>
    </row>
    <row r="1674" spans="1:2" x14ac:dyDescent="0.25">
      <c r="A1674" s="44"/>
      <c r="B1674" s="44"/>
    </row>
    <row r="1675" spans="1:2" x14ac:dyDescent="0.25">
      <c r="A1675" s="44"/>
      <c r="B1675" s="44"/>
    </row>
    <row r="1676" spans="1:2" x14ac:dyDescent="0.25">
      <c r="A1676" s="44"/>
      <c r="B1676" s="44"/>
    </row>
    <row r="1677" spans="1:2" x14ac:dyDescent="0.25">
      <c r="A1677" s="44"/>
      <c r="B1677" s="44"/>
    </row>
    <row r="1678" spans="1:2" x14ac:dyDescent="0.25">
      <c r="A1678" s="44"/>
      <c r="B1678" s="44"/>
    </row>
    <row r="1679" spans="1:2" x14ac:dyDescent="0.25">
      <c r="A1679" s="44"/>
      <c r="B1679" s="44"/>
    </row>
    <row r="1680" spans="1:2" x14ac:dyDescent="0.25">
      <c r="A1680" s="44"/>
      <c r="B1680" s="44"/>
    </row>
    <row r="1681" spans="1:2" x14ac:dyDescent="0.25">
      <c r="A1681" s="44"/>
      <c r="B1681" s="44"/>
    </row>
    <row r="1682" spans="1:2" x14ac:dyDescent="0.25">
      <c r="A1682" s="44"/>
      <c r="B1682" s="44"/>
    </row>
    <row r="1683" spans="1:2" x14ac:dyDescent="0.25">
      <c r="A1683" s="44"/>
      <c r="B1683" s="44"/>
    </row>
    <row r="1684" spans="1:2" x14ac:dyDescent="0.25">
      <c r="A1684" s="44"/>
      <c r="B1684" s="44"/>
    </row>
    <row r="1685" spans="1:2" x14ac:dyDescent="0.25">
      <c r="A1685" s="44"/>
      <c r="B1685" s="44"/>
    </row>
    <row r="1686" spans="1:2" x14ac:dyDescent="0.25">
      <c r="A1686" s="44"/>
      <c r="B1686" s="44"/>
    </row>
    <row r="1687" spans="1:2" x14ac:dyDescent="0.25">
      <c r="A1687" s="44"/>
      <c r="B1687" s="44"/>
    </row>
    <row r="1688" spans="1:2" x14ac:dyDescent="0.25">
      <c r="A1688" s="44"/>
      <c r="B1688" s="44"/>
    </row>
    <row r="1689" spans="1:2" x14ac:dyDescent="0.25">
      <c r="A1689" s="44"/>
      <c r="B1689" s="44"/>
    </row>
    <row r="1690" spans="1:2" x14ac:dyDescent="0.25">
      <c r="A1690" s="44"/>
      <c r="B1690" s="44"/>
    </row>
    <row r="1691" spans="1:2" x14ac:dyDescent="0.25">
      <c r="A1691" s="44"/>
      <c r="B1691" s="44"/>
    </row>
    <row r="1692" spans="1:2" x14ac:dyDescent="0.25">
      <c r="A1692" s="44"/>
      <c r="B1692" s="44"/>
    </row>
    <row r="1693" spans="1:2" x14ac:dyDescent="0.25">
      <c r="A1693" s="44"/>
      <c r="B1693" s="44"/>
    </row>
    <row r="1694" spans="1:2" x14ac:dyDescent="0.25">
      <c r="A1694" s="44"/>
      <c r="B1694" s="44"/>
    </row>
    <row r="1695" spans="1:2" x14ac:dyDescent="0.25">
      <c r="A1695" s="44"/>
      <c r="B1695" s="44"/>
    </row>
    <row r="1696" spans="1:2" x14ac:dyDescent="0.25">
      <c r="A1696" s="44"/>
      <c r="B1696" s="44"/>
    </row>
    <row r="1697" spans="1:2" x14ac:dyDescent="0.25">
      <c r="A1697" s="44"/>
      <c r="B1697" s="44"/>
    </row>
    <row r="1698" spans="1:2" x14ac:dyDescent="0.25">
      <c r="A1698" s="44"/>
      <c r="B1698" s="44"/>
    </row>
    <row r="1699" spans="1:2" x14ac:dyDescent="0.25">
      <c r="A1699" s="44"/>
      <c r="B1699" s="44"/>
    </row>
    <row r="1700" spans="1:2" x14ac:dyDescent="0.25">
      <c r="A1700" s="44"/>
      <c r="B1700" s="44"/>
    </row>
    <row r="1701" spans="1:2" x14ac:dyDescent="0.25">
      <c r="A1701" s="44"/>
      <c r="B1701" s="44"/>
    </row>
    <row r="1702" spans="1:2" x14ac:dyDescent="0.25">
      <c r="A1702" s="44"/>
      <c r="B1702" s="44"/>
    </row>
    <row r="1703" spans="1:2" x14ac:dyDescent="0.25">
      <c r="A1703" s="44"/>
      <c r="B1703" s="44"/>
    </row>
    <row r="1704" spans="1:2" x14ac:dyDescent="0.25">
      <c r="A1704" s="44"/>
      <c r="B1704" s="44"/>
    </row>
    <row r="1705" spans="1:2" x14ac:dyDescent="0.25">
      <c r="A1705" s="44"/>
      <c r="B1705" s="44"/>
    </row>
    <row r="1706" spans="1:2" x14ac:dyDescent="0.25">
      <c r="A1706" s="44"/>
      <c r="B1706" s="44"/>
    </row>
    <row r="1707" spans="1:2" x14ac:dyDescent="0.25">
      <c r="A1707" s="44"/>
      <c r="B1707" s="44"/>
    </row>
    <row r="1708" spans="1:2" x14ac:dyDescent="0.25">
      <c r="A1708" s="44"/>
      <c r="B1708" s="44"/>
    </row>
    <row r="1709" spans="1:2" x14ac:dyDescent="0.25">
      <c r="A1709" s="44"/>
      <c r="B1709" s="44"/>
    </row>
    <row r="1710" spans="1:2" x14ac:dyDescent="0.25">
      <c r="A1710" s="44"/>
      <c r="B1710" s="44"/>
    </row>
    <row r="1711" spans="1:2" x14ac:dyDescent="0.25">
      <c r="A1711" s="44"/>
      <c r="B1711" s="44"/>
    </row>
    <row r="1712" spans="1:2" x14ac:dyDescent="0.25">
      <c r="A1712" s="44"/>
      <c r="B1712" s="44"/>
    </row>
    <row r="1713" spans="1:2" x14ac:dyDescent="0.25">
      <c r="A1713" s="44"/>
      <c r="B1713" s="44"/>
    </row>
    <row r="1714" spans="1:2" x14ac:dyDescent="0.25">
      <c r="A1714" s="44"/>
      <c r="B1714" s="44"/>
    </row>
    <row r="1715" spans="1:2" x14ac:dyDescent="0.25">
      <c r="A1715" s="44"/>
      <c r="B1715" s="44"/>
    </row>
    <row r="1716" spans="1:2" x14ac:dyDescent="0.25">
      <c r="A1716" s="44"/>
      <c r="B1716" s="44"/>
    </row>
    <row r="1717" spans="1:2" x14ac:dyDescent="0.25">
      <c r="A1717" s="44"/>
      <c r="B1717" s="44"/>
    </row>
    <row r="1718" spans="1:2" x14ac:dyDescent="0.25">
      <c r="A1718" s="44"/>
      <c r="B1718" s="44"/>
    </row>
    <row r="1719" spans="1:2" x14ac:dyDescent="0.25">
      <c r="A1719" s="44"/>
      <c r="B1719" s="44"/>
    </row>
    <row r="1720" spans="1:2" x14ac:dyDescent="0.25">
      <c r="A1720" s="44"/>
      <c r="B1720" s="44"/>
    </row>
    <row r="1721" spans="1:2" x14ac:dyDescent="0.25">
      <c r="A1721" s="44"/>
      <c r="B1721" s="44"/>
    </row>
    <row r="1722" spans="1:2" x14ac:dyDescent="0.25">
      <c r="A1722" s="44"/>
      <c r="B1722" s="44"/>
    </row>
    <row r="1723" spans="1:2" x14ac:dyDescent="0.25">
      <c r="A1723" s="44"/>
      <c r="B1723" s="44"/>
    </row>
    <row r="1724" spans="1:2" x14ac:dyDescent="0.25">
      <c r="A1724" s="44"/>
      <c r="B1724" s="44"/>
    </row>
    <row r="1725" spans="1:2" x14ac:dyDescent="0.25">
      <c r="A1725" s="44"/>
      <c r="B1725" s="44"/>
    </row>
    <row r="1726" spans="1:2" x14ac:dyDescent="0.25">
      <c r="A1726" s="44"/>
      <c r="B1726" s="44"/>
    </row>
    <row r="1727" spans="1:2" x14ac:dyDescent="0.25">
      <c r="A1727" s="44"/>
      <c r="B1727" s="44"/>
    </row>
    <row r="1728" spans="1:2" x14ac:dyDescent="0.25">
      <c r="A1728" s="44"/>
      <c r="B1728" s="44"/>
    </row>
    <row r="1729" spans="1:2" x14ac:dyDescent="0.25">
      <c r="A1729" s="44"/>
      <c r="B1729" s="44"/>
    </row>
    <row r="1730" spans="1:2" x14ac:dyDescent="0.25">
      <c r="A1730" s="44"/>
      <c r="B1730" s="44"/>
    </row>
    <row r="1731" spans="1:2" x14ac:dyDescent="0.25">
      <c r="A1731" s="44"/>
      <c r="B1731" s="44"/>
    </row>
    <row r="1732" spans="1:2" x14ac:dyDescent="0.25">
      <c r="A1732" s="44"/>
      <c r="B1732" s="44"/>
    </row>
    <row r="1733" spans="1:2" x14ac:dyDescent="0.25">
      <c r="A1733" s="44"/>
      <c r="B1733" s="44"/>
    </row>
    <row r="1734" spans="1:2" x14ac:dyDescent="0.25">
      <c r="A1734" s="44"/>
      <c r="B1734" s="44"/>
    </row>
    <row r="1735" spans="1:2" x14ac:dyDescent="0.25">
      <c r="A1735" s="44"/>
      <c r="B1735" s="44"/>
    </row>
    <row r="1736" spans="1:2" x14ac:dyDescent="0.25">
      <c r="A1736" s="44"/>
      <c r="B1736" s="44"/>
    </row>
    <row r="1737" spans="1:2" x14ac:dyDescent="0.25">
      <c r="A1737" s="44"/>
      <c r="B1737" s="44"/>
    </row>
    <row r="1738" spans="1:2" x14ac:dyDescent="0.25">
      <c r="A1738" s="44"/>
      <c r="B1738" s="44"/>
    </row>
    <row r="1739" spans="1:2" x14ac:dyDescent="0.25">
      <c r="A1739" s="44"/>
      <c r="B1739" s="44"/>
    </row>
    <row r="1740" spans="1:2" x14ac:dyDescent="0.25">
      <c r="A1740" s="44"/>
      <c r="B1740" s="44"/>
    </row>
    <row r="1741" spans="1:2" x14ac:dyDescent="0.25">
      <c r="A1741" s="44"/>
      <c r="B1741" s="44"/>
    </row>
    <row r="1742" spans="1:2" x14ac:dyDescent="0.25">
      <c r="A1742" s="44"/>
      <c r="B1742" s="44"/>
    </row>
    <row r="1743" spans="1:2" x14ac:dyDescent="0.25">
      <c r="A1743" s="44"/>
      <c r="B1743" s="44"/>
    </row>
    <row r="1744" spans="1:2" x14ac:dyDescent="0.25">
      <c r="A1744" s="44"/>
      <c r="B1744" s="44"/>
    </row>
    <row r="1745" spans="1:2" x14ac:dyDescent="0.25">
      <c r="A1745" s="44"/>
      <c r="B1745" s="44"/>
    </row>
    <row r="1746" spans="1:2" x14ac:dyDescent="0.25">
      <c r="A1746" s="44"/>
      <c r="B1746" s="44"/>
    </row>
    <row r="1747" spans="1:2" x14ac:dyDescent="0.25">
      <c r="A1747" s="44"/>
      <c r="B1747" s="44"/>
    </row>
    <row r="1748" spans="1:2" x14ac:dyDescent="0.25">
      <c r="A1748" s="44"/>
      <c r="B1748" s="44"/>
    </row>
    <row r="1749" spans="1:2" x14ac:dyDescent="0.25">
      <c r="A1749" s="44"/>
      <c r="B1749" s="44"/>
    </row>
    <row r="1750" spans="1:2" x14ac:dyDescent="0.25">
      <c r="A1750" s="44"/>
      <c r="B1750" s="44"/>
    </row>
    <row r="1751" spans="1:2" x14ac:dyDescent="0.25">
      <c r="A1751" s="44"/>
      <c r="B1751" s="44"/>
    </row>
    <row r="1752" spans="1:2" x14ac:dyDescent="0.25">
      <c r="A1752" s="44"/>
      <c r="B1752" s="44"/>
    </row>
    <row r="1753" spans="1:2" x14ac:dyDescent="0.25">
      <c r="A1753" s="44"/>
      <c r="B1753" s="44"/>
    </row>
    <row r="1754" spans="1:2" x14ac:dyDescent="0.25">
      <c r="A1754" s="44"/>
      <c r="B1754" s="44"/>
    </row>
    <row r="1755" spans="1:2" x14ac:dyDescent="0.25">
      <c r="A1755" s="44"/>
      <c r="B1755" s="44"/>
    </row>
    <row r="1756" spans="1:2" x14ac:dyDescent="0.25">
      <c r="A1756" s="44"/>
      <c r="B1756" s="44"/>
    </row>
    <row r="1757" spans="1:2" x14ac:dyDescent="0.25">
      <c r="A1757" s="44"/>
      <c r="B1757" s="44"/>
    </row>
    <row r="1758" spans="1:2" x14ac:dyDescent="0.25">
      <c r="A1758" s="44"/>
      <c r="B1758" s="44"/>
    </row>
    <row r="1759" spans="1:2" x14ac:dyDescent="0.25">
      <c r="A1759" s="44"/>
      <c r="B1759" s="44"/>
    </row>
    <row r="1760" spans="1:2" x14ac:dyDescent="0.25">
      <c r="A1760" s="44"/>
      <c r="B1760" s="44"/>
    </row>
    <row r="1761" spans="1:2" x14ac:dyDescent="0.25">
      <c r="A1761" s="44"/>
      <c r="B1761" s="44"/>
    </row>
    <row r="1762" spans="1:2" x14ac:dyDescent="0.25">
      <c r="A1762" s="44"/>
      <c r="B1762" s="44"/>
    </row>
    <row r="1763" spans="1:2" x14ac:dyDescent="0.25">
      <c r="A1763" s="44"/>
      <c r="B1763" s="44"/>
    </row>
    <row r="1764" spans="1:2" x14ac:dyDescent="0.25">
      <c r="A1764" s="44"/>
      <c r="B1764" s="44"/>
    </row>
    <row r="1765" spans="1:2" x14ac:dyDescent="0.25">
      <c r="A1765" s="44"/>
      <c r="B1765" s="44"/>
    </row>
    <row r="1766" spans="1:2" x14ac:dyDescent="0.25">
      <c r="A1766" s="44"/>
      <c r="B1766" s="44"/>
    </row>
    <row r="1767" spans="1:2" x14ac:dyDescent="0.25">
      <c r="A1767" s="44"/>
      <c r="B1767" s="44"/>
    </row>
    <row r="1768" spans="1:2" x14ac:dyDescent="0.25">
      <c r="A1768" s="44"/>
      <c r="B1768" s="44"/>
    </row>
    <row r="1769" spans="1:2" x14ac:dyDescent="0.25">
      <c r="A1769" s="44"/>
      <c r="B1769" s="44"/>
    </row>
    <row r="1770" spans="1:2" x14ac:dyDescent="0.25">
      <c r="A1770" s="44"/>
      <c r="B1770" s="44"/>
    </row>
    <row r="1771" spans="1:2" x14ac:dyDescent="0.25">
      <c r="A1771" s="44"/>
      <c r="B1771" s="44"/>
    </row>
    <row r="1772" spans="1:2" x14ac:dyDescent="0.25">
      <c r="A1772" s="44"/>
      <c r="B1772" s="44"/>
    </row>
    <row r="1773" spans="1:2" x14ac:dyDescent="0.25">
      <c r="A1773" s="44"/>
      <c r="B1773" s="44"/>
    </row>
    <row r="1774" spans="1:2" x14ac:dyDescent="0.25">
      <c r="A1774" s="44"/>
      <c r="B1774" s="44"/>
    </row>
    <row r="1775" spans="1:2" x14ac:dyDescent="0.25">
      <c r="A1775" s="44"/>
      <c r="B1775" s="44"/>
    </row>
    <row r="1776" spans="1:2" x14ac:dyDescent="0.25">
      <c r="A1776" s="44"/>
      <c r="B1776" s="44"/>
    </row>
    <row r="1777" spans="1:2" x14ac:dyDescent="0.25">
      <c r="A1777" s="44"/>
      <c r="B1777" s="44"/>
    </row>
    <row r="1778" spans="1:2" x14ac:dyDescent="0.25">
      <c r="A1778" s="44"/>
      <c r="B1778" s="44"/>
    </row>
    <row r="1779" spans="1:2" x14ac:dyDescent="0.25">
      <c r="A1779" s="44"/>
      <c r="B1779" s="44"/>
    </row>
    <row r="1780" spans="1:2" x14ac:dyDescent="0.25">
      <c r="A1780" s="44"/>
      <c r="B1780" s="44"/>
    </row>
    <row r="1781" spans="1:2" x14ac:dyDescent="0.25">
      <c r="A1781" s="44"/>
      <c r="B1781" s="44"/>
    </row>
    <row r="1782" spans="1:2" x14ac:dyDescent="0.25">
      <c r="A1782" s="44"/>
      <c r="B1782" s="44"/>
    </row>
    <row r="1783" spans="1:2" x14ac:dyDescent="0.25">
      <c r="A1783" s="44"/>
      <c r="B1783" s="44"/>
    </row>
    <row r="1784" spans="1:2" x14ac:dyDescent="0.25">
      <c r="A1784" s="44"/>
      <c r="B1784" s="44"/>
    </row>
    <row r="1785" spans="1:2" x14ac:dyDescent="0.25">
      <c r="A1785" s="44"/>
      <c r="B1785" s="44"/>
    </row>
    <row r="1786" spans="1:2" x14ac:dyDescent="0.25">
      <c r="A1786" s="44"/>
      <c r="B1786" s="44"/>
    </row>
    <row r="1787" spans="1:2" x14ac:dyDescent="0.25">
      <c r="A1787" s="44"/>
      <c r="B1787" s="44"/>
    </row>
    <row r="1788" spans="1:2" x14ac:dyDescent="0.25">
      <c r="A1788" s="44"/>
      <c r="B1788" s="44"/>
    </row>
    <row r="1789" spans="1:2" x14ac:dyDescent="0.25">
      <c r="A1789" s="44"/>
      <c r="B1789" s="44"/>
    </row>
    <row r="1790" spans="1:2" x14ac:dyDescent="0.25">
      <c r="A1790" s="44"/>
      <c r="B1790" s="44"/>
    </row>
    <row r="1791" spans="1:2" x14ac:dyDescent="0.25">
      <c r="A1791" s="44"/>
      <c r="B1791" s="44"/>
    </row>
    <row r="1792" spans="1:2" x14ac:dyDescent="0.25">
      <c r="A1792" s="44"/>
      <c r="B1792" s="44"/>
    </row>
    <row r="1793" spans="1:2" x14ac:dyDescent="0.25">
      <c r="A1793" s="44"/>
      <c r="B1793" s="44"/>
    </row>
    <row r="1794" spans="1:2" x14ac:dyDescent="0.25">
      <c r="A1794" s="44"/>
      <c r="B1794" s="44"/>
    </row>
    <row r="1795" spans="1:2" x14ac:dyDescent="0.25">
      <c r="A1795" s="44"/>
      <c r="B1795" s="44"/>
    </row>
    <row r="1796" spans="1:2" x14ac:dyDescent="0.25">
      <c r="A1796" s="44"/>
      <c r="B1796" s="44"/>
    </row>
    <row r="1797" spans="1:2" x14ac:dyDescent="0.25">
      <c r="A1797" s="44"/>
      <c r="B1797" s="44"/>
    </row>
    <row r="1798" spans="1:2" x14ac:dyDescent="0.25">
      <c r="A1798" s="44"/>
      <c r="B1798" s="44"/>
    </row>
    <row r="1799" spans="1:2" x14ac:dyDescent="0.25">
      <c r="A1799" s="44"/>
      <c r="B1799" s="44"/>
    </row>
    <row r="1800" spans="1:2" x14ac:dyDescent="0.25">
      <c r="A1800" s="44"/>
      <c r="B1800" s="44"/>
    </row>
    <row r="1801" spans="1:2" x14ac:dyDescent="0.25">
      <c r="A1801" s="44"/>
      <c r="B1801" s="44"/>
    </row>
    <row r="1802" spans="1:2" x14ac:dyDescent="0.25">
      <c r="A1802" s="44"/>
      <c r="B1802" s="44"/>
    </row>
    <row r="1803" spans="1:2" x14ac:dyDescent="0.25">
      <c r="A1803" s="44"/>
      <c r="B1803" s="44"/>
    </row>
    <row r="1804" spans="1:2" x14ac:dyDescent="0.25">
      <c r="A1804" s="44"/>
      <c r="B1804" s="44"/>
    </row>
    <row r="1805" spans="1:2" x14ac:dyDescent="0.25">
      <c r="A1805" s="44"/>
      <c r="B1805" s="44"/>
    </row>
    <row r="1806" spans="1:2" x14ac:dyDescent="0.25">
      <c r="A1806" s="44"/>
      <c r="B1806" s="44"/>
    </row>
    <row r="1807" spans="1:2" x14ac:dyDescent="0.25">
      <c r="A1807" s="44"/>
      <c r="B1807" s="44"/>
    </row>
    <row r="1808" spans="1:2" x14ac:dyDescent="0.25">
      <c r="A1808" s="44"/>
      <c r="B1808" s="44"/>
    </row>
    <row r="1809" spans="1:2" x14ac:dyDescent="0.25">
      <c r="A1809" s="44"/>
      <c r="B1809" s="44"/>
    </row>
    <row r="1810" spans="1:2" x14ac:dyDescent="0.25">
      <c r="A1810" s="44"/>
      <c r="B1810" s="44"/>
    </row>
    <row r="1811" spans="1:2" x14ac:dyDescent="0.25">
      <c r="A1811" s="44"/>
      <c r="B1811" s="44"/>
    </row>
    <row r="1812" spans="1:2" x14ac:dyDescent="0.25">
      <c r="A1812" s="44"/>
      <c r="B1812" s="44"/>
    </row>
    <row r="1813" spans="1:2" x14ac:dyDescent="0.25">
      <c r="A1813" s="44"/>
      <c r="B1813" s="44"/>
    </row>
    <row r="1814" spans="1:2" x14ac:dyDescent="0.25">
      <c r="A1814" s="44"/>
      <c r="B1814" s="44"/>
    </row>
    <row r="1815" spans="1:2" x14ac:dyDescent="0.25">
      <c r="A1815" s="44"/>
      <c r="B1815" s="44"/>
    </row>
    <row r="1816" spans="1:2" x14ac:dyDescent="0.25">
      <c r="A1816" s="44"/>
      <c r="B1816" s="44"/>
    </row>
    <row r="1817" spans="1:2" x14ac:dyDescent="0.25">
      <c r="A1817" s="44"/>
      <c r="B1817" s="44"/>
    </row>
    <row r="1818" spans="1:2" x14ac:dyDescent="0.25">
      <c r="A1818" s="44"/>
      <c r="B1818" s="44"/>
    </row>
    <row r="1819" spans="1:2" x14ac:dyDescent="0.25">
      <c r="A1819" s="44"/>
      <c r="B1819" s="44"/>
    </row>
    <row r="1820" spans="1:2" x14ac:dyDescent="0.25">
      <c r="A1820" s="44"/>
      <c r="B1820" s="44"/>
    </row>
    <row r="1821" spans="1:2" x14ac:dyDescent="0.25">
      <c r="A1821" s="44"/>
      <c r="B1821" s="44"/>
    </row>
    <row r="1822" spans="1:2" x14ac:dyDescent="0.25">
      <c r="A1822" s="44"/>
      <c r="B1822" s="44"/>
    </row>
    <row r="1823" spans="1:2" x14ac:dyDescent="0.25">
      <c r="A1823" s="44"/>
      <c r="B1823" s="44"/>
    </row>
    <row r="1824" spans="1:2" x14ac:dyDescent="0.25">
      <c r="A1824" s="44"/>
      <c r="B1824" s="44"/>
    </row>
    <row r="1825" spans="1:2" x14ac:dyDescent="0.25">
      <c r="A1825" s="44"/>
      <c r="B1825" s="44"/>
    </row>
    <row r="1826" spans="1:2" x14ac:dyDescent="0.25">
      <c r="A1826" s="44"/>
      <c r="B1826" s="44"/>
    </row>
    <row r="1827" spans="1:2" x14ac:dyDescent="0.25">
      <c r="A1827" s="44"/>
      <c r="B1827" s="44"/>
    </row>
    <row r="1828" spans="1:2" x14ac:dyDescent="0.25">
      <c r="A1828" s="44"/>
      <c r="B1828" s="44"/>
    </row>
    <row r="1829" spans="1:2" x14ac:dyDescent="0.25">
      <c r="A1829" s="44"/>
      <c r="B1829" s="44"/>
    </row>
    <row r="1830" spans="1:2" x14ac:dyDescent="0.25">
      <c r="A1830" s="44"/>
      <c r="B1830" s="44"/>
    </row>
    <row r="1831" spans="1:2" x14ac:dyDescent="0.25">
      <c r="A1831" s="44"/>
      <c r="B1831" s="44"/>
    </row>
    <row r="1832" spans="1:2" x14ac:dyDescent="0.25">
      <c r="A1832" s="44"/>
      <c r="B1832" s="44"/>
    </row>
    <row r="1833" spans="1:2" x14ac:dyDescent="0.25">
      <c r="A1833" s="44"/>
      <c r="B1833" s="44"/>
    </row>
    <row r="1834" spans="1:2" x14ac:dyDescent="0.25">
      <c r="A1834" s="44"/>
      <c r="B1834" s="44"/>
    </row>
    <row r="1835" spans="1:2" x14ac:dyDescent="0.25">
      <c r="A1835" s="44"/>
      <c r="B1835" s="44"/>
    </row>
    <row r="1836" spans="1:2" x14ac:dyDescent="0.25">
      <c r="A1836" s="44"/>
      <c r="B1836" s="44"/>
    </row>
    <row r="1837" spans="1:2" x14ac:dyDescent="0.25">
      <c r="A1837" s="44"/>
      <c r="B1837" s="44"/>
    </row>
    <row r="1838" spans="1:2" x14ac:dyDescent="0.25">
      <c r="A1838" s="44"/>
      <c r="B1838" s="44"/>
    </row>
    <row r="1839" spans="1:2" x14ac:dyDescent="0.25">
      <c r="A1839" s="44"/>
      <c r="B1839" s="44"/>
    </row>
    <row r="1840" spans="1:2" x14ac:dyDescent="0.25">
      <c r="A1840" s="44"/>
      <c r="B1840" s="44"/>
    </row>
    <row r="1841" spans="1:2" x14ac:dyDescent="0.25">
      <c r="A1841" s="44"/>
      <c r="B1841" s="44"/>
    </row>
    <row r="1842" spans="1:2" x14ac:dyDescent="0.25">
      <c r="A1842" s="44"/>
      <c r="B1842" s="44"/>
    </row>
    <row r="1843" spans="1:2" x14ac:dyDescent="0.25">
      <c r="A1843" s="44"/>
      <c r="B1843" s="44"/>
    </row>
    <row r="1844" spans="1:2" x14ac:dyDescent="0.25">
      <c r="A1844" s="44"/>
      <c r="B1844" s="44"/>
    </row>
    <row r="1845" spans="1:2" x14ac:dyDescent="0.25">
      <c r="A1845" s="44"/>
      <c r="B1845" s="44"/>
    </row>
    <row r="1846" spans="1:2" x14ac:dyDescent="0.25">
      <c r="A1846" s="44"/>
      <c r="B1846" s="44"/>
    </row>
    <row r="1847" spans="1:2" x14ac:dyDescent="0.25">
      <c r="A1847" s="44"/>
      <c r="B1847" s="44"/>
    </row>
    <row r="1848" spans="1:2" x14ac:dyDescent="0.25">
      <c r="A1848" s="44"/>
      <c r="B1848" s="44"/>
    </row>
    <row r="1849" spans="1:2" x14ac:dyDescent="0.25">
      <c r="A1849" s="44"/>
      <c r="B1849" s="44"/>
    </row>
    <row r="1850" spans="1:2" x14ac:dyDescent="0.25">
      <c r="A1850" s="44"/>
      <c r="B1850" s="44"/>
    </row>
    <row r="1851" spans="1:2" x14ac:dyDescent="0.25">
      <c r="A1851" s="44"/>
      <c r="B1851" s="44"/>
    </row>
    <row r="1852" spans="1:2" x14ac:dyDescent="0.25">
      <c r="A1852" s="44"/>
      <c r="B1852" s="44"/>
    </row>
    <row r="1853" spans="1:2" x14ac:dyDescent="0.25">
      <c r="A1853" s="44"/>
      <c r="B1853" s="44"/>
    </row>
    <row r="1854" spans="1:2" x14ac:dyDescent="0.25">
      <c r="A1854" s="44"/>
      <c r="B1854" s="44"/>
    </row>
    <row r="1855" spans="1:2" x14ac:dyDescent="0.25">
      <c r="A1855" s="44"/>
      <c r="B1855" s="44"/>
    </row>
    <row r="1856" spans="1:2" x14ac:dyDescent="0.25">
      <c r="A1856" s="44"/>
      <c r="B1856" s="44"/>
    </row>
    <row r="1857" spans="1:2" x14ac:dyDescent="0.25">
      <c r="A1857" s="44"/>
      <c r="B1857" s="44"/>
    </row>
    <row r="1858" spans="1:2" x14ac:dyDescent="0.25">
      <c r="A1858" s="44"/>
      <c r="B1858" s="44"/>
    </row>
    <row r="1859" spans="1:2" x14ac:dyDescent="0.25">
      <c r="A1859" s="44"/>
      <c r="B1859" s="44"/>
    </row>
    <row r="1860" spans="1:2" x14ac:dyDescent="0.25">
      <c r="A1860" s="44"/>
      <c r="B1860" s="44"/>
    </row>
    <row r="1861" spans="1:2" x14ac:dyDescent="0.25">
      <c r="A1861" s="44"/>
      <c r="B1861" s="44"/>
    </row>
    <row r="1862" spans="1:2" x14ac:dyDescent="0.25">
      <c r="A1862" s="44"/>
      <c r="B1862" s="44"/>
    </row>
    <row r="1863" spans="1:2" x14ac:dyDescent="0.25">
      <c r="A1863" s="44"/>
      <c r="B1863" s="44"/>
    </row>
    <row r="1864" spans="1:2" x14ac:dyDescent="0.25">
      <c r="A1864" s="44"/>
      <c r="B1864" s="44"/>
    </row>
    <row r="1865" spans="1:2" x14ac:dyDescent="0.25">
      <c r="A1865" s="44"/>
      <c r="B1865" s="44"/>
    </row>
    <row r="1866" spans="1:2" x14ac:dyDescent="0.25">
      <c r="A1866" s="44"/>
      <c r="B1866" s="44"/>
    </row>
    <row r="1867" spans="1:2" x14ac:dyDescent="0.25">
      <c r="A1867" s="44"/>
      <c r="B1867" s="44"/>
    </row>
    <row r="1868" spans="1:2" x14ac:dyDescent="0.25">
      <c r="A1868" s="44"/>
      <c r="B1868" s="44"/>
    </row>
    <row r="1869" spans="1:2" x14ac:dyDescent="0.25">
      <c r="A1869" s="44"/>
      <c r="B1869" s="44"/>
    </row>
    <row r="1870" spans="1:2" x14ac:dyDescent="0.25">
      <c r="A1870" s="44"/>
      <c r="B1870" s="44"/>
    </row>
    <row r="1871" spans="1:2" x14ac:dyDescent="0.25">
      <c r="A1871" s="44"/>
      <c r="B1871" s="44"/>
    </row>
    <row r="1872" spans="1:2" x14ac:dyDescent="0.25">
      <c r="A1872" s="44"/>
      <c r="B1872" s="44"/>
    </row>
    <row r="1873" spans="1:2" x14ac:dyDescent="0.25">
      <c r="A1873" s="44"/>
      <c r="B1873" s="44"/>
    </row>
    <row r="1874" spans="1:2" x14ac:dyDescent="0.25">
      <c r="A1874" s="44"/>
      <c r="B1874" s="44"/>
    </row>
    <row r="1875" spans="1:2" x14ac:dyDescent="0.25">
      <c r="A1875" s="44"/>
      <c r="B1875" s="44"/>
    </row>
    <row r="1876" spans="1:2" x14ac:dyDescent="0.25">
      <c r="A1876" s="44"/>
      <c r="B1876" s="44"/>
    </row>
    <row r="1877" spans="1:2" x14ac:dyDescent="0.25">
      <c r="A1877" s="44"/>
      <c r="B1877" s="44"/>
    </row>
    <row r="1878" spans="1:2" x14ac:dyDescent="0.25">
      <c r="A1878" s="44"/>
      <c r="B1878" s="44"/>
    </row>
    <row r="1879" spans="1:2" x14ac:dyDescent="0.25">
      <c r="A1879" s="44"/>
      <c r="B1879" s="44"/>
    </row>
    <row r="1880" spans="1:2" x14ac:dyDescent="0.25">
      <c r="A1880" s="44"/>
      <c r="B1880" s="44"/>
    </row>
    <row r="1881" spans="1:2" x14ac:dyDescent="0.25">
      <c r="A1881" s="44"/>
      <c r="B1881" s="44"/>
    </row>
    <row r="1882" spans="1:2" x14ac:dyDescent="0.25">
      <c r="A1882" s="44"/>
      <c r="B1882" s="44"/>
    </row>
    <row r="1883" spans="1:2" x14ac:dyDescent="0.25">
      <c r="A1883" s="44"/>
      <c r="B1883" s="44"/>
    </row>
    <row r="1884" spans="1:2" x14ac:dyDescent="0.25">
      <c r="A1884" s="44"/>
      <c r="B1884" s="44"/>
    </row>
    <row r="1885" spans="1:2" x14ac:dyDescent="0.25">
      <c r="A1885" s="44"/>
      <c r="B1885" s="44"/>
    </row>
    <row r="1886" spans="1:2" x14ac:dyDescent="0.25">
      <c r="A1886" s="44"/>
      <c r="B1886" s="44"/>
    </row>
    <row r="1887" spans="1:2" x14ac:dyDescent="0.25">
      <c r="A1887" s="44"/>
      <c r="B1887" s="44"/>
    </row>
    <row r="1888" spans="1:2" x14ac:dyDescent="0.25">
      <c r="A1888" s="44"/>
      <c r="B1888" s="44"/>
    </row>
    <row r="1889" spans="1:2" x14ac:dyDescent="0.25">
      <c r="A1889" s="44"/>
      <c r="B1889" s="44"/>
    </row>
    <row r="1890" spans="1:2" x14ac:dyDescent="0.25">
      <c r="A1890" s="44"/>
      <c r="B1890" s="44"/>
    </row>
    <row r="1891" spans="1:2" x14ac:dyDescent="0.25">
      <c r="A1891" s="44"/>
      <c r="B1891" s="44"/>
    </row>
    <row r="1892" spans="1:2" x14ac:dyDescent="0.25">
      <c r="A1892" s="44"/>
      <c r="B1892" s="44"/>
    </row>
    <row r="1893" spans="1:2" x14ac:dyDescent="0.25">
      <c r="A1893" s="44"/>
      <c r="B1893" s="44"/>
    </row>
    <row r="1894" spans="1:2" x14ac:dyDescent="0.25">
      <c r="A1894" s="44"/>
      <c r="B1894" s="44"/>
    </row>
    <row r="1895" spans="1:2" x14ac:dyDescent="0.25">
      <c r="A1895" s="44"/>
      <c r="B1895" s="44"/>
    </row>
    <row r="1896" spans="1:2" x14ac:dyDescent="0.25">
      <c r="A1896" s="44"/>
      <c r="B1896" s="44"/>
    </row>
    <row r="1897" spans="1:2" x14ac:dyDescent="0.25">
      <c r="A1897" s="44"/>
      <c r="B1897" s="44"/>
    </row>
    <row r="1898" spans="1:2" x14ac:dyDescent="0.25">
      <c r="A1898" s="44"/>
      <c r="B1898" s="44"/>
    </row>
    <row r="1899" spans="1:2" x14ac:dyDescent="0.25">
      <c r="A1899" s="44"/>
      <c r="B1899" s="44"/>
    </row>
    <row r="1900" spans="1:2" x14ac:dyDescent="0.25">
      <c r="A1900" s="44"/>
      <c r="B1900" s="44"/>
    </row>
    <row r="1901" spans="1:2" x14ac:dyDescent="0.25">
      <c r="A1901" s="44"/>
      <c r="B1901" s="44"/>
    </row>
    <row r="1902" spans="1:2" x14ac:dyDescent="0.25">
      <c r="A1902" s="44"/>
      <c r="B1902" s="44"/>
    </row>
    <row r="1903" spans="1:2" x14ac:dyDescent="0.25">
      <c r="A1903" s="44"/>
      <c r="B1903" s="44"/>
    </row>
    <row r="1904" spans="1:2" x14ac:dyDescent="0.25">
      <c r="A1904" s="44"/>
      <c r="B1904" s="44"/>
    </row>
    <row r="1905" spans="1:2" x14ac:dyDescent="0.25">
      <c r="A1905" s="44"/>
      <c r="B1905" s="44"/>
    </row>
    <row r="1906" spans="1:2" x14ac:dyDescent="0.25">
      <c r="A1906" s="44"/>
      <c r="B1906" s="44"/>
    </row>
    <row r="1907" spans="1:2" x14ac:dyDescent="0.25">
      <c r="A1907" s="44"/>
      <c r="B1907" s="44"/>
    </row>
    <row r="1908" spans="1:2" x14ac:dyDescent="0.25">
      <c r="A1908" s="44"/>
      <c r="B1908" s="44"/>
    </row>
    <row r="1909" spans="1:2" x14ac:dyDescent="0.25">
      <c r="A1909" s="44"/>
      <c r="B1909" s="44"/>
    </row>
    <row r="1910" spans="1:2" x14ac:dyDescent="0.25">
      <c r="A1910" s="44"/>
      <c r="B1910" s="44"/>
    </row>
    <row r="1911" spans="1:2" x14ac:dyDescent="0.25">
      <c r="A1911" s="44"/>
      <c r="B1911" s="44"/>
    </row>
    <row r="1912" spans="1:2" x14ac:dyDescent="0.25">
      <c r="A1912" s="44"/>
      <c r="B1912" s="44"/>
    </row>
    <row r="1913" spans="1:2" x14ac:dyDescent="0.25">
      <c r="A1913" s="44"/>
      <c r="B1913" s="44"/>
    </row>
    <row r="1914" spans="1:2" x14ac:dyDescent="0.25">
      <c r="A1914" s="44"/>
      <c r="B1914" s="44"/>
    </row>
    <row r="1915" spans="1:2" x14ac:dyDescent="0.25">
      <c r="A1915" s="44"/>
      <c r="B1915" s="44"/>
    </row>
    <row r="1916" spans="1:2" x14ac:dyDescent="0.25">
      <c r="A1916" s="44"/>
      <c r="B1916" s="44"/>
    </row>
    <row r="1917" spans="1:2" x14ac:dyDescent="0.25">
      <c r="A1917" s="44"/>
      <c r="B1917" s="44"/>
    </row>
    <row r="1918" spans="1:2" x14ac:dyDescent="0.25">
      <c r="A1918" s="44"/>
      <c r="B1918" s="44"/>
    </row>
    <row r="1919" spans="1:2" x14ac:dyDescent="0.25">
      <c r="A1919" s="44"/>
      <c r="B1919" s="44"/>
    </row>
    <row r="1920" spans="1:2" x14ac:dyDescent="0.25">
      <c r="A1920" s="44"/>
      <c r="B1920" s="44"/>
    </row>
    <row r="1921" spans="1:2" x14ac:dyDescent="0.25">
      <c r="A1921" s="44"/>
      <c r="B1921" s="44"/>
    </row>
    <row r="1922" spans="1:2" x14ac:dyDescent="0.25">
      <c r="A1922" s="44"/>
      <c r="B1922" s="44"/>
    </row>
    <row r="1923" spans="1:2" x14ac:dyDescent="0.25">
      <c r="A1923" s="44"/>
      <c r="B1923" s="44"/>
    </row>
    <row r="1924" spans="1:2" x14ac:dyDescent="0.25">
      <c r="A1924" s="44"/>
      <c r="B1924" s="44"/>
    </row>
    <row r="1925" spans="1:2" x14ac:dyDescent="0.25">
      <c r="A1925" s="44"/>
      <c r="B1925" s="44"/>
    </row>
    <row r="1926" spans="1:2" x14ac:dyDescent="0.25">
      <c r="A1926" s="44"/>
      <c r="B1926" s="44"/>
    </row>
    <row r="1927" spans="1:2" x14ac:dyDescent="0.25">
      <c r="A1927" s="44"/>
      <c r="B1927" s="44"/>
    </row>
    <row r="1928" spans="1:2" x14ac:dyDescent="0.25">
      <c r="A1928" s="44"/>
      <c r="B1928" s="44"/>
    </row>
    <row r="1929" spans="1:2" x14ac:dyDescent="0.25">
      <c r="A1929" s="44"/>
      <c r="B1929" s="44"/>
    </row>
    <row r="1930" spans="1:2" x14ac:dyDescent="0.25">
      <c r="A1930" s="44"/>
      <c r="B1930" s="44"/>
    </row>
    <row r="1931" spans="1:2" x14ac:dyDescent="0.25">
      <c r="A1931" s="44"/>
      <c r="B1931" s="44"/>
    </row>
    <row r="1932" spans="1:2" x14ac:dyDescent="0.25">
      <c r="A1932" s="44"/>
      <c r="B1932" s="44"/>
    </row>
    <row r="1933" spans="1:2" x14ac:dyDescent="0.25">
      <c r="A1933" s="44"/>
      <c r="B1933" s="44"/>
    </row>
    <row r="1934" spans="1:2" x14ac:dyDescent="0.25">
      <c r="A1934" s="44"/>
      <c r="B1934" s="44"/>
    </row>
    <row r="1935" spans="1:2" x14ac:dyDescent="0.25">
      <c r="A1935" s="44"/>
      <c r="B1935" s="44"/>
    </row>
    <row r="1936" spans="1:2" x14ac:dyDescent="0.25">
      <c r="A1936" s="44"/>
      <c r="B1936" s="44"/>
    </row>
    <row r="1937" spans="1:2" x14ac:dyDescent="0.25">
      <c r="A1937" s="44"/>
      <c r="B1937" s="44"/>
    </row>
    <row r="1938" spans="1:2" x14ac:dyDescent="0.25">
      <c r="A1938" s="44"/>
      <c r="B1938" s="44"/>
    </row>
    <row r="1939" spans="1:2" x14ac:dyDescent="0.25">
      <c r="A1939" s="44"/>
      <c r="B1939" s="44"/>
    </row>
    <row r="1940" spans="1:2" x14ac:dyDescent="0.25">
      <c r="A1940" s="44"/>
      <c r="B1940" s="44"/>
    </row>
    <row r="1941" spans="1:2" x14ac:dyDescent="0.25">
      <c r="A1941" s="44"/>
      <c r="B1941" s="44"/>
    </row>
    <row r="1942" spans="1:2" x14ac:dyDescent="0.25">
      <c r="A1942" s="44"/>
      <c r="B1942" s="44"/>
    </row>
    <row r="1943" spans="1:2" x14ac:dyDescent="0.25">
      <c r="A1943" s="44"/>
      <c r="B1943" s="44"/>
    </row>
    <row r="1944" spans="1:2" x14ac:dyDescent="0.25">
      <c r="A1944" s="44"/>
      <c r="B1944" s="44"/>
    </row>
    <row r="1945" spans="1:2" x14ac:dyDescent="0.25">
      <c r="A1945" s="44"/>
      <c r="B1945" s="44"/>
    </row>
    <row r="1946" spans="1:2" x14ac:dyDescent="0.25">
      <c r="A1946" s="44"/>
      <c r="B1946" s="44"/>
    </row>
    <row r="1947" spans="1:2" x14ac:dyDescent="0.25">
      <c r="A1947" s="44"/>
      <c r="B1947" s="44"/>
    </row>
    <row r="1948" spans="1:2" x14ac:dyDescent="0.25">
      <c r="A1948" s="44"/>
      <c r="B1948" s="44"/>
    </row>
    <row r="1949" spans="1:2" x14ac:dyDescent="0.25">
      <c r="A1949" s="44"/>
      <c r="B1949" s="44"/>
    </row>
    <row r="1950" spans="1:2" x14ac:dyDescent="0.25">
      <c r="A1950" s="44"/>
      <c r="B1950" s="44"/>
    </row>
    <row r="1951" spans="1:2" x14ac:dyDescent="0.25">
      <c r="A1951" s="44"/>
      <c r="B1951" s="44"/>
    </row>
    <row r="1952" spans="1:2" x14ac:dyDescent="0.25">
      <c r="A1952" s="44"/>
      <c r="B1952" s="44"/>
    </row>
    <row r="1953" spans="1:2" x14ac:dyDescent="0.25">
      <c r="A1953" s="44"/>
      <c r="B1953" s="44"/>
    </row>
    <row r="1954" spans="1:2" x14ac:dyDescent="0.25">
      <c r="A1954" s="44"/>
      <c r="B1954" s="44"/>
    </row>
    <row r="1955" spans="1:2" x14ac:dyDescent="0.25">
      <c r="A1955" s="44"/>
      <c r="B1955" s="44"/>
    </row>
    <row r="1956" spans="1:2" x14ac:dyDescent="0.25">
      <c r="A1956" s="44"/>
      <c r="B1956" s="44"/>
    </row>
    <row r="1957" spans="1:2" x14ac:dyDescent="0.25">
      <c r="A1957" s="44"/>
      <c r="B1957" s="44"/>
    </row>
    <row r="1958" spans="1:2" x14ac:dyDescent="0.25">
      <c r="A1958" s="44"/>
      <c r="B1958" s="44"/>
    </row>
    <row r="1959" spans="1:2" x14ac:dyDescent="0.25">
      <c r="A1959" s="44"/>
      <c r="B1959" s="44"/>
    </row>
    <row r="1960" spans="1:2" x14ac:dyDescent="0.25">
      <c r="A1960" s="44"/>
      <c r="B1960" s="44"/>
    </row>
    <row r="1961" spans="1:2" x14ac:dyDescent="0.25">
      <c r="A1961" s="44"/>
      <c r="B1961" s="44"/>
    </row>
    <row r="1962" spans="1:2" x14ac:dyDescent="0.25">
      <c r="A1962" s="44"/>
      <c r="B1962" s="44"/>
    </row>
    <row r="1963" spans="1:2" x14ac:dyDescent="0.25">
      <c r="A1963" s="44"/>
      <c r="B1963" s="44"/>
    </row>
    <row r="1964" spans="1:2" x14ac:dyDescent="0.25">
      <c r="A1964" s="44"/>
      <c r="B1964" s="44"/>
    </row>
    <row r="1965" spans="1:2" x14ac:dyDescent="0.25">
      <c r="A1965" s="44"/>
      <c r="B1965" s="44"/>
    </row>
    <row r="1966" spans="1:2" x14ac:dyDescent="0.25">
      <c r="A1966" s="44"/>
      <c r="B1966" s="44"/>
    </row>
    <row r="1967" spans="1:2" x14ac:dyDescent="0.25">
      <c r="A1967" s="44"/>
      <c r="B1967" s="44"/>
    </row>
    <row r="1968" spans="1:2" x14ac:dyDescent="0.25">
      <c r="A1968" s="44"/>
      <c r="B1968" s="44"/>
    </row>
    <row r="1969" spans="1:2" x14ac:dyDescent="0.25">
      <c r="A1969" s="44"/>
      <c r="B1969" s="44"/>
    </row>
    <row r="1970" spans="1:2" x14ac:dyDescent="0.25">
      <c r="A1970" s="44"/>
      <c r="B1970" s="44"/>
    </row>
    <row r="1971" spans="1:2" x14ac:dyDescent="0.25">
      <c r="A1971" s="44"/>
      <c r="B1971" s="44"/>
    </row>
    <row r="1972" spans="1:2" x14ac:dyDescent="0.25">
      <c r="A1972" s="44"/>
      <c r="B1972" s="44"/>
    </row>
    <row r="1973" spans="1:2" x14ac:dyDescent="0.25">
      <c r="A1973" s="44"/>
      <c r="B1973" s="44"/>
    </row>
    <row r="1974" spans="1:2" x14ac:dyDescent="0.25">
      <c r="A1974" s="44"/>
      <c r="B1974" s="44"/>
    </row>
    <row r="1975" spans="1:2" x14ac:dyDescent="0.25">
      <c r="A1975" s="44"/>
      <c r="B1975" s="44"/>
    </row>
    <row r="1976" spans="1:2" x14ac:dyDescent="0.25">
      <c r="A1976" s="44"/>
      <c r="B1976" s="44"/>
    </row>
    <row r="1977" spans="1:2" x14ac:dyDescent="0.25">
      <c r="A1977" s="44"/>
      <c r="B1977" s="44"/>
    </row>
    <row r="1978" spans="1:2" x14ac:dyDescent="0.25">
      <c r="A1978" s="44"/>
      <c r="B1978" s="44"/>
    </row>
    <row r="1979" spans="1:2" x14ac:dyDescent="0.25">
      <c r="A1979" s="44"/>
      <c r="B1979" s="44"/>
    </row>
    <row r="1980" spans="1:2" x14ac:dyDescent="0.25">
      <c r="A1980" s="44"/>
      <c r="B1980" s="44"/>
    </row>
    <row r="1981" spans="1:2" x14ac:dyDescent="0.25">
      <c r="A1981" s="44"/>
      <c r="B1981" s="44"/>
    </row>
    <row r="1982" spans="1:2" x14ac:dyDescent="0.25">
      <c r="A1982" s="44"/>
      <c r="B1982" s="44"/>
    </row>
    <row r="1983" spans="1:2" x14ac:dyDescent="0.25">
      <c r="A1983" s="44"/>
      <c r="B1983" s="44"/>
    </row>
    <row r="1984" spans="1:2" x14ac:dyDescent="0.25">
      <c r="A1984" s="44"/>
      <c r="B1984" s="44"/>
    </row>
    <row r="1985" spans="1:2" x14ac:dyDescent="0.25">
      <c r="A1985" s="44"/>
      <c r="B1985" s="44"/>
    </row>
    <row r="1986" spans="1:2" x14ac:dyDescent="0.25">
      <c r="A1986" s="44"/>
      <c r="B1986" s="44"/>
    </row>
    <row r="1987" spans="1:2" x14ac:dyDescent="0.25">
      <c r="A1987" s="44"/>
      <c r="B1987" s="44"/>
    </row>
    <row r="1988" spans="1:2" x14ac:dyDescent="0.25">
      <c r="A1988" s="44"/>
      <c r="B1988" s="44"/>
    </row>
    <row r="1989" spans="1:2" x14ac:dyDescent="0.25">
      <c r="A1989" s="44"/>
      <c r="B1989" s="44"/>
    </row>
    <row r="1990" spans="1:2" x14ac:dyDescent="0.25">
      <c r="A1990" s="44"/>
      <c r="B1990" s="44"/>
    </row>
    <row r="1991" spans="1:2" x14ac:dyDescent="0.25">
      <c r="A1991" s="44"/>
      <c r="B1991" s="44"/>
    </row>
    <row r="1992" spans="1:2" x14ac:dyDescent="0.25">
      <c r="A1992" s="44"/>
      <c r="B1992" s="44"/>
    </row>
    <row r="1993" spans="1:2" x14ac:dyDescent="0.25">
      <c r="A1993" s="44"/>
      <c r="B1993" s="44"/>
    </row>
    <row r="1994" spans="1:2" x14ac:dyDescent="0.25">
      <c r="A1994" s="44"/>
      <c r="B1994" s="44"/>
    </row>
    <row r="1995" spans="1:2" x14ac:dyDescent="0.25">
      <c r="A1995" s="44"/>
      <c r="B1995" s="44"/>
    </row>
    <row r="1996" spans="1:2" x14ac:dyDescent="0.25">
      <c r="A1996" s="44"/>
      <c r="B1996" s="44"/>
    </row>
    <row r="1997" spans="1:2" x14ac:dyDescent="0.25">
      <c r="A1997" s="44"/>
      <c r="B1997" s="44"/>
    </row>
    <row r="1998" spans="1:2" x14ac:dyDescent="0.25">
      <c r="A1998" s="44"/>
      <c r="B1998" s="44"/>
    </row>
    <row r="1999" spans="1:2" x14ac:dyDescent="0.25">
      <c r="A1999" s="44"/>
      <c r="B1999" s="44"/>
    </row>
    <row r="2000" spans="1:2" x14ac:dyDescent="0.25">
      <c r="A2000" s="44"/>
      <c r="B2000" s="44"/>
    </row>
    <row r="2001" spans="1:2" x14ac:dyDescent="0.25">
      <c r="A2001" s="44"/>
      <c r="B2001" s="44"/>
    </row>
    <row r="2002" spans="1:2" x14ac:dyDescent="0.25">
      <c r="A2002" s="44"/>
      <c r="B2002" s="44"/>
    </row>
    <row r="2003" spans="1:2" x14ac:dyDescent="0.25">
      <c r="A2003" s="44"/>
      <c r="B2003" s="44"/>
    </row>
    <row r="2004" spans="1:2" x14ac:dyDescent="0.25">
      <c r="A2004" s="44"/>
      <c r="B2004" s="44"/>
    </row>
    <row r="2005" spans="1:2" x14ac:dyDescent="0.25">
      <c r="A2005" s="44"/>
      <c r="B2005" s="44"/>
    </row>
    <row r="2006" spans="1:2" x14ac:dyDescent="0.25">
      <c r="A2006" s="44"/>
      <c r="B2006" s="44"/>
    </row>
    <row r="2007" spans="1:2" x14ac:dyDescent="0.25">
      <c r="A2007" s="44"/>
      <c r="B2007" s="44"/>
    </row>
    <row r="2008" spans="1:2" x14ac:dyDescent="0.25">
      <c r="A2008" s="44"/>
      <c r="B2008" s="44"/>
    </row>
    <row r="2009" spans="1:2" x14ac:dyDescent="0.25">
      <c r="A2009" s="44"/>
      <c r="B2009" s="44"/>
    </row>
    <row r="2010" spans="1:2" x14ac:dyDescent="0.25">
      <c r="A2010" s="44"/>
      <c r="B2010" s="44"/>
    </row>
    <row r="2011" spans="1:2" x14ac:dyDescent="0.25">
      <c r="A2011" s="44"/>
      <c r="B2011" s="44"/>
    </row>
    <row r="2012" spans="1:2" x14ac:dyDescent="0.25">
      <c r="A2012" s="44"/>
      <c r="B2012" s="44"/>
    </row>
    <row r="2013" spans="1:2" x14ac:dyDescent="0.25">
      <c r="A2013" s="44"/>
      <c r="B2013" s="44"/>
    </row>
    <row r="2014" spans="1:2" x14ac:dyDescent="0.25">
      <c r="A2014" s="44"/>
      <c r="B2014" s="44"/>
    </row>
    <row r="2015" spans="1:2" x14ac:dyDescent="0.25">
      <c r="A2015" s="44"/>
      <c r="B2015" s="44"/>
    </row>
    <row r="2016" spans="1:2" x14ac:dyDescent="0.25">
      <c r="A2016" s="44"/>
      <c r="B2016" s="44"/>
    </row>
    <row r="2017" spans="1:2" x14ac:dyDescent="0.25">
      <c r="A2017" s="44"/>
      <c r="B2017" s="44"/>
    </row>
    <row r="2018" spans="1:2" x14ac:dyDescent="0.25">
      <c r="A2018" s="44"/>
      <c r="B2018" s="44"/>
    </row>
    <row r="2019" spans="1:2" x14ac:dyDescent="0.25">
      <c r="A2019" s="44"/>
      <c r="B2019" s="44"/>
    </row>
    <row r="2020" spans="1:2" x14ac:dyDescent="0.25">
      <c r="A2020" s="44"/>
      <c r="B2020" s="44"/>
    </row>
    <row r="2021" spans="1:2" x14ac:dyDescent="0.25">
      <c r="A2021" s="44"/>
      <c r="B2021" s="44"/>
    </row>
    <row r="2022" spans="1:2" x14ac:dyDescent="0.25">
      <c r="A2022" s="44"/>
      <c r="B2022" s="44"/>
    </row>
    <row r="2023" spans="1:2" x14ac:dyDescent="0.25">
      <c r="A2023" s="44"/>
      <c r="B2023" s="44"/>
    </row>
    <row r="2024" spans="1:2" x14ac:dyDescent="0.25">
      <c r="A2024" s="44"/>
      <c r="B2024" s="44"/>
    </row>
    <row r="2025" spans="1:2" x14ac:dyDescent="0.25">
      <c r="A2025" s="44"/>
      <c r="B2025" s="44"/>
    </row>
    <row r="2026" spans="1:2" x14ac:dyDescent="0.25">
      <c r="A2026" s="44"/>
      <c r="B2026" s="44"/>
    </row>
    <row r="2027" spans="1:2" x14ac:dyDescent="0.25">
      <c r="A2027" s="44"/>
      <c r="B2027" s="44"/>
    </row>
    <row r="2028" spans="1:2" x14ac:dyDescent="0.25">
      <c r="A2028" s="44"/>
      <c r="B2028" s="44"/>
    </row>
    <row r="2029" spans="1:2" x14ac:dyDescent="0.25">
      <c r="A2029" s="44"/>
      <c r="B2029" s="44"/>
    </row>
    <row r="2030" spans="1:2" x14ac:dyDescent="0.25">
      <c r="A2030" s="44"/>
      <c r="B2030" s="44"/>
    </row>
    <row r="2031" spans="1:2" x14ac:dyDescent="0.25">
      <c r="A2031" s="44"/>
      <c r="B2031" s="44"/>
    </row>
    <row r="2032" spans="1:2" x14ac:dyDescent="0.25">
      <c r="A2032" s="44"/>
      <c r="B2032" s="44"/>
    </row>
    <row r="2033" spans="1:2" x14ac:dyDescent="0.25">
      <c r="A2033" s="44"/>
      <c r="B2033" s="44"/>
    </row>
    <row r="2034" spans="1:2" x14ac:dyDescent="0.25">
      <c r="A2034" s="44"/>
      <c r="B2034" s="44"/>
    </row>
    <row r="2035" spans="1:2" x14ac:dyDescent="0.25">
      <c r="A2035" s="44"/>
      <c r="B2035" s="44"/>
    </row>
    <row r="2036" spans="1:2" x14ac:dyDescent="0.25">
      <c r="A2036" s="44"/>
      <c r="B2036" s="44"/>
    </row>
    <row r="2037" spans="1:2" x14ac:dyDescent="0.25">
      <c r="A2037" s="44"/>
      <c r="B2037" s="44"/>
    </row>
    <row r="2038" spans="1:2" x14ac:dyDescent="0.25">
      <c r="A2038" s="44"/>
      <c r="B2038" s="44"/>
    </row>
    <row r="2039" spans="1:2" x14ac:dyDescent="0.25">
      <c r="A2039" s="44"/>
      <c r="B2039" s="44"/>
    </row>
    <row r="2040" spans="1:2" x14ac:dyDescent="0.25">
      <c r="A2040" s="44"/>
      <c r="B2040" s="44"/>
    </row>
    <row r="2041" spans="1:2" x14ac:dyDescent="0.25">
      <c r="A2041" s="44"/>
      <c r="B2041" s="44"/>
    </row>
    <row r="2042" spans="1:2" x14ac:dyDescent="0.25">
      <c r="A2042" s="44"/>
      <c r="B2042" s="44"/>
    </row>
    <row r="2043" spans="1:2" x14ac:dyDescent="0.25">
      <c r="A2043" s="44"/>
      <c r="B2043" s="44"/>
    </row>
    <row r="2044" spans="1:2" x14ac:dyDescent="0.25">
      <c r="A2044" s="44"/>
      <c r="B2044" s="44"/>
    </row>
    <row r="2045" spans="1:2" x14ac:dyDescent="0.25">
      <c r="A2045" s="44"/>
      <c r="B2045" s="44"/>
    </row>
    <row r="2046" spans="1:2" x14ac:dyDescent="0.25">
      <c r="A2046" s="44"/>
      <c r="B2046" s="44"/>
    </row>
    <row r="2047" spans="1:2" x14ac:dyDescent="0.25">
      <c r="A2047" s="44"/>
      <c r="B2047" s="44"/>
    </row>
    <row r="2048" spans="1:2" x14ac:dyDescent="0.25">
      <c r="A2048" s="44"/>
      <c r="B2048" s="44"/>
    </row>
    <row r="2049" spans="1:2" x14ac:dyDescent="0.25">
      <c r="A2049" s="44"/>
      <c r="B2049" s="44"/>
    </row>
    <row r="2050" spans="1:2" x14ac:dyDescent="0.25">
      <c r="A2050" s="44"/>
      <c r="B2050" s="44"/>
    </row>
    <row r="2051" spans="1:2" x14ac:dyDescent="0.25">
      <c r="A2051" s="44"/>
      <c r="B2051" s="44"/>
    </row>
    <row r="2052" spans="1:2" x14ac:dyDescent="0.25">
      <c r="A2052" s="44"/>
      <c r="B2052" s="44"/>
    </row>
    <row r="2053" spans="1:2" x14ac:dyDescent="0.25">
      <c r="A2053" s="44"/>
      <c r="B2053" s="44"/>
    </row>
    <row r="2054" spans="1:2" x14ac:dyDescent="0.25">
      <c r="A2054" s="44"/>
      <c r="B2054" s="44"/>
    </row>
    <row r="2055" spans="1:2" x14ac:dyDescent="0.25">
      <c r="A2055" s="44"/>
      <c r="B2055" s="44"/>
    </row>
    <row r="2056" spans="1:2" x14ac:dyDescent="0.25">
      <c r="A2056" s="44"/>
      <c r="B2056" s="44"/>
    </row>
    <row r="2057" spans="1:2" x14ac:dyDescent="0.25">
      <c r="A2057" s="44"/>
      <c r="B2057" s="44"/>
    </row>
    <row r="2058" spans="1:2" x14ac:dyDescent="0.25">
      <c r="A2058" s="44"/>
      <c r="B2058" s="44"/>
    </row>
    <row r="2059" spans="1:2" x14ac:dyDescent="0.25">
      <c r="A2059" s="44"/>
      <c r="B2059" s="44"/>
    </row>
    <row r="2060" spans="1:2" x14ac:dyDescent="0.25">
      <c r="A2060" s="44"/>
      <c r="B2060" s="44"/>
    </row>
    <row r="2061" spans="1:2" x14ac:dyDescent="0.25">
      <c r="A2061" s="44"/>
      <c r="B2061" s="44"/>
    </row>
    <row r="2062" spans="1:2" x14ac:dyDescent="0.25">
      <c r="A2062" s="44"/>
      <c r="B2062" s="44"/>
    </row>
    <row r="2063" spans="1:2" x14ac:dyDescent="0.25">
      <c r="A2063" s="44"/>
      <c r="B2063" s="44"/>
    </row>
    <row r="2064" spans="1:2" x14ac:dyDescent="0.25">
      <c r="A2064" s="44"/>
      <c r="B2064" s="44"/>
    </row>
    <row r="2065" spans="1:2" x14ac:dyDescent="0.25">
      <c r="A2065" s="44"/>
      <c r="B2065" s="44"/>
    </row>
    <row r="2066" spans="1:2" x14ac:dyDescent="0.25">
      <c r="A2066" s="44"/>
      <c r="B2066" s="44"/>
    </row>
    <row r="2067" spans="1:2" x14ac:dyDescent="0.25">
      <c r="A2067" s="44"/>
      <c r="B2067" s="44"/>
    </row>
    <row r="2068" spans="1:2" x14ac:dyDescent="0.25">
      <c r="A2068" s="44"/>
      <c r="B2068" s="44"/>
    </row>
    <row r="2069" spans="1:2" x14ac:dyDescent="0.25">
      <c r="A2069" s="44"/>
      <c r="B2069" s="44"/>
    </row>
    <row r="2070" spans="1:2" x14ac:dyDescent="0.25">
      <c r="A2070" s="44"/>
      <c r="B2070" s="44"/>
    </row>
    <row r="2071" spans="1:2" x14ac:dyDescent="0.25">
      <c r="A2071" s="44"/>
      <c r="B2071" s="44"/>
    </row>
    <row r="2072" spans="1:2" x14ac:dyDescent="0.25">
      <c r="A2072" s="44"/>
      <c r="B2072" s="44"/>
    </row>
    <row r="2073" spans="1:2" x14ac:dyDescent="0.25">
      <c r="A2073" s="44"/>
      <c r="B2073" s="44"/>
    </row>
    <row r="2074" spans="1:2" x14ac:dyDescent="0.25">
      <c r="A2074" s="44"/>
      <c r="B2074" s="44"/>
    </row>
    <row r="2075" spans="1:2" x14ac:dyDescent="0.25">
      <c r="A2075" s="44"/>
      <c r="B2075" s="44"/>
    </row>
    <row r="2076" spans="1:2" x14ac:dyDescent="0.25">
      <c r="A2076" s="44"/>
      <c r="B2076" s="44"/>
    </row>
    <row r="2077" spans="1:2" x14ac:dyDescent="0.25">
      <c r="A2077" s="44"/>
      <c r="B2077" s="44"/>
    </row>
    <row r="2078" spans="1:2" x14ac:dyDescent="0.25">
      <c r="A2078" s="44"/>
      <c r="B2078" s="44"/>
    </row>
    <row r="2079" spans="1:2" x14ac:dyDescent="0.25">
      <c r="A2079" s="44"/>
      <c r="B2079" s="44"/>
    </row>
    <row r="2080" spans="1:2" x14ac:dyDescent="0.25">
      <c r="A2080" s="44"/>
      <c r="B2080" s="44"/>
    </row>
    <row r="2081" spans="1:2" x14ac:dyDescent="0.25">
      <c r="A2081" s="44"/>
      <c r="B2081" s="44"/>
    </row>
    <row r="2082" spans="1:2" x14ac:dyDescent="0.25">
      <c r="A2082" s="44"/>
      <c r="B2082" s="44"/>
    </row>
    <row r="2083" spans="1:2" x14ac:dyDescent="0.25">
      <c r="A2083" s="44"/>
      <c r="B2083" s="44"/>
    </row>
    <row r="2084" spans="1:2" x14ac:dyDescent="0.25">
      <c r="A2084" s="44"/>
      <c r="B2084" s="44"/>
    </row>
    <row r="2085" spans="1:2" x14ac:dyDescent="0.25">
      <c r="A2085" s="44"/>
      <c r="B2085" s="44"/>
    </row>
    <row r="2086" spans="1:2" x14ac:dyDescent="0.25">
      <c r="A2086" s="44"/>
      <c r="B2086" s="44"/>
    </row>
    <row r="2087" spans="1:2" x14ac:dyDescent="0.25">
      <c r="A2087" s="44"/>
      <c r="B2087" s="44"/>
    </row>
    <row r="2088" spans="1:2" x14ac:dyDescent="0.25">
      <c r="A2088" s="44"/>
      <c r="B2088" s="44"/>
    </row>
    <row r="2089" spans="1:2" x14ac:dyDescent="0.25">
      <c r="A2089" s="44"/>
      <c r="B2089" s="44"/>
    </row>
    <row r="2090" spans="1:2" x14ac:dyDescent="0.25">
      <c r="A2090" s="44"/>
      <c r="B2090" s="44"/>
    </row>
    <row r="2091" spans="1:2" x14ac:dyDescent="0.25">
      <c r="A2091" s="44"/>
      <c r="B2091" s="44"/>
    </row>
    <row r="2092" spans="1:2" x14ac:dyDescent="0.25">
      <c r="A2092" s="44"/>
      <c r="B2092" s="44"/>
    </row>
    <row r="2093" spans="1:2" x14ac:dyDescent="0.25">
      <c r="A2093" s="44"/>
      <c r="B2093" s="44"/>
    </row>
    <row r="2094" spans="1:2" x14ac:dyDescent="0.25">
      <c r="A2094" s="44"/>
      <c r="B2094" s="44"/>
    </row>
    <row r="2095" spans="1:2" x14ac:dyDescent="0.25">
      <c r="A2095" s="44"/>
      <c r="B2095" s="44"/>
    </row>
    <row r="2096" spans="1:2" x14ac:dyDescent="0.25">
      <c r="A2096" s="44"/>
      <c r="B2096" s="44"/>
    </row>
    <row r="2097" spans="1:2" x14ac:dyDescent="0.25">
      <c r="A2097" s="44"/>
      <c r="B2097" s="44"/>
    </row>
    <row r="2098" spans="1:2" x14ac:dyDescent="0.25">
      <c r="A2098" s="44"/>
      <c r="B2098" s="44"/>
    </row>
    <row r="2099" spans="1:2" x14ac:dyDescent="0.25">
      <c r="A2099" s="44"/>
      <c r="B2099" s="44"/>
    </row>
    <row r="2100" spans="1:2" x14ac:dyDescent="0.25">
      <c r="A2100" s="44"/>
      <c r="B2100" s="44"/>
    </row>
    <row r="2101" spans="1:2" x14ac:dyDescent="0.25">
      <c r="A2101" s="44"/>
      <c r="B2101" s="44"/>
    </row>
    <row r="2102" spans="1:2" x14ac:dyDescent="0.25">
      <c r="A2102" s="44"/>
      <c r="B2102" s="44"/>
    </row>
    <row r="2103" spans="1:2" x14ac:dyDescent="0.25">
      <c r="A2103" s="44"/>
      <c r="B2103" s="44"/>
    </row>
    <row r="2104" spans="1:2" x14ac:dyDescent="0.25">
      <c r="A2104" s="44"/>
      <c r="B2104" s="44"/>
    </row>
    <row r="2105" spans="1:2" x14ac:dyDescent="0.25">
      <c r="A2105" s="44"/>
      <c r="B2105" s="44"/>
    </row>
    <row r="2106" spans="1:2" x14ac:dyDescent="0.25">
      <c r="A2106" s="44"/>
      <c r="B2106" s="44"/>
    </row>
    <row r="2107" spans="1:2" x14ac:dyDescent="0.25">
      <c r="A2107" s="44"/>
      <c r="B2107" s="44"/>
    </row>
    <row r="2108" spans="1:2" x14ac:dyDescent="0.25">
      <c r="A2108" s="44"/>
      <c r="B2108" s="44"/>
    </row>
    <row r="2109" spans="1:2" x14ac:dyDescent="0.25">
      <c r="A2109" s="44"/>
      <c r="B2109" s="44"/>
    </row>
    <row r="2110" spans="1:2" x14ac:dyDescent="0.25">
      <c r="A2110" s="44"/>
      <c r="B2110" s="44"/>
    </row>
    <row r="2111" spans="1:2" x14ac:dyDescent="0.25">
      <c r="A2111" s="44"/>
      <c r="B2111" s="44"/>
    </row>
    <row r="2112" spans="1:2" x14ac:dyDescent="0.25">
      <c r="A2112" s="44"/>
      <c r="B2112" s="44"/>
    </row>
    <row r="2113" spans="1:2" x14ac:dyDescent="0.25">
      <c r="A2113" s="44"/>
      <c r="B2113" s="44"/>
    </row>
    <row r="2114" spans="1:2" x14ac:dyDescent="0.25">
      <c r="A2114" s="44"/>
      <c r="B2114" s="44"/>
    </row>
    <row r="2115" spans="1:2" x14ac:dyDescent="0.25">
      <c r="A2115" s="44"/>
      <c r="B2115" s="44"/>
    </row>
    <row r="2116" spans="1:2" x14ac:dyDescent="0.25">
      <c r="A2116" s="44"/>
      <c r="B2116" s="44"/>
    </row>
    <row r="2117" spans="1:2" x14ac:dyDescent="0.25">
      <c r="A2117" s="44"/>
      <c r="B2117" s="44"/>
    </row>
    <row r="2118" spans="1:2" x14ac:dyDescent="0.25">
      <c r="A2118" s="44"/>
      <c r="B2118" s="44"/>
    </row>
    <row r="2119" spans="1:2" x14ac:dyDescent="0.25">
      <c r="A2119" s="44"/>
      <c r="B2119" s="44"/>
    </row>
    <row r="2120" spans="1:2" x14ac:dyDescent="0.25">
      <c r="A2120" s="44"/>
      <c r="B2120" s="44"/>
    </row>
    <row r="2121" spans="1:2" x14ac:dyDescent="0.25">
      <c r="A2121" s="44"/>
      <c r="B2121" s="44"/>
    </row>
    <row r="2122" spans="1:2" x14ac:dyDescent="0.25">
      <c r="A2122" s="44"/>
      <c r="B2122" s="44"/>
    </row>
    <row r="2123" spans="1:2" x14ac:dyDescent="0.25">
      <c r="A2123" s="44"/>
      <c r="B2123" s="44"/>
    </row>
    <row r="2124" spans="1:2" x14ac:dyDescent="0.25">
      <c r="A2124" s="44"/>
      <c r="B2124" s="44"/>
    </row>
    <row r="2125" spans="1:2" x14ac:dyDescent="0.25">
      <c r="A2125" s="44"/>
      <c r="B2125" s="44"/>
    </row>
    <row r="2126" spans="1:2" x14ac:dyDescent="0.25">
      <c r="A2126" s="44"/>
      <c r="B2126" s="44"/>
    </row>
    <row r="2127" spans="1:2" x14ac:dyDescent="0.25">
      <c r="A2127" s="44"/>
      <c r="B2127" s="44"/>
    </row>
    <row r="2128" spans="1:2" x14ac:dyDescent="0.25">
      <c r="A2128" s="44"/>
      <c r="B2128" s="44"/>
    </row>
    <row r="2129" spans="1:2" x14ac:dyDescent="0.25">
      <c r="A2129" s="44"/>
      <c r="B2129" s="44"/>
    </row>
    <row r="2130" spans="1:2" x14ac:dyDescent="0.25">
      <c r="A2130" s="44"/>
      <c r="B2130" s="44"/>
    </row>
    <row r="2131" spans="1:2" x14ac:dyDescent="0.25">
      <c r="A2131" s="44"/>
      <c r="B2131" s="44"/>
    </row>
    <row r="2132" spans="1:2" x14ac:dyDescent="0.25">
      <c r="A2132" s="44"/>
      <c r="B2132" s="44"/>
    </row>
    <row r="2133" spans="1:2" x14ac:dyDescent="0.25">
      <c r="A2133" s="44"/>
      <c r="B2133" s="44"/>
    </row>
    <row r="2134" spans="1:2" x14ac:dyDescent="0.25">
      <c r="A2134" s="44"/>
      <c r="B2134" s="44"/>
    </row>
    <row r="2135" spans="1:2" x14ac:dyDescent="0.25">
      <c r="A2135" s="44"/>
      <c r="B2135" s="44"/>
    </row>
    <row r="2136" spans="1:2" x14ac:dyDescent="0.25">
      <c r="A2136" s="44"/>
      <c r="B2136" s="44"/>
    </row>
    <row r="2137" spans="1:2" x14ac:dyDescent="0.25">
      <c r="A2137" s="44"/>
      <c r="B2137" s="44"/>
    </row>
    <row r="2138" spans="1:2" x14ac:dyDescent="0.25">
      <c r="A2138" s="44"/>
      <c r="B2138" s="44"/>
    </row>
    <row r="2139" spans="1:2" x14ac:dyDescent="0.25">
      <c r="A2139" s="44"/>
      <c r="B2139" s="44"/>
    </row>
    <row r="2140" spans="1:2" x14ac:dyDescent="0.25">
      <c r="A2140" s="44"/>
      <c r="B2140" s="44"/>
    </row>
    <row r="2141" spans="1:2" x14ac:dyDescent="0.25">
      <c r="A2141" s="44"/>
      <c r="B2141" s="44"/>
    </row>
    <row r="2142" spans="1:2" x14ac:dyDescent="0.25">
      <c r="A2142" s="44"/>
      <c r="B2142" s="44"/>
    </row>
    <row r="2143" spans="1:2" x14ac:dyDescent="0.25">
      <c r="A2143" s="44"/>
      <c r="B2143" s="44"/>
    </row>
    <row r="2144" spans="1:2" x14ac:dyDescent="0.25">
      <c r="A2144" s="44"/>
      <c r="B2144" s="44"/>
    </row>
    <row r="2145" spans="1:2" x14ac:dyDescent="0.25">
      <c r="A2145" s="44"/>
      <c r="B2145" s="44"/>
    </row>
    <row r="2146" spans="1:2" x14ac:dyDescent="0.25">
      <c r="A2146" s="44"/>
      <c r="B2146" s="44"/>
    </row>
    <row r="2147" spans="1:2" x14ac:dyDescent="0.25">
      <c r="A2147" s="44"/>
      <c r="B2147" s="44"/>
    </row>
    <row r="2148" spans="1:2" x14ac:dyDescent="0.25">
      <c r="A2148" s="44"/>
      <c r="B2148" s="44"/>
    </row>
    <row r="2149" spans="1:2" x14ac:dyDescent="0.25">
      <c r="A2149" s="44"/>
      <c r="B2149" s="44"/>
    </row>
    <row r="2150" spans="1:2" x14ac:dyDescent="0.25">
      <c r="A2150" s="44"/>
      <c r="B2150" s="44"/>
    </row>
    <row r="2151" spans="1:2" x14ac:dyDescent="0.25">
      <c r="A2151" s="44"/>
      <c r="B2151" s="44"/>
    </row>
    <row r="2152" spans="1:2" x14ac:dyDescent="0.25">
      <c r="A2152" s="44"/>
      <c r="B2152" s="44"/>
    </row>
    <row r="2153" spans="1:2" x14ac:dyDescent="0.25">
      <c r="A2153" s="44"/>
      <c r="B2153" s="44"/>
    </row>
    <row r="2154" spans="1:2" x14ac:dyDescent="0.25">
      <c r="A2154" s="44"/>
      <c r="B2154" s="44"/>
    </row>
    <row r="2155" spans="1:2" x14ac:dyDescent="0.25">
      <c r="A2155" s="44"/>
      <c r="B2155" s="44"/>
    </row>
    <row r="2156" spans="1:2" x14ac:dyDescent="0.25">
      <c r="A2156" s="44"/>
      <c r="B2156" s="44"/>
    </row>
    <row r="2157" spans="1:2" x14ac:dyDescent="0.25">
      <c r="A2157" s="44"/>
      <c r="B2157" s="44"/>
    </row>
    <row r="2158" spans="1:2" x14ac:dyDescent="0.25">
      <c r="A2158" s="44"/>
      <c r="B2158" s="44"/>
    </row>
    <row r="2159" spans="1:2" x14ac:dyDescent="0.25">
      <c r="A2159" s="44"/>
      <c r="B2159" s="44"/>
    </row>
    <row r="2160" spans="1:2" x14ac:dyDescent="0.25">
      <c r="A2160" s="44"/>
      <c r="B2160" s="44"/>
    </row>
    <row r="2161" spans="1:2" x14ac:dyDescent="0.25">
      <c r="A2161" s="44"/>
      <c r="B2161" s="44"/>
    </row>
    <row r="2162" spans="1:2" x14ac:dyDescent="0.25">
      <c r="A2162" s="44"/>
      <c r="B2162" s="44"/>
    </row>
    <row r="2163" spans="1:2" x14ac:dyDescent="0.25">
      <c r="A2163" s="44"/>
      <c r="B2163" s="44"/>
    </row>
    <row r="2164" spans="1:2" x14ac:dyDescent="0.25">
      <c r="A2164" s="44"/>
      <c r="B2164" s="44"/>
    </row>
    <row r="2165" spans="1:2" x14ac:dyDescent="0.25">
      <c r="A2165" s="44"/>
      <c r="B2165" s="44"/>
    </row>
    <row r="2166" spans="1:2" x14ac:dyDescent="0.25">
      <c r="A2166" s="44"/>
      <c r="B2166" s="44"/>
    </row>
    <row r="2167" spans="1:2" x14ac:dyDescent="0.25">
      <c r="A2167" s="44"/>
      <c r="B2167" s="44"/>
    </row>
    <row r="2168" spans="1:2" x14ac:dyDescent="0.25">
      <c r="A2168" s="44"/>
      <c r="B2168" s="44"/>
    </row>
    <row r="2169" spans="1:2" x14ac:dyDescent="0.25">
      <c r="A2169" s="44"/>
      <c r="B2169" s="44"/>
    </row>
    <row r="2170" spans="1:2" x14ac:dyDescent="0.25">
      <c r="A2170" s="44"/>
      <c r="B2170" s="44"/>
    </row>
    <row r="2171" spans="1:2" x14ac:dyDescent="0.25">
      <c r="A2171" s="44"/>
      <c r="B2171" s="44"/>
    </row>
    <row r="2172" spans="1:2" x14ac:dyDescent="0.25">
      <c r="A2172" s="44"/>
      <c r="B2172" s="44"/>
    </row>
    <row r="2173" spans="1:2" x14ac:dyDescent="0.25">
      <c r="A2173" s="44"/>
      <c r="B2173" s="44"/>
    </row>
    <row r="2174" spans="1:2" x14ac:dyDescent="0.25">
      <c r="A2174" s="44"/>
      <c r="B2174" s="44"/>
    </row>
    <row r="2175" spans="1:2" x14ac:dyDescent="0.25">
      <c r="A2175" s="44"/>
      <c r="B2175" s="44"/>
    </row>
    <row r="2176" spans="1:2" x14ac:dyDescent="0.25">
      <c r="A2176" s="44"/>
      <c r="B2176" s="44"/>
    </row>
    <row r="2177" spans="1:2" x14ac:dyDescent="0.25">
      <c r="A2177" s="44"/>
      <c r="B2177" s="44"/>
    </row>
    <row r="2178" spans="1:2" x14ac:dyDescent="0.25">
      <c r="A2178" s="44"/>
      <c r="B2178" s="44"/>
    </row>
    <row r="2179" spans="1:2" x14ac:dyDescent="0.25">
      <c r="A2179" s="44"/>
      <c r="B2179" s="44"/>
    </row>
    <row r="2180" spans="1:2" x14ac:dyDescent="0.25">
      <c r="A2180" s="44"/>
      <c r="B2180" s="44"/>
    </row>
    <row r="2181" spans="1:2" x14ac:dyDescent="0.25">
      <c r="A2181" s="44"/>
      <c r="B2181" s="44"/>
    </row>
    <row r="2182" spans="1:2" x14ac:dyDescent="0.25">
      <c r="A2182" s="44"/>
      <c r="B2182" s="44"/>
    </row>
    <row r="2183" spans="1:2" x14ac:dyDescent="0.25">
      <c r="A2183" s="44"/>
      <c r="B2183" s="44"/>
    </row>
    <row r="2184" spans="1:2" x14ac:dyDescent="0.25">
      <c r="A2184" s="44"/>
      <c r="B2184" s="44"/>
    </row>
    <row r="2185" spans="1:2" x14ac:dyDescent="0.25">
      <c r="A2185" s="44"/>
      <c r="B2185" s="44"/>
    </row>
    <row r="2186" spans="1:2" x14ac:dyDescent="0.25">
      <c r="A2186" s="44"/>
      <c r="B2186" s="44"/>
    </row>
    <row r="2187" spans="1:2" x14ac:dyDescent="0.25">
      <c r="A2187" s="44"/>
      <c r="B2187" s="44"/>
    </row>
    <row r="2188" spans="1:2" x14ac:dyDescent="0.25">
      <c r="A2188" s="44"/>
      <c r="B2188" s="44"/>
    </row>
    <row r="2189" spans="1:2" x14ac:dyDescent="0.25">
      <c r="A2189" s="44"/>
      <c r="B2189" s="44"/>
    </row>
    <row r="2190" spans="1:2" x14ac:dyDescent="0.25">
      <c r="A2190" s="44"/>
      <c r="B2190" s="44"/>
    </row>
    <row r="2191" spans="1:2" x14ac:dyDescent="0.25">
      <c r="A2191" s="44"/>
      <c r="B2191" s="44"/>
    </row>
    <row r="2192" spans="1:2" x14ac:dyDescent="0.25">
      <c r="A2192" s="44"/>
      <c r="B2192" s="44"/>
    </row>
    <row r="2193" spans="1:2" x14ac:dyDescent="0.25">
      <c r="A2193" s="44"/>
      <c r="B2193" s="44"/>
    </row>
    <row r="2194" spans="1:2" x14ac:dyDescent="0.25">
      <c r="A2194" s="44"/>
      <c r="B2194" s="44"/>
    </row>
    <row r="2195" spans="1:2" x14ac:dyDescent="0.25">
      <c r="A2195" s="44"/>
      <c r="B2195" s="44"/>
    </row>
    <row r="2196" spans="1:2" x14ac:dyDescent="0.25">
      <c r="A2196" s="44"/>
      <c r="B2196" s="44"/>
    </row>
    <row r="2197" spans="1:2" x14ac:dyDescent="0.25">
      <c r="A2197" s="44"/>
      <c r="B2197" s="44"/>
    </row>
    <row r="2198" spans="1:2" x14ac:dyDescent="0.25">
      <c r="A2198" s="44"/>
      <c r="B2198" s="44"/>
    </row>
    <row r="2199" spans="1:2" x14ac:dyDescent="0.25">
      <c r="A2199" s="44"/>
      <c r="B2199" s="44"/>
    </row>
    <row r="2200" spans="1:2" x14ac:dyDescent="0.25">
      <c r="A2200" s="44"/>
      <c r="B2200" s="44"/>
    </row>
    <row r="2201" spans="1:2" x14ac:dyDescent="0.25">
      <c r="A2201" s="44"/>
      <c r="B2201" s="44"/>
    </row>
    <row r="2202" spans="1:2" x14ac:dyDescent="0.25">
      <c r="A2202" s="44"/>
      <c r="B2202" s="44"/>
    </row>
    <row r="2203" spans="1:2" x14ac:dyDescent="0.25">
      <c r="A2203" s="44"/>
      <c r="B2203" s="44"/>
    </row>
    <row r="2204" spans="1:2" x14ac:dyDescent="0.25">
      <c r="A2204" s="44"/>
      <c r="B2204" s="44"/>
    </row>
    <row r="2205" spans="1:2" x14ac:dyDescent="0.25">
      <c r="A2205" s="44"/>
      <c r="B2205" s="44"/>
    </row>
    <row r="2206" spans="1:2" x14ac:dyDescent="0.25">
      <c r="A2206" s="44"/>
      <c r="B2206" s="44"/>
    </row>
    <row r="2207" spans="1:2" x14ac:dyDescent="0.25">
      <c r="A2207" s="44"/>
      <c r="B2207" s="44"/>
    </row>
    <row r="2208" spans="1:2" x14ac:dyDescent="0.25">
      <c r="A2208" s="44"/>
      <c r="B2208" s="44"/>
    </row>
    <row r="2209" spans="1:2" x14ac:dyDescent="0.25">
      <c r="A2209" s="44"/>
      <c r="B2209" s="44"/>
    </row>
    <row r="2210" spans="1:2" x14ac:dyDescent="0.25">
      <c r="A2210" s="44"/>
      <c r="B2210" s="44"/>
    </row>
    <row r="2211" spans="1:2" x14ac:dyDescent="0.25">
      <c r="A2211" s="44"/>
      <c r="B2211" s="44"/>
    </row>
    <row r="2212" spans="1:2" x14ac:dyDescent="0.25">
      <c r="A2212" s="44"/>
      <c r="B2212" s="44"/>
    </row>
    <row r="2213" spans="1:2" x14ac:dyDescent="0.25">
      <c r="A2213" s="44"/>
      <c r="B2213" s="44"/>
    </row>
    <row r="2214" spans="1:2" x14ac:dyDescent="0.25">
      <c r="A2214" s="44"/>
      <c r="B2214" s="44"/>
    </row>
    <row r="2215" spans="1:2" x14ac:dyDescent="0.25">
      <c r="A2215" s="44"/>
      <c r="B2215" s="44"/>
    </row>
    <row r="2216" spans="1:2" x14ac:dyDescent="0.25">
      <c r="A2216" s="44"/>
      <c r="B2216" s="44"/>
    </row>
    <row r="2217" spans="1:2" x14ac:dyDescent="0.25">
      <c r="A2217" s="44"/>
      <c r="B2217" s="44"/>
    </row>
    <row r="2218" spans="1:2" x14ac:dyDescent="0.25">
      <c r="A2218" s="44"/>
      <c r="B2218" s="44"/>
    </row>
    <row r="2219" spans="1:2" x14ac:dyDescent="0.25">
      <c r="A2219" s="44"/>
      <c r="B2219" s="44"/>
    </row>
    <row r="2220" spans="1:2" x14ac:dyDescent="0.25">
      <c r="A2220" s="44"/>
      <c r="B2220" s="44"/>
    </row>
    <row r="2221" spans="1:2" x14ac:dyDescent="0.25">
      <c r="A2221" s="44"/>
      <c r="B2221" s="44"/>
    </row>
    <row r="2222" spans="1:2" x14ac:dyDescent="0.25">
      <c r="A2222" s="44"/>
      <c r="B2222" s="44"/>
    </row>
    <row r="2223" spans="1:2" x14ac:dyDescent="0.25">
      <c r="A2223" s="44"/>
      <c r="B2223" s="44"/>
    </row>
    <row r="2224" spans="1:2" x14ac:dyDescent="0.25">
      <c r="A2224" s="44"/>
      <c r="B2224" s="44"/>
    </row>
    <row r="2225" spans="1:2" x14ac:dyDescent="0.25">
      <c r="A2225" s="44"/>
      <c r="B2225" s="44"/>
    </row>
    <row r="2226" spans="1:2" x14ac:dyDescent="0.25">
      <c r="A2226" s="44"/>
      <c r="B2226" s="44"/>
    </row>
    <row r="2227" spans="1:2" x14ac:dyDescent="0.25">
      <c r="A2227" s="44"/>
      <c r="B2227" s="44"/>
    </row>
    <row r="2228" spans="1:2" x14ac:dyDescent="0.25">
      <c r="A2228" s="44"/>
      <c r="B2228" s="44"/>
    </row>
    <row r="2229" spans="1:2" x14ac:dyDescent="0.25">
      <c r="A2229" s="44"/>
      <c r="B2229" s="44"/>
    </row>
    <row r="2230" spans="1:2" x14ac:dyDescent="0.25">
      <c r="A2230" s="44"/>
      <c r="B2230" s="44"/>
    </row>
    <row r="2231" spans="1:2" x14ac:dyDescent="0.25">
      <c r="A2231" s="44"/>
      <c r="B2231" s="44"/>
    </row>
    <row r="2232" spans="1:2" x14ac:dyDescent="0.25">
      <c r="A2232" s="44"/>
      <c r="B2232" s="44"/>
    </row>
    <row r="2233" spans="1:2" x14ac:dyDescent="0.25">
      <c r="A2233" s="44"/>
      <c r="B2233" s="44"/>
    </row>
    <row r="2234" spans="1:2" x14ac:dyDescent="0.25">
      <c r="A2234" s="44"/>
      <c r="B2234" s="44"/>
    </row>
    <row r="2235" spans="1:2" x14ac:dyDescent="0.25">
      <c r="A2235" s="44"/>
      <c r="B2235" s="44"/>
    </row>
    <row r="2236" spans="1:2" x14ac:dyDescent="0.25">
      <c r="A2236" s="44"/>
      <c r="B2236" s="44"/>
    </row>
    <row r="2237" spans="1:2" x14ac:dyDescent="0.25">
      <c r="A2237" s="44"/>
      <c r="B2237" s="44"/>
    </row>
    <row r="2238" spans="1:2" x14ac:dyDescent="0.25">
      <c r="A2238" s="44"/>
      <c r="B2238" s="44"/>
    </row>
    <row r="2239" spans="1:2" x14ac:dyDescent="0.25">
      <c r="A2239" s="44"/>
      <c r="B2239" s="44"/>
    </row>
    <row r="2240" spans="1:2" x14ac:dyDescent="0.25">
      <c r="A2240" s="44"/>
      <c r="B2240" s="44"/>
    </row>
    <row r="2241" spans="1:2" x14ac:dyDescent="0.25">
      <c r="A2241" s="44"/>
      <c r="B2241" s="44"/>
    </row>
    <row r="2242" spans="1:2" x14ac:dyDescent="0.25">
      <c r="A2242" s="44"/>
      <c r="B2242" s="44"/>
    </row>
    <row r="2243" spans="1:2" x14ac:dyDescent="0.25">
      <c r="A2243" s="44"/>
      <c r="B2243" s="44"/>
    </row>
    <row r="2244" spans="1:2" x14ac:dyDescent="0.25">
      <c r="A2244" s="44"/>
      <c r="B2244" s="44"/>
    </row>
    <row r="2245" spans="1:2" x14ac:dyDescent="0.25">
      <c r="A2245" s="44"/>
      <c r="B2245" s="44"/>
    </row>
    <row r="2246" spans="1:2" x14ac:dyDescent="0.25">
      <c r="A2246" s="44"/>
      <c r="B2246" s="44"/>
    </row>
    <row r="2247" spans="1:2" x14ac:dyDescent="0.25">
      <c r="A2247" s="44"/>
      <c r="B2247" s="44"/>
    </row>
    <row r="2248" spans="1:2" x14ac:dyDescent="0.25">
      <c r="A2248" s="44"/>
      <c r="B2248" s="44"/>
    </row>
    <row r="2249" spans="1:2" x14ac:dyDescent="0.25">
      <c r="A2249" s="44"/>
      <c r="B2249" s="44"/>
    </row>
    <row r="2250" spans="1:2" x14ac:dyDescent="0.25">
      <c r="A2250" s="44"/>
      <c r="B2250" s="44"/>
    </row>
    <row r="2251" spans="1:2" x14ac:dyDescent="0.25">
      <c r="A2251" s="44"/>
      <c r="B2251" s="44"/>
    </row>
    <row r="2252" spans="1:2" x14ac:dyDescent="0.25">
      <c r="A2252" s="44"/>
      <c r="B2252" s="44"/>
    </row>
    <row r="2253" spans="1:2" x14ac:dyDescent="0.25">
      <c r="A2253" s="44"/>
      <c r="B2253" s="44"/>
    </row>
    <row r="2254" spans="1:2" x14ac:dyDescent="0.25">
      <c r="A2254" s="44"/>
      <c r="B2254" s="44"/>
    </row>
    <row r="2255" spans="1:2" x14ac:dyDescent="0.25">
      <c r="A2255" s="44"/>
      <c r="B2255" s="44"/>
    </row>
    <row r="2256" spans="1:2" x14ac:dyDescent="0.25">
      <c r="A2256" s="44"/>
      <c r="B2256" s="44"/>
    </row>
    <row r="2257" spans="1:2" x14ac:dyDescent="0.25">
      <c r="A2257" s="44"/>
      <c r="B2257" s="44"/>
    </row>
    <row r="2258" spans="1:2" x14ac:dyDescent="0.25">
      <c r="A2258" s="44"/>
      <c r="B2258" s="44"/>
    </row>
    <row r="2259" spans="1:2" x14ac:dyDescent="0.25">
      <c r="A2259" s="44"/>
      <c r="B2259" s="44"/>
    </row>
    <row r="2260" spans="1:2" x14ac:dyDescent="0.25">
      <c r="A2260" s="44"/>
      <c r="B2260" s="44"/>
    </row>
    <row r="2261" spans="1:2" x14ac:dyDescent="0.25">
      <c r="A2261" s="44"/>
      <c r="B2261" s="44"/>
    </row>
    <row r="2262" spans="1:2" x14ac:dyDescent="0.25">
      <c r="A2262" s="44"/>
      <c r="B2262" s="44"/>
    </row>
    <row r="2263" spans="1:2" x14ac:dyDescent="0.25">
      <c r="A2263" s="44"/>
      <c r="B2263" s="44"/>
    </row>
    <row r="2264" spans="1:2" x14ac:dyDescent="0.25">
      <c r="A2264" s="44"/>
      <c r="B2264" s="44"/>
    </row>
    <row r="2265" spans="1:2" x14ac:dyDescent="0.25">
      <c r="A2265" s="44"/>
      <c r="B2265" s="44"/>
    </row>
    <row r="2266" spans="1:2" x14ac:dyDescent="0.25">
      <c r="A2266" s="44"/>
      <c r="B2266" s="44"/>
    </row>
    <row r="2267" spans="1:2" x14ac:dyDescent="0.25">
      <c r="A2267" s="44"/>
      <c r="B2267" s="44"/>
    </row>
    <row r="2268" spans="1:2" x14ac:dyDescent="0.25">
      <c r="A2268" s="44"/>
      <c r="B2268" s="44"/>
    </row>
    <row r="2269" spans="1:2" x14ac:dyDescent="0.25">
      <c r="A2269" s="44"/>
      <c r="B2269" s="44"/>
    </row>
    <row r="2270" spans="1:2" x14ac:dyDescent="0.25">
      <c r="A2270" s="44"/>
      <c r="B2270" s="44"/>
    </row>
    <row r="2271" spans="1:2" x14ac:dyDescent="0.25">
      <c r="A2271" s="44"/>
      <c r="B2271" s="44"/>
    </row>
    <row r="2272" spans="1:2" x14ac:dyDescent="0.25">
      <c r="A2272" s="44"/>
      <c r="B2272" s="44"/>
    </row>
    <row r="2273" spans="1:2" x14ac:dyDescent="0.25">
      <c r="A2273" s="44"/>
      <c r="B2273" s="44"/>
    </row>
    <row r="2274" spans="1:2" x14ac:dyDescent="0.25">
      <c r="A2274" s="44"/>
      <c r="B2274" s="44"/>
    </row>
    <row r="2275" spans="1:2" x14ac:dyDescent="0.25">
      <c r="A2275" s="44"/>
      <c r="B2275" s="44"/>
    </row>
    <row r="2276" spans="1:2" x14ac:dyDescent="0.25">
      <c r="A2276" s="44"/>
      <c r="B2276" s="44"/>
    </row>
    <row r="2277" spans="1:2" x14ac:dyDescent="0.25">
      <c r="A2277" s="44"/>
      <c r="B2277" s="44"/>
    </row>
    <row r="2278" spans="1:2" x14ac:dyDescent="0.25">
      <c r="A2278" s="44"/>
      <c r="B2278" s="44"/>
    </row>
    <row r="2279" spans="1:2" x14ac:dyDescent="0.25">
      <c r="A2279" s="44"/>
      <c r="B2279" s="44"/>
    </row>
    <row r="2280" spans="1:2" x14ac:dyDescent="0.25">
      <c r="A2280" s="44"/>
      <c r="B2280" s="44"/>
    </row>
    <row r="2281" spans="1:2" x14ac:dyDescent="0.25">
      <c r="A2281" s="44"/>
      <c r="B2281" s="44"/>
    </row>
    <row r="2282" spans="1:2" x14ac:dyDescent="0.25">
      <c r="A2282" s="44"/>
      <c r="B2282" s="44"/>
    </row>
    <row r="2283" spans="1:2" x14ac:dyDescent="0.25">
      <c r="A2283" s="44"/>
      <c r="B2283" s="44"/>
    </row>
    <row r="2284" spans="1:2" x14ac:dyDescent="0.25">
      <c r="A2284" s="44"/>
      <c r="B2284" s="44"/>
    </row>
    <row r="2285" spans="1:2" x14ac:dyDescent="0.25">
      <c r="A2285" s="44"/>
      <c r="B2285" s="44"/>
    </row>
    <row r="2286" spans="1:2" x14ac:dyDescent="0.25">
      <c r="A2286" s="44"/>
      <c r="B2286" s="44"/>
    </row>
    <row r="2287" spans="1:2" x14ac:dyDescent="0.25">
      <c r="A2287" s="44"/>
      <c r="B2287" s="44"/>
    </row>
    <row r="2288" spans="1:2" x14ac:dyDescent="0.25">
      <c r="A2288" s="44"/>
      <c r="B2288" s="44"/>
    </row>
    <row r="2289" spans="1:2" x14ac:dyDescent="0.25">
      <c r="A2289" s="44"/>
      <c r="B2289" s="44"/>
    </row>
    <row r="2290" spans="1:2" x14ac:dyDescent="0.25">
      <c r="A2290" s="44"/>
      <c r="B2290" s="44"/>
    </row>
    <row r="2291" spans="1:2" x14ac:dyDescent="0.25">
      <c r="A2291" s="44"/>
      <c r="B2291" s="44"/>
    </row>
    <row r="2292" spans="1:2" x14ac:dyDescent="0.25">
      <c r="A2292" s="44"/>
      <c r="B2292" s="44"/>
    </row>
    <row r="2293" spans="1:2" x14ac:dyDescent="0.25">
      <c r="A2293" s="44"/>
      <c r="B2293" s="44"/>
    </row>
    <row r="2294" spans="1:2" x14ac:dyDescent="0.25">
      <c r="A2294" s="44"/>
      <c r="B2294" s="44"/>
    </row>
    <row r="2295" spans="1:2" x14ac:dyDescent="0.25">
      <c r="A2295" s="44"/>
      <c r="B2295" s="44"/>
    </row>
    <row r="2296" spans="1:2" x14ac:dyDescent="0.25">
      <c r="A2296" s="44"/>
      <c r="B2296" s="44"/>
    </row>
    <row r="2297" spans="1:2" x14ac:dyDescent="0.25">
      <c r="A2297" s="44"/>
      <c r="B2297" s="44"/>
    </row>
    <row r="2298" spans="1:2" x14ac:dyDescent="0.25">
      <c r="A2298" s="44"/>
      <c r="B2298" s="44"/>
    </row>
    <row r="2299" spans="1:2" x14ac:dyDescent="0.25">
      <c r="A2299" s="44"/>
      <c r="B2299" s="44"/>
    </row>
    <row r="2300" spans="1:2" x14ac:dyDescent="0.25">
      <c r="A2300" s="44"/>
      <c r="B2300" s="44"/>
    </row>
    <row r="2301" spans="1:2" x14ac:dyDescent="0.25">
      <c r="A2301" s="44"/>
      <c r="B2301" s="44"/>
    </row>
    <row r="2302" spans="1:2" x14ac:dyDescent="0.25">
      <c r="A2302" s="44"/>
      <c r="B2302" s="44"/>
    </row>
    <row r="2303" spans="1:2" x14ac:dyDescent="0.25">
      <c r="A2303" s="44"/>
      <c r="B2303" s="44"/>
    </row>
    <row r="2304" spans="1:2" x14ac:dyDescent="0.25">
      <c r="A2304" s="44"/>
      <c r="B2304" s="44"/>
    </row>
    <row r="2305" spans="1:2" x14ac:dyDescent="0.25">
      <c r="A2305" s="44"/>
      <c r="B2305" s="44"/>
    </row>
    <row r="2306" spans="1:2" x14ac:dyDescent="0.25">
      <c r="A2306" s="44"/>
      <c r="B2306" s="44"/>
    </row>
    <row r="2307" spans="1:2" x14ac:dyDescent="0.25">
      <c r="A2307" s="44"/>
      <c r="B2307" s="44"/>
    </row>
    <row r="2308" spans="1:2" x14ac:dyDescent="0.25">
      <c r="A2308" s="44"/>
      <c r="B2308" s="44"/>
    </row>
    <row r="2309" spans="1:2" x14ac:dyDescent="0.25">
      <c r="A2309" s="44"/>
      <c r="B2309" s="44"/>
    </row>
    <row r="2310" spans="1:2" x14ac:dyDescent="0.25">
      <c r="A2310" s="44"/>
      <c r="B2310" s="44"/>
    </row>
    <row r="2311" spans="1:2" x14ac:dyDescent="0.25">
      <c r="A2311" s="44"/>
      <c r="B2311" s="44"/>
    </row>
    <row r="2312" spans="1:2" x14ac:dyDescent="0.25">
      <c r="A2312" s="44"/>
      <c r="B2312" s="44"/>
    </row>
    <row r="2313" spans="1:2" x14ac:dyDescent="0.25">
      <c r="A2313" s="44"/>
      <c r="B2313" s="44"/>
    </row>
    <row r="2314" spans="1:2" x14ac:dyDescent="0.25">
      <c r="A2314" s="44"/>
      <c r="B2314" s="44"/>
    </row>
    <row r="2315" spans="1:2" x14ac:dyDescent="0.25">
      <c r="A2315" s="44"/>
      <c r="B2315" s="44"/>
    </row>
    <row r="2316" spans="1:2" x14ac:dyDescent="0.25">
      <c r="A2316" s="44"/>
      <c r="B2316" s="44"/>
    </row>
    <row r="2317" spans="1:2" x14ac:dyDescent="0.25">
      <c r="A2317" s="44"/>
      <c r="B2317" s="44"/>
    </row>
    <row r="2318" spans="1:2" x14ac:dyDescent="0.25">
      <c r="A2318" s="44"/>
      <c r="B2318" s="44"/>
    </row>
    <row r="2319" spans="1:2" x14ac:dyDescent="0.25">
      <c r="A2319" s="44"/>
      <c r="B2319" s="44"/>
    </row>
    <row r="2320" spans="1:2" x14ac:dyDescent="0.25">
      <c r="A2320" s="44"/>
      <c r="B2320" s="44"/>
    </row>
    <row r="2321" spans="1:2" x14ac:dyDescent="0.25">
      <c r="A2321" s="44"/>
      <c r="B2321" s="44"/>
    </row>
    <row r="2322" spans="1:2" x14ac:dyDescent="0.25">
      <c r="A2322" s="44"/>
      <c r="B2322" s="44"/>
    </row>
    <row r="2323" spans="1:2" x14ac:dyDescent="0.25">
      <c r="A2323" s="44"/>
      <c r="B2323" s="44"/>
    </row>
    <row r="2324" spans="1:2" x14ac:dyDescent="0.25">
      <c r="A2324" s="44"/>
      <c r="B2324" s="44"/>
    </row>
    <row r="2325" spans="1:2" x14ac:dyDescent="0.25">
      <c r="A2325" s="44"/>
      <c r="B2325" s="44"/>
    </row>
    <row r="2326" spans="1:2" x14ac:dyDescent="0.25">
      <c r="A2326" s="44"/>
      <c r="B2326" s="44"/>
    </row>
    <row r="2327" spans="1:2" x14ac:dyDescent="0.25">
      <c r="A2327" s="44"/>
      <c r="B2327" s="44"/>
    </row>
    <row r="2328" spans="1:2" x14ac:dyDescent="0.25">
      <c r="A2328" s="44"/>
      <c r="B2328" s="44"/>
    </row>
    <row r="2329" spans="1:2" x14ac:dyDescent="0.25">
      <c r="A2329" s="44"/>
      <c r="B2329" s="44"/>
    </row>
    <row r="2330" spans="1:2" x14ac:dyDescent="0.25">
      <c r="A2330" s="44"/>
      <c r="B2330" s="44"/>
    </row>
    <row r="2331" spans="1:2" x14ac:dyDescent="0.25">
      <c r="A2331" s="44"/>
      <c r="B2331" s="44"/>
    </row>
    <row r="2332" spans="1:2" x14ac:dyDescent="0.25">
      <c r="A2332" s="44"/>
      <c r="B2332" s="44"/>
    </row>
    <row r="2333" spans="1:2" x14ac:dyDescent="0.25">
      <c r="A2333" s="44"/>
      <c r="B2333" s="44"/>
    </row>
    <row r="2334" spans="1:2" x14ac:dyDescent="0.25">
      <c r="A2334" s="44"/>
      <c r="B2334" s="44"/>
    </row>
    <row r="2335" spans="1:2" x14ac:dyDescent="0.25">
      <c r="A2335" s="44"/>
      <c r="B2335" s="44"/>
    </row>
    <row r="2336" spans="1:2" x14ac:dyDescent="0.25">
      <c r="A2336" s="44"/>
      <c r="B2336" s="44"/>
    </row>
    <row r="2337" spans="1:2" x14ac:dyDescent="0.25">
      <c r="A2337" s="44"/>
      <c r="B2337" s="44"/>
    </row>
    <row r="2338" spans="1:2" x14ac:dyDescent="0.25">
      <c r="A2338" s="44"/>
      <c r="B2338" s="44"/>
    </row>
    <row r="2339" spans="1:2" x14ac:dyDescent="0.25">
      <c r="A2339" s="44"/>
      <c r="B2339" s="44"/>
    </row>
    <row r="2340" spans="1:2" x14ac:dyDescent="0.25">
      <c r="A2340" s="44"/>
      <c r="B2340" s="44"/>
    </row>
    <row r="2341" spans="1:2" x14ac:dyDescent="0.25">
      <c r="A2341" s="44"/>
      <c r="B2341" s="44"/>
    </row>
    <row r="2342" spans="1:2" x14ac:dyDescent="0.25">
      <c r="A2342" s="44"/>
      <c r="B2342" s="44"/>
    </row>
    <row r="2343" spans="1:2" x14ac:dyDescent="0.25">
      <c r="A2343" s="44"/>
      <c r="B2343" s="44"/>
    </row>
    <row r="2344" spans="1:2" x14ac:dyDescent="0.25">
      <c r="A2344" s="44"/>
      <c r="B2344" s="44"/>
    </row>
    <row r="2345" spans="1:2" x14ac:dyDescent="0.25">
      <c r="A2345" s="44"/>
      <c r="B2345" s="44"/>
    </row>
    <row r="2346" spans="1:2" x14ac:dyDescent="0.25">
      <c r="A2346" s="44"/>
      <c r="B2346" s="44"/>
    </row>
    <row r="2347" spans="1:2" x14ac:dyDescent="0.25">
      <c r="A2347" s="44"/>
      <c r="B2347" s="44"/>
    </row>
    <row r="2348" spans="1:2" x14ac:dyDescent="0.25">
      <c r="A2348" s="44"/>
      <c r="B2348" s="44"/>
    </row>
    <row r="2349" spans="1:2" x14ac:dyDescent="0.25">
      <c r="A2349" s="44"/>
      <c r="B2349" s="44"/>
    </row>
    <row r="2350" spans="1:2" x14ac:dyDescent="0.25">
      <c r="A2350" s="44"/>
      <c r="B2350" s="44"/>
    </row>
    <row r="2351" spans="1:2" x14ac:dyDescent="0.25">
      <c r="A2351" s="44"/>
      <c r="B2351" s="44"/>
    </row>
    <row r="2352" spans="1:2" x14ac:dyDescent="0.25">
      <c r="A2352" s="44"/>
      <c r="B2352" s="44"/>
    </row>
    <row r="2353" spans="1:2" x14ac:dyDescent="0.25">
      <c r="A2353" s="44"/>
      <c r="B2353" s="44"/>
    </row>
    <row r="2354" spans="1:2" x14ac:dyDescent="0.25">
      <c r="A2354" s="44"/>
      <c r="B2354" s="44"/>
    </row>
    <row r="2355" spans="1:2" x14ac:dyDescent="0.25">
      <c r="A2355" s="44"/>
      <c r="B2355" s="44"/>
    </row>
    <row r="2356" spans="1:2" x14ac:dyDescent="0.25">
      <c r="A2356" s="44"/>
      <c r="B2356" s="44"/>
    </row>
    <row r="2357" spans="1:2" x14ac:dyDescent="0.25">
      <c r="A2357" s="44"/>
      <c r="B2357" s="44"/>
    </row>
    <row r="2358" spans="1:2" x14ac:dyDescent="0.25">
      <c r="A2358" s="44"/>
      <c r="B2358" s="44"/>
    </row>
    <row r="2359" spans="1:2" x14ac:dyDescent="0.25">
      <c r="A2359" s="44"/>
      <c r="B2359" s="44"/>
    </row>
    <row r="2360" spans="1:2" x14ac:dyDescent="0.25">
      <c r="A2360" s="44"/>
      <c r="B2360" s="44"/>
    </row>
    <row r="2361" spans="1:2" x14ac:dyDescent="0.25">
      <c r="A2361" s="44"/>
      <c r="B2361" s="44"/>
    </row>
    <row r="2362" spans="1:2" x14ac:dyDescent="0.25">
      <c r="A2362" s="44"/>
      <c r="B2362" s="44"/>
    </row>
    <row r="2363" spans="1:2" x14ac:dyDescent="0.25">
      <c r="A2363" s="44"/>
      <c r="B2363" s="44"/>
    </row>
    <row r="2364" spans="1:2" x14ac:dyDescent="0.25">
      <c r="A2364" s="44"/>
      <c r="B2364" s="44"/>
    </row>
    <row r="2365" spans="1:2" x14ac:dyDescent="0.25">
      <c r="A2365" s="44"/>
      <c r="B2365" s="44"/>
    </row>
    <row r="2366" spans="1:2" x14ac:dyDescent="0.25">
      <c r="A2366" s="44"/>
      <c r="B2366" s="44"/>
    </row>
    <row r="2367" spans="1:2" x14ac:dyDescent="0.25">
      <c r="A2367" s="44"/>
      <c r="B2367" s="44"/>
    </row>
    <row r="2368" spans="1:2" x14ac:dyDescent="0.25">
      <c r="A2368" s="44"/>
      <c r="B2368" s="44"/>
    </row>
    <row r="2369" spans="1:2" x14ac:dyDescent="0.25">
      <c r="A2369" s="44"/>
      <c r="B2369" s="44"/>
    </row>
    <row r="2370" spans="1:2" x14ac:dyDescent="0.25">
      <c r="A2370" s="44"/>
      <c r="B2370" s="44"/>
    </row>
    <row r="2371" spans="1:2" x14ac:dyDescent="0.25">
      <c r="A2371" s="44"/>
      <c r="B2371" s="44"/>
    </row>
    <row r="2372" spans="1:2" x14ac:dyDescent="0.25">
      <c r="A2372" s="44"/>
      <c r="B2372" s="44"/>
    </row>
    <row r="2373" spans="1:2" x14ac:dyDescent="0.25">
      <c r="A2373" s="44"/>
      <c r="B2373" s="44"/>
    </row>
    <row r="2374" spans="1:2" x14ac:dyDescent="0.25">
      <c r="A2374" s="44"/>
      <c r="B2374" s="44"/>
    </row>
    <row r="2375" spans="1:2" x14ac:dyDescent="0.25">
      <c r="A2375" s="44"/>
      <c r="B2375" s="44"/>
    </row>
    <row r="2376" spans="1:2" x14ac:dyDescent="0.25">
      <c r="A2376" s="44"/>
      <c r="B2376" s="44"/>
    </row>
    <row r="2377" spans="1:2" x14ac:dyDescent="0.25">
      <c r="A2377" s="44"/>
      <c r="B2377" s="44"/>
    </row>
    <row r="2378" spans="1:2" x14ac:dyDescent="0.25">
      <c r="A2378" s="44"/>
      <c r="B2378" s="44"/>
    </row>
    <row r="2379" spans="1:2" x14ac:dyDescent="0.25">
      <c r="A2379" s="44"/>
      <c r="B2379" s="44"/>
    </row>
    <row r="2380" spans="1:2" x14ac:dyDescent="0.25">
      <c r="A2380" s="44"/>
      <c r="B2380" s="44"/>
    </row>
    <row r="2381" spans="1:2" x14ac:dyDescent="0.25">
      <c r="A2381" s="44"/>
      <c r="B2381" s="44"/>
    </row>
    <row r="2382" spans="1:2" x14ac:dyDescent="0.25">
      <c r="A2382" s="44"/>
      <c r="B2382" s="44"/>
    </row>
    <row r="2383" spans="1:2" x14ac:dyDescent="0.25">
      <c r="A2383" s="44"/>
      <c r="B2383" s="44"/>
    </row>
    <row r="2384" spans="1:2" x14ac:dyDescent="0.25">
      <c r="A2384" s="44"/>
      <c r="B2384" s="44"/>
    </row>
    <row r="2385" spans="1:2" x14ac:dyDescent="0.25">
      <c r="A2385" s="44"/>
      <c r="B2385" s="44"/>
    </row>
    <row r="2386" spans="1:2" x14ac:dyDescent="0.25">
      <c r="A2386" s="44"/>
      <c r="B2386" s="44"/>
    </row>
    <row r="2387" spans="1:2" x14ac:dyDescent="0.25">
      <c r="A2387" s="44"/>
      <c r="B2387" s="44"/>
    </row>
    <row r="2388" spans="1:2" x14ac:dyDescent="0.25">
      <c r="A2388" s="44"/>
      <c r="B2388" s="44"/>
    </row>
    <row r="2389" spans="1:2" x14ac:dyDescent="0.25">
      <c r="A2389" s="44"/>
      <c r="B2389" s="44"/>
    </row>
    <row r="2390" spans="1:2" x14ac:dyDescent="0.25">
      <c r="A2390" s="44"/>
      <c r="B2390" s="44"/>
    </row>
    <row r="2391" spans="1:2" x14ac:dyDescent="0.25">
      <c r="A2391" s="44"/>
      <c r="B2391" s="44"/>
    </row>
    <row r="2392" spans="1:2" x14ac:dyDescent="0.25">
      <c r="A2392" s="44"/>
      <c r="B2392" s="44"/>
    </row>
    <row r="2393" spans="1:2" x14ac:dyDescent="0.25">
      <c r="A2393" s="44"/>
      <c r="B2393" s="44"/>
    </row>
    <row r="2394" spans="1:2" x14ac:dyDescent="0.25">
      <c r="A2394" s="44"/>
      <c r="B2394" s="44"/>
    </row>
    <row r="2395" spans="1:2" x14ac:dyDescent="0.25">
      <c r="A2395" s="44"/>
      <c r="B2395" s="44"/>
    </row>
    <row r="2396" spans="1:2" x14ac:dyDescent="0.25">
      <c r="A2396" s="44"/>
      <c r="B2396" s="44"/>
    </row>
    <row r="2397" spans="1:2" x14ac:dyDescent="0.25">
      <c r="A2397" s="44"/>
      <c r="B2397" s="44"/>
    </row>
    <row r="2398" spans="1:2" x14ac:dyDescent="0.25">
      <c r="A2398" s="44"/>
      <c r="B2398" s="44"/>
    </row>
    <row r="2399" spans="1:2" x14ac:dyDescent="0.25">
      <c r="A2399" s="44"/>
      <c r="B2399" s="44"/>
    </row>
    <row r="2400" spans="1:2" x14ac:dyDescent="0.25">
      <c r="A2400" s="44"/>
      <c r="B2400" s="44"/>
    </row>
    <row r="2401" spans="1:2" x14ac:dyDescent="0.25">
      <c r="A2401" s="44"/>
      <c r="B2401" s="44"/>
    </row>
    <row r="2402" spans="1:2" x14ac:dyDescent="0.25">
      <c r="A2402" s="44"/>
      <c r="B2402" s="44"/>
    </row>
    <row r="2403" spans="1:2" x14ac:dyDescent="0.25">
      <c r="A2403" s="44"/>
      <c r="B2403" s="44"/>
    </row>
    <row r="2404" spans="1:2" x14ac:dyDescent="0.25">
      <c r="A2404" s="44"/>
      <c r="B2404" s="44"/>
    </row>
    <row r="2405" spans="1:2" x14ac:dyDescent="0.25">
      <c r="A2405" s="44"/>
      <c r="B2405" s="44"/>
    </row>
    <row r="2406" spans="1:2" x14ac:dyDescent="0.25">
      <c r="A2406" s="44"/>
      <c r="B2406" s="44"/>
    </row>
    <row r="2407" spans="1:2" x14ac:dyDescent="0.25">
      <c r="A2407" s="44"/>
      <c r="B2407" s="44"/>
    </row>
    <row r="2408" spans="1:2" x14ac:dyDescent="0.25">
      <c r="A2408" s="44"/>
      <c r="B2408" s="44"/>
    </row>
    <row r="2409" spans="1:2" x14ac:dyDescent="0.25">
      <c r="A2409" s="44"/>
      <c r="B2409" s="44"/>
    </row>
    <row r="2410" spans="1:2" x14ac:dyDescent="0.25">
      <c r="A2410" s="44"/>
      <c r="B2410" s="44"/>
    </row>
    <row r="2411" spans="1:2" x14ac:dyDescent="0.25">
      <c r="A2411" s="44"/>
      <c r="B2411" s="44"/>
    </row>
    <row r="2412" spans="1:2" x14ac:dyDescent="0.25">
      <c r="A2412" s="44"/>
      <c r="B2412" s="44"/>
    </row>
    <row r="2413" spans="1:2" x14ac:dyDescent="0.25">
      <c r="A2413" s="44"/>
      <c r="B2413" s="44"/>
    </row>
    <row r="2414" spans="1:2" x14ac:dyDescent="0.25">
      <c r="A2414" s="44"/>
      <c r="B2414" s="44"/>
    </row>
    <row r="2415" spans="1:2" x14ac:dyDescent="0.25">
      <c r="A2415" s="44"/>
      <c r="B2415" s="44"/>
    </row>
    <row r="2416" spans="1:2" x14ac:dyDescent="0.25">
      <c r="A2416" s="44"/>
      <c r="B2416" s="44"/>
    </row>
    <row r="2417" spans="1:2" x14ac:dyDescent="0.25">
      <c r="A2417" s="44"/>
      <c r="B2417" s="44"/>
    </row>
    <row r="2418" spans="1:2" x14ac:dyDescent="0.25">
      <c r="A2418" s="44"/>
      <c r="B2418" s="44"/>
    </row>
    <row r="2419" spans="1:2" x14ac:dyDescent="0.25">
      <c r="A2419" s="44"/>
      <c r="B2419" s="44"/>
    </row>
    <row r="2420" spans="1:2" x14ac:dyDescent="0.25">
      <c r="A2420" s="44"/>
      <c r="B2420" s="44"/>
    </row>
    <row r="2421" spans="1:2" x14ac:dyDescent="0.25">
      <c r="A2421" s="44"/>
      <c r="B2421" s="44"/>
    </row>
    <row r="2422" spans="1:2" x14ac:dyDescent="0.25">
      <c r="A2422" s="44"/>
      <c r="B2422" s="44"/>
    </row>
    <row r="2423" spans="1:2" x14ac:dyDescent="0.25">
      <c r="A2423" s="44"/>
      <c r="B2423" s="44"/>
    </row>
    <row r="2424" spans="1:2" x14ac:dyDescent="0.25">
      <c r="A2424" s="44"/>
      <c r="B2424" s="44"/>
    </row>
    <row r="2425" spans="1:2" x14ac:dyDescent="0.25">
      <c r="A2425" s="44"/>
      <c r="B2425" s="44"/>
    </row>
    <row r="2426" spans="1:2" x14ac:dyDescent="0.25">
      <c r="A2426" s="44"/>
      <c r="B2426" s="44"/>
    </row>
    <row r="2427" spans="1:2" x14ac:dyDescent="0.25">
      <c r="A2427" s="44"/>
      <c r="B2427" s="44"/>
    </row>
    <row r="2428" spans="1:2" x14ac:dyDescent="0.25">
      <c r="A2428" s="44"/>
      <c r="B2428" s="44"/>
    </row>
    <row r="2429" spans="1:2" x14ac:dyDescent="0.25">
      <c r="A2429" s="44"/>
      <c r="B2429" s="44"/>
    </row>
    <row r="2430" spans="1:2" x14ac:dyDescent="0.25">
      <c r="A2430" s="44"/>
      <c r="B2430" s="44"/>
    </row>
    <row r="2431" spans="1:2" x14ac:dyDescent="0.25">
      <c r="A2431" s="44"/>
      <c r="B2431" s="44"/>
    </row>
    <row r="2432" spans="1:2" x14ac:dyDescent="0.25">
      <c r="A2432" s="44"/>
      <c r="B2432" s="44"/>
    </row>
    <row r="2433" spans="1:2" x14ac:dyDescent="0.25">
      <c r="A2433" s="44"/>
      <c r="B2433" s="44"/>
    </row>
    <row r="2434" spans="1:2" x14ac:dyDescent="0.25">
      <c r="A2434" s="44"/>
      <c r="B2434" s="44"/>
    </row>
    <row r="2435" spans="1:2" x14ac:dyDescent="0.25">
      <c r="A2435" s="44"/>
      <c r="B2435" s="44"/>
    </row>
    <row r="2436" spans="1:2" x14ac:dyDescent="0.25">
      <c r="A2436" s="44"/>
      <c r="B2436" s="44"/>
    </row>
    <row r="2437" spans="1:2" x14ac:dyDescent="0.25">
      <c r="A2437" s="44"/>
      <c r="B2437" s="44"/>
    </row>
    <row r="2438" spans="1:2" x14ac:dyDescent="0.25">
      <c r="A2438" s="44"/>
      <c r="B2438" s="44"/>
    </row>
    <row r="2439" spans="1:2" x14ac:dyDescent="0.25">
      <c r="A2439" s="44"/>
      <c r="B2439" s="44"/>
    </row>
    <row r="2440" spans="1:2" x14ac:dyDescent="0.25">
      <c r="A2440" s="44"/>
      <c r="B2440" s="44"/>
    </row>
    <row r="2441" spans="1:2" x14ac:dyDescent="0.25">
      <c r="A2441" s="44"/>
      <c r="B2441" s="44"/>
    </row>
    <row r="2442" spans="1:2" x14ac:dyDescent="0.25">
      <c r="A2442" s="44"/>
      <c r="B2442" s="44"/>
    </row>
    <row r="2443" spans="1:2" x14ac:dyDescent="0.25">
      <c r="A2443" s="44"/>
      <c r="B2443" s="44"/>
    </row>
    <row r="2444" spans="1:2" x14ac:dyDescent="0.25">
      <c r="A2444" s="44"/>
      <c r="B2444" s="44"/>
    </row>
    <row r="2445" spans="1:2" x14ac:dyDescent="0.25">
      <c r="A2445" s="44"/>
      <c r="B2445" s="44"/>
    </row>
    <row r="2446" spans="1:2" x14ac:dyDescent="0.25">
      <c r="A2446" s="44"/>
      <c r="B2446" s="44"/>
    </row>
    <row r="2447" spans="1:2" x14ac:dyDescent="0.25">
      <c r="A2447" s="44"/>
      <c r="B2447" s="44"/>
    </row>
    <row r="2448" spans="1:2" x14ac:dyDescent="0.25">
      <c r="A2448" s="44"/>
      <c r="B2448" s="44"/>
    </row>
    <row r="2449" spans="1:2" x14ac:dyDescent="0.25">
      <c r="A2449" s="44"/>
      <c r="B2449" s="44"/>
    </row>
    <row r="2450" spans="1:2" x14ac:dyDescent="0.25">
      <c r="A2450" s="44"/>
      <c r="B2450" s="44"/>
    </row>
    <row r="2451" spans="1:2" x14ac:dyDescent="0.25">
      <c r="A2451" s="44"/>
      <c r="B2451" s="44"/>
    </row>
    <row r="2452" spans="1:2" x14ac:dyDescent="0.25">
      <c r="A2452" s="44"/>
      <c r="B2452" s="44"/>
    </row>
    <row r="2453" spans="1:2" x14ac:dyDescent="0.25">
      <c r="A2453" s="44"/>
      <c r="B2453" s="44"/>
    </row>
    <row r="2454" spans="1:2" x14ac:dyDescent="0.25">
      <c r="A2454" s="44"/>
      <c r="B2454" s="44"/>
    </row>
    <row r="2455" spans="1:2" x14ac:dyDescent="0.25">
      <c r="A2455" s="44"/>
      <c r="B2455" s="44"/>
    </row>
    <row r="2456" spans="1:2" x14ac:dyDescent="0.25">
      <c r="A2456" s="44"/>
      <c r="B2456" s="44"/>
    </row>
    <row r="2457" spans="1:2" x14ac:dyDescent="0.25">
      <c r="A2457" s="44"/>
      <c r="B2457" s="44"/>
    </row>
    <row r="2458" spans="1:2" x14ac:dyDescent="0.25">
      <c r="A2458" s="44"/>
      <c r="B2458" s="44"/>
    </row>
    <row r="2459" spans="1:2" x14ac:dyDescent="0.25">
      <c r="A2459" s="44"/>
      <c r="B2459" s="44"/>
    </row>
    <row r="2460" spans="1:2" x14ac:dyDescent="0.25">
      <c r="A2460" s="44"/>
      <c r="B2460" s="44"/>
    </row>
    <row r="2461" spans="1:2" x14ac:dyDescent="0.25">
      <c r="A2461" s="44"/>
      <c r="B2461" s="44"/>
    </row>
    <row r="2462" spans="1:2" x14ac:dyDescent="0.25">
      <c r="A2462" s="44"/>
      <c r="B2462" s="44"/>
    </row>
    <row r="2463" spans="1:2" x14ac:dyDescent="0.25">
      <c r="A2463" s="44"/>
      <c r="B2463" s="44"/>
    </row>
    <row r="2464" spans="1:2" x14ac:dyDescent="0.25">
      <c r="A2464" s="44"/>
      <c r="B2464" s="44"/>
    </row>
    <row r="2465" spans="1:2" x14ac:dyDescent="0.25">
      <c r="A2465" s="44"/>
      <c r="B2465" s="44"/>
    </row>
    <row r="2466" spans="1:2" x14ac:dyDescent="0.25">
      <c r="A2466" s="44"/>
      <c r="B2466" s="44"/>
    </row>
    <row r="2467" spans="1:2" x14ac:dyDescent="0.25">
      <c r="A2467" s="44"/>
      <c r="B2467" s="44"/>
    </row>
    <row r="2468" spans="1:2" x14ac:dyDescent="0.25">
      <c r="A2468" s="44"/>
      <c r="B2468" s="44"/>
    </row>
    <row r="2469" spans="1:2" x14ac:dyDescent="0.25">
      <c r="A2469" s="44"/>
      <c r="B2469" s="44"/>
    </row>
    <row r="2470" spans="1:2" x14ac:dyDescent="0.25">
      <c r="A2470" s="44"/>
      <c r="B2470" s="44"/>
    </row>
    <row r="2471" spans="1:2" x14ac:dyDescent="0.25">
      <c r="A2471" s="44"/>
      <c r="B2471" s="44"/>
    </row>
    <row r="2472" spans="1:2" x14ac:dyDescent="0.25">
      <c r="A2472" s="44"/>
      <c r="B2472" s="44"/>
    </row>
    <row r="2473" spans="1:2" x14ac:dyDescent="0.25">
      <c r="A2473" s="44"/>
      <c r="B2473" s="44"/>
    </row>
    <row r="2474" spans="1:2" x14ac:dyDescent="0.25">
      <c r="A2474" s="44"/>
      <c r="B2474" s="44"/>
    </row>
    <row r="2475" spans="1:2" x14ac:dyDescent="0.25">
      <c r="A2475" s="44"/>
      <c r="B2475" s="44"/>
    </row>
    <row r="2476" spans="1:2" x14ac:dyDescent="0.25">
      <c r="A2476" s="44"/>
      <c r="B2476" s="44"/>
    </row>
    <row r="2477" spans="1:2" x14ac:dyDescent="0.25">
      <c r="A2477" s="44"/>
      <c r="B2477" s="44"/>
    </row>
    <row r="2478" spans="1:2" x14ac:dyDescent="0.25">
      <c r="A2478" s="44"/>
      <c r="B2478" s="44"/>
    </row>
    <row r="2479" spans="1:2" x14ac:dyDescent="0.25">
      <c r="A2479" s="44"/>
      <c r="B2479" s="44"/>
    </row>
    <row r="2480" spans="1:2" x14ac:dyDescent="0.25">
      <c r="A2480" s="44"/>
      <c r="B2480" s="44"/>
    </row>
    <row r="2481" spans="1:2" x14ac:dyDescent="0.25">
      <c r="A2481" s="44"/>
      <c r="B2481" s="44"/>
    </row>
    <row r="2482" spans="1:2" x14ac:dyDescent="0.25">
      <c r="A2482" s="44"/>
      <c r="B2482" s="44"/>
    </row>
    <row r="2483" spans="1:2" x14ac:dyDescent="0.25">
      <c r="A2483" s="44"/>
      <c r="B2483" s="44"/>
    </row>
    <row r="2484" spans="1:2" x14ac:dyDescent="0.25">
      <c r="A2484" s="44"/>
      <c r="B2484" s="44"/>
    </row>
    <row r="2485" spans="1:2" x14ac:dyDescent="0.25">
      <c r="A2485" s="44"/>
      <c r="B2485" s="44"/>
    </row>
    <row r="2486" spans="1:2" x14ac:dyDescent="0.25">
      <c r="A2486" s="44"/>
      <c r="B2486" s="44"/>
    </row>
    <row r="2487" spans="1:2" x14ac:dyDescent="0.25">
      <c r="A2487" s="44"/>
      <c r="B2487" s="44"/>
    </row>
    <row r="2488" spans="1:2" x14ac:dyDescent="0.25">
      <c r="A2488" s="44"/>
      <c r="B2488" s="44"/>
    </row>
    <row r="2489" spans="1:2" x14ac:dyDescent="0.25">
      <c r="A2489" s="44"/>
      <c r="B2489" s="44"/>
    </row>
    <row r="2490" spans="1:2" x14ac:dyDescent="0.25">
      <c r="A2490" s="44"/>
      <c r="B2490" s="44"/>
    </row>
    <row r="2491" spans="1:2" x14ac:dyDescent="0.25">
      <c r="A2491" s="44"/>
      <c r="B2491" s="44"/>
    </row>
    <row r="2492" spans="1:2" x14ac:dyDescent="0.25">
      <c r="A2492" s="44"/>
      <c r="B2492" s="44"/>
    </row>
    <row r="2493" spans="1:2" x14ac:dyDescent="0.25">
      <c r="A2493" s="44"/>
      <c r="B2493" s="44"/>
    </row>
    <row r="2494" spans="1:2" x14ac:dyDescent="0.25">
      <c r="A2494" s="44"/>
      <c r="B2494" s="44"/>
    </row>
    <row r="2495" spans="1:2" x14ac:dyDescent="0.25">
      <c r="A2495" s="44"/>
      <c r="B2495" s="44"/>
    </row>
    <row r="2496" spans="1:2" x14ac:dyDescent="0.25">
      <c r="A2496" s="44"/>
      <c r="B2496" s="44"/>
    </row>
    <row r="2497" spans="1:2" x14ac:dyDescent="0.25">
      <c r="A2497" s="44"/>
      <c r="B2497" s="44"/>
    </row>
    <row r="2498" spans="1:2" x14ac:dyDescent="0.25">
      <c r="A2498" s="44"/>
      <c r="B2498" s="44"/>
    </row>
    <row r="2499" spans="1:2" x14ac:dyDescent="0.25">
      <c r="A2499" s="44"/>
      <c r="B2499" s="44"/>
    </row>
    <row r="2500" spans="1:2" x14ac:dyDescent="0.25">
      <c r="A2500" s="44"/>
      <c r="B2500" s="44"/>
    </row>
    <row r="2501" spans="1:2" x14ac:dyDescent="0.25">
      <c r="A2501" s="44"/>
      <c r="B2501" s="44"/>
    </row>
    <row r="2502" spans="1:2" x14ac:dyDescent="0.25">
      <c r="A2502" s="44"/>
      <c r="B2502" s="44"/>
    </row>
    <row r="2503" spans="1:2" x14ac:dyDescent="0.25">
      <c r="A2503" s="44"/>
      <c r="B2503" s="44"/>
    </row>
    <row r="2504" spans="1:2" x14ac:dyDescent="0.25">
      <c r="A2504" s="44"/>
      <c r="B2504" s="44"/>
    </row>
    <row r="2505" spans="1:2" x14ac:dyDescent="0.25">
      <c r="A2505" s="44"/>
      <c r="B2505" s="44"/>
    </row>
    <row r="2506" spans="1:2" x14ac:dyDescent="0.25">
      <c r="A2506" s="44"/>
      <c r="B2506" s="44"/>
    </row>
    <row r="2507" spans="1:2" x14ac:dyDescent="0.25">
      <c r="A2507" s="44"/>
      <c r="B2507" s="44"/>
    </row>
    <row r="2508" spans="1:2" x14ac:dyDescent="0.25">
      <c r="A2508" s="44"/>
      <c r="B2508" s="44"/>
    </row>
    <row r="2509" spans="1:2" x14ac:dyDescent="0.25">
      <c r="A2509" s="44"/>
      <c r="B2509" s="44"/>
    </row>
    <row r="2510" spans="1:2" x14ac:dyDescent="0.25">
      <c r="A2510" s="44"/>
      <c r="B2510" s="44"/>
    </row>
    <row r="2511" spans="1:2" x14ac:dyDescent="0.25">
      <c r="A2511" s="44"/>
      <c r="B2511" s="44"/>
    </row>
    <row r="2512" spans="1:2" x14ac:dyDescent="0.25">
      <c r="A2512" s="44"/>
      <c r="B2512" s="44"/>
    </row>
    <row r="2513" spans="1:2" x14ac:dyDescent="0.25">
      <c r="A2513" s="44"/>
      <c r="B2513" s="44"/>
    </row>
    <row r="2514" spans="1:2" x14ac:dyDescent="0.25">
      <c r="A2514" s="44"/>
      <c r="B2514" s="44"/>
    </row>
    <row r="2515" spans="1:2" x14ac:dyDescent="0.25">
      <c r="A2515" s="44"/>
      <c r="B2515" s="44"/>
    </row>
    <row r="2516" spans="1:2" x14ac:dyDescent="0.25">
      <c r="A2516" s="44"/>
      <c r="B2516" s="44"/>
    </row>
    <row r="2517" spans="1:2" x14ac:dyDescent="0.25">
      <c r="A2517" s="44"/>
      <c r="B2517" s="44"/>
    </row>
    <row r="2518" spans="1:2" x14ac:dyDescent="0.25">
      <c r="A2518" s="44"/>
      <c r="B2518" s="44"/>
    </row>
    <row r="2519" spans="1:2" x14ac:dyDescent="0.25">
      <c r="A2519" s="44"/>
      <c r="B2519" s="44"/>
    </row>
    <row r="2520" spans="1:2" x14ac:dyDescent="0.25">
      <c r="A2520" s="44"/>
      <c r="B2520" s="44"/>
    </row>
    <row r="2521" spans="1:2" x14ac:dyDescent="0.25">
      <c r="A2521" s="44"/>
      <c r="B2521" s="44"/>
    </row>
    <row r="2522" spans="1:2" x14ac:dyDescent="0.25">
      <c r="A2522" s="44"/>
      <c r="B2522" s="44"/>
    </row>
    <row r="2523" spans="1:2" x14ac:dyDescent="0.25">
      <c r="A2523" s="44"/>
      <c r="B2523" s="44"/>
    </row>
    <row r="2524" spans="1:2" x14ac:dyDescent="0.25">
      <c r="A2524" s="44"/>
      <c r="B2524" s="44"/>
    </row>
    <row r="2525" spans="1:2" x14ac:dyDescent="0.25">
      <c r="A2525" s="44"/>
      <c r="B2525" s="44"/>
    </row>
    <row r="2526" spans="1:2" x14ac:dyDescent="0.25">
      <c r="A2526" s="44"/>
      <c r="B2526" s="44"/>
    </row>
    <row r="2527" spans="1:2" x14ac:dyDescent="0.25">
      <c r="A2527" s="44"/>
      <c r="B2527" s="44"/>
    </row>
    <row r="2528" spans="1:2" x14ac:dyDescent="0.25">
      <c r="A2528" s="44"/>
      <c r="B2528" s="44"/>
    </row>
    <row r="2529" spans="1:2" x14ac:dyDescent="0.25">
      <c r="A2529" s="44"/>
      <c r="B2529" s="44"/>
    </row>
    <row r="2530" spans="1:2" x14ac:dyDescent="0.25">
      <c r="A2530" s="44"/>
      <c r="B2530" s="44"/>
    </row>
    <row r="2531" spans="1:2" x14ac:dyDescent="0.25">
      <c r="A2531" s="44"/>
      <c r="B2531" s="44"/>
    </row>
    <row r="2532" spans="1:2" x14ac:dyDescent="0.25">
      <c r="A2532" s="44"/>
      <c r="B2532" s="44"/>
    </row>
    <row r="2533" spans="1:2" x14ac:dyDescent="0.25">
      <c r="A2533" s="44"/>
      <c r="B2533" s="44"/>
    </row>
    <row r="2534" spans="1:2" x14ac:dyDescent="0.25">
      <c r="A2534" s="44"/>
      <c r="B2534" s="44"/>
    </row>
    <row r="2535" spans="1:2" x14ac:dyDescent="0.25">
      <c r="A2535" s="44"/>
      <c r="B2535" s="44"/>
    </row>
    <row r="2536" spans="1:2" x14ac:dyDescent="0.25">
      <c r="A2536" s="44"/>
      <c r="B2536" s="44"/>
    </row>
    <row r="2537" spans="1:2" x14ac:dyDescent="0.25">
      <c r="A2537" s="44"/>
      <c r="B2537" s="44"/>
    </row>
    <row r="2538" spans="1:2" x14ac:dyDescent="0.25">
      <c r="A2538" s="44"/>
      <c r="B2538" s="44"/>
    </row>
    <row r="2539" spans="1:2" x14ac:dyDescent="0.25">
      <c r="A2539" s="44"/>
      <c r="B2539" s="44"/>
    </row>
    <row r="2540" spans="1:2" x14ac:dyDescent="0.25">
      <c r="A2540" s="44"/>
      <c r="B2540" s="44"/>
    </row>
    <row r="2541" spans="1:2" x14ac:dyDescent="0.25">
      <c r="A2541" s="44"/>
      <c r="B2541" s="44"/>
    </row>
    <row r="2542" spans="1:2" x14ac:dyDescent="0.25">
      <c r="A2542" s="44"/>
      <c r="B2542" s="44"/>
    </row>
    <row r="2543" spans="1:2" x14ac:dyDescent="0.25">
      <c r="A2543" s="44"/>
      <c r="B2543" s="44"/>
    </row>
    <row r="2544" spans="1:2" x14ac:dyDescent="0.25">
      <c r="A2544" s="44"/>
      <c r="B2544" s="44"/>
    </row>
    <row r="2545" spans="1:2" x14ac:dyDescent="0.25">
      <c r="A2545" s="44"/>
      <c r="B2545" s="44"/>
    </row>
    <row r="2546" spans="1:2" x14ac:dyDescent="0.25">
      <c r="A2546" s="44"/>
      <c r="B2546" s="44"/>
    </row>
    <row r="2547" spans="1:2" x14ac:dyDescent="0.25">
      <c r="A2547" s="44"/>
      <c r="B2547" s="44"/>
    </row>
    <row r="2548" spans="1:2" x14ac:dyDescent="0.25">
      <c r="A2548" s="44"/>
      <c r="B2548" s="44"/>
    </row>
    <row r="2549" spans="1:2" x14ac:dyDescent="0.25">
      <c r="A2549" s="44"/>
      <c r="B2549" s="44"/>
    </row>
    <row r="2550" spans="1:2" x14ac:dyDescent="0.25">
      <c r="A2550" s="44"/>
      <c r="B2550" s="44"/>
    </row>
    <row r="2551" spans="1:2" x14ac:dyDescent="0.25">
      <c r="A2551" s="44"/>
      <c r="B2551" s="44"/>
    </row>
    <row r="2552" spans="1:2" x14ac:dyDescent="0.25">
      <c r="A2552" s="44"/>
      <c r="B2552" s="44"/>
    </row>
    <row r="2553" spans="1:2" x14ac:dyDescent="0.25">
      <c r="A2553" s="44"/>
      <c r="B2553" s="44"/>
    </row>
    <row r="2554" spans="1:2" x14ac:dyDescent="0.25">
      <c r="A2554" s="44"/>
      <c r="B2554" s="44"/>
    </row>
    <row r="2555" spans="1:2" x14ac:dyDescent="0.25">
      <c r="A2555" s="44"/>
      <c r="B2555" s="44"/>
    </row>
    <row r="2556" spans="1:2" x14ac:dyDescent="0.25">
      <c r="A2556" s="44"/>
      <c r="B2556" s="44"/>
    </row>
    <row r="2557" spans="1:2" x14ac:dyDescent="0.25">
      <c r="A2557" s="44"/>
      <c r="B2557" s="44"/>
    </row>
    <row r="2558" spans="1:2" x14ac:dyDescent="0.25">
      <c r="A2558" s="44"/>
      <c r="B2558" s="44"/>
    </row>
    <row r="2559" spans="1:2" x14ac:dyDescent="0.25">
      <c r="A2559" s="44"/>
      <c r="B2559" s="44"/>
    </row>
    <row r="2560" spans="1:2" x14ac:dyDescent="0.25">
      <c r="A2560" s="44"/>
      <c r="B2560" s="44"/>
    </row>
    <row r="2561" spans="1:2" x14ac:dyDescent="0.25">
      <c r="A2561" s="44"/>
      <c r="B2561" s="44"/>
    </row>
    <row r="2562" spans="1:2" x14ac:dyDescent="0.25">
      <c r="A2562" s="44"/>
      <c r="B2562" s="44"/>
    </row>
    <row r="2563" spans="1:2" x14ac:dyDescent="0.25">
      <c r="A2563" s="44"/>
      <c r="B2563" s="44"/>
    </row>
    <row r="2564" spans="1:2" x14ac:dyDescent="0.25">
      <c r="A2564" s="44"/>
      <c r="B2564" s="44"/>
    </row>
    <row r="2565" spans="1:2" x14ac:dyDescent="0.25">
      <c r="A2565" s="44"/>
      <c r="B2565" s="44"/>
    </row>
    <row r="2566" spans="1:2" x14ac:dyDescent="0.25">
      <c r="A2566" s="44"/>
      <c r="B2566" s="44"/>
    </row>
    <row r="2567" spans="1:2" x14ac:dyDescent="0.25">
      <c r="A2567" s="44"/>
      <c r="B2567" s="44"/>
    </row>
    <row r="2568" spans="1:2" x14ac:dyDescent="0.25">
      <c r="A2568" s="44"/>
      <c r="B2568" s="44"/>
    </row>
    <row r="2569" spans="1:2" x14ac:dyDescent="0.25">
      <c r="A2569" s="44"/>
      <c r="B2569" s="44"/>
    </row>
    <row r="2570" spans="1:2" x14ac:dyDescent="0.25">
      <c r="A2570" s="44"/>
      <c r="B2570" s="44"/>
    </row>
    <row r="2571" spans="1:2" x14ac:dyDescent="0.25">
      <c r="A2571" s="44"/>
      <c r="B2571" s="44"/>
    </row>
    <row r="2572" spans="1:2" x14ac:dyDescent="0.25">
      <c r="A2572" s="44"/>
      <c r="B2572" s="44"/>
    </row>
    <row r="2573" spans="1:2" x14ac:dyDescent="0.25">
      <c r="A2573" s="44"/>
      <c r="B2573" s="44"/>
    </row>
    <row r="2574" spans="1:2" x14ac:dyDescent="0.25">
      <c r="A2574" s="44"/>
      <c r="B2574" s="44"/>
    </row>
    <row r="2575" spans="1:2" x14ac:dyDescent="0.25">
      <c r="A2575" s="44"/>
      <c r="B2575" s="44"/>
    </row>
    <row r="2576" spans="1:2" x14ac:dyDescent="0.25">
      <c r="A2576" s="44"/>
      <c r="B2576" s="44"/>
    </row>
    <row r="2577" spans="1:2" x14ac:dyDescent="0.25">
      <c r="A2577" s="44"/>
      <c r="B2577" s="44"/>
    </row>
    <row r="2578" spans="1:2" x14ac:dyDescent="0.25">
      <c r="A2578" s="44"/>
      <c r="B2578" s="44"/>
    </row>
    <row r="2579" spans="1:2" x14ac:dyDescent="0.25">
      <c r="A2579" s="44"/>
      <c r="B2579" s="44"/>
    </row>
    <row r="2580" spans="1:2" x14ac:dyDescent="0.25">
      <c r="A2580" s="44"/>
      <c r="B2580" s="44"/>
    </row>
    <row r="2581" spans="1:2" x14ac:dyDescent="0.25">
      <c r="A2581" s="44"/>
      <c r="B2581" s="44"/>
    </row>
    <row r="2582" spans="1:2" x14ac:dyDescent="0.25">
      <c r="A2582" s="44"/>
      <c r="B2582" s="44"/>
    </row>
    <row r="2583" spans="1:2" x14ac:dyDescent="0.25">
      <c r="A2583" s="44"/>
      <c r="B2583" s="44"/>
    </row>
    <row r="2584" spans="1:2" x14ac:dyDescent="0.25">
      <c r="A2584" s="44"/>
      <c r="B2584" s="44"/>
    </row>
    <row r="2585" spans="1:2" x14ac:dyDescent="0.25">
      <c r="A2585" s="44"/>
      <c r="B2585" s="44"/>
    </row>
    <row r="2586" spans="1:2" x14ac:dyDescent="0.25">
      <c r="A2586" s="44"/>
      <c r="B2586" s="44"/>
    </row>
    <row r="2587" spans="1:2" x14ac:dyDescent="0.25">
      <c r="A2587" s="44"/>
      <c r="B2587" s="44"/>
    </row>
    <row r="2588" spans="1:2" x14ac:dyDescent="0.25">
      <c r="A2588" s="44"/>
      <c r="B2588" s="44"/>
    </row>
    <row r="2589" spans="1:2" x14ac:dyDescent="0.25">
      <c r="A2589" s="44"/>
      <c r="B2589" s="44"/>
    </row>
    <row r="2590" spans="1:2" x14ac:dyDescent="0.25">
      <c r="A2590" s="44"/>
      <c r="B2590" s="44"/>
    </row>
    <row r="2591" spans="1:2" x14ac:dyDescent="0.25">
      <c r="A2591" s="44"/>
      <c r="B2591" s="44"/>
    </row>
    <row r="2592" spans="1:2" x14ac:dyDescent="0.25">
      <c r="A2592" s="44"/>
      <c r="B2592" s="44"/>
    </row>
    <row r="2593" spans="1:2" x14ac:dyDescent="0.25">
      <c r="A2593" s="44"/>
      <c r="B2593" s="44"/>
    </row>
    <row r="2594" spans="1:2" x14ac:dyDescent="0.25">
      <c r="A2594" s="44"/>
      <c r="B2594" s="44"/>
    </row>
    <row r="2595" spans="1:2" x14ac:dyDescent="0.25">
      <c r="A2595" s="44"/>
      <c r="B2595" s="44"/>
    </row>
    <row r="2596" spans="1:2" x14ac:dyDescent="0.25">
      <c r="A2596" s="44"/>
      <c r="B2596" s="44"/>
    </row>
    <row r="2597" spans="1:2" x14ac:dyDescent="0.25">
      <c r="A2597" s="44"/>
      <c r="B2597" s="44"/>
    </row>
    <row r="2598" spans="1:2" x14ac:dyDescent="0.25">
      <c r="A2598" s="44"/>
      <c r="B2598" s="44"/>
    </row>
    <row r="2599" spans="1:2" x14ac:dyDescent="0.25">
      <c r="A2599" s="44"/>
      <c r="B2599" s="44"/>
    </row>
    <row r="2600" spans="1:2" x14ac:dyDescent="0.25">
      <c r="A2600" s="44"/>
      <c r="B2600" s="44"/>
    </row>
    <row r="2601" spans="1:2" x14ac:dyDescent="0.25">
      <c r="A2601" s="44"/>
      <c r="B2601" s="44"/>
    </row>
    <row r="2602" spans="1:2" x14ac:dyDescent="0.25">
      <c r="A2602" s="44"/>
      <c r="B2602" s="44"/>
    </row>
    <row r="2603" spans="1:2" x14ac:dyDescent="0.25">
      <c r="A2603" s="44"/>
      <c r="B2603" s="44"/>
    </row>
    <row r="2604" spans="1:2" x14ac:dyDescent="0.25">
      <c r="A2604" s="44"/>
      <c r="B2604" s="44"/>
    </row>
    <row r="2605" spans="1:2" x14ac:dyDescent="0.25">
      <c r="A2605" s="44"/>
      <c r="B2605" s="44"/>
    </row>
    <row r="2606" spans="1:2" x14ac:dyDescent="0.25">
      <c r="A2606" s="44"/>
      <c r="B2606" s="44"/>
    </row>
    <row r="2607" spans="1:2" x14ac:dyDescent="0.25">
      <c r="A2607" s="44"/>
      <c r="B2607" s="44"/>
    </row>
    <row r="2608" spans="1:2" x14ac:dyDescent="0.25">
      <c r="A2608" s="44"/>
      <c r="B2608" s="44"/>
    </row>
    <row r="2609" spans="1:2" x14ac:dyDescent="0.25">
      <c r="A2609" s="44"/>
      <c r="B2609" s="44"/>
    </row>
    <row r="2610" spans="1:2" x14ac:dyDescent="0.25">
      <c r="A2610" s="44"/>
      <c r="B2610" s="44"/>
    </row>
    <row r="2611" spans="1:2" x14ac:dyDescent="0.25">
      <c r="A2611" s="44"/>
      <c r="B2611" s="44"/>
    </row>
    <row r="2612" spans="1:2" x14ac:dyDescent="0.25">
      <c r="A2612" s="44"/>
      <c r="B2612" s="44"/>
    </row>
    <row r="2613" spans="1:2" x14ac:dyDescent="0.25">
      <c r="A2613" s="44"/>
      <c r="B2613" s="44"/>
    </row>
    <row r="2614" spans="1:2" x14ac:dyDescent="0.25">
      <c r="A2614" s="44"/>
      <c r="B2614" s="44"/>
    </row>
    <row r="2615" spans="1:2" x14ac:dyDescent="0.25">
      <c r="A2615" s="44"/>
      <c r="B2615" s="44"/>
    </row>
    <row r="2616" spans="1:2" x14ac:dyDescent="0.25">
      <c r="A2616" s="44"/>
      <c r="B2616" s="44"/>
    </row>
    <row r="2617" spans="1:2" x14ac:dyDescent="0.25">
      <c r="A2617" s="44"/>
      <c r="B2617" s="44"/>
    </row>
    <row r="2618" spans="1:2" x14ac:dyDescent="0.25">
      <c r="A2618" s="44"/>
      <c r="B2618" s="44"/>
    </row>
    <row r="2619" spans="1:2" x14ac:dyDescent="0.25">
      <c r="A2619" s="44"/>
      <c r="B2619" s="44"/>
    </row>
    <row r="2620" spans="1:2" x14ac:dyDescent="0.25">
      <c r="A2620" s="44"/>
      <c r="B2620" s="44"/>
    </row>
    <row r="2621" spans="1:2" x14ac:dyDescent="0.25">
      <c r="A2621" s="44"/>
      <c r="B2621" s="44"/>
    </row>
    <row r="2622" spans="1:2" x14ac:dyDescent="0.25">
      <c r="A2622" s="44"/>
      <c r="B2622" s="44"/>
    </row>
    <row r="2623" spans="1:2" x14ac:dyDescent="0.25">
      <c r="A2623" s="44"/>
      <c r="B2623" s="44"/>
    </row>
    <row r="2624" spans="1:2" x14ac:dyDescent="0.25">
      <c r="A2624" s="44"/>
      <c r="B2624" s="44"/>
    </row>
    <row r="2625" spans="1:2" x14ac:dyDescent="0.25">
      <c r="A2625" s="44"/>
      <c r="B2625" s="44"/>
    </row>
    <row r="2626" spans="1:2" x14ac:dyDescent="0.25">
      <c r="A2626" s="44"/>
      <c r="B2626" s="44"/>
    </row>
    <row r="2627" spans="1:2" x14ac:dyDescent="0.25">
      <c r="A2627" s="44"/>
      <c r="B2627" s="44"/>
    </row>
    <row r="2628" spans="1:2" x14ac:dyDescent="0.25">
      <c r="A2628" s="44"/>
      <c r="B2628" s="44"/>
    </row>
    <row r="2629" spans="1:2" x14ac:dyDescent="0.25">
      <c r="A2629" s="44"/>
      <c r="B2629" s="44"/>
    </row>
    <row r="2630" spans="1:2" x14ac:dyDescent="0.25">
      <c r="A2630" s="44"/>
      <c r="B2630" s="44"/>
    </row>
    <row r="2631" spans="1:2" x14ac:dyDescent="0.25">
      <c r="A2631" s="44"/>
      <c r="B2631" s="44"/>
    </row>
    <row r="2632" spans="1:2" x14ac:dyDescent="0.25">
      <c r="A2632" s="44"/>
      <c r="B2632" s="44"/>
    </row>
    <row r="2633" spans="1:2" x14ac:dyDescent="0.25">
      <c r="A2633" s="44"/>
      <c r="B2633" s="44"/>
    </row>
    <row r="2634" spans="1:2" x14ac:dyDescent="0.25">
      <c r="A2634" s="44"/>
      <c r="B2634" s="44"/>
    </row>
    <row r="2635" spans="1:2" x14ac:dyDescent="0.25">
      <c r="A2635" s="44"/>
      <c r="B2635" s="44"/>
    </row>
    <row r="2636" spans="1:2" x14ac:dyDescent="0.25">
      <c r="A2636" s="44"/>
      <c r="B2636" s="44"/>
    </row>
    <row r="2637" spans="1:2" x14ac:dyDescent="0.25">
      <c r="A2637" s="44"/>
      <c r="B2637" s="44"/>
    </row>
    <row r="2638" spans="1:2" x14ac:dyDescent="0.25">
      <c r="A2638" s="44"/>
      <c r="B2638" s="44"/>
    </row>
    <row r="2639" spans="1:2" x14ac:dyDescent="0.25">
      <c r="A2639" s="44"/>
      <c r="B2639" s="44"/>
    </row>
    <row r="2640" spans="1:2" x14ac:dyDescent="0.25">
      <c r="A2640" s="44"/>
      <c r="B2640" s="44"/>
    </row>
    <row r="2641" spans="1:2" x14ac:dyDescent="0.25">
      <c r="A2641" s="44"/>
      <c r="B2641" s="44"/>
    </row>
    <row r="2642" spans="1:2" x14ac:dyDescent="0.25">
      <c r="A2642" s="44"/>
      <c r="B2642" s="44"/>
    </row>
    <row r="2643" spans="1:2" x14ac:dyDescent="0.25">
      <c r="A2643" s="44"/>
      <c r="B2643" s="44"/>
    </row>
    <row r="2644" spans="1:2" x14ac:dyDescent="0.25">
      <c r="A2644" s="44"/>
      <c r="B2644" s="44"/>
    </row>
    <row r="2645" spans="1:2" x14ac:dyDescent="0.25">
      <c r="A2645" s="44"/>
      <c r="B2645" s="44"/>
    </row>
    <row r="2646" spans="1:2" x14ac:dyDescent="0.25">
      <c r="A2646" s="44"/>
      <c r="B2646" s="44"/>
    </row>
    <row r="2647" spans="1:2" x14ac:dyDescent="0.25">
      <c r="A2647" s="44"/>
      <c r="B2647" s="44"/>
    </row>
    <row r="2648" spans="1:2" x14ac:dyDescent="0.25">
      <c r="A2648" s="44"/>
      <c r="B2648" s="44"/>
    </row>
    <row r="2649" spans="1:2" x14ac:dyDescent="0.25">
      <c r="A2649" s="44"/>
      <c r="B2649" s="44"/>
    </row>
    <row r="2650" spans="1:2" x14ac:dyDescent="0.25">
      <c r="A2650" s="44"/>
      <c r="B2650" s="44"/>
    </row>
    <row r="2651" spans="1:2" x14ac:dyDescent="0.25">
      <c r="A2651" s="44"/>
      <c r="B2651" s="44"/>
    </row>
    <row r="2652" spans="1:2" x14ac:dyDescent="0.25">
      <c r="A2652" s="44"/>
      <c r="B2652" s="44"/>
    </row>
    <row r="2653" spans="1:2" x14ac:dyDescent="0.25">
      <c r="A2653" s="44"/>
      <c r="B2653" s="44"/>
    </row>
    <row r="2654" spans="1:2" x14ac:dyDescent="0.25">
      <c r="A2654" s="44"/>
      <c r="B2654" s="44"/>
    </row>
    <row r="2655" spans="1:2" x14ac:dyDescent="0.25">
      <c r="A2655" s="44"/>
      <c r="B2655" s="44"/>
    </row>
    <row r="2656" spans="1:2" x14ac:dyDescent="0.25">
      <c r="A2656" s="44"/>
      <c r="B2656" s="44"/>
    </row>
    <row r="2657" spans="1:2" x14ac:dyDescent="0.25">
      <c r="A2657" s="44"/>
      <c r="B2657" s="44"/>
    </row>
    <row r="2658" spans="1:2" x14ac:dyDescent="0.25">
      <c r="A2658" s="44"/>
      <c r="B2658" s="44"/>
    </row>
    <row r="2659" spans="1:2" x14ac:dyDescent="0.25">
      <c r="A2659" s="44"/>
      <c r="B2659" s="44"/>
    </row>
    <row r="2660" spans="1:2" x14ac:dyDescent="0.25">
      <c r="A2660" s="44"/>
      <c r="B2660" s="44"/>
    </row>
    <row r="2661" spans="1:2" x14ac:dyDescent="0.25">
      <c r="A2661" s="44"/>
      <c r="B2661" s="44"/>
    </row>
    <row r="2662" spans="1:2" x14ac:dyDescent="0.25">
      <c r="A2662" s="44"/>
      <c r="B2662" s="44"/>
    </row>
    <row r="2663" spans="1:2" x14ac:dyDescent="0.25">
      <c r="A2663" s="44"/>
      <c r="B2663" s="44"/>
    </row>
    <row r="2664" spans="1:2" x14ac:dyDescent="0.25">
      <c r="A2664" s="44"/>
      <c r="B2664" s="44"/>
    </row>
    <row r="2665" spans="1:2" x14ac:dyDescent="0.25">
      <c r="A2665" s="44"/>
      <c r="B2665" s="44"/>
    </row>
    <row r="2666" spans="1:2" x14ac:dyDescent="0.25">
      <c r="A2666" s="44"/>
      <c r="B2666" s="44"/>
    </row>
    <row r="2667" spans="1:2" x14ac:dyDescent="0.25">
      <c r="A2667" s="44"/>
      <c r="B2667" s="44"/>
    </row>
    <row r="2668" spans="1:2" x14ac:dyDescent="0.25">
      <c r="A2668" s="44"/>
      <c r="B2668" s="44"/>
    </row>
    <row r="2669" spans="1:2" x14ac:dyDescent="0.25">
      <c r="A2669" s="44"/>
      <c r="B2669" s="44"/>
    </row>
    <row r="2670" spans="1:2" x14ac:dyDescent="0.25">
      <c r="A2670" s="44"/>
      <c r="B2670" s="44"/>
    </row>
    <row r="2671" spans="1:2" x14ac:dyDescent="0.25">
      <c r="A2671" s="44"/>
      <c r="B2671" s="44"/>
    </row>
    <row r="2672" spans="1:2" x14ac:dyDescent="0.25">
      <c r="A2672" s="44"/>
      <c r="B2672" s="44"/>
    </row>
    <row r="2673" spans="1:2" x14ac:dyDescent="0.25">
      <c r="A2673" s="44"/>
      <c r="B2673" s="44"/>
    </row>
    <row r="2674" spans="1:2" x14ac:dyDescent="0.25">
      <c r="A2674" s="44"/>
      <c r="B2674" s="44"/>
    </row>
    <row r="2675" spans="1:2" x14ac:dyDescent="0.25">
      <c r="A2675" s="44"/>
      <c r="B2675" s="44"/>
    </row>
    <row r="2676" spans="1:2" x14ac:dyDescent="0.25">
      <c r="A2676" s="44"/>
      <c r="B2676" s="44"/>
    </row>
    <row r="2677" spans="1:2" x14ac:dyDescent="0.25">
      <c r="A2677" s="44"/>
      <c r="B2677" s="44"/>
    </row>
    <row r="2678" spans="1:2" x14ac:dyDescent="0.25">
      <c r="A2678" s="44"/>
      <c r="B2678" s="44"/>
    </row>
    <row r="2679" spans="1:2" x14ac:dyDescent="0.25">
      <c r="A2679" s="44"/>
      <c r="B2679" s="44"/>
    </row>
    <row r="2680" spans="1:2" x14ac:dyDescent="0.25">
      <c r="A2680" s="44"/>
      <c r="B2680" s="44"/>
    </row>
    <row r="2681" spans="1:2" x14ac:dyDescent="0.25">
      <c r="A2681" s="44"/>
      <c r="B2681" s="44"/>
    </row>
    <row r="2682" spans="1:2" x14ac:dyDescent="0.25">
      <c r="A2682" s="44"/>
      <c r="B2682" s="44"/>
    </row>
    <row r="2683" spans="1:2" x14ac:dyDescent="0.25">
      <c r="A2683" s="44"/>
      <c r="B2683" s="44"/>
    </row>
    <row r="2684" spans="1:2" x14ac:dyDescent="0.25">
      <c r="A2684" s="44"/>
      <c r="B2684" s="44"/>
    </row>
    <row r="2685" spans="1:2" x14ac:dyDescent="0.25">
      <c r="A2685" s="44"/>
      <c r="B2685" s="44"/>
    </row>
    <row r="2686" spans="1:2" x14ac:dyDescent="0.25">
      <c r="A2686" s="44"/>
      <c r="B2686" s="44"/>
    </row>
    <row r="2687" spans="1:2" x14ac:dyDescent="0.25">
      <c r="A2687" s="44"/>
      <c r="B2687" s="44"/>
    </row>
    <row r="2688" spans="1:2" x14ac:dyDescent="0.25">
      <c r="A2688" s="44"/>
      <c r="B2688" s="44"/>
    </row>
    <row r="2689" spans="1:2" x14ac:dyDescent="0.25">
      <c r="A2689" s="44"/>
      <c r="B2689" s="44"/>
    </row>
    <row r="2690" spans="1:2" x14ac:dyDescent="0.25">
      <c r="A2690" s="44"/>
      <c r="B2690" s="44"/>
    </row>
    <row r="2691" spans="1:2" x14ac:dyDescent="0.25">
      <c r="A2691" s="44"/>
      <c r="B2691" s="44"/>
    </row>
    <row r="2692" spans="1:2" x14ac:dyDescent="0.25">
      <c r="A2692" s="44"/>
      <c r="B2692" s="44"/>
    </row>
    <row r="2693" spans="1:2" x14ac:dyDescent="0.25">
      <c r="A2693" s="44"/>
      <c r="B2693" s="44"/>
    </row>
    <row r="2694" spans="1:2" x14ac:dyDescent="0.25">
      <c r="A2694" s="44"/>
      <c r="B2694" s="44"/>
    </row>
    <row r="2695" spans="1:2" x14ac:dyDescent="0.25">
      <c r="A2695" s="44"/>
      <c r="B2695" s="44"/>
    </row>
    <row r="2696" spans="1:2" x14ac:dyDescent="0.25">
      <c r="A2696" s="44"/>
      <c r="B2696" s="44"/>
    </row>
    <row r="2697" spans="1:2" x14ac:dyDescent="0.25">
      <c r="A2697" s="44"/>
      <c r="B2697" s="44"/>
    </row>
    <row r="2698" spans="1:2" x14ac:dyDescent="0.25">
      <c r="A2698" s="44"/>
      <c r="B2698" s="44"/>
    </row>
    <row r="2699" spans="1:2" x14ac:dyDescent="0.25">
      <c r="A2699" s="44"/>
      <c r="B2699" s="44"/>
    </row>
    <row r="2700" spans="1:2" x14ac:dyDescent="0.25">
      <c r="A2700" s="44"/>
      <c r="B2700" s="44"/>
    </row>
    <row r="2701" spans="1:2" x14ac:dyDescent="0.25">
      <c r="A2701" s="44"/>
      <c r="B2701" s="44"/>
    </row>
    <row r="2702" spans="1:2" x14ac:dyDescent="0.25">
      <c r="A2702" s="44"/>
      <c r="B2702" s="44"/>
    </row>
    <row r="2703" spans="1:2" x14ac:dyDescent="0.25">
      <c r="A2703" s="44"/>
      <c r="B2703" s="44"/>
    </row>
    <row r="2704" spans="1:2" x14ac:dyDescent="0.25">
      <c r="A2704" s="44"/>
      <c r="B2704" s="44"/>
    </row>
    <row r="2705" spans="1:2" x14ac:dyDescent="0.25">
      <c r="A2705" s="44"/>
      <c r="B2705" s="44"/>
    </row>
    <row r="2706" spans="1:2" x14ac:dyDescent="0.25">
      <c r="A2706" s="44"/>
      <c r="B2706" s="44"/>
    </row>
    <row r="2707" spans="1:2" x14ac:dyDescent="0.25">
      <c r="A2707" s="44"/>
      <c r="B2707" s="44"/>
    </row>
    <row r="2708" spans="1:2" x14ac:dyDescent="0.25">
      <c r="A2708" s="44"/>
      <c r="B2708" s="44"/>
    </row>
    <row r="2709" spans="1:2" x14ac:dyDescent="0.25">
      <c r="A2709" s="44"/>
      <c r="B2709" s="44"/>
    </row>
    <row r="2710" spans="1:2" x14ac:dyDescent="0.25">
      <c r="A2710" s="44"/>
      <c r="B2710" s="44"/>
    </row>
    <row r="2711" spans="1:2" x14ac:dyDescent="0.25">
      <c r="A2711" s="44"/>
      <c r="B2711" s="44"/>
    </row>
    <row r="2712" spans="1:2" x14ac:dyDescent="0.25">
      <c r="A2712" s="44"/>
      <c r="B2712" s="44"/>
    </row>
    <row r="2713" spans="1:2" x14ac:dyDescent="0.25">
      <c r="A2713" s="44"/>
      <c r="B2713" s="44"/>
    </row>
    <row r="2714" spans="1:2" x14ac:dyDescent="0.25">
      <c r="A2714" s="44"/>
      <c r="B2714" s="44"/>
    </row>
    <row r="2715" spans="1:2" x14ac:dyDescent="0.25">
      <c r="A2715" s="44"/>
      <c r="B2715" s="44"/>
    </row>
    <row r="2716" spans="1:2" x14ac:dyDescent="0.25">
      <c r="A2716" s="44"/>
      <c r="B2716" s="44"/>
    </row>
    <row r="2717" spans="1:2" x14ac:dyDescent="0.25">
      <c r="A2717" s="44"/>
      <c r="B2717" s="44"/>
    </row>
    <row r="2718" spans="1:2" x14ac:dyDescent="0.25">
      <c r="A2718" s="44"/>
      <c r="B2718" s="44"/>
    </row>
    <row r="2719" spans="1:2" x14ac:dyDescent="0.25">
      <c r="A2719" s="44"/>
      <c r="B2719" s="44"/>
    </row>
    <row r="2720" spans="1:2" x14ac:dyDescent="0.25">
      <c r="A2720" s="44"/>
      <c r="B2720" s="44"/>
    </row>
    <row r="2721" spans="1:2" x14ac:dyDescent="0.25">
      <c r="A2721" s="44"/>
      <c r="B2721" s="44"/>
    </row>
    <row r="2722" spans="1:2" x14ac:dyDescent="0.25">
      <c r="A2722" s="44"/>
      <c r="B2722" s="44"/>
    </row>
    <row r="2723" spans="1:2" x14ac:dyDescent="0.25">
      <c r="A2723" s="44"/>
      <c r="B2723" s="44"/>
    </row>
    <row r="2724" spans="1:2" x14ac:dyDescent="0.25">
      <c r="A2724" s="44"/>
      <c r="B2724" s="44"/>
    </row>
    <row r="2725" spans="1:2" x14ac:dyDescent="0.25">
      <c r="A2725" s="44"/>
      <c r="B2725" s="44"/>
    </row>
    <row r="2726" spans="1:2" x14ac:dyDescent="0.25">
      <c r="A2726" s="44"/>
      <c r="B2726" s="44"/>
    </row>
    <row r="2727" spans="1:2" x14ac:dyDescent="0.25">
      <c r="A2727" s="44"/>
      <c r="B2727" s="44"/>
    </row>
    <row r="2728" spans="1:2" x14ac:dyDescent="0.25">
      <c r="A2728" s="44"/>
      <c r="B2728" s="44"/>
    </row>
    <row r="2729" spans="1:2" x14ac:dyDescent="0.25">
      <c r="A2729" s="44"/>
      <c r="B2729" s="44"/>
    </row>
    <row r="2730" spans="1:2" x14ac:dyDescent="0.25">
      <c r="A2730" s="44"/>
      <c r="B2730" s="44"/>
    </row>
    <row r="2731" spans="1:2" x14ac:dyDescent="0.25">
      <c r="A2731" s="44"/>
      <c r="B2731" s="44"/>
    </row>
    <row r="2732" spans="1:2" x14ac:dyDescent="0.25">
      <c r="A2732" s="44"/>
      <c r="B2732" s="44"/>
    </row>
    <row r="2733" spans="1:2" x14ac:dyDescent="0.25">
      <c r="A2733" s="44"/>
      <c r="B2733" s="44"/>
    </row>
    <row r="2734" spans="1:2" x14ac:dyDescent="0.25">
      <c r="A2734" s="44"/>
      <c r="B2734" s="44"/>
    </row>
    <row r="2735" spans="1:2" x14ac:dyDescent="0.25">
      <c r="A2735" s="44"/>
      <c r="B2735" s="44"/>
    </row>
    <row r="2736" spans="1:2" x14ac:dyDescent="0.25">
      <c r="A2736" s="44"/>
      <c r="B2736" s="44"/>
    </row>
    <row r="2737" spans="1:2" x14ac:dyDescent="0.25">
      <c r="A2737" s="44"/>
      <c r="B2737" s="44"/>
    </row>
    <row r="2738" spans="1:2" x14ac:dyDescent="0.25">
      <c r="A2738" s="44"/>
      <c r="B2738" s="44"/>
    </row>
    <row r="2739" spans="1:2" x14ac:dyDescent="0.25">
      <c r="A2739" s="44"/>
      <c r="B2739" s="44"/>
    </row>
    <row r="2740" spans="1:2" x14ac:dyDescent="0.25">
      <c r="A2740" s="44"/>
      <c r="B2740" s="44"/>
    </row>
    <row r="2741" spans="1:2" x14ac:dyDescent="0.25">
      <c r="A2741" s="44"/>
      <c r="B2741" s="44"/>
    </row>
    <row r="2742" spans="1:2" x14ac:dyDescent="0.25">
      <c r="A2742" s="44"/>
      <c r="B2742" s="44"/>
    </row>
    <row r="2743" spans="1:2" x14ac:dyDescent="0.25">
      <c r="A2743" s="44"/>
      <c r="B2743" s="44"/>
    </row>
    <row r="2744" spans="1:2" x14ac:dyDescent="0.25">
      <c r="A2744" s="44"/>
      <c r="B2744" s="44"/>
    </row>
    <row r="2745" spans="1:2" x14ac:dyDescent="0.25">
      <c r="A2745" s="44"/>
      <c r="B2745" s="44"/>
    </row>
    <row r="2746" spans="1:2" x14ac:dyDescent="0.25">
      <c r="A2746" s="44"/>
      <c r="B2746" s="44"/>
    </row>
    <row r="2747" spans="1:2" x14ac:dyDescent="0.25">
      <c r="A2747" s="44"/>
      <c r="B2747" s="44"/>
    </row>
    <row r="2748" spans="1:2" x14ac:dyDescent="0.25">
      <c r="A2748" s="44"/>
      <c r="B2748" s="44"/>
    </row>
    <row r="2749" spans="1:2" x14ac:dyDescent="0.25">
      <c r="A2749" s="44"/>
      <c r="B2749" s="44"/>
    </row>
    <row r="2750" spans="1:2" x14ac:dyDescent="0.25">
      <c r="A2750" s="44"/>
      <c r="B2750" s="44"/>
    </row>
    <row r="2751" spans="1:2" x14ac:dyDescent="0.25">
      <c r="A2751" s="44"/>
      <c r="B2751" s="44"/>
    </row>
    <row r="2752" spans="1:2" x14ac:dyDescent="0.25">
      <c r="A2752" s="44"/>
      <c r="B2752" s="44"/>
    </row>
    <row r="2753" spans="1:2" x14ac:dyDescent="0.25">
      <c r="A2753" s="44"/>
      <c r="B2753" s="44"/>
    </row>
    <row r="2754" spans="1:2" x14ac:dyDescent="0.25">
      <c r="A2754" s="44"/>
      <c r="B2754" s="44"/>
    </row>
    <row r="2755" spans="1:2" x14ac:dyDescent="0.25">
      <c r="A2755" s="44"/>
      <c r="B2755" s="44"/>
    </row>
    <row r="2756" spans="1:2" x14ac:dyDescent="0.25">
      <c r="A2756" s="44"/>
      <c r="B2756" s="44"/>
    </row>
    <row r="2757" spans="1:2" x14ac:dyDescent="0.25">
      <c r="A2757" s="44"/>
      <c r="B2757" s="44"/>
    </row>
    <row r="2758" spans="1:2" x14ac:dyDescent="0.25">
      <c r="A2758" s="44"/>
      <c r="B2758" s="44"/>
    </row>
    <row r="2759" spans="1:2" x14ac:dyDescent="0.25">
      <c r="A2759" s="44"/>
      <c r="B2759" s="44"/>
    </row>
    <row r="2760" spans="1:2" x14ac:dyDescent="0.25">
      <c r="A2760" s="44"/>
      <c r="B2760" s="44"/>
    </row>
    <row r="2761" spans="1:2" x14ac:dyDescent="0.25">
      <c r="A2761" s="44"/>
      <c r="B2761" s="44"/>
    </row>
    <row r="2762" spans="1:2" x14ac:dyDescent="0.25">
      <c r="A2762" s="44"/>
      <c r="B2762" s="44"/>
    </row>
    <row r="2763" spans="1:2" x14ac:dyDescent="0.25">
      <c r="A2763" s="44"/>
      <c r="B2763" s="44"/>
    </row>
    <row r="2764" spans="1:2" x14ac:dyDescent="0.25">
      <c r="A2764" s="44"/>
      <c r="B2764" s="44"/>
    </row>
    <row r="2765" spans="1:2" x14ac:dyDescent="0.25">
      <c r="A2765" s="44"/>
      <c r="B2765" s="44"/>
    </row>
    <row r="2766" spans="1:2" x14ac:dyDescent="0.25">
      <c r="A2766" s="44"/>
      <c r="B2766" s="44"/>
    </row>
    <row r="2767" spans="1:2" x14ac:dyDescent="0.25">
      <c r="A2767" s="44"/>
      <c r="B2767" s="44"/>
    </row>
    <row r="2768" spans="1:2" x14ac:dyDescent="0.25">
      <c r="A2768" s="44"/>
      <c r="B2768" s="44"/>
    </row>
    <row r="2769" spans="1:2" x14ac:dyDescent="0.25">
      <c r="A2769" s="44"/>
      <c r="B2769" s="44"/>
    </row>
    <row r="2770" spans="1:2" x14ac:dyDescent="0.25">
      <c r="A2770" s="44"/>
      <c r="B2770" s="44"/>
    </row>
    <row r="2771" spans="1:2" x14ac:dyDescent="0.25">
      <c r="A2771" s="44"/>
      <c r="B2771" s="44"/>
    </row>
    <row r="2772" spans="1:2" x14ac:dyDescent="0.25">
      <c r="A2772" s="44"/>
      <c r="B2772" s="44"/>
    </row>
    <row r="2773" spans="1:2" x14ac:dyDescent="0.25">
      <c r="A2773" s="44"/>
      <c r="B2773" s="44"/>
    </row>
    <row r="2774" spans="1:2" x14ac:dyDescent="0.25">
      <c r="A2774" s="44"/>
      <c r="B2774" s="44"/>
    </row>
    <row r="2775" spans="1:2" x14ac:dyDescent="0.25">
      <c r="A2775" s="44"/>
      <c r="B2775" s="44"/>
    </row>
    <row r="2776" spans="1:2" x14ac:dyDescent="0.25">
      <c r="A2776" s="44"/>
      <c r="B2776" s="44"/>
    </row>
    <row r="2777" spans="1:2" x14ac:dyDescent="0.25">
      <c r="A2777" s="44"/>
      <c r="B2777" s="44"/>
    </row>
    <row r="2778" spans="1:2" x14ac:dyDescent="0.25">
      <c r="A2778" s="44"/>
      <c r="B2778" s="44"/>
    </row>
    <row r="2779" spans="1:2" x14ac:dyDescent="0.25">
      <c r="A2779" s="44"/>
      <c r="B2779" s="44"/>
    </row>
    <row r="2780" spans="1:2" x14ac:dyDescent="0.25">
      <c r="A2780" s="44"/>
      <c r="B2780" s="44"/>
    </row>
    <row r="2781" spans="1:2" x14ac:dyDescent="0.25">
      <c r="A2781" s="44"/>
      <c r="B2781" s="44"/>
    </row>
    <row r="2782" spans="1:2" x14ac:dyDescent="0.25">
      <c r="A2782" s="44"/>
      <c r="B2782" s="44"/>
    </row>
    <row r="2783" spans="1:2" x14ac:dyDescent="0.25">
      <c r="A2783" s="44"/>
      <c r="B2783" s="44"/>
    </row>
    <row r="2784" spans="1:2" x14ac:dyDescent="0.25">
      <c r="A2784" s="44"/>
      <c r="B2784" s="44"/>
    </row>
    <row r="2785" spans="1:2" x14ac:dyDescent="0.25">
      <c r="A2785" s="44"/>
      <c r="B2785" s="44"/>
    </row>
    <row r="2786" spans="1:2" x14ac:dyDescent="0.25">
      <c r="A2786" s="44"/>
      <c r="B2786" s="44"/>
    </row>
    <row r="2787" spans="1:2" x14ac:dyDescent="0.25">
      <c r="A2787" s="44"/>
      <c r="B2787" s="44"/>
    </row>
    <row r="2788" spans="1:2" x14ac:dyDescent="0.25">
      <c r="A2788" s="44"/>
      <c r="B2788" s="44"/>
    </row>
    <row r="2789" spans="1:2" x14ac:dyDescent="0.25">
      <c r="A2789" s="44"/>
      <c r="B2789" s="44"/>
    </row>
    <row r="2790" spans="1:2" x14ac:dyDescent="0.25">
      <c r="A2790" s="44"/>
      <c r="B2790" s="44"/>
    </row>
    <row r="2791" spans="1:2" x14ac:dyDescent="0.25">
      <c r="A2791" s="44"/>
      <c r="B2791" s="44"/>
    </row>
    <row r="2792" spans="1:2" x14ac:dyDescent="0.25">
      <c r="A2792" s="44"/>
      <c r="B2792" s="44"/>
    </row>
    <row r="2793" spans="1:2" x14ac:dyDescent="0.25">
      <c r="A2793" s="44"/>
      <c r="B2793" s="44"/>
    </row>
    <row r="2794" spans="1:2" x14ac:dyDescent="0.25">
      <c r="A2794" s="44"/>
      <c r="B2794" s="44"/>
    </row>
    <row r="2795" spans="1:2" x14ac:dyDescent="0.25">
      <c r="A2795" s="44"/>
      <c r="B2795" s="44"/>
    </row>
    <row r="2796" spans="1:2" x14ac:dyDescent="0.25">
      <c r="A2796" s="44"/>
      <c r="B2796" s="44"/>
    </row>
    <row r="2797" spans="1:2" x14ac:dyDescent="0.25">
      <c r="A2797" s="44"/>
      <c r="B2797" s="44"/>
    </row>
    <row r="2798" spans="1:2" x14ac:dyDescent="0.25">
      <c r="A2798" s="44"/>
      <c r="B2798" s="44"/>
    </row>
    <row r="2799" spans="1:2" x14ac:dyDescent="0.25">
      <c r="A2799" s="44"/>
      <c r="B2799" s="44"/>
    </row>
    <row r="2800" spans="1:2" x14ac:dyDescent="0.25">
      <c r="A2800" s="44"/>
      <c r="B2800" s="44"/>
    </row>
    <row r="2801" spans="1:2" x14ac:dyDescent="0.25">
      <c r="A2801" s="44"/>
      <c r="B2801" s="44"/>
    </row>
    <row r="2802" spans="1:2" x14ac:dyDescent="0.25">
      <c r="A2802" s="44"/>
      <c r="B2802" s="44"/>
    </row>
    <row r="2803" spans="1:2" x14ac:dyDescent="0.25">
      <c r="A2803" s="44"/>
      <c r="B2803" s="44"/>
    </row>
    <row r="2804" spans="1:2" x14ac:dyDescent="0.25">
      <c r="A2804" s="44"/>
      <c r="B2804" s="44"/>
    </row>
    <row r="2805" spans="1:2" x14ac:dyDescent="0.25">
      <c r="A2805" s="44"/>
      <c r="B2805" s="44"/>
    </row>
    <row r="2806" spans="1:2" x14ac:dyDescent="0.25">
      <c r="A2806" s="44"/>
      <c r="B2806" s="44"/>
    </row>
    <row r="2807" spans="1:2" x14ac:dyDescent="0.25">
      <c r="A2807" s="44"/>
      <c r="B2807" s="44"/>
    </row>
    <row r="2808" spans="1:2" x14ac:dyDescent="0.25">
      <c r="A2808" s="44"/>
      <c r="B2808" s="44"/>
    </row>
    <row r="2809" spans="1:2" x14ac:dyDescent="0.25">
      <c r="A2809" s="44"/>
      <c r="B2809" s="44"/>
    </row>
    <row r="2810" spans="1:2" x14ac:dyDescent="0.25">
      <c r="A2810" s="44"/>
      <c r="B2810" s="44"/>
    </row>
    <row r="2811" spans="1:2" x14ac:dyDescent="0.25">
      <c r="A2811" s="44"/>
      <c r="B2811" s="44"/>
    </row>
    <row r="2812" spans="1:2" x14ac:dyDescent="0.25">
      <c r="A2812" s="44"/>
      <c r="B2812" s="44"/>
    </row>
    <row r="2813" spans="1:2" x14ac:dyDescent="0.25">
      <c r="A2813" s="44"/>
      <c r="B2813" s="44"/>
    </row>
    <row r="2814" spans="1:2" x14ac:dyDescent="0.25">
      <c r="A2814" s="44"/>
      <c r="B2814" s="44"/>
    </row>
    <row r="2815" spans="1:2" x14ac:dyDescent="0.25">
      <c r="A2815" s="44"/>
      <c r="B2815" s="44"/>
    </row>
    <row r="2816" spans="1:2" x14ac:dyDescent="0.25">
      <c r="A2816" s="44"/>
      <c r="B2816" s="44"/>
    </row>
    <row r="2817" spans="1:2" x14ac:dyDescent="0.25">
      <c r="A2817" s="44"/>
      <c r="B2817" s="44"/>
    </row>
    <row r="2818" spans="1:2" x14ac:dyDescent="0.25">
      <c r="A2818" s="44"/>
      <c r="B2818" s="44"/>
    </row>
    <row r="2819" spans="1:2" x14ac:dyDescent="0.25">
      <c r="A2819" s="44"/>
      <c r="B2819" s="44"/>
    </row>
    <row r="2820" spans="1:2" x14ac:dyDescent="0.25">
      <c r="A2820" s="44"/>
      <c r="B2820" s="44"/>
    </row>
    <row r="2821" spans="1:2" x14ac:dyDescent="0.25">
      <c r="A2821" s="44"/>
      <c r="B2821" s="44"/>
    </row>
    <row r="2822" spans="1:2" x14ac:dyDescent="0.25">
      <c r="A2822" s="44"/>
      <c r="B2822" s="44"/>
    </row>
    <row r="2823" spans="1:2" x14ac:dyDescent="0.25">
      <c r="A2823" s="44"/>
      <c r="B2823" s="44"/>
    </row>
    <row r="2824" spans="1:2" x14ac:dyDescent="0.25">
      <c r="A2824" s="44"/>
      <c r="B2824" s="44"/>
    </row>
    <row r="2825" spans="1:2" x14ac:dyDescent="0.25">
      <c r="A2825" s="44"/>
      <c r="B2825" s="44"/>
    </row>
    <row r="2826" spans="1:2" x14ac:dyDescent="0.25">
      <c r="A2826" s="44"/>
      <c r="B2826" s="44"/>
    </row>
    <row r="2827" spans="1:2" x14ac:dyDescent="0.25">
      <c r="A2827" s="44"/>
      <c r="B2827" s="44"/>
    </row>
    <row r="2828" spans="1:2" x14ac:dyDescent="0.25">
      <c r="A2828" s="44"/>
      <c r="B2828" s="44"/>
    </row>
    <row r="2829" spans="1:2" x14ac:dyDescent="0.25">
      <c r="A2829" s="44"/>
      <c r="B2829" s="44"/>
    </row>
    <row r="2830" spans="1:2" x14ac:dyDescent="0.25">
      <c r="A2830" s="44"/>
      <c r="B2830" s="44"/>
    </row>
    <row r="2831" spans="1:2" x14ac:dyDescent="0.25">
      <c r="A2831" s="44"/>
      <c r="B2831" s="44"/>
    </row>
    <row r="2832" spans="1:2" x14ac:dyDescent="0.25">
      <c r="A2832" s="44"/>
      <c r="B2832" s="44"/>
    </row>
    <row r="2833" spans="1:2" x14ac:dyDescent="0.25">
      <c r="A2833" s="44"/>
      <c r="B2833" s="44"/>
    </row>
    <row r="2834" spans="1:2" x14ac:dyDescent="0.25">
      <c r="A2834" s="44"/>
      <c r="B2834" s="44"/>
    </row>
    <row r="2835" spans="1:2" x14ac:dyDescent="0.25">
      <c r="A2835" s="44"/>
      <c r="B2835" s="44"/>
    </row>
    <row r="2836" spans="1:2" x14ac:dyDescent="0.25">
      <c r="A2836" s="44"/>
      <c r="B2836" s="44"/>
    </row>
    <row r="2837" spans="1:2" x14ac:dyDescent="0.25">
      <c r="A2837" s="44"/>
      <c r="B2837" s="44"/>
    </row>
    <row r="2838" spans="1:2" x14ac:dyDescent="0.25">
      <c r="A2838" s="44"/>
      <c r="B2838" s="44"/>
    </row>
    <row r="2839" spans="1:2" x14ac:dyDescent="0.25">
      <c r="A2839" s="44"/>
      <c r="B2839" s="44"/>
    </row>
    <row r="2840" spans="1:2" x14ac:dyDescent="0.25">
      <c r="A2840" s="44"/>
      <c r="B2840" s="44"/>
    </row>
    <row r="2841" spans="1:2" x14ac:dyDescent="0.25">
      <c r="A2841" s="44"/>
      <c r="B2841" s="44"/>
    </row>
    <row r="2842" spans="1:2" x14ac:dyDescent="0.25">
      <c r="A2842" s="44"/>
      <c r="B2842" s="44"/>
    </row>
    <row r="2843" spans="1:2" x14ac:dyDescent="0.25">
      <c r="A2843" s="44"/>
      <c r="B2843" s="44"/>
    </row>
    <row r="2844" spans="1:2" x14ac:dyDescent="0.25">
      <c r="A2844" s="44"/>
      <c r="B2844" s="44"/>
    </row>
    <row r="2845" spans="1:2" x14ac:dyDescent="0.25">
      <c r="A2845" s="44"/>
      <c r="B2845" s="44"/>
    </row>
    <row r="2846" spans="1:2" x14ac:dyDescent="0.25">
      <c r="A2846" s="44"/>
      <c r="B2846" s="44"/>
    </row>
    <row r="2847" spans="1:2" x14ac:dyDescent="0.25">
      <c r="A2847" s="44"/>
      <c r="B2847" s="44"/>
    </row>
    <row r="2848" spans="1:2" x14ac:dyDescent="0.25">
      <c r="A2848" s="44"/>
      <c r="B2848" s="44"/>
    </row>
    <row r="2849" spans="1:2" x14ac:dyDescent="0.25">
      <c r="A2849" s="44"/>
      <c r="B2849" s="44"/>
    </row>
    <row r="2850" spans="1:2" x14ac:dyDescent="0.25">
      <c r="A2850" s="44"/>
      <c r="B2850" s="44"/>
    </row>
    <row r="2851" spans="1:2" x14ac:dyDescent="0.25">
      <c r="A2851" s="44"/>
      <c r="B2851" s="44"/>
    </row>
    <row r="2852" spans="1:2" x14ac:dyDescent="0.25">
      <c r="A2852" s="44"/>
      <c r="B2852" s="44"/>
    </row>
    <row r="2853" spans="1:2" x14ac:dyDescent="0.25">
      <c r="A2853" s="44"/>
      <c r="B2853" s="44"/>
    </row>
    <row r="2854" spans="1:2" x14ac:dyDescent="0.25">
      <c r="A2854" s="44"/>
      <c r="B2854" s="44"/>
    </row>
    <row r="2855" spans="1:2" x14ac:dyDescent="0.25">
      <c r="A2855" s="44"/>
      <c r="B2855" s="44"/>
    </row>
    <row r="2856" spans="1:2" x14ac:dyDescent="0.25">
      <c r="A2856" s="44"/>
      <c r="B2856" s="44"/>
    </row>
    <row r="2857" spans="1:2" x14ac:dyDescent="0.25">
      <c r="A2857" s="44"/>
      <c r="B2857" s="44"/>
    </row>
    <row r="2858" spans="1:2" x14ac:dyDescent="0.25">
      <c r="A2858" s="44"/>
      <c r="B2858" s="44"/>
    </row>
    <row r="2859" spans="1:2" x14ac:dyDescent="0.25">
      <c r="A2859" s="44"/>
      <c r="B2859" s="44"/>
    </row>
    <row r="2860" spans="1:2" x14ac:dyDescent="0.25">
      <c r="A2860" s="44"/>
      <c r="B2860" s="44"/>
    </row>
    <row r="2861" spans="1:2" x14ac:dyDescent="0.25">
      <c r="A2861" s="44"/>
      <c r="B2861" s="44"/>
    </row>
    <row r="2862" spans="1:2" x14ac:dyDescent="0.25">
      <c r="A2862" s="44"/>
      <c r="B2862" s="44"/>
    </row>
    <row r="2863" spans="1:2" x14ac:dyDescent="0.25">
      <c r="A2863" s="44"/>
      <c r="B2863" s="44"/>
    </row>
    <row r="2864" spans="1:2" x14ac:dyDescent="0.25">
      <c r="A2864" s="44"/>
      <c r="B2864" s="44"/>
    </row>
    <row r="2865" spans="1:2" x14ac:dyDescent="0.25">
      <c r="A2865" s="44"/>
      <c r="B2865" s="44"/>
    </row>
    <row r="2866" spans="1:2" x14ac:dyDescent="0.25">
      <c r="A2866" s="44"/>
      <c r="B2866" s="44"/>
    </row>
    <row r="2867" spans="1:2" x14ac:dyDescent="0.25">
      <c r="A2867" s="44"/>
      <c r="B2867" s="44"/>
    </row>
    <row r="2868" spans="1:2" x14ac:dyDescent="0.25">
      <c r="A2868" s="44"/>
      <c r="B2868" s="44"/>
    </row>
    <row r="2869" spans="1:2" x14ac:dyDescent="0.25">
      <c r="A2869" s="44"/>
      <c r="B2869" s="44"/>
    </row>
    <row r="2870" spans="1:2" x14ac:dyDescent="0.25">
      <c r="A2870" s="44"/>
      <c r="B2870" s="44"/>
    </row>
    <row r="2871" spans="1:2" x14ac:dyDescent="0.25">
      <c r="A2871" s="44"/>
      <c r="B2871" s="44"/>
    </row>
    <row r="2872" spans="1:2" x14ac:dyDescent="0.25">
      <c r="A2872" s="44"/>
      <c r="B2872" s="44"/>
    </row>
    <row r="2873" spans="1:2" x14ac:dyDescent="0.25">
      <c r="A2873" s="44"/>
      <c r="B2873" s="44"/>
    </row>
    <row r="2874" spans="1:2" x14ac:dyDescent="0.25">
      <c r="A2874" s="44"/>
      <c r="B2874" s="44"/>
    </row>
    <row r="2875" spans="1:2" x14ac:dyDescent="0.25">
      <c r="A2875" s="44"/>
      <c r="B2875" s="44"/>
    </row>
    <row r="2876" spans="1:2" x14ac:dyDescent="0.25">
      <c r="A2876" s="44"/>
      <c r="B2876" s="44"/>
    </row>
    <row r="2877" spans="1:2" x14ac:dyDescent="0.25">
      <c r="A2877" s="44"/>
      <c r="B2877" s="44"/>
    </row>
    <row r="2878" spans="1:2" x14ac:dyDescent="0.25">
      <c r="A2878" s="44"/>
      <c r="B2878" s="44"/>
    </row>
    <row r="2879" spans="1:2" x14ac:dyDescent="0.25">
      <c r="A2879" s="44"/>
      <c r="B2879" s="44"/>
    </row>
    <row r="2880" spans="1:2" x14ac:dyDescent="0.25">
      <c r="A2880" s="44"/>
      <c r="B2880" s="44"/>
    </row>
    <row r="2881" spans="1:2" x14ac:dyDescent="0.25">
      <c r="A2881" s="44"/>
      <c r="B2881" s="44"/>
    </row>
    <row r="2882" spans="1:2" x14ac:dyDescent="0.25">
      <c r="A2882" s="44"/>
      <c r="B2882" s="44"/>
    </row>
    <row r="2883" spans="1:2" x14ac:dyDescent="0.25">
      <c r="A2883" s="44"/>
      <c r="B2883" s="44"/>
    </row>
    <row r="2884" spans="1:2" x14ac:dyDescent="0.25">
      <c r="A2884" s="44"/>
      <c r="B2884" s="44"/>
    </row>
    <row r="2885" spans="1:2" x14ac:dyDescent="0.25">
      <c r="A2885" s="44"/>
      <c r="B2885" s="44"/>
    </row>
    <row r="2886" spans="1:2" x14ac:dyDescent="0.25">
      <c r="A2886" s="44"/>
      <c r="B2886" s="44"/>
    </row>
    <row r="2887" spans="1:2" x14ac:dyDescent="0.25">
      <c r="A2887" s="44"/>
      <c r="B2887" s="44"/>
    </row>
    <row r="2888" spans="1:2" x14ac:dyDescent="0.25">
      <c r="A2888" s="44"/>
      <c r="B2888" s="44"/>
    </row>
    <row r="2889" spans="1:2" x14ac:dyDescent="0.25">
      <c r="A2889" s="44"/>
      <c r="B2889" s="44"/>
    </row>
    <row r="2890" spans="1:2" x14ac:dyDescent="0.25">
      <c r="A2890" s="44"/>
      <c r="B2890" s="44"/>
    </row>
    <row r="2891" spans="1:2" x14ac:dyDescent="0.25">
      <c r="A2891" s="44"/>
      <c r="B2891" s="44"/>
    </row>
    <row r="2892" spans="1:2" x14ac:dyDescent="0.25">
      <c r="A2892" s="44"/>
      <c r="B2892" s="44"/>
    </row>
    <row r="2893" spans="1:2" x14ac:dyDescent="0.25">
      <c r="A2893" s="44"/>
      <c r="B2893" s="44"/>
    </row>
    <row r="2894" spans="1:2" x14ac:dyDescent="0.25">
      <c r="A2894" s="44"/>
      <c r="B2894" s="44"/>
    </row>
    <row r="2895" spans="1:2" x14ac:dyDescent="0.25">
      <c r="A2895" s="44"/>
      <c r="B2895" s="44"/>
    </row>
    <row r="2896" spans="1:2" x14ac:dyDescent="0.25">
      <c r="A2896" s="44"/>
      <c r="B2896" s="44"/>
    </row>
    <row r="2897" spans="1:2" x14ac:dyDescent="0.25">
      <c r="A2897" s="44"/>
      <c r="B2897" s="44"/>
    </row>
    <row r="2898" spans="1:2" x14ac:dyDescent="0.25">
      <c r="A2898" s="44"/>
      <c r="B2898" s="44"/>
    </row>
    <row r="2899" spans="1:2" x14ac:dyDescent="0.25">
      <c r="A2899" s="44"/>
      <c r="B2899" s="44"/>
    </row>
    <row r="2900" spans="1:2" x14ac:dyDescent="0.25">
      <c r="A2900" s="44"/>
      <c r="B2900" s="44"/>
    </row>
    <row r="2901" spans="1:2" x14ac:dyDescent="0.25">
      <c r="A2901" s="44"/>
      <c r="B2901" s="44"/>
    </row>
    <row r="2902" spans="1:2" x14ac:dyDescent="0.25">
      <c r="A2902" s="44"/>
      <c r="B2902" s="44"/>
    </row>
    <row r="2903" spans="1:2" x14ac:dyDescent="0.25">
      <c r="A2903" s="44"/>
      <c r="B2903" s="44"/>
    </row>
    <row r="2904" spans="1:2" x14ac:dyDescent="0.25">
      <c r="A2904" s="44"/>
      <c r="B2904" s="44"/>
    </row>
    <row r="2905" spans="1:2" x14ac:dyDescent="0.25">
      <c r="A2905" s="44"/>
      <c r="B2905" s="44"/>
    </row>
    <row r="2906" spans="1:2" x14ac:dyDescent="0.25">
      <c r="A2906" s="44"/>
      <c r="B2906" s="44"/>
    </row>
    <row r="2907" spans="1:2" x14ac:dyDescent="0.25">
      <c r="A2907" s="44"/>
      <c r="B2907" s="44"/>
    </row>
    <row r="2908" spans="1:2" x14ac:dyDescent="0.25">
      <c r="A2908" s="44"/>
      <c r="B2908" s="44"/>
    </row>
    <row r="2909" spans="1:2" x14ac:dyDescent="0.25">
      <c r="A2909" s="44"/>
      <c r="B2909" s="44"/>
    </row>
    <row r="2910" spans="1:2" x14ac:dyDescent="0.25">
      <c r="A2910" s="44"/>
      <c r="B2910" s="44"/>
    </row>
    <row r="2911" spans="1:2" x14ac:dyDescent="0.25">
      <c r="A2911" s="44"/>
      <c r="B2911" s="44"/>
    </row>
    <row r="2912" spans="1:2" x14ac:dyDescent="0.25">
      <c r="A2912" s="44"/>
      <c r="B2912" s="44"/>
    </row>
    <row r="2913" spans="1:2" x14ac:dyDescent="0.25">
      <c r="A2913" s="44"/>
      <c r="B2913" s="44"/>
    </row>
    <row r="2914" spans="1:2" x14ac:dyDescent="0.25">
      <c r="A2914" s="44"/>
      <c r="B2914" s="44"/>
    </row>
    <row r="2915" spans="1:2" x14ac:dyDescent="0.25">
      <c r="A2915" s="44"/>
      <c r="B2915" s="44"/>
    </row>
    <row r="2916" spans="1:2" x14ac:dyDescent="0.25">
      <c r="A2916" s="44"/>
      <c r="B2916" s="44"/>
    </row>
    <row r="2917" spans="1:2" x14ac:dyDescent="0.25">
      <c r="A2917" s="44"/>
      <c r="B2917" s="4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76</v>
      </c>
      <c r="F9">
        <v>123</v>
      </c>
      <c r="I9" t="s">
        <v>76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2021-08-02T15:31:40Z</dcterms:modified>
</cp:coreProperties>
</file>
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77755\Documents\QA\30F\"/>
    </mc:Choice>
  </mc:AlternateContent>
  <xr:revisionPtr revIDLastSave="0" documentId="13_ncr:1_{98AE5AE6-7671-4F3D-9C87-8D569328B31E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C00030" sheetId="1" r:id="rId1"/>
    <sheet name="Raw Data Cut 1.3" sheetId="4" r:id="rId2"/>
    <sheet name="Raw Data Hotspot" sheetId="10" r:id="rId3"/>
    <sheet name="Insertion" sheetId="12" r:id="rId4"/>
    <sheet name="Deletion" sheetId="13" r:id="rId5"/>
    <sheet name="Coverage Reports" sheetId="1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05" i="1" l="1"/>
  <c r="J705" i="1"/>
  <c r="K705" i="1"/>
  <c r="L705" i="1"/>
  <c r="M705" i="1"/>
  <c r="N705" i="1"/>
  <c r="O705" i="1"/>
  <c r="P705" i="1"/>
  <c r="T705" i="1" s="1"/>
  <c r="Q705" i="1"/>
  <c r="R705" i="1"/>
  <c r="S705" i="1"/>
  <c r="U705" i="1" s="1"/>
  <c r="V705" i="1"/>
  <c r="I706" i="1"/>
  <c r="J706" i="1"/>
  <c r="K706" i="1"/>
  <c r="L706" i="1"/>
  <c r="M706" i="1"/>
  <c r="N706" i="1"/>
  <c r="O706" i="1"/>
  <c r="P706" i="1"/>
  <c r="Q706" i="1"/>
  <c r="R706" i="1"/>
  <c r="S706" i="1"/>
  <c r="T706" i="1"/>
  <c r="U706" i="1"/>
  <c r="V706" i="1"/>
  <c r="I707" i="1"/>
  <c r="J707" i="1"/>
  <c r="V707" i="1" s="1"/>
  <c r="K707" i="1"/>
  <c r="L707" i="1"/>
  <c r="M707" i="1"/>
  <c r="N707" i="1"/>
  <c r="O707" i="1"/>
  <c r="P707" i="1"/>
  <c r="T707" i="1" s="1"/>
  <c r="Q707" i="1"/>
  <c r="R707" i="1"/>
  <c r="S707" i="1"/>
  <c r="U707" i="1" s="1"/>
  <c r="I708" i="1"/>
  <c r="J708" i="1"/>
  <c r="K708" i="1"/>
  <c r="L708" i="1"/>
  <c r="M708" i="1"/>
  <c r="N708" i="1"/>
  <c r="O708" i="1"/>
  <c r="P708" i="1"/>
  <c r="Q708" i="1"/>
  <c r="R708" i="1"/>
  <c r="S708" i="1"/>
  <c r="U708" i="1" s="1"/>
  <c r="T708" i="1"/>
  <c r="V708" i="1"/>
  <c r="I709" i="1"/>
  <c r="J709" i="1"/>
  <c r="K709" i="1"/>
  <c r="L709" i="1"/>
  <c r="M709" i="1"/>
  <c r="N709" i="1"/>
  <c r="O709" i="1"/>
  <c r="P709" i="1"/>
  <c r="T709" i="1" s="1"/>
  <c r="Q709" i="1"/>
  <c r="R709" i="1"/>
  <c r="S709" i="1"/>
  <c r="U709" i="1" s="1"/>
  <c r="V709" i="1"/>
  <c r="I710" i="1"/>
  <c r="J710" i="1"/>
  <c r="V710" i="1" s="1"/>
  <c r="K710" i="1"/>
  <c r="L710" i="1"/>
  <c r="M710" i="1"/>
  <c r="N710" i="1"/>
  <c r="O710" i="1"/>
  <c r="P710" i="1"/>
  <c r="T710" i="1" s="1"/>
  <c r="Q710" i="1"/>
  <c r="R710" i="1"/>
  <c r="S710" i="1"/>
  <c r="U710" i="1" s="1"/>
  <c r="I711" i="1"/>
  <c r="J711" i="1"/>
  <c r="V711" i="1" s="1"/>
  <c r="K711" i="1"/>
  <c r="L711" i="1"/>
  <c r="M711" i="1"/>
  <c r="N711" i="1"/>
  <c r="O711" i="1"/>
  <c r="P711" i="1"/>
  <c r="T711" i="1" s="1"/>
  <c r="Q711" i="1"/>
  <c r="R711" i="1"/>
  <c r="S711" i="1"/>
  <c r="U711" i="1" s="1"/>
  <c r="I712" i="1"/>
  <c r="J712" i="1"/>
  <c r="K712" i="1"/>
  <c r="L712" i="1"/>
  <c r="M712" i="1"/>
  <c r="N712" i="1"/>
  <c r="O712" i="1"/>
  <c r="P712" i="1"/>
  <c r="T712" i="1" s="1"/>
  <c r="Q712" i="1"/>
  <c r="R712" i="1"/>
  <c r="S712" i="1"/>
  <c r="U712" i="1"/>
  <c r="V712" i="1"/>
  <c r="I713" i="1"/>
  <c r="J713" i="1"/>
  <c r="V713" i="1" s="1"/>
  <c r="K713" i="1"/>
  <c r="L713" i="1"/>
  <c r="M713" i="1"/>
  <c r="N713" i="1"/>
  <c r="O713" i="1"/>
  <c r="P713" i="1"/>
  <c r="T713" i="1" s="1"/>
  <c r="Q713" i="1"/>
  <c r="R713" i="1"/>
  <c r="S713" i="1"/>
  <c r="U713" i="1" s="1"/>
  <c r="I714" i="1"/>
  <c r="J714" i="1"/>
  <c r="K714" i="1"/>
  <c r="L714" i="1"/>
  <c r="M714" i="1"/>
  <c r="N714" i="1"/>
  <c r="O714" i="1"/>
  <c r="P714" i="1"/>
  <c r="Q714" i="1"/>
  <c r="R714" i="1"/>
  <c r="S714" i="1"/>
  <c r="U714" i="1" s="1"/>
  <c r="T714" i="1"/>
  <c r="V714" i="1"/>
  <c r="I715" i="1"/>
  <c r="J715" i="1"/>
  <c r="K715" i="1"/>
  <c r="L715" i="1"/>
  <c r="M715" i="1"/>
  <c r="N715" i="1"/>
  <c r="O715" i="1"/>
  <c r="P715" i="1"/>
  <c r="Q715" i="1"/>
  <c r="R715" i="1"/>
  <c r="S715" i="1"/>
  <c r="T715" i="1"/>
  <c r="U715" i="1"/>
  <c r="V715" i="1"/>
  <c r="I716" i="1"/>
  <c r="J716" i="1"/>
  <c r="K716" i="1"/>
  <c r="L716" i="1"/>
  <c r="M716" i="1"/>
  <c r="N716" i="1"/>
  <c r="O716" i="1"/>
  <c r="P716" i="1"/>
  <c r="T716" i="1" s="1"/>
  <c r="Q716" i="1"/>
  <c r="R716" i="1"/>
  <c r="S716" i="1"/>
  <c r="U716" i="1" s="1"/>
  <c r="V716" i="1"/>
  <c r="I717" i="1"/>
  <c r="J717" i="1"/>
  <c r="K717" i="1"/>
  <c r="L717" i="1"/>
  <c r="M717" i="1"/>
  <c r="N717" i="1"/>
  <c r="O717" i="1"/>
  <c r="P717" i="1"/>
  <c r="Q717" i="1"/>
  <c r="R717" i="1"/>
  <c r="S717" i="1"/>
  <c r="U717" i="1" s="1"/>
  <c r="T717" i="1"/>
  <c r="V717" i="1"/>
  <c r="I718" i="1"/>
  <c r="J718" i="1"/>
  <c r="K718" i="1"/>
  <c r="L718" i="1"/>
  <c r="M718" i="1"/>
  <c r="N718" i="1"/>
  <c r="O718" i="1"/>
  <c r="P718" i="1"/>
  <c r="Q718" i="1"/>
  <c r="R718" i="1"/>
  <c r="S718" i="1"/>
  <c r="T718" i="1"/>
  <c r="U718" i="1"/>
  <c r="V718" i="1"/>
  <c r="I719" i="1"/>
  <c r="J719" i="1"/>
  <c r="V719" i="1" s="1"/>
  <c r="K719" i="1"/>
  <c r="L719" i="1"/>
  <c r="M719" i="1"/>
  <c r="N719" i="1"/>
  <c r="O719" i="1"/>
  <c r="P719" i="1"/>
  <c r="T719" i="1" s="1"/>
  <c r="Q719" i="1"/>
  <c r="R719" i="1"/>
  <c r="S719" i="1"/>
  <c r="U719" i="1" s="1"/>
  <c r="I720" i="1"/>
  <c r="J720" i="1"/>
  <c r="K720" i="1"/>
  <c r="L720" i="1"/>
  <c r="M720" i="1"/>
  <c r="N720" i="1"/>
  <c r="O720" i="1"/>
  <c r="P720" i="1"/>
  <c r="Q720" i="1"/>
  <c r="R720" i="1"/>
  <c r="S720" i="1"/>
  <c r="U720" i="1" s="1"/>
  <c r="T720" i="1"/>
  <c r="V720" i="1"/>
  <c r="I721" i="1"/>
  <c r="J721" i="1"/>
  <c r="K721" i="1"/>
  <c r="L721" i="1"/>
  <c r="M721" i="1"/>
  <c r="N721" i="1"/>
  <c r="O721" i="1"/>
  <c r="P721" i="1"/>
  <c r="Q721" i="1"/>
  <c r="R721" i="1"/>
  <c r="S721" i="1"/>
  <c r="T721" i="1"/>
  <c r="U721" i="1"/>
  <c r="V721" i="1"/>
  <c r="I722" i="1"/>
  <c r="J722" i="1"/>
  <c r="K722" i="1"/>
  <c r="L722" i="1"/>
  <c r="M722" i="1"/>
  <c r="N722" i="1"/>
  <c r="O722" i="1"/>
  <c r="P722" i="1"/>
  <c r="T722" i="1" s="1"/>
  <c r="Q722" i="1"/>
  <c r="R722" i="1"/>
  <c r="S722" i="1"/>
  <c r="U722" i="1" s="1"/>
  <c r="V722" i="1"/>
  <c r="I723" i="1"/>
  <c r="J723" i="1"/>
  <c r="K723" i="1"/>
  <c r="L723" i="1"/>
  <c r="M723" i="1"/>
  <c r="N723" i="1"/>
  <c r="O723" i="1"/>
  <c r="P723" i="1"/>
  <c r="Q723" i="1"/>
  <c r="R723" i="1"/>
  <c r="S723" i="1"/>
  <c r="U723" i="1" s="1"/>
  <c r="T723" i="1"/>
  <c r="V723" i="1"/>
  <c r="I724" i="1"/>
  <c r="J724" i="1"/>
  <c r="K724" i="1"/>
  <c r="L724" i="1"/>
  <c r="M724" i="1"/>
  <c r="N724" i="1"/>
  <c r="O724" i="1"/>
  <c r="P724" i="1"/>
  <c r="Q724" i="1"/>
  <c r="R724" i="1"/>
  <c r="S724" i="1"/>
  <c r="T724" i="1"/>
  <c r="U724" i="1"/>
  <c r="V724" i="1"/>
  <c r="I725" i="1"/>
  <c r="J725" i="1"/>
  <c r="V725" i="1" s="1"/>
  <c r="K725" i="1"/>
  <c r="L725" i="1"/>
  <c r="M725" i="1"/>
  <c r="N725" i="1"/>
  <c r="O725" i="1"/>
  <c r="P725" i="1"/>
  <c r="T725" i="1" s="1"/>
  <c r="Q725" i="1"/>
  <c r="R725" i="1"/>
  <c r="S725" i="1"/>
  <c r="U725" i="1" s="1"/>
  <c r="I726" i="1"/>
  <c r="J726" i="1"/>
  <c r="K726" i="1"/>
  <c r="L726" i="1"/>
  <c r="M726" i="1"/>
  <c r="N726" i="1"/>
  <c r="O726" i="1"/>
  <c r="P726" i="1"/>
  <c r="Q726" i="1"/>
  <c r="R726" i="1"/>
  <c r="S726" i="1"/>
  <c r="U726" i="1" s="1"/>
  <c r="T726" i="1"/>
  <c r="V726" i="1"/>
  <c r="I727" i="1"/>
  <c r="J727" i="1"/>
  <c r="K727" i="1"/>
  <c r="L727" i="1"/>
  <c r="M727" i="1"/>
  <c r="N727" i="1"/>
  <c r="O727" i="1"/>
  <c r="P727" i="1"/>
  <c r="T727" i="1" s="1"/>
  <c r="Q727" i="1"/>
  <c r="R727" i="1"/>
  <c r="S727" i="1"/>
  <c r="U727" i="1"/>
  <c r="V727" i="1"/>
  <c r="I728" i="1"/>
  <c r="J728" i="1"/>
  <c r="K728" i="1"/>
  <c r="L728" i="1"/>
  <c r="M728" i="1"/>
  <c r="N728" i="1"/>
  <c r="O728" i="1"/>
  <c r="P728" i="1"/>
  <c r="T728" i="1" s="1"/>
  <c r="Q728" i="1"/>
  <c r="R728" i="1"/>
  <c r="S728" i="1"/>
  <c r="U728" i="1" s="1"/>
  <c r="V728" i="1"/>
  <c r="I729" i="1"/>
  <c r="J729" i="1"/>
  <c r="K729" i="1"/>
  <c r="L729" i="1"/>
  <c r="M729" i="1"/>
  <c r="N729" i="1"/>
  <c r="O729" i="1"/>
  <c r="P729" i="1"/>
  <c r="Q729" i="1"/>
  <c r="R729" i="1"/>
  <c r="S729" i="1"/>
  <c r="T729" i="1"/>
  <c r="U729" i="1"/>
  <c r="V729" i="1"/>
  <c r="I730" i="1"/>
  <c r="J730" i="1"/>
  <c r="K730" i="1"/>
  <c r="L730" i="1"/>
  <c r="M730" i="1"/>
  <c r="N730" i="1"/>
  <c r="O730" i="1"/>
  <c r="P730" i="1"/>
  <c r="T730" i="1" s="1"/>
  <c r="Q730" i="1"/>
  <c r="R730" i="1"/>
  <c r="S730" i="1"/>
  <c r="U730" i="1" s="1"/>
  <c r="V730" i="1"/>
  <c r="I731" i="1"/>
  <c r="J731" i="1"/>
  <c r="V731" i="1" s="1"/>
  <c r="K731" i="1"/>
  <c r="L731" i="1"/>
  <c r="M731" i="1"/>
  <c r="N731" i="1"/>
  <c r="O731" i="1"/>
  <c r="P731" i="1"/>
  <c r="T731" i="1" s="1"/>
  <c r="Q731" i="1"/>
  <c r="R731" i="1"/>
  <c r="S731" i="1"/>
  <c r="U731" i="1" s="1"/>
  <c r="I732" i="1"/>
  <c r="J732" i="1"/>
  <c r="K732" i="1"/>
  <c r="L732" i="1"/>
  <c r="M732" i="1"/>
  <c r="N732" i="1"/>
  <c r="O732" i="1"/>
  <c r="P732" i="1"/>
  <c r="Q732" i="1"/>
  <c r="R732" i="1"/>
  <c r="S732" i="1"/>
  <c r="T732" i="1"/>
  <c r="U732" i="1"/>
  <c r="V732" i="1"/>
  <c r="I733" i="1"/>
  <c r="J733" i="1"/>
  <c r="K733" i="1"/>
  <c r="L733" i="1"/>
  <c r="M733" i="1"/>
  <c r="N733" i="1"/>
  <c r="O733" i="1"/>
  <c r="P733" i="1"/>
  <c r="T733" i="1" s="1"/>
  <c r="Q733" i="1"/>
  <c r="R733" i="1"/>
  <c r="S733" i="1"/>
  <c r="U733" i="1" s="1"/>
  <c r="V733" i="1"/>
  <c r="I734" i="1"/>
  <c r="J734" i="1"/>
  <c r="V734" i="1" s="1"/>
  <c r="K734" i="1"/>
  <c r="L734" i="1"/>
  <c r="M734" i="1"/>
  <c r="N734" i="1"/>
  <c r="O734" i="1"/>
  <c r="P734" i="1"/>
  <c r="T734" i="1" s="1"/>
  <c r="Q734" i="1"/>
  <c r="R734" i="1"/>
  <c r="S734" i="1"/>
  <c r="U734" i="1" s="1"/>
  <c r="I735" i="1"/>
  <c r="J735" i="1"/>
  <c r="K735" i="1"/>
  <c r="L735" i="1"/>
  <c r="M735" i="1"/>
  <c r="N735" i="1"/>
  <c r="O735" i="1"/>
  <c r="P735" i="1"/>
  <c r="Q735" i="1"/>
  <c r="R735" i="1"/>
  <c r="S735" i="1"/>
  <c r="T735" i="1"/>
  <c r="U735" i="1"/>
  <c r="V735" i="1"/>
  <c r="I736" i="1"/>
  <c r="J736" i="1"/>
  <c r="K736" i="1"/>
  <c r="L736" i="1"/>
  <c r="M736" i="1"/>
  <c r="N736" i="1"/>
  <c r="O736" i="1"/>
  <c r="P736" i="1"/>
  <c r="T736" i="1" s="1"/>
  <c r="Q736" i="1"/>
  <c r="R736" i="1"/>
  <c r="S736" i="1"/>
  <c r="U736" i="1" s="1"/>
  <c r="V736" i="1"/>
  <c r="I737" i="1"/>
  <c r="J737" i="1"/>
  <c r="K737" i="1"/>
  <c r="L737" i="1"/>
  <c r="M737" i="1"/>
  <c r="N737" i="1"/>
  <c r="O737" i="1"/>
  <c r="P737" i="1"/>
  <c r="T737" i="1" s="1"/>
  <c r="Q737" i="1"/>
  <c r="R737" i="1"/>
  <c r="S737" i="1"/>
  <c r="U737" i="1" s="1"/>
  <c r="V737" i="1"/>
  <c r="I738" i="1"/>
  <c r="J738" i="1"/>
  <c r="K738" i="1"/>
  <c r="L738" i="1"/>
  <c r="M738" i="1"/>
  <c r="N738" i="1"/>
  <c r="O738" i="1"/>
  <c r="P738" i="1"/>
  <c r="Q738" i="1"/>
  <c r="R738" i="1"/>
  <c r="S738" i="1"/>
  <c r="T738" i="1"/>
  <c r="U738" i="1"/>
  <c r="V738" i="1"/>
  <c r="I739" i="1"/>
  <c r="J739" i="1"/>
  <c r="K739" i="1"/>
  <c r="L739" i="1"/>
  <c r="M739" i="1"/>
  <c r="N739" i="1"/>
  <c r="O739" i="1"/>
  <c r="P739" i="1"/>
  <c r="T739" i="1" s="1"/>
  <c r="Q739" i="1"/>
  <c r="R739" i="1"/>
  <c r="S739" i="1"/>
  <c r="U739" i="1" s="1"/>
  <c r="V739" i="1"/>
  <c r="I740" i="1"/>
  <c r="J740" i="1"/>
  <c r="V740" i="1" s="1"/>
  <c r="K740" i="1"/>
  <c r="L740" i="1"/>
  <c r="M740" i="1"/>
  <c r="N740" i="1"/>
  <c r="O740" i="1"/>
  <c r="P740" i="1"/>
  <c r="T740" i="1" s="1"/>
  <c r="Q740" i="1"/>
  <c r="R740" i="1"/>
  <c r="S740" i="1"/>
  <c r="U740" i="1" s="1"/>
  <c r="I741" i="1"/>
  <c r="J741" i="1"/>
  <c r="K741" i="1"/>
  <c r="L741" i="1"/>
  <c r="M741" i="1"/>
  <c r="N741" i="1"/>
  <c r="O741" i="1"/>
  <c r="P741" i="1"/>
  <c r="Q741" i="1"/>
  <c r="R741" i="1"/>
  <c r="S741" i="1"/>
  <c r="T741" i="1"/>
  <c r="U741" i="1"/>
  <c r="V741" i="1"/>
  <c r="I742" i="1"/>
  <c r="J742" i="1"/>
  <c r="K742" i="1"/>
  <c r="L742" i="1"/>
  <c r="M742" i="1"/>
  <c r="N742" i="1"/>
  <c r="O742" i="1"/>
  <c r="P742" i="1"/>
  <c r="T742" i="1" s="1"/>
  <c r="Q742" i="1"/>
  <c r="R742" i="1"/>
  <c r="S742" i="1"/>
  <c r="U742" i="1" s="1"/>
  <c r="V742" i="1"/>
  <c r="I743" i="1"/>
  <c r="J743" i="1"/>
  <c r="V743" i="1" s="1"/>
  <c r="K743" i="1"/>
  <c r="L743" i="1"/>
  <c r="M743" i="1"/>
  <c r="N743" i="1"/>
  <c r="O743" i="1"/>
  <c r="P743" i="1"/>
  <c r="T743" i="1" s="1"/>
  <c r="Q743" i="1"/>
  <c r="R743" i="1"/>
  <c r="S743" i="1"/>
  <c r="U743" i="1" s="1"/>
  <c r="I744" i="1"/>
  <c r="J744" i="1"/>
  <c r="K744" i="1"/>
  <c r="L744" i="1"/>
  <c r="M744" i="1"/>
  <c r="N744" i="1"/>
  <c r="O744" i="1"/>
  <c r="P744" i="1"/>
  <c r="Q744" i="1"/>
  <c r="R744" i="1"/>
  <c r="S744" i="1"/>
  <c r="T744" i="1"/>
  <c r="U744" i="1"/>
  <c r="V744" i="1"/>
  <c r="I745" i="1"/>
  <c r="J745" i="1"/>
  <c r="K745" i="1"/>
  <c r="L745" i="1"/>
  <c r="M745" i="1"/>
  <c r="N745" i="1"/>
  <c r="O745" i="1"/>
  <c r="P745" i="1"/>
  <c r="Q745" i="1"/>
  <c r="R745" i="1"/>
  <c r="S745" i="1"/>
  <c r="U745" i="1" s="1"/>
  <c r="T745" i="1"/>
  <c r="V745" i="1"/>
  <c r="I746" i="1"/>
  <c r="J746" i="1"/>
  <c r="K746" i="1"/>
  <c r="L746" i="1"/>
  <c r="M746" i="1"/>
  <c r="N746" i="1"/>
  <c r="O746" i="1"/>
  <c r="P746" i="1"/>
  <c r="T746" i="1" s="1"/>
  <c r="Q746" i="1"/>
  <c r="R746" i="1"/>
  <c r="S746" i="1"/>
  <c r="U746" i="1" s="1"/>
  <c r="V746" i="1"/>
  <c r="I747" i="1"/>
  <c r="J747" i="1"/>
  <c r="K747" i="1"/>
  <c r="L747" i="1"/>
  <c r="M747" i="1"/>
  <c r="N747" i="1"/>
  <c r="O747" i="1"/>
  <c r="P747" i="1"/>
  <c r="Q747" i="1"/>
  <c r="R747" i="1"/>
  <c r="S747" i="1"/>
  <c r="T747" i="1"/>
  <c r="U747" i="1"/>
  <c r="V747" i="1"/>
  <c r="I748" i="1"/>
  <c r="J748" i="1"/>
  <c r="K748" i="1"/>
  <c r="L748" i="1"/>
  <c r="M748" i="1"/>
  <c r="N748" i="1"/>
  <c r="O748" i="1"/>
  <c r="P748" i="1"/>
  <c r="Q748" i="1"/>
  <c r="R748" i="1"/>
  <c r="S748" i="1"/>
  <c r="U748" i="1" s="1"/>
  <c r="T748" i="1"/>
  <c r="V748" i="1"/>
  <c r="I749" i="1"/>
  <c r="J749" i="1"/>
  <c r="V749" i="1" s="1"/>
  <c r="K749" i="1"/>
  <c r="L749" i="1"/>
  <c r="M749" i="1"/>
  <c r="N749" i="1"/>
  <c r="O749" i="1"/>
  <c r="P749" i="1"/>
  <c r="T749" i="1" s="1"/>
  <c r="Q749" i="1"/>
  <c r="R749" i="1"/>
  <c r="S749" i="1"/>
  <c r="U749" i="1" s="1"/>
  <c r="I750" i="1"/>
  <c r="J750" i="1"/>
  <c r="K750" i="1"/>
  <c r="L750" i="1"/>
  <c r="M750" i="1"/>
  <c r="N750" i="1"/>
  <c r="O750" i="1"/>
  <c r="P750" i="1"/>
  <c r="Q750" i="1"/>
  <c r="R750" i="1"/>
  <c r="S750" i="1"/>
  <c r="T750" i="1"/>
  <c r="U750" i="1"/>
  <c r="V750" i="1"/>
  <c r="I751" i="1"/>
  <c r="J751" i="1"/>
  <c r="K751" i="1"/>
  <c r="L751" i="1"/>
  <c r="M751" i="1"/>
  <c r="N751" i="1"/>
  <c r="O751" i="1"/>
  <c r="P751" i="1"/>
  <c r="T751" i="1" s="1"/>
  <c r="Q751" i="1"/>
  <c r="R751" i="1"/>
  <c r="S751" i="1"/>
  <c r="U751" i="1" s="1"/>
  <c r="V751" i="1"/>
  <c r="I752" i="1"/>
  <c r="J752" i="1"/>
  <c r="K752" i="1"/>
  <c r="L752" i="1"/>
  <c r="M752" i="1"/>
  <c r="N752" i="1"/>
  <c r="O752" i="1"/>
  <c r="P752" i="1"/>
  <c r="T752" i="1" s="1"/>
  <c r="Q752" i="1"/>
  <c r="R752" i="1"/>
  <c r="S752" i="1"/>
  <c r="U752" i="1" s="1"/>
  <c r="V752" i="1"/>
  <c r="I753" i="1"/>
  <c r="J753" i="1"/>
  <c r="K753" i="1"/>
  <c r="L753" i="1"/>
  <c r="M753" i="1"/>
  <c r="N753" i="1"/>
  <c r="O753" i="1"/>
  <c r="P753" i="1"/>
  <c r="Q753" i="1"/>
  <c r="R753" i="1"/>
  <c r="S753" i="1"/>
  <c r="T753" i="1"/>
  <c r="U753" i="1"/>
  <c r="V753" i="1"/>
  <c r="I754" i="1"/>
  <c r="J754" i="1"/>
  <c r="K754" i="1"/>
  <c r="L754" i="1"/>
  <c r="M754" i="1"/>
  <c r="N754" i="1"/>
  <c r="O754" i="1"/>
  <c r="P754" i="1"/>
  <c r="Q754" i="1"/>
  <c r="R754" i="1"/>
  <c r="S754" i="1"/>
  <c r="U754" i="1" s="1"/>
  <c r="T754" i="1"/>
  <c r="V754" i="1"/>
  <c r="I755" i="1"/>
  <c r="J755" i="1"/>
  <c r="K755" i="1"/>
  <c r="L755" i="1"/>
  <c r="M755" i="1"/>
  <c r="N755" i="1"/>
  <c r="O755" i="1"/>
  <c r="P755" i="1"/>
  <c r="T755" i="1" s="1"/>
  <c r="Q755" i="1"/>
  <c r="R755" i="1"/>
  <c r="S755" i="1"/>
  <c r="U755" i="1" s="1"/>
  <c r="V755" i="1"/>
  <c r="I756" i="1"/>
  <c r="J756" i="1"/>
  <c r="K756" i="1"/>
  <c r="L756" i="1"/>
  <c r="M756" i="1"/>
  <c r="N756" i="1"/>
  <c r="O756" i="1"/>
  <c r="P756" i="1"/>
  <c r="Q756" i="1"/>
  <c r="R756" i="1"/>
  <c r="S756" i="1"/>
  <c r="T756" i="1"/>
  <c r="U756" i="1"/>
  <c r="V756" i="1"/>
  <c r="I757" i="1"/>
  <c r="J757" i="1"/>
  <c r="K757" i="1"/>
  <c r="L757" i="1"/>
  <c r="M757" i="1"/>
  <c r="N757" i="1"/>
  <c r="O757" i="1"/>
  <c r="P757" i="1"/>
  <c r="Q757" i="1"/>
  <c r="R757" i="1"/>
  <c r="S757" i="1"/>
  <c r="U757" i="1" s="1"/>
  <c r="T757" i="1"/>
  <c r="V757" i="1"/>
  <c r="I758" i="1"/>
  <c r="J758" i="1"/>
  <c r="K758" i="1"/>
  <c r="L758" i="1"/>
  <c r="M758" i="1"/>
  <c r="N758" i="1"/>
  <c r="O758" i="1"/>
  <c r="P758" i="1"/>
  <c r="T758" i="1" s="1"/>
  <c r="Q758" i="1"/>
  <c r="R758" i="1"/>
  <c r="S758" i="1"/>
  <c r="U758" i="1" s="1"/>
  <c r="V758" i="1"/>
  <c r="I759" i="1"/>
  <c r="J759" i="1"/>
  <c r="K759" i="1"/>
  <c r="L759" i="1"/>
  <c r="M759" i="1"/>
  <c r="N759" i="1"/>
  <c r="O759" i="1"/>
  <c r="P759" i="1"/>
  <c r="Q759" i="1"/>
  <c r="R759" i="1"/>
  <c r="S759" i="1"/>
  <c r="T759" i="1"/>
  <c r="U759" i="1"/>
  <c r="V759" i="1"/>
  <c r="I760" i="1"/>
  <c r="J760" i="1"/>
  <c r="K760" i="1"/>
  <c r="L760" i="1"/>
  <c r="M760" i="1"/>
  <c r="N760" i="1"/>
  <c r="O760" i="1"/>
  <c r="P760" i="1"/>
  <c r="Q760" i="1"/>
  <c r="R760" i="1"/>
  <c r="S760" i="1"/>
  <c r="U760" i="1" s="1"/>
  <c r="T760" i="1"/>
  <c r="V760" i="1"/>
  <c r="I761" i="1"/>
  <c r="J761" i="1"/>
  <c r="K761" i="1"/>
  <c r="L761" i="1"/>
  <c r="M761" i="1"/>
  <c r="N761" i="1"/>
  <c r="O761" i="1"/>
  <c r="P761" i="1"/>
  <c r="T761" i="1" s="1"/>
  <c r="Q761" i="1"/>
  <c r="R761" i="1"/>
  <c r="S761" i="1"/>
  <c r="U761" i="1" s="1"/>
  <c r="V761" i="1"/>
  <c r="I762" i="1"/>
  <c r="J762" i="1"/>
  <c r="K762" i="1"/>
  <c r="L762" i="1"/>
  <c r="M762" i="1"/>
  <c r="N762" i="1"/>
  <c r="O762" i="1"/>
  <c r="P762" i="1"/>
  <c r="Q762" i="1"/>
  <c r="R762" i="1"/>
  <c r="S762" i="1"/>
  <c r="T762" i="1"/>
  <c r="U762" i="1"/>
  <c r="V762" i="1"/>
  <c r="I763" i="1"/>
  <c r="J763" i="1"/>
  <c r="K763" i="1"/>
  <c r="L763" i="1"/>
  <c r="M763" i="1"/>
  <c r="N763" i="1"/>
  <c r="O763" i="1"/>
  <c r="P763" i="1"/>
  <c r="Q763" i="1"/>
  <c r="R763" i="1"/>
  <c r="S763" i="1"/>
  <c r="U763" i="1" s="1"/>
  <c r="T763" i="1"/>
  <c r="V763" i="1"/>
  <c r="I764" i="1"/>
  <c r="J764" i="1"/>
  <c r="K764" i="1"/>
  <c r="L764" i="1"/>
  <c r="M764" i="1"/>
  <c r="N764" i="1"/>
  <c r="O764" i="1"/>
  <c r="P764" i="1"/>
  <c r="T764" i="1" s="1"/>
  <c r="Q764" i="1"/>
  <c r="R764" i="1"/>
  <c r="S764" i="1"/>
  <c r="U764" i="1" s="1"/>
  <c r="V764" i="1"/>
  <c r="I765" i="1"/>
  <c r="J765" i="1"/>
  <c r="K765" i="1"/>
  <c r="L765" i="1"/>
  <c r="M765" i="1"/>
  <c r="N765" i="1"/>
  <c r="O765" i="1"/>
  <c r="P765" i="1"/>
  <c r="Q765" i="1"/>
  <c r="R765" i="1"/>
  <c r="S765" i="1"/>
  <c r="T765" i="1"/>
  <c r="U765" i="1"/>
  <c r="V765" i="1"/>
  <c r="I766" i="1"/>
  <c r="J766" i="1"/>
  <c r="K766" i="1"/>
  <c r="L766" i="1"/>
  <c r="M766" i="1"/>
  <c r="N766" i="1"/>
  <c r="O766" i="1"/>
  <c r="P766" i="1"/>
  <c r="Q766" i="1"/>
  <c r="R766" i="1"/>
  <c r="S766" i="1"/>
  <c r="U766" i="1" s="1"/>
  <c r="T766" i="1"/>
  <c r="V766" i="1"/>
  <c r="I767" i="1"/>
  <c r="J767" i="1"/>
  <c r="K767" i="1"/>
  <c r="L767" i="1"/>
  <c r="M767" i="1"/>
  <c r="N767" i="1"/>
  <c r="O767" i="1"/>
  <c r="P767" i="1"/>
  <c r="T767" i="1" s="1"/>
  <c r="Q767" i="1"/>
  <c r="R767" i="1"/>
  <c r="S767" i="1"/>
  <c r="U767" i="1" s="1"/>
  <c r="V767" i="1"/>
  <c r="I768" i="1"/>
  <c r="J768" i="1"/>
  <c r="K768" i="1"/>
  <c r="L768" i="1"/>
  <c r="M768" i="1"/>
  <c r="N768" i="1"/>
  <c r="O768" i="1"/>
  <c r="P768" i="1"/>
  <c r="Q768" i="1"/>
  <c r="R768" i="1"/>
  <c r="S768" i="1"/>
  <c r="T768" i="1"/>
  <c r="U768" i="1"/>
  <c r="V768" i="1"/>
  <c r="I769" i="1"/>
  <c r="J769" i="1"/>
  <c r="K769" i="1"/>
  <c r="L769" i="1"/>
  <c r="M769" i="1"/>
  <c r="N769" i="1"/>
  <c r="O769" i="1"/>
  <c r="P769" i="1"/>
  <c r="T769" i="1" s="1"/>
  <c r="Q769" i="1"/>
  <c r="R769" i="1"/>
  <c r="S769" i="1"/>
  <c r="U769" i="1" s="1"/>
  <c r="V769" i="1"/>
  <c r="I770" i="1"/>
  <c r="J770" i="1"/>
  <c r="V770" i="1" s="1"/>
  <c r="K770" i="1"/>
  <c r="L770" i="1"/>
  <c r="M770" i="1"/>
  <c r="N770" i="1"/>
  <c r="O770" i="1"/>
  <c r="P770" i="1"/>
  <c r="T770" i="1" s="1"/>
  <c r="Q770" i="1"/>
  <c r="R770" i="1"/>
  <c r="S770" i="1"/>
  <c r="U770" i="1" s="1"/>
  <c r="I771" i="1"/>
  <c r="J771" i="1"/>
  <c r="K771" i="1"/>
  <c r="L771" i="1"/>
  <c r="M771" i="1"/>
  <c r="N771" i="1"/>
  <c r="O771" i="1"/>
  <c r="P771" i="1"/>
  <c r="Q771" i="1"/>
  <c r="R771" i="1"/>
  <c r="S771" i="1"/>
  <c r="T771" i="1"/>
  <c r="U771" i="1"/>
  <c r="V771" i="1"/>
  <c r="I772" i="1"/>
  <c r="J772" i="1"/>
  <c r="K772" i="1"/>
  <c r="L772" i="1"/>
  <c r="M772" i="1"/>
  <c r="N772" i="1"/>
  <c r="O772" i="1"/>
  <c r="P772" i="1"/>
  <c r="Q772" i="1"/>
  <c r="R772" i="1"/>
  <c r="S772" i="1"/>
  <c r="U772" i="1" s="1"/>
  <c r="T772" i="1"/>
  <c r="V772" i="1"/>
  <c r="I773" i="1"/>
  <c r="J773" i="1"/>
  <c r="V773" i="1" s="1"/>
  <c r="K773" i="1"/>
  <c r="L773" i="1"/>
  <c r="M773" i="1"/>
  <c r="N773" i="1"/>
  <c r="O773" i="1"/>
  <c r="P773" i="1"/>
  <c r="T773" i="1" s="1"/>
  <c r="Q773" i="1"/>
  <c r="R773" i="1"/>
  <c r="S773" i="1"/>
  <c r="U773" i="1" s="1"/>
  <c r="I774" i="1"/>
  <c r="J774" i="1"/>
  <c r="K774" i="1"/>
  <c r="L774" i="1"/>
  <c r="M774" i="1"/>
  <c r="N774" i="1"/>
  <c r="O774" i="1"/>
  <c r="P774" i="1"/>
  <c r="Q774" i="1"/>
  <c r="R774" i="1"/>
  <c r="S774" i="1"/>
  <c r="T774" i="1"/>
  <c r="U774" i="1"/>
  <c r="V774" i="1"/>
  <c r="I775" i="1"/>
  <c r="J775" i="1"/>
  <c r="K775" i="1"/>
  <c r="L775" i="1"/>
  <c r="M775" i="1"/>
  <c r="N775" i="1"/>
  <c r="O775" i="1"/>
  <c r="P775" i="1"/>
  <c r="T775" i="1" s="1"/>
  <c r="Q775" i="1"/>
  <c r="R775" i="1"/>
  <c r="S775" i="1"/>
  <c r="U775" i="1" s="1"/>
  <c r="V775" i="1"/>
  <c r="I776" i="1"/>
  <c r="J776" i="1"/>
  <c r="V776" i="1" s="1"/>
  <c r="K776" i="1"/>
  <c r="L776" i="1"/>
  <c r="M776" i="1"/>
  <c r="N776" i="1"/>
  <c r="O776" i="1"/>
  <c r="P776" i="1"/>
  <c r="T776" i="1" s="1"/>
  <c r="Q776" i="1"/>
  <c r="R776" i="1"/>
  <c r="S776" i="1"/>
  <c r="U776" i="1" s="1"/>
  <c r="I777" i="1"/>
  <c r="J777" i="1"/>
  <c r="K777" i="1"/>
  <c r="L777" i="1"/>
  <c r="M777" i="1"/>
  <c r="N777" i="1"/>
  <c r="O777" i="1"/>
  <c r="P777" i="1"/>
  <c r="Q777" i="1"/>
  <c r="R777" i="1"/>
  <c r="S777" i="1"/>
  <c r="T777" i="1"/>
  <c r="U777" i="1"/>
  <c r="V777" i="1"/>
  <c r="I778" i="1"/>
  <c r="J778" i="1"/>
  <c r="K778" i="1"/>
  <c r="L778" i="1"/>
  <c r="M778" i="1"/>
  <c r="N778" i="1"/>
  <c r="O778" i="1"/>
  <c r="P778" i="1"/>
  <c r="Q778" i="1"/>
  <c r="R778" i="1"/>
  <c r="S778" i="1"/>
  <c r="U778" i="1" s="1"/>
  <c r="T778" i="1"/>
  <c r="V778" i="1"/>
  <c r="I779" i="1"/>
  <c r="J779" i="1"/>
  <c r="K779" i="1"/>
  <c r="L779" i="1"/>
  <c r="M779" i="1"/>
  <c r="N779" i="1"/>
  <c r="O779" i="1"/>
  <c r="P779" i="1"/>
  <c r="T779" i="1" s="1"/>
  <c r="Q779" i="1"/>
  <c r="R779" i="1"/>
  <c r="S779" i="1"/>
  <c r="U779" i="1" s="1"/>
  <c r="V779" i="1"/>
  <c r="I780" i="1"/>
  <c r="J780" i="1"/>
  <c r="K780" i="1"/>
  <c r="L780" i="1"/>
  <c r="M780" i="1"/>
  <c r="N780" i="1"/>
  <c r="O780" i="1"/>
  <c r="P780" i="1"/>
  <c r="Q780" i="1"/>
  <c r="R780" i="1"/>
  <c r="S780" i="1"/>
  <c r="T780" i="1"/>
  <c r="U780" i="1"/>
  <c r="V780" i="1"/>
  <c r="I781" i="1"/>
  <c r="J781" i="1"/>
  <c r="K781" i="1"/>
  <c r="L781" i="1"/>
  <c r="M781" i="1"/>
  <c r="N781" i="1"/>
  <c r="O781" i="1"/>
  <c r="P781" i="1"/>
  <c r="Q781" i="1"/>
  <c r="R781" i="1"/>
  <c r="S781" i="1"/>
  <c r="U781" i="1" s="1"/>
  <c r="T781" i="1"/>
  <c r="V781" i="1"/>
  <c r="I782" i="1"/>
  <c r="J782" i="1"/>
  <c r="V782" i="1" s="1"/>
  <c r="K782" i="1"/>
  <c r="L782" i="1"/>
  <c r="M782" i="1"/>
  <c r="N782" i="1"/>
  <c r="O782" i="1"/>
  <c r="P782" i="1"/>
  <c r="T782" i="1" s="1"/>
  <c r="Q782" i="1"/>
  <c r="R782" i="1"/>
  <c r="S782" i="1"/>
  <c r="U782" i="1" s="1"/>
  <c r="I783" i="1"/>
  <c r="J783" i="1"/>
  <c r="K783" i="1"/>
  <c r="L783" i="1"/>
  <c r="M783" i="1"/>
  <c r="N783" i="1"/>
  <c r="O783" i="1"/>
  <c r="P783" i="1"/>
  <c r="Q783" i="1"/>
  <c r="R783" i="1"/>
  <c r="S783" i="1"/>
  <c r="T783" i="1"/>
  <c r="U783" i="1"/>
  <c r="V783" i="1"/>
  <c r="I784" i="1"/>
  <c r="J784" i="1"/>
  <c r="K784" i="1"/>
  <c r="L784" i="1"/>
  <c r="M784" i="1"/>
  <c r="N784" i="1"/>
  <c r="O784" i="1"/>
  <c r="P784" i="1"/>
  <c r="Q784" i="1"/>
  <c r="R784" i="1"/>
  <c r="S784" i="1"/>
  <c r="U784" i="1" s="1"/>
  <c r="T784" i="1"/>
  <c r="V784" i="1"/>
  <c r="I785" i="1"/>
  <c r="J785" i="1"/>
  <c r="K785" i="1"/>
  <c r="L785" i="1"/>
  <c r="M785" i="1"/>
  <c r="N785" i="1"/>
  <c r="O785" i="1"/>
  <c r="P785" i="1"/>
  <c r="T785" i="1" s="1"/>
  <c r="Q785" i="1"/>
  <c r="R785" i="1"/>
  <c r="S785" i="1"/>
  <c r="U785" i="1" s="1"/>
  <c r="V785" i="1"/>
  <c r="I786" i="1"/>
  <c r="J786" i="1"/>
  <c r="K786" i="1"/>
  <c r="L786" i="1"/>
  <c r="M786" i="1"/>
  <c r="N786" i="1"/>
  <c r="O786" i="1"/>
  <c r="P786" i="1"/>
  <c r="Q786" i="1"/>
  <c r="R786" i="1"/>
  <c r="S786" i="1"/>
  <c r="T786" i="1"/>
  <c r="U786" i="1"/>
  <c r="V786" i="1"/>
  <c r="I787" i="1"/>
  <c r="J787" i="1"/>
  <c r="K787" i="1"/>
  <c r="L787" i="1"/>
  <c r="M787" i="1"/>
  <c r="N787" i="1"/>
  <c r="O787" i="1"/>
  <c r="P787" i="1"/>
  <c r="Q787" i="1"/>
  <c r="R787" i="1"/>
  <c r="S787" i="1"/>
  <c r="U787" i="1" s="1"/>
  <c r="T787" i="1"/>
  <c r="V787" i="1"/>
  <c r="I788" i="1"/>
  <c r="J788" i="1"/>
  <c r="V788" i="1" s="1"/>
  <c r="K788" i="1"/>
  <c r="L788" i="1"/>
  <c r="M788" i="1"/>
  <c r="N788" i="1"/>
  <c r="O788" i="1"/>
  <c r="P788" i="1"/>
  <c r="T788" i="1" s="1"/>
  <c r="Q788" i="1"/>
  <c r="R788" i="1"/>
  <c r="S788" i="1"/>
  <c r="U788" i="1" s="1"/>
  <c r="I789" i="1"/>
  <c r="J789" i="1"/>
  <c r="K789" i="1"/>
  <c r="L789" i="1"/>
  <c r="M789" i="1"/>
  <c r="N789" i="1"/>
  <c r="O789" i="1"/>
  <c r="P789" i="1"/>
  <c r="Q789" i="1"/>
  <c r="R789" i="1"/>
  <c r="S789" i="1"/>
  <c r="T789" i="1"/>
  <c r="U789" i="1"/>
  <c r="V789" i="1"/>
  <c r="I790" i="1"/>
  <c r="J790" i="1"/>
  <c r="K790" i="1"/>
  <c r="L790" i="1"/>
  <c r="M790" i="1"/>
  <c r="N790" i="1"/>
  <c r="O790" i="1"/>
  <c r="P790" i="1"/>
  <c r="Q790" i="1"/>
  <c r="R790" i="1"/>
  <c r="S790" i="1"/>
  <c r="U790" i="1" s="1"/>
  <c r="T790" i="1"/>
  <c r="V790" i="1"/>
  <c r="I791" i="1"/>
  <c r="J791" i="1"/>
  <c r="K791" i="1"/>
  <c r="L791" i="1"/>
  <c r="M791" i="1"/>
  <c r="N791" i="1"/>
  <c r="O791" i="1"/>
  <c r="P791" i="1"/>
  <c r="T791" i="1" s="1"/>
  <c r="Q791" i="1"/>
  <c r="R791" i="1"/>
  <c r="S791" i="1"/>
  <c r="U791" i="1" s="1"/>
  <c r="V791" i="1"/>
  <c r="I792" i="1"/>
  <c r="J792" i="1"/>
  <c r="K792" i="1"/>
  <c r="L792" i="1"/>
  <c r="M792" i="1"/>
  <c r="N792" i="1"/>
  <c r="O792" i="1"/>
  <c r="P792" i="1"/>
  <c r="Q792" i="1"/>
  <c r="R792" i="1"/>
  <c r="S792" i="1"/>
  <c r="T792" i="1"/>
  <c r="U792" i="1"/>
  <c r="V792" i="1"/>
  <c r="I793" i="1"/>
  <c r="J793" i="1"/>
  <c r="K793" i="1"/>
  <c r="L793" i="1"/>
  <c r="M793" i="1"/>
  <c r="N793" i="1"/>
  <c r="O793" i="1"/>
  <c r="P793" i="1"/>
  <c r="Q793" i="1"/>
  <c r="R793" i="1"/>
  <c r="S793" i="1"/>
  <c r="U793" i="1" s="1"/>
  <c r="T793" i="1"/>
  <c r="V793" i="1"/>
  <c r="I794" i="1"/>
  <c r="J794" i="1"/>
  <c r="V794" i="1" s="1"/>
  <c r="K794" i="1"/>
  <c r="L794" i="1"/>
  <c r="M794" i="1"/>
  <c r="N794" i="1"/>
  <c r="O794" i="1"/>
  <c r="P794" i="1"/>
  <c r="T794" i="1" s="1"/>
  <c r="Q794" i="1"/>
  <c r="R794" i="1"/>
  <c r="S794" i="1"/>
  <c r="U794" i="1" s="1"/>
  <c r="I795" i="1"/>
  <c r="J795" i="1"/>
  <c r="K795" i="1"/>
  <c r="L795" i="1"/>
  <c r="M795" i="1"/>
  <c r="N795" i="1"/>
  <c r="O795" i="1"/>
  <c r="P795" i="1"/>
  <c r="Q795" i="1"/>
  <c r="R795" i="1"/>
  <c r="S795" i="1"/>
  <c r="T795" i="1"/>
  <c r="U795" i="1"/>
  <c r="V795" i="1"/>
  <c r="I796" i="1"/>
  <c r="J796" i="1"/>
  <c r="K796" i="1"/>
  <c r="L796" i="1"/>
  <c r="M796" i="1"/>
  <c r="N796" i="1"/>
  <c r="O796" i="1"/>
  <c r="P796" i="1"/>
  <c r="Q796" i="1"/>
  <c r="R796" i="1"/>
  <c r="S796" i="1"/>
  <c r="U796" i="1" s="1"/>
  <c r="T796" i="1"/>
  <c r="V796" i="1"/>
  <c r="I797" i="1"/>
  <c r="J797" i="1"/>
  <c r="K797" i="1"/>
  <c r="L797" i="1"/>
  <c r="M797" i="1"/>
  <c r="N797" i="1"/>
  <c r="O797" i="1"/>
  <c r="P797" i="1"/>
  <c r="T797" i="1" s="1"/>
  <c r="Q797" i="1"/>
  <c r="R797" i="1"/>
  <c r="S797" i="1"/>
  <c r="U797" i="1" s="1"/>
  <c r="V797" i="1"/>
  <c r="I798" i="1"/>
  <c r="J798" i="1"/>
  <c r="K798" i="1"/>
  <c r="L798" i="1"/>
  <c r="M798" i="1"/>
  <c r="N798" i="1"/>
  <c r="O798" i="1"/>
  <c r="P798" i="1"/>
  <c r="Q798" i="1"/>
  <c r="R798" i="1"/>
  <c r="S798" i="1"/>
  <c r="T798" i="1"/>
  <c r="U798" i="1"/>
  <c r="V798" i="1"/>
  <c r="I799" i="1"/>
  <c r="J799" i="1"/>
  <c r="K799" i="1"/>
  <c r="L799" i="1"/>
  <c r="M799" i="1"/>
  <c r="N799" i="1"/>
  <c r="O799" i="1"/>
  <c r="P799" i="1"/>
  <c r="Q799" i="1"/>
  <c r="R799" i="1"/>
  <c r="S799" i="1"/>
  <c r="U799" i="1" s="1"/>
  <c r="T799" i="1"/>
  <c r="V799" i="1"/>
  <c r="I800" i="1"/>
  <c r="J800" i="1"/>
  <c r="V800" i="1" s="1"/>
  <c r="K800" i="1"/>
  <c r="L800" i="1"/>
  <c r="M800" i="1"/>
  <c r="N800" i="1"/>
  <c r="O800" i="1"/>
  <c r="P800" i="1"/>
  <c r="T800" i="1" s="1"/>
  <c r="Q800" i="1"/>
  <c r="R800" i="1"/>
  <c r="S800" i="1"/>
  <c r="U800" i="1" s="1"/>
  <c r="I801" i="1"/>
  <c r="J801" i="1"/>
  <c r="K801" i="1"/>
  <c r="L801" i="1"/>
  <c r="M801" i="1"/>
  <c r="N801" i="1"/>
  <c r="O801" i="1"/>
  <c r="P801" i="1"/>
  <c r="Q801" i="1"/>
  <c r="R801" i="1"/>
  <c r="S801" i="1"/>
  <c r="T801" i="1"/>
  <c r="U801" i="1"/>
  <c r="V801" i="1"/>
  <c r="I802" i="1"/>
  <c r="J802" i="1"/>
  <c r="K802" i="1"/>
  <c r="L802" i="1"/>
  <c r="M802" i="1"/>
  <c r="N802" i="1"/>
  <c r="O802" i="1"/>
  <c r="P802" i="1"/>
  <c r="Q802" i="1"/>
  <c r="R802" i="1"/>
  <c r="S802" i="1"/>
  <c r="U802" i="1" s="1"/>
  <c r="T802" i="1"/>
  <c r="V802" i="1"/>
  <c r="I803" i="1"/>
  <c r="J803" i="1"/>
  <c r="K803" i="1"/>
  <c r="L803" i="1"/>
  <c r="M803" i="1"/>
  <c r="N803" i="1"/>
  <c r="O803" i="1"/>
  <c r="P803" i="1"/>
  <c r="T803" i="1" s="1"/>
  <c r="Q803" i="1"/>
  <c r="R803" i="1"/>
  <c r="S803" i="1"/>
  <c r="U803" i="1" s="1"/>
  <c r="V803" i="1"/>
  <c r="I804" i="1"/>
  <c r="J804" i="1"/>
  <c r="K804" i="1"/>
  <c r="L804" i="1"/>
  <c r="M804" i="1"/>
  <c r="N804" i="1"/>
  <c r="O804" i="1"/>
  <c r="P804" i="1"/>
  <c r="Q804" i="1"/>
  <c r="R804" i="1"/>
  <c r="S804" i="1"/>
  <c r="T804" i="1"/>
  <c r="U804" i="1"/>
  <c r="V804" i="1"/>
  <c r="I805" i="1"/>
  <c r="J805" i="1"/>
  <c r="K805" i="1"/>
  <c r="L805" i="1"/>
  <c r="M805" i="1"/>
  <c r="N805" i="1"/>
  <c r="O805" i="1"/>
  <c r="P805" i="1"/>
  <c r="T805" i="1" s="1"/>
  <c r="Q805" i="1"/>
  <c r="R805" i="1"/>
  <c r="S805" i="1"/>
  <c r="U805" i="1" s="1"/>
  <c r="V805" i="1"/>
  <c r="I806" i="1"/>
  <c r="J806" i="1"/>
  <c r="K806" i="1"/>
  <c r="L806" i="1"/>
  <c r="M806" i="1"/>
  <c r="N806" i="1"/>
  <c r="O806" i="1"/>
  <c r="P806" i="1"/>
  <c r="T806" i="1" s="1"/>
  <c r="Q806" i="1"/>
  <c r="R806" i="1"/>
  <c r="S806" i="1"/>
  <c r="U806" i="1" s="1"/>
  <c r="V806" i="1"/>
  <c r="I807" i="1"/>
  <c r="J807" i="1"/>
  <c r="K807" i="1"/>
  <c r="L807" i="1"/>
  <c r="M807" i="1"/>
  <c r="N807" i="1"/>
  <c r="O807" i="1"/>
  <c r="P807" i="1"/>
  <c r="Q807" i="1"/>
  <c r="R807" i="1"/>
  <c r="S807" i="1"/>
  <c r="T807" i="1"/>
  <c r="U807" i="1"/>
  <c r="V807" i="1"/>
  <c r="I808" i="1"/>
  <c r="J808" i="1"/>
  <c r="K808" i="1"/>
  <c r="L808" i="1"/>
  <c r="M808" i="1"/>
  <c r="N808" i="1"/>
  <c r="O808" i="1"/>
  <c r="P808" i="1"/>
  <c r="Q808" i="1"/>
  <c r="R808" i="1"/>
  <c r="S808" i="1"/>
  <c r="U808" i="1" s="1"/>
  <c r="T808" i="1"/>
  <c r="V808" i="1"/>
  <c r="I809" i="1"/>
  <c r="J809" i="1"/>
  <c r="K809" i="1"/>
  <c r="L809" i="1"/>
  <c r="M809" i="1"/>
  <c r="N809" i="1"/>
  <c r="O809" i="1"/>
  <c r="P809" i="1"/>
  <c r="T809" i="1" s="1"/>
  <c r="Q809" i="1"/>
  <c r="R809" i="1"/>
  <c r="S809" i="1"/>
  <c r="U809" i="1" s="1"/>
  <c r="V809" i="1"/>
  <c r="I810" i="1"/>
  <c r="J810" i="1"/>
  <c r="K810" i="1"/>
  <c r="L810" i="1"/>
  <c r="M810" i="1"/>
  <c r="N810" i="1"/>
  <c r="O810" i="1"/>
  <c r="P810" i="1"/>
  <c r="Q810" i="1"/>
  <c r="R810" i="1"/>
  <c r="S810" i="1"/>
  <c r="T810" i="1"/>
  <c r="U810" i="1"/>
  <c r="V810" i="1"/>
  <c r="I811" i="1"/>
  <c r="J811" i="1"/>
  <c r="K811" i="1"/>
  <c r="L811" i="1"/>
  <c r="M811" i="1"/>
  <c r="N811" i="1"/>
  <c r="O811" i="1"/>
  <c r="P811" i="1"/>
  <c r="Q811" i="1"/>
  <c r="R811" i="1"/>
  <c r="S811" i="1"/>
  <c r="U811" i="1" s="1"/>
  <c r="T811" i="1"/>
  <c r="V811" i="1"/>
  <c r="I812" i="1"/>
  <c r="J812" i="1"/>
  <c r="K812" i="1"/>
  <c r="L812" i="1"/>
  <c r="M812" i="1"/>
  <c r="N812" i="1"/>
  <c r="O812" i="1"/>
  <c r="P812" i="1"/>
  <c r="T812" i="1" s="1"/>
  <c r="Q812" i="1"/>
  <c r="R812" i="1"/>
  <c r="S812" i="1"/>
  <c r="U812" i="1" s="1"/>
  <c r="V812" i="1"/>
  <c r="I813" i="1"/>
  <c r="J813" i="1"/>
  <c r="K813" i="1"/>
  <c r="L813" i="1"/>
  <c r="M813" i="1"/>
  <c r="N813" i="1"/>
  <c r="O813" i="1"/>
  <c r="P813" i="1"/>
  <c r="Q813" i="1"/>
  <c r="R813" i="1"/>
  <c r="S813" i="1"/>
  <c r="T813" i="1"/>
  <c r="U813" i="1"/>
  <c r="V813" i="1"/>
  <c r="I814" i="1"/>
  <c r="J814" i="1"/>
  <c r="K814" i="1"/>
  <c r="L814" i="1"/>
  <c r="M814" i="1"/>
  <c r="N814" i="1"/>
  <c r="O814" i="1"/>
  <c r="P814" i="1"/>
  <c r="T814" i="1" s="1"/>
  <c r="Q814" i="1"/>
  <c r="R814" i="1"/>
  <c r="S814" i="1"/>
  <c r="U814" i="1" s="1"/>
  <c r="V814" i="1"/>
  <c r="I815" i="1"/>
  <c r="J815" i="1"/>
  <c r="V815" i="1" s="1"/>
  <c r="K815" i="1"/>
  <c r="L815" i="1"/>
  <c r="M815" i="1"/>
  <c r="N815" i="1"/>
  <c r="O815" i="1"/>
  <c r="P815" i="1"/>
  <c r="T815" i="1" s="1"/>
  <c r="Q815" i="1"/>
  <c r="R815" i="1"/>
  <c r="S815" i="1"/>
  <c r="U815" i="1" s="1"/>
  <c r="I816" i="1"/>
  <c r="J816" i="1"/>
  <c r="K816" i="1"/>
  <c r="L816" i="1"/>
  <c r="M816" i="1"/>
  <c r="N816" i="1"/>
  <c r="O816" i="1"/>
  <c r="P816" i="1"/>
  <c r="Q816" i="1"/>
  <c r="R816" i="1"/>
  <c r="S816" i="1"/>
  <c r="T816" i="1"/>
  <c r="U816" i="1"/>
  <c r="V816" i="1"/>
  <c r="I817" i="1"/>
  <c r="J817" i="1"/>
  <c r="K817" i="1"/>
  <c r="L817" i="1"/>
  <c r="M817" i="1"/>
  <c r="N817" i="1"/>
  <c r="O817" i="1"/>
  <c r="P817" i="1"/>
  <c r="Q817" i="1"/>
  <c r="R817" i="1"/>
  <c r="S817" i="1"/>
  <c r="U817" i="1" s="1"/>
  <c r="T817" i="1"/>
  <c r="V817" i="1"/>
  <c r="I818" i="1"/>
  <c r="J818" i="1"/>
  <c r="V818" i="1" s="1"/>
  <c r="K818" i="1"/>
  <c r="L818" i="1"/>
  <c r="M818" i="1"/>
  <c r="N818" i="1"/>
  <c r="O818" i="1"/>
  <c r="P818" i="1"/>
  <c r="T818" i="1" s="1"/>
  <c r="Q818" i="1"/>
  <c r="R818" i="1"/>
  <c r="S818" i="1"/>
  <c r="U818" i="1" s="1"/>
  <c r="I819" i="1"/>
  <c r="J819" i="1"/>
  <c r="K819" i="1"/>
  <c r="L819" i="1"/>
  <c r="M819" i="1"/>
  <c r="N819" i="1"/>
  <c r="O819" i="1"/>
  <c r="P819" i="1"/>
  <c r="Q819" i="1"/>
  <c r="R819" i="1"/>
  <c r="S819" i="1"/>
  <c r="T819" i="1"/>
  <c r="U819" i="1"/>
  <c r="V819" i="1"/>
  <c r="I820" i="1"/>
  <c r="J820" i="1"/>
  <c r="K820" i="1"/>
  <c r="L820" i="1"/>
  <c r="M820" i="1"/>
  <c r="N820" i="1"/>
  <c r="O820" i="1"/>
  <c r="P820" i="1"/>
  <c r="Q820" i="1"/>
  <c r="R820" i="1"/>
  <c r="S820" i="1"/>
  <c r="U820" i="1" s="1"/>
  <c r="T820" i="1"/>
  <c r="V820" i="1"/>
  <c r="I821" i="1"/>
  <c r="J821" i="1"/>
  <c r="V821" i="1" s="1"/>
  <c r="K821" i="1"/>
  <c r="L821" i="1"/>
  <c r="M821" i="1"/>
  <c r="N821" i="1"/>
  <c r="O821" i="1"/>
  <c r="P821" i="1"/>
  <c r="T821" i="1" s="1"/>
  <c r="Q821" i="1"/>
  <c r="R821" i="1"/>
  <c r="S821" i="1"/>
  <c r="U821" i="1" s="1"/>
  <c r="I822" i="1"/>
  <c r="J822" i="1"/>
  <c r="K822" i="1"/>
  <c r="L822" i="1"/>
  <c r="M822" i="1"/>
  <c r="N822" i="1"/>
  <c r="O822" i="1"/>
  <c r="P822" i="1"/>
  <c r="Q822" i="1"/>
  <c r="R822" i="1"/>
  <c r="S822" i="1"/>
  <c r="T822" i="1"/>
  <c r="U822" i="1"/>
  <c r="V822" i="1"/>
  <c r="I823" i="1"/>
  <c r="J823" i="1"/>
  <c r="K823" i="1"/>
  <c r="L823" i="1"/>
  <c r="M823" i="1"/>
  <c r="N823" i="1"/>
  <c r="O823" i="1"/>
  <c r="P823" i="1"/>
  <c r="Q823" i="1"/>
  <c r="R823" i="1"/>
  <c r="S823" i="1"/>
  <c r="U823" i="1" s="1"/>
  <c r="T823" i="1"/>
  <c r="V823" i="1"/>
  <c r="I824" i="1"/>
  <c r="J824" i="1"/>
  <c r="V824" i="1" s="1"/>
  <c r="K824" i="1"/>
  <c r="L824" i="1"/>
  <c r="M824" i="1"/>
  <c r="N824" i="1"/>
  <c r="O824" i="1"/>
  <c r="P824" i="1"/>
  <c r="T824" i="1" s="1"/>
  <c r="Q824" i="1"/>
  <c r="R824" i="1"/>
  <c r="S824" i="1"/>
  <c r="U824" i="1" s="1"/>
  <c r="I825" i="1"/>
  <c r="J825" i="1"/>
  <c r="K825" i="1"/>
  <c r="L825" i="1"/>
  <c r="M825" i="1"/>
  <c r="N825" i="1"/>
  <c r="O825" i="1"/>
  <c r="P825" i="1"/>
  <c r="Q825" i="1"/>
  <c r="R825" i="1"/>
  <c r="S825" i="1"/>
  <c r="T825" i="1"/>
  <c r="U825" i="1"/>
  <c r="V825" i="1"/>
  <c r="I826" i="1"/>
  <c r="J826" i="1"/>
  <c r="K826" i="1"/>
  <c r="L826" i="1"/>
  <c r="M826" i="1"/>
  <c r="N826" i="1"/>
  <c r="O826" i="1"/>
  <c r="P826" i="1"/>
  <c r="Q826" i="1"/>
  <c r="R826" i="1"/>
  <c r="S826" i="1"/>
  <c r="U826" i="1" s="1"/>
  <c r="T826" i="1"/>
  <c r="V826" i="1"/>
  <c r="I827" i="1"/>
  <c r="J827" i="1"/>
  <c r="V827" i="1" s="1"/>
  <c r="K827" i="1"/>
  <c r="L827" i="1"/>
  <c r="M827" i="1"/>
  <c r="N827" i="1"/>
  <c r="O827" i="1"/>
  <c r="P827" i="1"/>
  <c r="T827" i="1" s="1"/>
  <c r="Q827" i="1"/>
  <c r="R827" i="1"/>
  <c r="S827" i="1"/>
  <c r="U827" i="1" s="1"/>
  <c r="I828" i="1"/>
  <c r="J828" i="1"/>
  <c r="K828" i="1"/>
  <c r="L828" i="1"/>
  <c r="M828" i="1"/>
  <c r="N828" i="1"/>
  <c r="O828" i="1"/>
  <c r="P828" i="1"/>
  <c r="Q828" i="1"/>
  <c r="R828" i="1"/>
  <c r="S828" i="1"/>
  <c r="T828" i="1"/>
  <c r="U828" i="1"/>
  <c r="V828" i="1"/>
  <c r="I829" i="1"/>
  <c r="J829" i="1"/>
  <c r="K829" i="1"/>
  <c r="L829" i="1"/>
  <c r="M829" i="1"/>
  <c r="N829" i="1"/>
  <c r="O829" i="1"/>
  <c r="P829" i="1"/>
  <c r="Q829" i="1"/>
  <c r="R829" i="1"/>
  <c r="S829" i="1"/>
  <c r="U829" i="1" s="1"/>
  <c r="T829" i="1"/>
  <c r="V829" i="1"/>
  <c r="I830" i="1"/>
  <c r="J830" i="1"/>
  <c r="V830" i="1" s="1"/>
  <c r="K830" i="1"/>
  <c r="L830" i="1"/>
  <c r="M830" i="1"/>
  <c r="N830" i="1"/>
  <c r="O830" i="1"/>
  <c r="P830" i="1"/>
  <c r="T830" i="1" s="1"/>
  <c r="Q830" i="1"/>
  <c r="R830" i="1"/>
  <c r="S830" i="1"/>
  <c r="U830" i="1" s="1"/>
  <c r="I831" i="1"/>
  <c r="J831" i="1"/>
  <c r="K831" i="1"/>
  <c r="L831" i="1"/>
  <c r="M831" i="1"/>
  <c r="N831" i="1"/>
  <c r="O831" i="1"/>
  <c r="P831" i="1"/>
  <c r="Q831" i="1"/>
  <c r="R831" i="1"/>
  <c r="S831" i="1"/>
  <c r="T831" i="1"/>
  <c r="U831" i="1"/>
  <c r="V831" i="1"/>
  <c r="I832" i="1"/>
  <c r="J832" i="1"/>
  <c r="K832" i="1"/>
  <c r="L832" i="1"/>
  <c r="M832" i="1"/>
  <c r="N832" i="1"/>
  <c r="O832" i="1"/>
  <c r="P832" i="1"/>
  <c r="Q832" i="1"/>
  <c r="R832" i="1"/>
  <c r="S832" i="1"/>
  <c r="U832" i="1" s="1"/>
  <c r="T832" i="1"/>
  <c r="V832" i="1"/>
  <c r="I833" i="1"/>
  <c r="J833" i="1"/>
  <c r="V833" i="1" s="1"/>
  <c r="K833" i="1"/>
  <c r="L833" i="1"/>
  <c r="M833" i="1"/>
  <c r="N833" i="1"/>
  <c r="O833" i="1"/>
  <c r="P833" i="1"/>
  <c r="T833" i="1" s="1"/>
  <c r="Q833" i="1"/>
  <c r="R833" i="1"/>
  <c r="S833" i="1"/>
  <c r="U833" i="1" s="1"/>
  <c r="I834" i="1"/>
  <c r="J834" i="1"/>
  <c r="K834" i="1"/>
  <c r="L834" i="1"/>
  <c r="M834" i="1"/>
  <c r="N834" i="1"/>
  <c r="O834" i="1"/>
  <c r="P834" i="1"/>
  <c r="Q834" i="1"/>
  <c r="R834" i="1"/>
  <c r="S834" i="1"/>
  <c r="T834" i="1"/>
  <c r="U834" i="1"/>
  <c r="V834" i="1"/>
  <c r="I835" i="1"/>
  <c r="J835" i="1"/>
  <c r="K835" i="1"/>
  <c r="L835" i="1"/>
  <c r="M835" i="1"/>
  <c r="N835" i="1"/>
  <c r="O835" i="1"/>
  <c r="P835" i="1"/>
  <c r="Q835" i="1"/>
  <c r="R835" i="1"/>
  <c r="S835" i="1"/>
  <c r="U835" i="1" s="1"/>
  <c r="T835" i="1"/>
  <c r="V835" i="1"/>
  <c r="I836" i="1"/>
  <c r="J836" i="1"/>
  <c r="V836" i="1" s="1"/>
  <c r="K836" i="1"/>
  <c r="L836" i="1"/>
  <c r="M836" i="1"/>
  <c r="N836" i="1"/>
  <c r="O836" i="1"/>
  <c r="P836" i="1"/>
  <c r="T836" i="1" s="1"/>
  <c r="Q836" i="1"/>
  <c r="R836" i="1"/>
  <c r="S836" i="1"/>
  <c r="U836" i="1" s="1"/>
  <c r="I837" i="1"/>
  <c r="J837" i="1"/>
  <c r="K837" i="1"/>
  <c r="L837" i="1"/>
  <c r="M837" i="1"/>
  <c r="N837" i="1"/>
  <c r="O837" i="1"/>
  <c r="P837" i="1"/>
  <c r="Q837" i="1"/>
  <c r="R837" i="1"/>
  <c r="S837" i="1"/>
  <c r="T837" i="1"/>
  <c r="U837" i="1"/>
  <c r="V837" i="1"/>
  <c r="I838" i="1"/>
  <c r="J838" i="1"/>
  <c r="K838" i="1"/>
  <c r="L838" i="1"/>
  <c r="M838" i="1"/>
  <c r="N838" i="1"/>
  <c r="O838" i="1"/>
  <c r="P838" i="1"/>
  <c r="T838" i="1" s="1"/>
  <c r="Q838" i="1"/>
  <c r="R838" i="1"/>
  <c r="S838" i="1"/>
  <c r="U838" i="1" s="1"/>
  <c r="V838" i="1"/>
  <c r="I839" i="1"/>
  <c r="J839" i="1"/>
  <c r="V839" i="1" s="1"/>
  <c r="K839" i="1"/>
  <c r="L839" i="1"/>
  <c r="M839" i="1"/>
  <c r="N839" i="1"/>
  <c r="O839" i="1"/>
  <c r="P839" i="1"/>
  <c r="T839" i="1" s="1"/>
  <c r="Q839" i="1"/>
  <c r="R839" i="1"/>
  <c r="S839" i="1"/>
  <c r="U839" i="1" s="1"/>
  <c r="I840" i="1"/>
  <c r="J840" i="1"/>
  <c r="K840" i="1"/>
  <c r="L840" i="1"/>
  <c r="M840" i="1"/>
  <c r="N840" i="1"/>
  <c r="O840" i="1"/>
  <c r="P840" i="1"/>
  <c r="Q840" i="1"/>
  <c r="R840" i="1"/>
  <c r="S840" i="1"/>
  <c r="T840" i="1"/>
  <c r="U840" i="1"/>
  <c r="V840" i="1"/>
  <c r="I841" i="1"/>
  <c r="J841" i="1"/>
  <c r="K841" i="1"/>
  <c r="L841" i="1"/>
  <c r="M841" i="1"/>
  <c r="N841" i="1"/>
  <c r="O841" i="1"/>
  <c r="P841" i="1"/>
  <c r="Q841" i="1"/>
  <c r="R841" i="1"/>
  <c r="S841" i="1"/>
  <c r="U841" i="1" s="1"/>
  <c r="T841" i="1"/>
  <c r="V841" i="1"/>
  <c r="I842" i="1"/>
  <c r="J842" i="1"/>
  <c r="K842" i="1"/>
  <c r="L842" i="1"/>
  <c r="M842" i="1"/>
  <c r="N842" i="1"/>
  <c r="O842" i="1"/>
  <c r="P842" i="1"/>
  <c r="T842" i="1" s="1"/>
  <c r="Q842" i="1"/>
  <c r="R842" i="1"/>
  <c r="S842" i="1"/>
  <c r="U842" i="1" s="1"/>
  <c r="V842" i="1"/>
  <c r="I843" i="1"/>
  <c r="J843" i="1"/>
  <c r="K843" i="1"/>
  <c r="L843" i="1"/>
  <c r="M843" i="1"/>
  <c r="N843" i="1"/>
  <c r="O843" i="1"/>
  <c r="P843" i="1"/>
  <c r="Q843" i="1"/>
  <c r="R843" i="1"/>
  <c r="S843" i="1"/>
  <c r="T843" i="1"/>
  <c r="U843" i="1"/>
  <c r="V843" i="1"/>
  <c r="I844" i="1"/>
  <c r="J844" i="1"/>
  <c r="K844" i="1"/>
  <c r="L844" i="1"/>
  <c r="M844" i="1"/>
  <c r="N844" i="1"/>
  <c r="O844" i="1"/>
  <c r="P844" i="1"/>
  <c r="Q844" i="1"/>
  <c r="R844" i="1"/>
  <c r="S844" i="1"/>
  <c r="U844" i="1" s="1"/>
  <c r="T844" i="1"/>
  <c r="V844" i="1"/>
  <c r="I845" i="1"/>
  <c r="J845" i="1"/>
  <c r="V845" i="1" s="1"/>
  <c r="K845" i="1"/>
  <c r="L845" i="1"/>
  <c r="M845" i="1"/>
  <c r="N845" i="1"/>
  <c r="O845" i="1"/>
  <c r="P845" i="1"/>
  <c r="T845" i="1" s="1"/>
  <c r="Q845" i="1"/>
  <c r="R845" i="1"/>
  <c r="S845" i="1"/>
  <c r="U845" i="1" s="1"/>
  <c r="I846" i="1"/>
  <c r="J846" i="1"/>
  <c r="K846" i="1"/>
  <c r="L846" i="1"/>
  <c r="M846" i="1"/>
  <c r="N846" i="1"/>
  <c r="O846" i="1"/>
  <c r="P846" i="1"/>
  <c r="Q846" i="1"/>
  <c r="R846" i="1"/>
  <c r="S846" i="1"/>
  <c r="T846" i="1"/>
  <c r="U846" i="1"/>
  <c r="V846" i="1"/>
  <c r="I847" i="1"/>
  <c r="J847" i="1"/>
  <c r="K847" i="1"/>
  <c r="L847" i="1"/>
  <c r="M847" i="1"/>
  <c r="N847" i="1"/>
  <c r="O847" i="1"/>
  <c r="P847" i="1"/>
  <c r="Q847" i="1"/>
  <c r="R847" i="1"/>
  <c r="S847" i="1"/>
  <c r="U847" i="1" s="1"/>
  <c r="T847" i="1"/>
  <c r="V847" i="1"/>
  <c r="I848" i="1"/>
  <c r="J848" i="1"/>
  <c r="K848" i="1"/>
  <c r="L848" i="1"/>
  <c r="M848" i="1"/>
  <c r="N848" i="1"/>
  <c r="O848" i="1"/>
  <c r="P848" i="1"/>
  <c r="T848" i="1" s="1"/>
  <c r="Q848" i="1"/>
  <c r="R848" i="1"/>
  <c r="S848" i="1"/>
  <c r="U848" i="1" s="1"/>
  <c r="V848" i="1"/>
  <c r="I849" i="1"/>
  <c r="J849" i="1"/>
  <c r="K849" i="1"/>
  <c r="L849" i="1"/>
  <c r="M849" i="1"/>
  <c r="N849" i="1"/>
  <c r="O849" i="1"/>
  <c r="P849" i="1"/>
  <c r="Q849" i="1"/>
  <c r="R849" i="1"/>
  <c r="S849" i="1"/>
  <c r="T849" i="1"/>
  <c r="U849" i="1"/>
  <c r="V849" i="1"/>
  <c r="I850" i="1"/>
  <c r="J850" i="1"/>
  <c r="K850" i="1"/>
  <c r="L850" i="1"/>
  <c r="M850" i="1"/>
  <c r="N850" i="1"/>
  <c r="O850" i="1"/>
  <c r="P850" i="1"/>
  <c r="Q850" i="1"/>
  <c r="R850" i="1"/>
  <c r="S850" i="1"/>
  <c r="U850" i="1" s="1"/>
  <c r="T850" i="1"/>
  <c r="V850" i="1"/>
  <c r="I851" i="1"/>
  <c r="J851" i="1"/>
  <c r="V851" i="1" s="1"/>
  <c r="K851" i="1"/>
  <c r="L851" i="1"/>
  <c r="M851" i="1"/>
  <c r="N851" i="1"/>
  <c r="O851" i="1"/>
  <c r="P851" i="1"/>
  <c r="T851" i="1" s="1"/>
  <c r="Q851" i="1"/>
  <c r="R851" i="1"/>
  <c r="S851" i="1"/>
  <c r="U851" i="1" s="1"/>
  <c r="I852" i="1"/>
  <c r="J852" i="1"/>
  <c r="K852" i="1"/>
  <c r="L852" i="1"/>
  <c r="M852" i="1"/>
  <c r="N852" i="1"/>
  <c r="O852" i="1"/>
  <c r="P852" i="1"/>
  <c r="Q852" i="1"/>
  <c r="R852" i="1"/>
  <c r="S852" i="1"/>
  <c r="T852" i="1"/>
  <c r="U852" i="1"/>
  <c r="V852" i="1"/>
  <c r="I853" i="1"/>
  <c r="J853" i="1"/>
  <c r="K853" i="1"/>
  <c r="L853" i="1"/>
  <c r="M853" i="1"/>
  <c r="N853" i="1"/>
  <c r="O853" i="1"/>
  <c r="P853" i="1"/>
  <c r="Q853" i="1"/>
  <c r="R853" i="1"/>
  <c r="S853" i="1"/>
  <c r="U853" i="1" s="1"/>
  <c r="T853" i="1"/>
  <c r="V853" i="1"/>
  <c r="I854" i="1"/>
  <c r="J854" i="1"/>
  <c r="K854" i="1"/>
  <c r="L854" i="1"/>
  <c r="M854" i="1"/>
  <c r="N854" i="1"/>
  <c r="O854" i="1"/>
  <c r="P854" i="1"/>
  <c r="T854" i="1" s="1"/>
  <c r="Q854" i="1"/>
  <c r="R854" i="1"/>
  <c r="S854" i="1"/>
  <c r="U854" i="1" s="1"/>
  <c r="V854" i="1"/>
  <c r="I855" i="1"/>
  <c r="J855" i="1"/>
  <c r="K855" i="1"/>
  <c r="L855" i="1"/>
  <c r="M855" i="1"/>
  <c r="N855" i="1"/>
  <c r="O855" i="1"/>
  <c r="P855" i="1"/>
  <c r="Q855" i="1"/>
  <c r="R855" i="1"/>
  <c r="S855" i="1"/>
  <c r="T855" i="1"/>
  <c r="U855" i="1"/>
  <c r="V855" i="1"/>
  <c r="I856" i="1"/>
  <c r="J856" i="1"/>
  <c r="K856" i="1"/>
  <c r="L856" i="1"/>
  <c r="M856" i="1"/>
  <c r="N856" i="1"/>
  <c r="O856" i="1"/>
  <c r="P856" i="1"/>
  <c r="Q856" i="1"/>
  <c r="R856" i="1"/>
  <c r="S856" i="1"/>
  <c r="U856" i="1" s="1"/>
  <c r="T856" i="1"/>
  <c r="V856" i="1"/>
  <c r="I857" i="1"/>
  <c r="J857" i="1"/>
  <c r="V857" i="1" s="1"/>
  <c r="K857" i="1"/>
  <c r="L857" i="1"/>
  <c r="M857" i="1"/>
  <c r="N857" i="1"/>
  <c r="O857" i="1"/>
  <c r="P857" i="1"/>
  <c r="T857" i="1" s="1"/>
  <c r="Q857" i="1"/>
  <c r="R857" i="1"/>
  <c r="S857" i="1"/>
  <c r="U857" i="1" s="1"/>
  <c r="I858" i="1"/>
  <c r="J858" i="1"/>
  <c r="K858" i="1"/>
  <c r="L858" i="1"/>
  <c r="M858" i="1"/>
  <c r="N858" i="1"/>
  <c r="O858" i="1"/>
  <c r="P858" i="1"/>
  <c r="Q858" i="1"/>
  <c r="R858" i="1"/>
  <c r="S858" i="1"/>
  <c r="T858" i="1"/>
  <c r="U858" i="1"/>
  <c r="V858" i="1"/>
  <c r="I859" i="1"/>
  <c r="J859" i="1"/>
  <c r="K859" i="1"/>
  <c r="L859" i="1"/>
  <c r="M859" i="1"/>
  <c r="N859" i="1"/>
  <c r="O859" i="1"/>
  <c r="P859" i="1"/>
  <c r="T859" i="1" s="1"/>
  <c r="Q859" i="1"/>
  <c r="R859" i="1"/>
  <c r="S859" i="1"/>
  <c r="U859" i="1" s="1"/>
  <c r="V859" i="1"/>
  <c r="I860" i="1"/>
  <c r="J860" i="1"/>
  <c r="K860" i="1"/>
  <c r="L860" i="1"/>
  <c r="M860" i="1"/>
  <c r="N860" i="1"/>
  <c r="O860" i="1"/>
  <c r="P860" i="1"/>
  <c r="T860" i="1" s="1"/>
  <c r="Q860" i="1"/>
  <c r="R860" i="1"/>
  <c r="S860" i="1"/>
  <c r="U860" i="1" s="1"/>
  <c r="V860" i="1"/>
  <c r="I861" i="1"/>
  <c r="J861" i="1"/>
  <c r="K861" i="1"/>
  <c r="L861" i="1"/>
  <c r="M861" i="1"/>
  <c r="N861" i="1"/>
  <c r="O861" i="1"/>
  <c r="P861" i="1"/>
  <c r="Q861" i="1"/>
  <c r="R861" i="1"/>
  <c r="S861" i="1"/>
  <c r="T861" i="1"/>
  <c r="U861" i="1"/>
  <c r="V861" i="1"/>
  <c r="I862" i="1"/>
  <c r="J862" i="1"/>
  <c r="K862" i="1"/>
  <c r="L862" i="1"/>
  <c r="M862" i="1"/>
  <c r="N862" i="1"/>
  <c r="O862" i="1"/>
  <c r="P862" i="1"/>
  <c r="Q862" i="1"/>
  <c r="R862" i="1"/>
  <c r="S862" i="1"/>
  <c r="U862" i="1" s="1"/>
  <c r="T862" i="1"/>
  <c r="V862" i="1"/>
  <c r="I863" i="1"/>
  <c r="J863" i="1"/>
  <c r="K863" i="1"/>
  <c r="L863" i="1"/>
  <c r="M863" i="1"/>
  <c r="N863" i="1"/>
  <c r="O863" i="1"/>
  <c r="P863" i="1"/>
  <c r="T863" i="1" s="1"/>
  <c r="Q863" i="1"/>
  <c r="R863" i="1"/>
  <c r="S863" i="1"/>
  <c r="U863" i="1" s="1"/>
  <c r="V863" i="1"/>
  <c r="I864" i="1"/>
  <c r="J864" i="1"/>
  <c r="K864" i="1"/>
  <c r="L864" i="1"/>
  <c r="M864" i="1"/>
  <c r="N864" i="1"/>
  <c r="O864" i="1"/>
  <c r="P864" i="1"/>
  <c r="Q864" i="1"/>
  <c r="R864" i="1"/>
  <c r="S864" i="1"/>
  <c r="T864" i="1"/>
  <c r="U864" i="1"/>
  <c r="V864" i="1"/>
  <c r="I865" i="1"/>
  <c r="J865" i="1"/>
  <c r="K865" i="1"/>
  <c r="L865" i="1"/>
  <c r="M865" i="1"/>
  <c r="N865" i="1"/>
  <c r="O865" i="1"/>
  <c r="P865" i="1"/>
  <c r="T865" i="1" s="1"/>
  <c r="Q865" i="1"/>
  <c r="R865" i="1"/>
  <c r="S865" i="1"/>
  <c r="U865" i="1" s="1"/>
  <c r="V865" i="1"/>
  <c r="I866" i="1"/>
  <c r="J866" i="1"/>
  <c r="V866" i="1" s="1"/>
  <c r="K866" i="1"/>
  <c r="L866" i="1"/>
  <c r="M866" i="1"/>
  <c r="N866" i="1"/>
  <c r="O866" i="1"/>
  <c r="P866" i="1"/>
  <c r="T866" i="1" s="1"/>
  <c r="Q866" i="1"/>
  <c r="R866" i="1"/>
  <c r="S866" i="1"/>
  <c r="U866" i="1" s="1"/>
  <c r="I867" i="1"/>
  <c r="J867" i="1"/>
  <c r="K867" i="1"/>
  <c r="L867" i="1"/>
  <c r="M867" i="1"/>
  <c r="N867" i="1"/>
  <c r="O867" i="1"/>
  <c r="P867" i="1"/>
  <c r="Q867" i="1"/>
  <c r="R867" i="1"/>
  <c r="S867" i="1"/>
  <c r="T867" i="1"/>
  <c r="U867" i="1"/>
  <c r="V867" i="1"/>
  <c r="I868" i="1"/>
  <c r="J868" i="1"/>
  <c r="K868" i="1"/>
  <c r="L868" i="1"/>
  <c r="M868" i="1"/>
  <c r="N868" i="1"/>
  <c r="O868" i="1"/>
  <c r="P868" i="1"/>
  <c r="Q868" i="1"/>
  <c r="R868" i="1"/>
  <c r="S868" i="1"/>
  <c r="U868" i="1" s="1"/>
  <c r="T868" i="1"/>
  <c r="V868" i="1"/>
  <c r="I869" i="1"/>
  <c r="J869" i="1"/>
  <c r="V869" i="1" s="1"/>
  <c r="K869" i="1"/>
  <c r="L869" i="1"/>
  <c r="M869" i="1"/>
  <c r="N869" i="1"/>
  <c r="O869" i="1"/>
  <c r="P869" i="1"/>
  <c r="T869" i="1" s="1"/>
  <c r="Q869" i="1"/>
  <c r="R869" i="1"/>
  <c r="S869" i="1"/>
  <c r="U869" i="1" s="1"/>
  <c r="I870" i="1"/>
  <c r="J870" i="1"/>
  <c r="K870" i="1"/>
  <c r="L870" i="1"/>
  <c r="M870" i="1"/>
  <c r="N870" i="1"/>
  <c r="O870" i="1"/>
  <c r="P870" i="1"/>
  <c r="Q870" i="1"/>
  <c r="R870" i="1"/>
  <c r="S870" i="1"/>
  <c r="T870" i="1"/>
  <c r="U870" i="1"/>
  <c r="V870" i="1"/>
  <c r="I871" i="1"/>
  <c r="J871" i="1"/>
  <c r="K871" i="1"/>
  <c r="L871" i="1"/>
  <c r="M871" i="1"/>
  <c r="N871" i="1"/>
  <c r="O871" i="1"/>
  <c r="P871" i="1"/>
  <c r="Q871" i="1"/>
  <c r="R871" i="1"/>
  <c r="S871" i="1"/>
  <c r="U871" i="1" s="1"/>
  <c r="T871" i="1"/>
  <c r="V871" i="1"/>
  <c r="I872" i="1"/>
  <c r="J872" i="1"/>
  <c r="V872" i="1" s="1"/>
  <c r="K872" i="1"/>
  <c r="L872" i="1"/>
  <c r="M872" i="1"/>
  <c r="N872" i="1"/>
  <c r="O872" i="1"/>
  <c r="P872" i="1"/>
  <c r="T872" i="1" s="1"/>
  <c r="Q872" i="1"/>
  <c r="R872" i="1"/>
  <c r="S872" i="1"/>
  <c r="U872" i="1" s="1"/>
  <c r="I873" i="1"/>
  <c r="J873" i="1"/>
  <c r="K873" i="1"/>
  <c r="L873" i="1"/>
  <c r="M873" i="1"/>
  <c r="N873" i="1"/>
  <c r="O873" i="1"/>
  <c r="P873" i="1"/>
  <c r="Q873" i="1"/>
  <c r="R873" i="1"/>
  <c r="S873" i="1"/>
  <c r="T873" i="1"/>
  <c r="U873" i="1"/>
  <c r="V873" i="1"/>
  <c r="I874" i="1"/>
  <c r="J874" i="1"/>
  <c r="K874" i="1"/>
  <c r="L874" i="1"/>
  <c r="M874" i="1"/>
  <c r="N874" i="1"/>
  <c r="O874" i="1"/>
  <c r="P874" i="1"/>
  <c r="Q874" i="1"/>
  <c r="R874" i="1"/>
  <c r="S874" i="1"/>
  <c r="U874" i="1" s="1"/>
  <c r="T874" i="1"/>
  <c r="V874" i="1"/>
  <c r="I875" i="1"/>
  <c r="J875" i="1"/>
  <c r="V875" i="1" s="1"/>
  <c r="K875" i="1"/>
  <c r="L875" i="1"/>
  <c r="M875" i="1"/>
  <c r="N875" i="1"/>
  <c r="O875" i="1"/>
  <c r="P875" i="1"/>
  <c r="T875" i="1" s="1"/>
  <c r="Q875" i="1"/>
  <c r="R875" i="1"/>
  <c r="S875" i="1"/>
  <c r="U875" i="1" s="1"/>
  <c r="I876" i="1"/>
  <c r="J876" i="1"/>
  <c r="K876" i="1"/>
  <c r="L876" i="1"/>
  <c r="M876" i="1"/>
  <c r="N876" i="1"/>
  <c r="O876" i="1"/>
  <c r="P876" i="1"/>
  <c r="Q876" i="1"/>
  <c r="R876" i="1"/>
  <c r="S876" i="1"/>
  <c r="T876" i="1"/>
  <c r="U876" i="1"/>
  <c r="V876" i="1"/>
  <c r="I877" i="1"/>
  <c r="J877" i="1"/>
  <c r="K877" i="1"/>
  <c r="L877" i="1"/>
  <c r="M877" i="1"/>
  <c r="N877" i="1"/>
  <c r="O877" i="1"/>
  <c r="P877" i="1"/>
  <c r="Q877" i="1"/>
  <c r="R877" i="1"/>
  <c r="S877" i="1"/>
  <c r="U877" i="1" s="1"/>
  <c r="T877" i="1"/>
  <c r="V877" i="1"/>
  <c r="I878" i="1"/>
  <c r="J878" i="1"/>
  <c r="V878" i="1" s="1"/>
  <c r="K878" i="1"/>
  <c r="L878" i="1"/>
  <c r="M878" i="1"/>
  <c r="N878" i="1"/>
  <c r="O878" i="1"/>
  <c r="P878" i="1"/>
  <c r="T878" i="1" s="1"/>
  <c r="Q878" i="1"/>
  <c r="R878" i="1"/>
  <c r="S878" i="1"/>
  <c r="U878" i="1" s="1"/>
  <c r="I879" i="1"/>
  <c r="J879" i="1"/>
  <c r="K879" i="1"/>
  <c r="L879" i="1"/>
  <c r="M879" i="1"/>
  <c r="N879" i="1"/>
  <c r="O879" i="1"/>
  <c r="P879" i="1"/>
  <c r="Q879" i="1"/>
  <c r="R879" i="1"/>
  <c r="S879" i="1"/>
  <c r="T879" i="1"/>
  <c r="U879" i="1"/>
  <c r="V879" i="1"/>
  <c r="I880" i="1"/>
  <c r="J880" i="1"/>
  <c r="K880" i="1"/>
  <c r="L880" i="1"/>
  <c r="M880" i="1"/>
  <c r="N880" i="1"/>
  <c r="O880" i="1"/>
  <c r="P880" i="1"/>
  <c r="Q880" i="1"/>
  <c r="R880" i="1"/>
  <c r="S880" i="1"/>
  <c r="U880" i="1" s="1"/>
  <c r="T880" i="1"/>
  <c r="V880" i="1"/>
  <c r="I881" i="1"/>
  <c r="J881" i="1"/>
  <c r="V881" i="1" s="1"/>
  <c r="K881" i="1"/>
  <c r="L881" i="1"/>
  <c r="M881" i="1"/>
  <c r="N881" i="1"/>
  <c r="O881" i="1"/>
  <c r="P881" i="1"/>
  <c r="T881" i="1" s="1"/>
  <c r="Q881" i="1"/>
  <c r="R881" i="1"/>
  <c r="S881" i="1"/>
  <c r="U881" i="1" s="1"/>
  <c r="I882" i="1"/>
  <c r="J882" i="1"/>
  <c r="K882" i="1"/>
  <c r="L882" i="1"/>
  <c r="M882" i="1"/>
  <c r="N882" i="1"/>
  <c r="O882" i="1"/>
  <c r="P882" i="1"/>
  <c r="Q882" i="1"/>
  <c r="R882" i="1"/>
  <c r="S882" i="1"/>
  <c r="T882" i="1"/>
  <c r="U882" i="1"/>
  <c r="V882" i="1"/>
  <c r="I883" i="1"/>
  <c r="J883" i="1"/>
  <c r="K883" i="1"/>
  <c r="L883" i="1"/>
  <c r="M883" i="1"/>
  <c r="N883" i="1"/>
  <c r="O883" i="1"/>
  <c r="P883" i="1"/>
  <c r="Q883" i="1"/>
  <c r="R883" i="1"/>
  <c r="S883" i="1"/>
  <c r="U883" i="1" s="1"/>
  <c r="T883" i="1"/>
  <c r="V883" i="1"/>
  <c r="I884" i="1"/>
  <c r="J884" i="1"/>
  <c r="V884" i="1" s="1"/>
  <c r="K884" i="1"/>
  <c r="L884" i="1"/>
  <c r="M884" i="1"/>
  <c r="N884" i="1"/>
  <c r="O884" i="1"/>
  <c r="P884" i="1"/>
  <c r="T884" i="1" s="1"/>
  <c r="Q884" i="1"/>
  <c r="R884" i="1"/>
  <c r="S884" i="1"/>
  <c r="U884" i="1" s="1"/>
  <c r="I885" i="1"/>
  <c r="J885" i="1"/>
  <c r="K885" i="1"/>
  <c r="L885" i="1"/>
  <c r="M885" i="1"/>
  <c r="N885" i="1"/>
  <c r="O885" i="1"/>
  <c r="P885" i="1"/>
  <c r="Q885" i="1"/>
  <c r="R885" i="1"/>
  <c r="S885" i="1"/>
  <c r="T885" i="1"/>
  <c r="U885" i="1"/>
  <c r="V885" i="1"/>
  <c r="I886" i="1"/>
  <c r="J886" i="1"/>
  <c r="K886" i="1"/>
  <c r="L886" i="1"/>
  <c r="M886" i="1"/>
  <c r="N886" i="1"/>
  <c r="O886" i="1"/>
  <c r="P886" i="1"/>
  <c r="Q886" i="1"/>
  <c r="R886" i="1"/>
  <c r="S886" i="1"/>
  <c r="U886" i="1" s="1"/>
  <c r="T886" i="1"/>
  <c r="V886" i="1"/>
  <c r="I887" i="1"/>
  <c r="J887" i="1"/>
  <c r="V887" i="1" s="1"/>
  <c r="K887" i="1"/>
  <c r="L887" i="1"/>
  <c r="M887" i="1"/>
  <c r="N887" i="1"/>
  <c r="O887" i="1"/>
  <c r="P887" i="1"/>
  <c r="T887" i="1" s="1"/>
  <c r="Q887" i="1"/>
  <c r="R887" i="1"/>
  <c r="S887" i="1"/>
  <c r="U887" i="1" s="1"/>
  <c r="I888" i="1"/>
  <c r="J888" i="1"/>
  <c r="K888" i="1"/>
  <c r="L888" i="1"/>
  <c r="M888" i="1"/>
  <c r="N888" i="1"/>
  <c r="O888" i="1"/>
  <c r="P888" i="1"/>
  <c r="Q888" i="1"/>
  <c r="R888" i="1"/>
  <c r="S888" i="1"/>
  <c r="T888" i="1"/>
  <c r="U888" i="1"/>
  <c r="V888" i="1"/>
  <c r="I889" i="1"/>
  <c r="J889" i="1"/>
  <c r="K889" i="1"/>
  <c r="L889" i="1"/>
  <c r="M889" i="1"/>
  <c r="N889" i="1"/>
  <c r="O889" i="1"/>
  <c r="P889" i="1"/>
  <c r="Q889" i="1"/>
  <c r="R889" i="1"/>
  <c r="S889" i="1"/>
  <c r="U889" i="1" s="1"/>
  <c r="T889" i="1"/>
  <c r="V889" i="1"/>
  <c r="I890" i="1"/>
  <c r="J890" i="1"/>
  <c r="V890" i="1" s="1"/>
  <c r="K890" i="1"/>
  <c r="L890" i="1"/>
  <c r="M890" i="1"/>
  <c r="N890" i="1"/>
  <c r="O890" i="1"/>
  <c r="P890" i="1"/>
  <c r="T890" i="1" s="1"/>
  <c r="Q890" i="1"/>
  <c r="R890" i="1"/>
  <c r="S890" i="1"/>
  <c r="U890" i="1" s="1"/>
  <c r="I891" i="1"/>
  <c r="J891" i="1"/>
  <c r="K891" i="1"/>
  <c r="L891" i="1"/>
  <c r="M891" i="1"/>
  <c r="N891" i="1"/>
  <c r="O891" i="1"/>
  <c r="P891" i="1"/>
  <c r="Q891" i="1"/>
  <c r="R891" i="1"/>
  <c r="S891" i="1"/>
  <c r="T891" i="1"/>
  <c r="U891" i="1"/>
  <c r="V891" i="1"/>
  <c r="I892" i="1"/>
  <c r="J892" i="1"/>
  <c r="K892" i="1"/>
  <c r="L892" i="1"/>
  <c r="M892" i="1"/>
  <c r="N892" i="1"/>
  <c r="O892" i="1"/>
  <c r="P892" i="1"/>
  <c r="Q892" i="1"/>
  <c r="R892" i="1"/>
  <c r="S892" i="1"/>
  <c r="U892" i="1" s="1"/>
  <c r="T892" i="1"/>
  <c r="V892" i="1"/>
  <c r="I893" i="1"/>
  <c r="J893" i="1"/>
  <c r="V893" i="1" s="1"/>
  <c r="K893" i="1"/>
  <c r="L893" i="1"/>
  <c r="M893" i="1"/>
  <c r="N893" i="1"/>
  <c r="O893" i="1"/>
  <c r="P893" i="1"/>
  <c r="T893" i="1" s="1"/>
  <c r="Q893" i="1"/>
  <c r="R893" i="1"/>
  <c r="S893" i="1"/>
  <c r="U893" i="1" s="1"/>
  <c r="I894" i="1"/>
  <c r="J894" i="1"/>
  <c r="K894" i="1"/>
  <c r="L894" i="1"/>
  <c r="M894" i="1"/>
  <c r="N894" i="1"/>
  <c r="O894" i="1"/>
  <c r="P894" i="1"/>
  <c r="Q894" i="1"/>
  <c r="R894" i="1"/>
  <c r="S894" i="1"/>
  <c r="T894" i="1"/>
  <c r="U894" i="1"/>
  <c r="V894" i="1"/>
  <c r="I895" i="1"/>
  <c r="J895" i="1"/>
  <c r="K895" i="1"/>
  <c r="L895" i="1"/>
  <c r="M895" i="1"/>
  <c r="N895" i="1"/>
  <c r="O895" i="1"/>
  <c r="P895" i="1"/>
  <c r="Q895" i="1"/>
  <c r="R895" i="1"/>
  <c r="S895" i="1"/>
  <c r="U895" i="1" s="1"/>
  <c r="T895" i="1"/>
  <c r="V895" i="1"/>
  <c r="I896" i="1"/>
  <c r="J896" i="1"/>
  <c r="V896" i="1" s="1"/>
  <c r="K896" i="1"/>
  <c r="L896" i="1"/>
  <c r="M896" i="1"/>
  <c r="N896" i="1"/>
  <c r="O896" i="1"/>
  <c r="P896" i="1"/>
  <c r="T896" i="1" s="1"/>
  <c r="Q896" i="1"/>
  <c r="R896" i="1"/>
  <c r="S896" i="1"/>
  <c r="U896" i="1"/>
  <c r="I897" i="1"/>
  <c r="J897" i="1"/>
  <c r="K897" i="1"/>
  <c r="L897" i="1"/>
  <c r="M897" i="1"/>
  <c r="N897" i="1"/>
  <c r="O897" i="1"/>
  <c r="P897" i="1"/>
  <c r="Q897" i="1"/>
  <c r="R897" i="1"/>
  <c r="S897" i="1"/>
  <c r="T897" i="1"/>
  <c r="U897" i="1"/>
  <c r="V897" i="1"/>
  <c r="I898" i="1"/>
  <c r="J898" i="1"/>
  <c r="K898" i="1"/>
  <c r="L898" i="1"/>
  <c r="M898" i="1"/>
  <c r="N898" i="1"/>
  <c r="O898" i="1"/>
  <c r="P898" i="1"/>
  <c r="Q898" i="1"/>
  <c r="R898" i="1"/>
  <c r="S898" i="1"/>
  <c r="U898" i="1" s="1"/>
  <c r="T898" i="1"/>
  <c r="V898" i="1"/>
  <c r="I899" i="1"/>
  <c r="J899" i="1"/>
  <c r="V899" i="1" s="1"/>
  <c r="K899" i="1"/>
  <c r="L899" i="1"/>
  <c r="M899" i="1"/>
  <c r="N899" i="1"/>
  <c r="O899" i="1"/>
  <c r="P899" i="1"/>
  <c r="T899" i="1" s="1"/>
  <c r="Q899" i="1"/>
  <c r="R899" i="1"/>
  <c r="S899" i="1"/>
  <c r="U899" i="1"/>
  <c r="I900" i="1"/>
  <c r="J900" i="1"/>
  <c r="K900" i="1"/>
  <c r="L900" i="1"/>
  <c r="M900" i="1"/>
  <c r="N900" i="1"/>
  <c r="O900" i="1"/>
  <c r="P900" i="1"/>
  <c r="Q900" i="1"/>
  <c r="R900" i="1"/>
  <c r="S900" i="1"/>
  <c r="T900" i="1"/>
  <c r="U900" i="1"/>
  <c r="V900" i="1"/>
  <c r="I901" i="1"/>
  <c r="J901" i="1"/>
  <c r="K901" i="1"/>
  <c r="L901" i="1"/>
  <c r="M901" i="1"/>
  <c r="N901" i="1"/>
  <c r="O901" i="1"/>
  <c r="P901" i="1"/>
  <c r="Q901" i="1"/>
  <c r="R901" i="1"/>
  <c r="S901" i="1"/>
  <c r="U901" i="1" s="1"/>
  <c r="T901" i="1"/>
  <c r="V901" i="1"/>
  <c r="I902" i="1"/>
  <c r="J902" i="1"/>
  <c r="V902" i="1" s="1"/>
  <c r="K902" i="1"/>
  <c r="L902" i="1"/>
  <c r="M902" i="1"/>
  <c r="N902" i="1"/>
  <c r="O902" i="1"/>
  <c r="P902" i="1"/>
  <c r="T902" i="1" s="1"/>
  <c r="Q902" i="1"/>
  <c r="R902" i="1"/>
  <c r="S902" i="1"/>
  <c r="U902" i="1"/>
  <c r="I903" i="1"/>
  <c r="J903" i="1"/>
  <c r="K903" i="1"/>
  <c r="L903" i="1"/>
  <c r="M903" i="1"/>
  <c r="N903" i="1"/>
  <c r="O903" i="1"/>
  <c r="P903" i="1"/>
  <c r="Q903" i="1"/>
  <c r="R903" i="1"/>
  <c r="S903" i="1"/>
  <c r="T903" i="1"/>
  <c r="U903" i="1"/>
  <c r="V903" i="1"/>
  <c r="I904" i="1"/>
  <c r="J904" i="1"/>
  <c r="K904" i="1"/>
  <c r="L904" i="1"/>
  <c r="M904" i="1"/>
  <c r="N904" i="1"/>
  <c r="O904" i="1"/>
  <c r="P904" i="1"/>
  <c r="Q904" i="1"/>
  <c r="R904" i="1"/>
  <c r="S904" i="1"/>
  <c r="U904" i="1" s="1"/>
  <c r="T904" i="1"/>
  <c r="V904" i="1"/>
  <c r="I905" i="1"/>
  <c r="J905" i="1"/>
  <c r="V905" i="1" s="1"/>
  <c r="K905" i="1"/>
  <c r="L905" i="1"/>
  <c r="M905" i="1"/>
  <c r="N905" i="1"/>
  <c r="O905" i="1"/>
  <c r="P905" i="1"/>
  <c r="T905" i="1" s="1"/>
  <c r="Q905" i="1"/>
  <c r="R905" i="1"/>
  <c r="S905" i="1"/>
  <c r="U905" i="1"/>
  <c r="I906" i="1"/>
  <c r="J906" i="1"/>
  <c r="K906" i="1"/>
  <c r="L906" i="1"/>
  <c r="M906" i="1"/>
  <c r="N906" i="1"/>
  <c r="O906" i="1"/>
  <c r="P906" i="1"/>
  <c r="Q906" i="1"/>
  <c r="R906" i="1"/>
  <c r="S906" i="1"/>
  <c r="T906" i="1"/>
  <c r="U906" i="1"/>
  <c r="V906" i="1"/>
  <c r="I907" i="1"/>
  <c r="J907" i="1"/>
  <c r="K907" i="1"/>
  <c r="L907" i="1"/>
  <c r="M907" i="1"/>
  <c r="N907" i="1"/>
  <c r="O907" i="1"/>
  <c r="P907" i="1"/>
  <c r="T907" i="1" s="1"/>
  <c r="Q907" i="1"/>
  <c r="R907" i="1"/>
  <c r="S907" i="1"/>
  <c r="U907" i="1" s="1"/>
  <c r="V907" i="1"/>
  <c r="I908" i="1"/>
  <c r="J908" i="1"/>
  <c r="K908" i="1"/>
  <c r="L908" i="1"/>
  <c r="M908" i="1"/>
  <c r="N908" i="1"/>
  <c r="O908" i="1"/>
  <c r="P908" i="1"/>
  <c r="T908" i="1" s="1"/>
  <c r="Q908" i="1"/>
  <c r="R908" i="1"/>
  <c r="S908" i="1"/>
  <c r="U908" i="1"/>
  <c r="V908" i="1"/>
  <c r="I909" i="1"/>
  <c r="J909" i="1"/>
  <c r="K909" i="1"/>
  <c r="L909" i="1"/>
  <c r="M909" i="1"/>
  <c r="N909" i="1"/>
  <c r="O909" i="1"/>
  <c r="P909" i="1"/>
  <c r="Q909" i="1"/>
  <c r="R909" i="1"/>
  <c r="S909" i="1"/>
  <c r="T909" i="1"/>
  <c r="U909" i="1"/>
  <c r="V909" i="1"/>
  <c r="I910" i="1"/>
  <c r="J910" i="1"/>
  <c r="K910" i="1"/>
  <c r="L910" i="1"/>
  <c r="M910" i="1"/>
  <c r="N910" i="1"/>
  <c r="O910" i="1"/>
  <c r="P910" i="1"/>
  <c r="Q910" i="1"/>
  <c r="R910" i="1"/>
  <c r="S910" i="1"/>
  <c r="U910" i="1" s="1"/>
  <c r="T910" i="1"/>
  <c r="V910" i="1"/>
  <c r="I911" i="1"/>
  <c r="J911" i="1"/>
  <c r="K911" i="1"/>
  <c r="L911" i="1"/>
  <c r="M911" i="1"/>
  <c r="N911" i="1"/>
  <c r="O911" i="1"/>
  <c r="P911" i="1"/>
  <c r="T911" i="1" s="1"/>
  <c r="Q911" i="1"/>
  <c r="R911" i="1"/>
  <c r="S911" i="1"/>
  <c r="U911" i="1"/>
  <c r="V911" i="1"/>
  <c r="I912" i="1"/>
  <c r="J912" i="1"/>
  <c r="K912" i="1"/>
  <c r="L912" i="1"/>
  <c r="M912" i="1"/>
  <c r="N912" i="1"/>
  <c r="O912" i="1"/>
  <c r="P912" i="1"/>
  <c r="Q912" i="1"/>
  <c r="R912" i="1"/>
  <c r="S912" i="1"/>
  <c r="T912" i="1"/>
  <c r="U912" i="1"/>
  <c r="V912" i="1"/>
  <c r="I913" i="1"/>
  <c r="J913" i="1"/>
  <c r="K913" i="1"/>
  <c r="L913" i="1"/>
  <c r="M913" i="1"/>
  <c r="N913" i="1"/>
  <c r="O913" i="1"/>
  <c r="P913" i="1"/>
  <c r="T913" i="1" s="1"/>
  <c r="Q913" i="1"/>
  <c r="R913" i="1"/>
  <c r="S913" i="1"/>
  <c r="U913" i="1" s="1"/>
  <c r="V913" i="1"/>
  <c r="I914" i="1"/>
  <c r="J914" i="1"/>
  <c r="V914" i="1" s="1"/>
  <c r="K914" i="1"/>
  <c r="L914" i="1"/>
  <c r="M914" i="1"/>
  <c r="N914" i="1"/>
  <c r="O914" i="1"/>
  <c r="P914" i="1"/>
  <c r="T914" i="1" s="1"/>
  <c r="Q914" i="1"/>
  <c r="R914" i="1"/>
  <c r="S914" i="1"/>
  <c r="U914" i="1"/>
  <c r="I915" i="1"/>
  <c r="J915" i="1"/>
  <c r="K915" i="1"/>
  <c r="L915" i="1"/>
  <c r="M915" i="1"/>
  <c r="N915" i="1"/>
  <c r="O915" i="1"/>
  <c r="P915" i="1"/>
  <c r="Q915" i="1"/>
  <c r="R915" i="1"/>
  <c r="S915" i="1"/>
  <c r="T915" i="1"/>
  <c r="U915" i="1"/>
  <c r="V915" i="1"/>
  <c r="I916" i="1"/>
  <c r="J916" i="1"/>
  <c r="K916" i="1"/>
  <c r="L916" i="1"/>
  <c r="M916" i="1"/>
  <c r="N916" i="1"/>
  <c r="O916" i="1"/>
  <c r="P916" i="1"/>
  <c r="T916" i="1" s="1"/>
  <c r="Q916" i="1"/>
  <c r="R916" i="1"/>
  <c r="S916" i="1"/>
  <c r="U916" i="1" s="1"/>
  <c r="V916" i="1"/>
  <c r="I917" i="1"/>
  <c r="J917" i="1"/>
  <c r="K917" i="1"/>
  <c r="L917" i="1"/>
  <c r="M917" i="1"/>
  <c r="N917" i="1"/>
  <c r="O917" i="1"/>
  <c r="P917" i="1"/>
  <c r="T917" i="1" s="1"/>
  <c r="Q917" i="1"/>
  <c r="R917" i="1"/>
  <c r="S917" i="1"/>
  <c r="U917" i="1"/>
  <c r="V917" i="1"/>
  <c r="I918" i="1"/>
  <c r="J918" i="1"/>
  <c r="K918" i="1"/>
  <c r="L918" i="1"/>
  <c r="M918" i="1"/>
  <c r="N918" i="1"/>
  <c r="O918" i="1"/>
  <c r="P918" i="1"/>
  <c r="Q918" i="1"/>
  <c r="R918" i="1"/>
  <c r="S918" i="1"/>
  <c r="T918" i="1"/>
  <c r="U918" i="1"/>
  <c r="V918" i="1"/>
  <c r="I919" i="1"/>
  <c r="J919" i="1"/>
  <c r="K919" i="1"/>
  <c r="L919" i="1"/>
  <c r="M919" i="1"/>
  <c r="N919" i="1"/>
  <c r="O919" i="1"/>
  <c r="P919" i="1"/>
  <c r="T919" i="1" s="1"/>
  <c r="Q919" i="1"/>
  <c r="R919" i="1"/>
  <c r="S919" i="1"/>
  <c r="U919" i="1" s="1"/>
  <c r="V919" i="1"/>
  <c r="I920" i="1"/>
  <c r="J920" i="1"/>
  <c r="V920" i="1" s="1"/>
  <c r="K920" i="1"/>
  <c r="L920" i="1"/>
  <c r="M920" i="1"/>
  <c r="N920" i="1"/>
  <c r="O920" i="1"/>
  <c r="P920" i="1"/>
  <c r="T920" i="1" s="1"/>
  <c r="Q920" i="1"/>
  <c r="R920" i="1"/>
  <c r="S920" i="1"/>
  <c r="U920" i="1"/>
  <c r="I921" i="1"/>
  <c r="J921" i="1"/>
  <c r="K921" i="1"/>
  <c r="L921" i="1"/>
  <c r="M921" i="1"/>
  <c r="N921" i="1"/>
  <c r="O921" i="1"/>
  <c r="P921" i="1"/>
  <c r="Q921" i="1"/>
  <c r="R921" i="1"/>
  <c r="S921" i="1"/>
  <c r="T921" i="1"/>
  <c r="U921" i="1"/>
  <c r="V921" i="1"/>
  <c r="I922" i="1"/>
  <c r="J922" i="1"/>
  <c r="K922" i="1"/>
  <c r="L922" i="1"/>
  <c r="M922" i="1"/>
  <c r="N922" i="1"/>
  <c r="O922" i="1"/>
  <c r="P922" i="1"/>
  <c r="T922" i="1" s="1"/>
  <c r="Q922" i="1"/>
  <c r="R922" i="1"/>
  <c r="S922" i="1"/>
  <c r="U922" i="1" s="1"/>
  <c r="V922" i="1"/>
  <c r="I923" i="1"/>
  <c r="J923" i="1"/>
  <c r="K923" i="1"/>
  <c r="L923" i="1"/>
  <c r="M923" i="1"/>
  <c r="N923" i="1"/>
  <c r="O923" i="1"/>
  <c r="P923" i="1"/>
  <c r="T923" i="1" s="1"/>
  <c r="Q923" i="1"/>
  <c r="R923" i="1"/>
  <c r="S923" i="1"/>
  <c r="U923" i="1"/>
  <c r="V923" i="1"/>
  <c r="I924" i="1"/>
  <c r="J924" i="1"/>
  <c r="K924" i="1"/>
  <c r="L924" i="1"/>
  <c r="M924" i="1"/>
  <c r="N924" i="1"/>
  <c r="O924" i="1"/>
  <c r="P924" i="1"/>
  <c r="Q924" i="1"/>
  <c r="R924" i="1"/>
  <c r="S924" i="1"/>
  <c r="T924" i="1"/>
  <c r="U924" i="1"/>
  <c r="V924" i="1"/>
  <c r="I925" i="1"/>
  <c r="J925" i="1"/>
  <c r="K925" i="1"/>
  <c r="L925" i="1"/>
  <c r="M925" i="1"/>
  <c r="N925" i="1"/>
  <c r="O925" i="1"/>
  <c r="P925" i="1"/>
  <c r="T925" i="1" s="1"/>
  <c r="Q925" i="1"/>
  <c r="R925" i="1"/>
  <c r="S925" i="1"/>
  <c r="U925" i="1" s="1"/>
  <c r="V925" i="1"/>
  <c r="I926" i="1"/>
  <c r="J926" i="1"/>
  <c r="V926" i="1" s="1"/>
  <c r="K926" i="1"/>
  <c r="L926" i="1"/>
  <c r="M926" i="1"/>
  <c r="N926" i="1"/>
  <c r="O926" i="1"/>
  <c r="P926" i="1"/>
  <c r="T926" i="1" s="1"/>
  <c r="Q926" i="1"/>
  <c r="R926" i="1"/>
  <c r="S926" i="1"/>
  <c r="U926" i="1"/>
  <c r="I927" i="1"/>
  <c r="J927" i="1"/>
  <c r="K927" i="1"/>
  <c r="L927" i="1"/>
  <c r="M927" i="1"/>
  <c r="N927" i="1"/>
  <c r="O927" i="1"/>
  <c r="P927" i="1"/>
  <c r="Q927" i="1"/>
  <c r="R927" i="1"/>
  <c r="S927" i="1"/>
  <c r="T927" i="1"/>
  <c r="U927" i="1"/>
  <c r="V927" i="1"/>
  <c r="I928" i="1"/>
  <c r="J928" i="1"/>
  <c r="K928" i="1"/>
  <c r="L928" i="1"/>
  <c r="M928" i="1"/>
  <c r="N928" i="1"/>
  <c r="O928" i="1"/>
  <c r="P928" i="1"/>
  <c r="T928" i="1" s="1"/>
  <c r="Q928" i="1"/>
  <c r="R928" i="1"/>
  <c r="S928" i="1"/>
  <c r="U928" i="1" s="1"/>
  <c r="V928" i="1"/>
  <c r="I929" i="1"/>
  <c r="J929" i="1"/>
  <c r="K929" i="1"/>
  <c r="L929" i="1"/>
  <c r="M929" i="1"/>
  <c r="N929" i="1"/>
  <c r="O929" i="1"/>
  <c r="P929" i="1"/>
  <c r="T929" i="1" s="1"/>
  <c r="Q929" i="1"/>
  <c r="R929" i="1"/>
  <c r="S929" i="1"/>
  <c r="U929" i="1"/>
  <c r="V929" i="1"/>
  <c r="I930" i="1"/>
  <c r="J930" i="1"/>
  <c r="K930" i="1"/>
  <c r="L930" i="1"/>
  <c r="M930" i="1"/>
  <c r="N930" i="1"/>
  <c r="O930" i="1"/>
  <c r="P930" i="1"/>
  <c r="Q930" i="1"/>
  <c r="R930" i="1"/>
  <c r="S930" i="1"/>
  <c r="T930" i="1"/>
  <c r="U930" i="1"/>
  <c r="V930" i="1"/>
  <c r="I931" i="1"/>
  <c r="J931" i="1"/>
  <c r="K931" i="1"/>
  <c r="L931" i="1"/>
  <c r="M931" i="1"/>
  <c r="N931" i="1"/>
  <c r="O931" i="1"/>
  <c r="P931" i="1"/>
  <c r="T931" i="1" s="1"/>
  <c r="Q931" i="1"/>
  <c r="R931" i="1"/>
  <c r="S931" i="1"/>
  <c r="U931" i="1" s="1"/>
  <c r="V931" i="1"/>
  <c r="I932" i="1"/>
  <c r="J932" i="1"/>
  <c r="V932" i="1" s="1"/>
  <c r="K932" i="1"/>
  <c r="L932" i="1"/>
  <c r="M932" i="1"/>
  <c r="N932" i="1"/>
  <c r="O932" i="1"/>
  <c r="P932" i="1"/>
  <c r="T932" i="1" s="1"/>
  <c r="Q932" i="1"/>
  <c r="R932" i="1"/>
  <c r="S932" i="1"/>
  <c r="U932" i="1"/>
  <c r="I933" i="1"/>
  <c r="J933" i="1"/>
  <c r="K933" i="1"/>
  <c r="L933" i="1"/>
  <c r="M933" i="1"/>
  <c r="N933" i="1"/>
  <c r="O933" i="1"/>
  <c r="P933" i="1"/>
  <c r="Q933" i="1"/>
  <c r="R933" i="1"/>
  <c r="S933" i="1"/>
  <c r="U933" i="1" s="1"/>
  <c r="T933" i="1"/>
  <c r="V933" i="1"/>
  <c r="I934" i="1"/>
  <c r="J934" i="1"/>
  <c r="K934" i="1"/>
  <c r="L934" i="1"/>
  <c r="M934" i="1"/>
  <c r="N934" i="1"/>
  <c r="O934" i="1"/>
  <c r="P934" i="1"/>
  <c r="T934" i="1" s="1"/>
  <c r="Q934" i="1"/>
  <c r="R934" i="1"/>
  <c r="S934" i="1"/>
  <c r="U934" i="1" s="1"/>
  <c r="V934" i="1"/>
  <c r="I935" i="1"/>
  <c r="J935" i="1"/>
  <c r="K935" i="1"/>
  <c r="L935" i="1"/>
  <c r="M935" i="1"/>
  <c r="N935" i="1"/>
  <c r="O935" i="1"/>
  <c r="P935" i="1"/>
  <c r="T935" i="1" s="1"/>
  <c r="Q935" i="1"/>
  <c r="R935" i="1"/>
  <c r="S935" i="1"/>
  <c r="U935" i="1"/>
  <c r="V935" i="1"/>
  <c r="I936" i="1"/>
  <c r="J936" i="1"/>
  <c r="K936" i="1"/>
  <c r="L936" i="1"/>
  <c r="M936" i="1"/>
  <c r="N936" i="1"/>
  <c r="O936" i="1"/>
  <c r="P936" i="1"/>
  <c r="Q936" i="1"/>
  <c r="R936" i="1"/>
  <c r="S936" i="1"/>
  <c r="U936" i="1" s="1"/>
  <c r="T936" i="1"/>
  <c r="V936" i="1"/>
  <c r="I937" i="1"/>
  <c r="J937" i="1"/>
  <c r="K937" i="1"/>
  <c r="L937" i="1"/>
  <c r="M937" i="1"/>
  <c r="N937" i="1"/>
  <c r="O937" i="1"/>
  <c r="P937" i="1"/>
  <c r="T937" i="1" s="1"/>
  <c r="Q937" i="1"/>
  <c r="R937" i="1"/>
  <c r="S937" i="1"/>
  <c r="U937" i="1" s="1"/>
  <c r="V937" i="1"/>
  <c r="I938" i="1"/>
  <c r="J938" i="1"/>
  <c r="V938" i="1" s="1"/>
  <c r="K938" i="1"/>
  <c r="L938" i="1"/>
  <c r="M938" i="1"/>
  <c r="N938" i="1"/>
  <c r="O938" i="1"/>
  <c r="P938" i="1"/>
  <c r="T938" i="1" s="1"/>
  <c r="Q938" i="1"/>
  <c r="R938" i="1"/>
  <c r="S938" i="1"/>
  <c r="U938" i="1"/>
  <c r="I939" i="1"/>
  <c r="J939" i="1"/>
  <c r="K939" i="1"/>
  <c r="L939" i="1"/>
  <c r="M939" i="1"/>
  <c r="N939" i="1"/>
  <c r="O939" i="1"/>
  <c r="P939" i="1"/>
  <c r="Q939" i="1"/>
  <c r="R939" i="1"/>
  <c r="S939" i="1"/>
  <c r="U939" i="1" s="1"/>
  <c r="T939" i="1"/>
  <c r="V939" i="1"/>
  <c r="I940" i="1"/>
  <c r="J940" i="1"/>
  <c r="K940" i="1"/>
  <c r="L940" i="1"/>
  <c r="M940" i="1"/>
  <c r="N940" i="1"/>
  <c r="O940" i="1"/>
  <c r="P940" i="1"/>
  <c r="T940" i="1" s="1"/>
  <c r="Q940" i="1"/>
  <c r="R940" i="1"/>
  <c r="S940" i="1"/>
  <c r="U940" i="1" s="1"/>
  <c r="V940" i="1"/>
  <c r="I941" i="1"/>
  <c r="J941" i="1"/>
  <c r="K941" i="1"/>
  <c r="L941" i="1"/>
  <c r="M941" i="1"/>
  <c r="N941" i="1"/>
  <c r="O941" i="1"/>
  <c r="P941" i="1"/>
  <c r="T941" i="1" s="1"/>
  <c r="Q941" i="1"/>
  <c r="R941" i="1"/>
  <c r="S941" i="1"/>
  <c r="U941" i="1"/>
  <c r="V941" i="1"/>
  <c r="I942" i="1"/>
  <c r="J942" i="1"/>
  <c r="K942" i="1"/>
  <c r="L942" i="1"/>
  <c r="M942" i="1"/>
  <c r="N942" i="1"/>
  <c r="O942" i="1"/>
  <c r="P942" i="1"/>
  <c r="Q942" i="1"/>
  <c r="R942" i="1"/>
  <c r="S942" i="1"/>
  <c r="U942" i="1" s="1"/>
  <c r="T942" i="1"/>
  <c r="V942" i="1"/>
  <c r="I943" i="1"/>
  <c r="J943" i="1"/>
  <c r="K943" i="1"/>
  <c r="L943" i="1"/>
  <c r="M943" i="1"/>
  <c r="N943" i="1"/>
  <c r="O943" i="1"/>
  <c r="P943" i="1"/>
  <c r="T943" i="1" s="1"/>
  <c r="Q943" i="1"/>
  <c r="R943" i="1"/>
  <c r="S943" i="1"/>
  <c r="U943" i="1" s="1"/>
  <c r="V943" i="1"/>
  <c r="I944" i="1"/>
  <c r="J944" i="1"/>
  <c r="V944" i="1" s="1"/>
  <c r="K944" i="1"/>
  <c r="L944" i="1"/>
  <c r="M944" i="1"/>
  <c r="N944" i="1"/>
  <c r="O944" i="1"/>
  <c r="P944" i="1"/>
  <c r="T944" i="1" s="1"/>
  <c r="Q944" i="1"/>
  <c r="R944" i="1"/>
  <c r="S944" i="1"/>
  <c r="U944" i="1"/>
  <c r="I945" i="1"/>
  <c r="J945" i="1"/>
  <c r="K945" i="1"/>
  <c r="L945" i="1"/>
  <c r="M945" i="1"/>
  <c r="N945" i="1"/>
  <c r="O945" i="1"/>
  <c r="P945" i="1"/>
  <c r="Q945" i="1"/>
  <c r="R945" i="1"/>
  <c r="S945" i="1"/>
  <c r="U945" i="1" s="1"/>
  <c r="T945" i="1"/>
  <c r="V945" i="1"/>
  <c r="I946" i="1"/>
  <c r="J946" i="1"/>
  <c r="K946" i="1"/>
  <c r="L946" i="1"/>
  <c r="M946" i="1"/>
  <c r="N946" i="1"/>
  <c r="O946" i="1"/>
  <c r="P946" i="1"/>
  <c r="T946" i="1" s="1"/>
  <c r="Q946" i="1"/>
  <c r="R946" i="1"/>
  <c r="S946" i="1"/>
  <c r="U946" i="1" s="1"/>
  <c r="V946" i="1"/>
  <c r="I947" i="1"/>
  <c r="J947" i="1"/>
  <c r="K947" i="1"/>
  <c r="L947" i="1"/>
  <c r="M947" i="1"/>
  <c r="N947" i="1"/>
  <c r="O947" i="1"/>
  <c r="P947" i="1"/>
  <c r="T947" i="1" s="1"/>
  <c r="Q947" i="1"/>
  <c r="R947" i="1"/>
  <c r="S947" i="1"/>
  <c r="U947" i="1"/>
  <c r="V947" i="1"/>
  <c r="I948" i="1"/>
  <c r="J948" i="1"/>
  <c r="K948" i="1"/>
  <c r="L948" i="1"/>
  <c r="M948" i="1"/>
  <c r="N948" i="1"/>
  <c r="O948" i="1"/>
  <c r="P948" i="1"/>
  <c r="Q948" i="1"/>
  <c r="R948" i="1"/>
  <c r="S948" i="1"/>
  <c r="U948" i="1" s="1"/>
  <c r="T948" i="1"/>
  <c r="V948" i="1"/>
  <c r="I949" i="1"/>
  <c r="J949" i="1"/>
  <c r="K949" i="1"/>
  <c r="L949" i="1"/>
  <c r="M949" i="1"/>
  <c r="N949" i="1"/>
  <c r="O949" i="1"/>
  <c r="P949" i="1"/>
  <c r="Q949" i="1"/>
  <c r="R949" i="1"/>
  <c r="S949" i="1"/>
  <c r="U949" i="1" s="1"/>
  <c r="T949" i="1"/>
  <c r="V949" i="1"/>
  <c r="I950" i="1"/>
  <c r="J950" i="1"/>
  <c r="V950" i="1" s="1"/>
  <c r="K950" i="1"/>
  <c r="L950" i="1"/>
  <c r="M950" i="1"/>
  <c r="N950" i="1"/>
  <c r="O950" i="1"/>
  <c r="P950" i="1"/>
  <c r="T950" i="1" s="1"/>
  <c r="Q950" i="1"/>
  <c r="R950" i="1"/>
  <c r="S950" i="1"/>
  <c r="U950" i="1"/>
  <c r="I951" i="1"/>
  <c r="J951" i="1"/>
  <c r="K951" i="1"/>
  <c r="L951" i="1"/>
  <c r="M951" i="1"/>
  <c r="N951" i="1"/>
  <c r="O951" i="1"/>
  <c r="P951" i="1"/>
  <c r="Q951" i="1"/>
  <c r="R951" i="1"/>
  <c r="S951" i="1"/>
  <c r="T951" i="1"/>
  <c r="U951" i="1"/>
  <c r="V951" i="1"/>
  <c r="I952" i="1"/>
  <c r="J952" i="1"/>
  <c r="K952" i="1"/>
  <c r="L952" i="1"/>
  <c r="M952" i="1"/>
  <c r="N952" i="1"/>
  <c r="O952" i="1"/>
  <c r="P952" i="1"/>
  <c r="T952" i="1" s="1"/>
  <c r="Q952" i="1"/>
  <c r="R952" i="1"/>
  <c r="S952" i="1"/>
  <c r="U952" i="1" s="1"/>
  <c r="V952" i="1"/>
  <c r="I953" i="1"/>
  <c r="J953" i="1"/>
  <c r="V953" i="1" s="1"/>
  <c r="K953" i="1"/>
  <c r="L953" i="1"/>
  <c r="M953" i="1"/>
  <c r="N953" i="1"/>
  <c r="O953" i="1"/>
  <c r="P953" i="1"/>
  <c r="T953" i="1" s="1"/>
  <c r="Q953" i="1"/>
  <c r="R953" i="1"/>
  <c r="S953" i="1"/>
  <c r="U953" i="1"/>
  <c r="I954" i="1"/>
  <c r="J954" i="1"/>
  <c r="K954" i="1"/>
  <c r="L954" i="1"/>
  <c r="M954" i="1"/>
  <c r="N954" i="1"/>
  <c r="O954" i="1"/>
  <c r="P954" i="1"/>
  <c r="Q954" i="1"/>
  <c r="R954" i="1"/>
  <c r="S954" i="1"/>
  <c r="U954" i="1" s="1"/>
  <c r="T954" i="1"/>
  <c r="V954" i="1"/>
  <c r="I955" i="1"/>
  <c r="J955" i="1"/>
  <c r="K955" i="1"/>
  <c r="L955" i="1"/>
  <c r="M955" i="1"/>
  <c r="N955" i="1"/>
  <c r="O955" i="1"/>
  <c r="P955" i="1"/>
  <c r="T955" i="1" s="1"/>
  <c r="Q955" i="1"/>
  <c r="R955" i="1"/>
  <c r="S955" i="1"/>
  <c r="U955" i="1" s="1"/>
  <c r="V955" i="1"/>
  <c r="I956" i="1"/>
  <c r="J956" i="1"/>
  <c r="V956" i="1" s="1"/>
  <c r="K956" i="1"/>
  <c r="L956" i="1"/>
  <c r="M956" i="1"/>
  <c r="N956" i="1"/>
  <c r="O956" i="1"/>
  <c r="P956" i="1"/>
  <c r="T956" i="1" s="1"/>
  <c r="Q956" i="1"/>
  <c r="R956" i="1"/>
  <c r="S956" i="1"/>
  <c r="U956" i="1"/>
  <c r="I957" i="1"/>
  <c r="J957" i="1"/>
  <c r="K957" i="1"/>
  <c r="L957" i="1"/>
  <c r="M957" i="1"/>
  <c r="N957" i="1"/>
  <c r="O957" i="1"/>
  <c r="P957" i="1"/>
  <c r="Q957" i="1"/>
  <c r="R957" i="1"/>
  <c r="S957" i="1"/>
  <c r="T957" i="1"/>
  <c r="U957" i="1"/>
  <c r="V957" i="1"/>
  <c r="I958" i="1"/>
  <c r="J958" i="1"/>
  <c r="K958" i="1"/>
  <c r="L958" i="1"/>
  <c r="M958" i="1"/>
  <c r="N958" i="1"/>
  <c r="O958" i="1"/>
  <c r="P958" i="1"/>
  <c r="T958" i="1" s="1"/>
  <c r="Q958" i="1"/>
  <c r="R958" i="1"/>
  <c r="S958" i="1"/>
  <c r="U958" i="1" s="1"/>
  <c r="V958" i="1"/>
  <c r="I959" i="1"/>
  <c r="J959" i="1"/>
  <c r="V959" i="1" s="1"/>
  <c r="K959" i="1"/>
  <c r="L959" i="1"/>
  <c r="M959" i="1"/>
  <c r="N959" i="1"/>
  <c r="O959" i="1"/>
  <c r="P959" i="1"/>
  <c r="T959" i="1" s="1"/>
  <c r="Q959" i="1"/>
  <c r="R959" i="1"/>
  <c r="S959" i="1"/>
  <c r="U959" i="1"/>
  <c r="I960" i="1"/>
  <c r="J960" i="1"/>
  <c r="K960" i="1"/>
  <c r="L960" i="1"/>
  <c r="M960" i="1"/>
  <c r="N960" i="1"/>
  <c r="O960" i="1"/>
  <c r="P960" i="1"/>
  <c r="Q960" i="1"/>
  <c r="R960" i="1"/>
  <c r="S960" i="1"/>
  <c r="U960" i="1" s="1"/>
  <c r="T960" i="1"/>
  <c r="V960" i="1"/>
  <c r="I961" i="1"/>
  <c r="J961" i="1"/>
  <c r="K961" i="1"/>
  <c r="L961" i="1"/>
  <c r="M961" i="1"/>
  <c r="N961" i="1"/>
  <c r="O961" i="1"/>
  <c r="P961" i="1"/>
  <c r="T961" i="1" s="1"/>
  <c r="Q961" i="1"/>
  <c r="R961" i="1"/>
  <c r="S961" i="1"/>
  <c r="U961" i="1" s="1"/>
  <c r="V961" i="1"/>
  <c r="I962" i="1"/>
  <c r="J962" i="1"/>
  <c r="K962" i="1"/>
  <c r="L962" i="1"/>
  <c r="M962" i="1"/>
  <c r="N962" i="1"/>
  <c r="O962" i="1"/>
  <c r="P962" i="1"/>
  <c r="Q962" i="1"/>
  <c r="R962" i="1"/>
  <c r="S962" i="1"/>
  <c r="T962" i="1"/>
  <c r="U962" i="1"/>
  <c r="V962" i="1"/>
  <c r="I963" i="1"/>
  <c r="J963" i="1"/>
  <c r="K963" i="1"/>
  <c r="L963" i="1"/>
  <c r="M963" i="1"/>
  <c r="N963" i="1"/>
  <c r="O963" i="1"/>
  <c r="P963" i="1"/>
  <c r="T963" i="1" s="1"/>
  <c r="Q963" i="1"/>
  <c r="R963" i="1"/>
  <c r="S963" i="1"/>
  <c r="U963" i="1" s="1"/>
  <c r="V963" i="1"/>
  <c r="I964" i="1"/>
  <c r="J964" i="1"/>
  <c r="K964" i="1"/>
  <c r="L964" i="1"/>
  <c r="M964" i="1"/>
  <c r="N964" i="1"/>
  <c r="O964" i="1"/>
  <c r="P964" i="1"/>
  <c r="T964" i="1" s="1"/>
  <c r="Q964" i="1"/>
  <c r="R964" i="1"/>
  <c r="S964" i="1"/>
  <c r="U964" i="1" s="1"/>
  <c r="V964" i="1"/>
  <c r="I965" i="1"/>
  <c r="J965" i="1"/>
  <c r="K965" i="1"/>
  <c r="L965" i="1"/>
  <c r="M965" i="1"/>
  <c r="N965" i="1"/>
  <c r="O965" i="1"/>
  <c r="P965" i="1"/>
  <c r="Q965" i="1"/>
  <c r="R965" i="1"/>
  <c r="S965" i="1"/>
  <c r="T965" i="1"/>
  <c r="U965" i="1"/>
  <c r="V965" i="1"/>
  <c r="I966" i="1"/>
  <c r="J966" i="1"/>
  <c r="K966" i="1"/>
  <c r="L966" i="1"/>
  <c r="M966" i="1"/>
  <c r="N966" i="1"/>
  <c r="O966" i="1"/>
  <c r="P966" i="1"/>
  <c r="T966" i="1" s="1"/>
  <c r="Q966" i="1"/>
  <c r="R966" i="1"/>
  <c r="S966" i="1"/>
  <c r="U966" i="1" s="1"/>
  <c r="V966" i="1"/>
  <c r="I967" i="1"/>
  <c r="J967" i="1"/>
  <c r="K967" i="1"/>
  <c r="L967" i="1"/>
  <c r="M967" i="1"/>
  <c r="N967" i="1"/>
  <c r="O967" i="1"/>
  <c r="P967" i="1"/>
  <c r="T967" i="1" s="1"/>
  <c r="Q967" i="1"/>
  <c r="R967" i="1"/>
  <c r="S967" i="1"/>
  <c r="U967" i="1" s="1"/>
  <c r="V967" i="1"/>
  <c r="I968" i="1"/>
  <c r="J968" i="1"/>
  <c r="K968" i="1"/>
  <c r="L968" i="1"/>
  <c r="M968" i="1"/>
  <c r="N968" i="1"/>
  <c r="O968" i="1"/>
  <c r="P968" i="1"/>
  <c r="Q968" i="1"/>
  <c r="R968" i="1"/>
  <c r="S968" i="1"/>
  <c r="T968" i="1"/>
  <c r="U968" i="1"/>
  <c r="V968" i="1"/>
  <c r="I969" i="1"/>
  <c r="J969" i="1"/>
  <c r="K969" i="1"/>
  <c r="L969" i="1"/>
  <c r="M969" i="1"/>
  <c r="N969" i="1"/>
  <c r="O969" i="1"/>
  <c r="P969" i="1"/>
  <c r="T969" i="1" s="1"/>
  <c r="Q969" i="1"/>
  <c r="R969" i="1"/>
  <c r="S969" i="1"/>
  <c r="U969" i="1" s="1"/>
  <c r="V969" i="1"/>
  <c r="I970" i="1"/>
  <c r="J970" i="1"/>
  <c r="K970" i="1"/>
  <c r="L970" i="1"/>
  <c r="M970" i="1"/>
  <c r="N970" i="1"/>
  <c r="O970" i="1"/>
  <c r="P970" i="1"/>
  <c r="T970" i="1" s="1"/>
  <c r="Q970" i="1"/>
  <c r="R970" i="1"/>
  <c r="S970" i="1"/>
  <c r="U970" i="1" s="1"/>
  <c r="V970" i="1"/>
  <c r="I971" i="1"/>
  <c r="J971" i="1"/>
  <c r="K971" i="1"/>
  <c r="L971" i="1"/>
  <c r="M971" i="1"/>
  <c r="N971" i="1"/>
  <c r="O971" i="1"/>
  <c r="P971" i="1"/>
  <c r="Q971" i="1"/>
  <c r="R971" i="1"/>
  <c r="S971" i="1"/>
  <c r="T971" i="1"/>
  <c r="U971" i="1"/>
  <c r="V971" i="1"/>
  <c r="I972" i="1"/>
  <c r="J972" i="1"/>
  <c r="K972" i="1"/>
  <c r="L972" i="1"/>
  <c r="M972" i="1"/>
  <c r="N972" i="1"/>
  <c r="O972" i="1"/>
  <c r="P972" i="1"/>
  <c r="T972" i="1" s="1"/>
  <c r="Q972" i="1"/>
  <c r="R972" i="1"/>
  <c r="S972" i="1"/>
  <c r="U972" i="1" s="1"/>
  <c r="V972" i="1"/>
  <c r="I973" i="1"/>
  <c r="J973" i="1"/>
  <c r="K973" i="1"/>
  <c r="L973" i="1"/>
  <c r="M973" i="1"/>
  <c r="N973" i="1"/>
  <c r="O973" i="1"/>
  <c r="P973" i="1"/>
  <c r="T973" i="1" s="1"/>
  <c r="Q973" i="1"/>
  <c r="R973" i="1"/>
  <c r="S973" i="1"/>
  <c r="U973" i="1" s="1"/>
  <c r="V973" i="1"/>
  <c r="I974" i="1"/>
  <c r="J974" i="1"/>
  <c r="K974" i="1"/>
  <c r="L974" i="1"/>
  <c r="M974" i="1"/>
  <c r="N974" i="1"/>
  <c r="O974" i="1"/>
  <c r="P974" i="1"/>
  <c r="Q974" i="1"/>
  <c r="R974" i="1"/>
  <c r="S974" i="1"/>
  <c r="T974" i="1"/>
  <c r="U974" i="1"/>
  <c r="V974" i="1"/>
  <c r="I975" i="1"/>
  <c r="J975" i="1"/>
  <c r="K975" i="1"/>
  <c r="L975" i="1"/>
  <c r="M975" i="1"/>
  <c r="N975" i="1"/>
  <c r="O975" i="1"/>
  <c r="P975" i="1"/>
  <c r="T975" i="1" s="1"/>
  <c r="Q975" i="1"/>
  <c r="R975" i="1"/>
  <c r="S975" i="1"/>
  <c r="U975" i="1" s="1"/>
  <c r="V975" i="1"/>
  <c r="I976" i="1"/>
  <c r="J976" i="1"/>
  <c r="K976" i="1"/>
  <c r="L976" i="1"/>
  <c r="M976" i="1"/>
  <c r="N976" i="1"/>
  <c r="O976" i="1"/>
  <c r="P976" i="1"/>
  <c r="T976" i="1" s="1"/>
  <c r="Q976" i="1"/>
  <c r="R976" i="1"/>
  <c r="S976" i="1"/>
  <c r="U976" i="1" s="1"/>
  <c r="V976" i="1"/>
  <c r="I977" i="1"/>
  <c r="J977" i="1"/>
  <c r="K977" i="1"/>
  <c r="L977" i="1"/>
  <c r="M977" i="1"/>
  <c r="N977" i="1"/>
  <c r="O977" i="1"/>
  <c r="P977" i="1"/>
  <c r="Q977" i="1"/>
  <c r="R977" i="1"/>
  <c r="S977" i="1"/>
  <c r="T977" i="1"/>
  <c r="U977" i="1"/>
  <c r="V977" i="1"/>
  <c r="I978" i="1"/>
  <c r="J978" i="1"/>
  <c r="K978" i="1"/>
  <c r="L978" i="1"/>
  <c r="M978" i="1"/>
  <c r="N978" i="1"/>
  <c r="O978" i="1"/>
  <c r="P978" i="1"/>
  <c r="T978" i="1" s="1"/>
  <c r="Q978" i="1"/>
  <c r="R978" i="1"/>
  <c r="S978" i="1"/>
  <c r="U978" i="1" s="1"/>
  <c r="V978" i="1"/>
  <c r="I979" i="1"/>
  <c r="J979" i="1"/>
  <c r="K979" i="1"/>
  <c r="L979" i="1"/>
  <c r="M979" i="1"/>
  <c r="N979" i="1"/>
  <c r="O979" i="1"/>
  <c r="P979" i="1"/>
  <c r="T979" i="1" s="1"/>
  <c r="Q979" i="1"/>
  <c r="R979" i="1"/>
  <c r="S979" i="1"/>
  <c r="U979" i="1" s="1"/>
  <c r="V979" i="1"/>
  <c r="I980" i="1"/>
  <c r="J980" i="1"/>
  <c r="K980" i="1"/>
  <c r="L980" i="1"/>
  <c r="M980" i="1"/>
  <c r="N980" i="1"/>
  <c r="O980" i="1"/>
  <c r="P980" i="1"/>
  <c r="Q980" i="1"/>
  <c r="R980" i="1"/>
  <c r="S980" i="1"/>
  <c r="T980" i="1"/>
  <c r="U980" i="1"/>
  <c r="V980" i="1"/>
  <c r="S704" i="1"/>
  <c r="R704" i="1"/>
  <c r="Q704" i="1"/>
  <c r="P704" i="1"/>
  <c r="O704" i="1"/>
  <c r="N704" i="1"/>
  <c r="M704" i="1"/>
  <c r="L704" i="1"/>
  <c r="K704" i="1"/>
  <c r="J704" i="1"/>
  <c r="I704" i="1"/>
  <c r="I503" i="1"/>
  <c r="J503" i="1"/>
  <c r="K503" i="1"/>
  <c r="L503" i="1"/>
  <c r="M503" i="1"/>
  <c r="N503" i="1"/>
  <c r="O503" i="1"/>
  <c r="P503" i="1"/>
  <c r="Q503" i="1"/>
  <c r="R503" i="1"/>
  <c r="S503" i="1"/>
  <c r="T503" i="1"/>
  <c r="U503" i="1"/>
  <c r="V503" i="1"/>
  <c r="I504" i="1"/>
  <c r="J504" i="1"/>
  <c r="K504" i="1"/>
  <c r="L504" i="1"/>
  <c r="M504" i="1"/>
  <c r="N504" i="1"/>
  <c r="O504" i="1"/>
  <c r="P504" i="1"/>
  <c r="Q504" i="1"/>
  <c r="R504" i="1"/>
  <c r="S504" i="1"/>
  <c r="U504" i="1" s="1"/>
  <c r="T504" i="1"/>
  <c r="V504" i="1"/>
  <c r="I505" i="1"/>
  <c r="J505" i="1"/>
  <c r="V505" i="1" s="1"/>
  <c r="K505" i="1"/>
  <c r="L505" i="1"/>
  <c r="M505" i="1"/>
  <c r="N505" i="1"/>
  <c r="O505" i="1"/>
  <c r="P505" i="1"/>
  <c r="T505" i="1" s="1"/>
  <c r="Q505" i="1"/>
  <c r="R505" i="1"/>
  <c r="S505" i="1"/>
  <c r="U505" i="1" s="1"/>
  <c r="I506" i="1"/>
  <c r="J506" i="1"/>
  <c r="K506" i="1"/>
  <c r="L506" i="1"/>
  <c r="M506" i="1"/>
  <c r="N506" i="1"/>
  <c r="O506" i="1"/>
  <c r="P506" i="1"/>
  <c r="Q506" i="1"/>
  <c r="R506" i="1"/>
  <c r="S506" i="1"/>
  <c r="T506" i="1"/>
  <c r="U506" i="1"/>
  <c r="V506" i="1"/>
  <c r="I507" i="1"/>
  <c r="J507" i="1"/>
  <c r="K507" i="1"/>
  <c r="L507" i="1"/>
  <c r="M507" i="1"/>
  <c r="N507" i="1"/>
  <c r="O507" i="1"/>
  <c r="P507" i="1"/>
  <c r="T507" i="1" s="1"/>
  <c r="Q507" i="1"/>
  <c r="R507" i="1"/>
  <c r="S507" i="1"/>
  <c r="U507" i="1" s="1"/>
  <c r="V507" i="1"/>
  <c r="I508" i="1"/>
  <c r="J508" i="1"/>
  <c r="K508" i="1"/>
  <c r="L508" i="1"/>
  <c r="M508" i="1"/>
  <c r="N508" i="1"/>
  <c r="O508" i="1"/>
  <c r="P508" i="1"/>
  <c r="T508" i="1" s="1"/>
  <c r="Q508" i="1"/>
  <c r="R508" i="1"/>
  <c r="S508" i="1"/>
  <c r="U508" i="1" s="1"/>
  <c r="V508" i="1"/>
  <c r="I509" i="1"/>
  <c r="J509" i="1"/>
  <c r="K509" i="1"/>
  <c r="L509" i="1"/>
  <c r="M509" i="1"/>
  <c r="N509" i="1"/>
  <c r="O509" i="1"/>
  <c r="P509" i="1"/>
  <c r="Q509" i="1"/>
  <c r="R509" i="1"/>
  <c r="S509" i="1"/>
  <c r="T509" i="1"/>
  <c r="U509" i="1"/>
  <c r="V509" i="1"/>
  <c r="I510" i="1"/>
  <c r="J510" i="1"/>
  <c r="K510" i="1"/>
  <c r="L510" i="1"/>
  <c r="M510" i="1"/>
  <c r="N510" i="1"/>
  <c r="O510" i="1"/>
  <c r="P510" i="1"/>
  <c r="T510" i="1" s="1"/>
  <c r="Q510" i="1"/>
  <c r="R510" i="1"/>
  <c r="S510" i="1"/>
  <c r="U510" i="1" s="1"/>
  <c r="V510" i="1"/>
  <c r="I511" i="1"/>
  <c r="J511" i="1"/>
  <c r="K511" i="1"/>
  <c r="L511" i="1"/>
  <c r="M511" i="1"/>
  <c r="N511" i="1"/>
  <c r="O511" i="1"/>
  <c r="P511" i="1"/>
  <c r="T511" i="1" s="1"/>
  <c r="Q511" i="1"/>
  <c r="R511" i="1"/>
  <c r="S511" i="1"/>
  <c r="U511" i="1" s="1"/>
  <c r="V511" i="1"/>
  <c r="I512" i="1"/>
  <c r="J512" i="1"/>
  <c r="K512" i="1"/>
  <c r="L512" i="1"/>
  <c r="M512" i="1"/>
  <c r="N512" i="1"/>
  <c r="O512" i="1"/>
  <c r="P512" i="1"/>
  <c r="Q512" i="1"/>
  <c r="R512" i="1"/>
  <c r="S512" i="1"/>
  <c r="T512" i="1"/>
  <c r="U512" i="1"/>
  <c r="V512" i="1"/>
  <c r="I513" i="1"/>
  <c r="J513" i="1"/>
  <c r="K513" i="1"/>
  <c r="L513" i="1"/>
  <c r="M513" i="1"/>
  <c r="N513" i="1"/>
  <c r="O513" i="1"/>
  <c r="P513" i="1"/>
  <c r="T513" i="1" s="1"/>
  <c r="Q513" i="1"/>
  <c r="R513" i="1"/>
  <c r="S513" i="1"/>
  <c r="U513" i="1" s="1"/>
  <c r="V513" i="1"/>
  <c r="I514" i="1"/>
  <c r="J514" i="1"/>
  <c r="K514" i="1"/>
  <c r="L514" i="1"/>
  <c r="M514" i="1"/>
  <c r="N514" i="1"/>
  <c r="O514" i="1"/>
  <c r="P514" i="1"/>
  <c r="T514" i="1" s="1"/>
  <c r="Q514" i="1"/>
  <c r="R514" i="1"/>
  <c r="S514" i="1"/>
  <c r="U514" i="1" s="1"/>
  <c r="V514" i="1"/>
  <c r="I515" i="1"/>
  <c r="J515" i="1"/>
  <c r="K515" i="1"/>
  <c r="L515" i="1"/>
  <c r="M515" i="1"/>
  <c r="N515" i="1"/>
  <c r="O515" i="1"/>
  <c r="P515" i="1"/>
  <c r="Q515" i="1"/>
  <c r="R515" i="1"/>
  <c r="S515" i="1"/>
  <c r="T515" i="1"/>
  <c r="U515" i="1"/>
  <c r="V515" i="1"/>
  <c r="I516" i="1"/>
  <c r="J516" i="1"/>
  <c r="K516" i="1"/>
  <c r="L516" i="1"/>
  <c r="M516" i="1"/>
  <c r="N516" i="1"/>
  <c r="O516" i="1"/>
  <c r="P516" i="1"/>
  <c r="T516" i="1" s="1"/>
  <c r="Q516" i="1"/>
  <c r="R516" i="1"/>
  <c r="S516" i="1"/>
  <c r="U516" i="1" s="1"/>
  <c r="V516" i="1"/>
  <c r="I517" i="1"/>
  <c r="J517" i="1"/>
  <c r="K517" i="1"/>
  <c r="L517" i="1"/>
  <c r="M517" i="1"/>
  <c r="N517" i="1"/>
  <c r="O517" i="1"/>
  <c r="P517" i="1"/>
  <c r="T517" i="1" s="1"/>
  <c r="Q517" i="1"/>
  <c r="R517" i="1"/>
  <c r="S517" i="1"/>
  <c r="U517" i="1" s="1"/>
  <c r="V517" i="1"/>
  <c r="I518" i="1"/>
  <c r="J518" i="1"/>
  <c r="K518" i="1"/>
  <c r="L518" i="1"/>
  <c r="M518" i="1"/>
  <c r="N518" i="1"/>
  <c r="O518" i="1"/>
  <c r="P518" i="1"/>
  <c r="Q518" i="1"/>
  <c r="R518" i="1"/>
  <c r="S518" i="1"/>
  <c r="T518" i="1"/>
  <c r="U518" i="1"/>
  <c r="V518" i="1"/>
  <c r="I519" i="1"/>
  <c r="J519" i="1"/>
  <c r="K519" i="1"/>
  <c r="L519" i="1"/>
  <c r="M519" i="1"/>
  <c r="N519" i="1"/>
  <c r="O519" i="1"/>
  <c r="P519" i="1"/>
  <c r="T519" i="1" s="1"/>
  <c r="Q519" i="1"/>
  <c r="R519" i="1"/>
  <c r="S519" i="1"/>
  <c r="U519" i="1" s="1"/>
  <c r="V519" i="1"/>
  <c r="I520" i="1"/>
  <c r="J520" i="1"/>
  <c r="K520" i="1"/>
  <c r="L520" i="1"/>
  <c r="M520" i="1"/>
  <c r="N520" i="1"/>
  <c r="O520" i="1"/>
  <c r="P520" i="1"/>
  <c r="T520" i="1" s="1"/>
  <c r="Q520" i="1"/>
  <c r="R520" i="1"/>
  <c r="S520" i="1"/>
  <c r="U520" i="1" s="1"/>
  <c r="V520" i="1"/>
  <c r="I521" i="1"/>
  <c r="J521" i="1"/>
  <c r="K521" i="1"/>
  <c r="L521" i="1"/>
  <c r="M521" i="1"/>
  <c r="N521" i="1"/>
  <c r="O521" i="1"/>
  <c r="P521" i="1"/>
  <c r="Q521" i="1"/>
  <c r="R521" i="1"/>
  <c r="S521" i="1"/>
  <c r="T521" i="1"/>
  <c r="U521" i="1"/>
  <c r="V521" i="1"/>
  <c r="I522" i="1"/>
  <c r="J522" i="1"/>
  <c r="K522" i="1"/>
  <c r="L522" i="1"/>
  <c r="M522" i="1"/>
  <c r="N522" i="1"/>
  <c r="O522" i="1"/>
  <c r="P522" i="1"/>
  <c r="T522" i="1" s="1"/>
  <c r="Q522" i="1"/>
  <c r="R522" i="1"/>
  <c r="S522" i="1"/>
  <c r="U522" i="1" s="1"/>
  <c r="V522" i="1"/>
  <c r="I523" i="1"/>
  <c r="J523" i="1"/>
  <c r="K523" i="1"/>
  <c r="L523" i="1"/>
  <c r="M523" i="1"/>
  <c r="N523" i="1"/>
  <c r="O523" i="1"/>
  <c r="P523" i="1"/>
  <c r="T523" i="1" s="1"/>
  <c r="Q523" i="1"/>
  <c r="R523" i="1"/>
  <c r="S523" i="1"/>
  <c r="U523" i="1" s="1"/>
  <c r="V523" i="1"/>
  <c r="I524" i="1"/>
  <c r="J524" i="1"/>
  <c r="K524" i="1"/>
  <c r="L524" i="1"/>
  <c r="M524" i="1"/>
  <c r="N524" i="1"/>
  <c r="O524" i="1"/>
  <c r="P524" i="1"/>
  <c r="Q524" i="1"/>
  <c r="R524" i="1"/>
  <c r="S524" i="1"/>
  <c r="T524" i="1"/>
  <c r="U524" i="1"/>
  <c r="V524" i="1"/>
  <c r="I525" i="1"/>
  <c r="J525" i="1"/>
  <c r="K525" i="1"/>
  <c r="L525" i="1"/>
  <c r="M525" i="1"/>
  <c r="N525" i="1"/>
  <c r="O525" i="1"/>
  <c r="P525" i="1"/>
  <c r="T525" i="1" s="1"/>
  <c r="Q525" i="1"/>
  <c r="R525" i="1"/>
  <c r="S525" i="1"/>
  <c r="U525" i="1" s="1"/>
  <c r="V525" i="1"/>
  <c r="I526" i="1"/>
  <c r="J526" i="1"/>
  <c r="K526" i="1"/>
  <c r="L526" i="1"/>
  <c r="M526" i="1"/>
  <c r="N526" i="1"/>
  <c r="O526" i="1"/>
  <c r="P526" i="1"/>
  <c r="T526" i="1" s="1"/>
  <c r="Q526" i="1"/>
  <c r="R526" i="1"/>
  <c r="S526" i="1"/>
  <c r="U526" i="1" s="1"/>
  <c r="V526" i="1"/>
  <c r="I527" i="1"/>
  <c r="J527" i="1"/>
  <c r="K527" i="1"/>
  <c r="L527" i="1"/>
  <c r="M527" i="1"/>
  <c r="N527" i="1"/>
  <c r="O527" i="1"/>
  <c r="P527" i="1"/>
  <c r="Q527" i="1"/>
  <c r="R527" i="1"/>
  <c r="S527" i="1"/>
  <c r="T527" i="1"/>
  <c r="U527" i="1"/>
  <c r="V527" i="1"/>
  <c r="I528" i="1"/>
  <c r="J528" i="1"/>
  <c r="K528" i="1"/>
  <c r="L528" i="1"/>
  <c r="M528" i="1"/>
  <c r="N528" i="1"/>
  <c r="O528" i="1"/>
  <c r="P528" i="1"/>
  <c r="T528" i="1" s="1"/>
  <c r="Q528" i="1"/>
  <c r="R528" i="1"/>
  <c r="S528" i="1"/>
  <c r="U528" i="1" s="1"/>
  <c r="V528" i="1"/>
  <c r="I529" i="1"/>
  <c r="J529" i="1"/>
  <c r="K529" i="1"/>
  <c r="L529" i="1"/>
  <c r="M529" i="1"/>
  <c r="N529" i="1"/>
  <c r="O529" i="1"/>
  <c r="P529" i="1"/>
  <c r="T529" i="1" s="1"/>
  <c r="Q529" i="1"/>
  <c r="R529" i="1"/>
  <c r="S529" i="1"/>
  <c r="U529" i="1" s="1"/>
  <c r="V529" i="1"/>
  <c r="I530" i="1"/>
  <c r="J530" i="1"/>
  <c r="K530" i="1"/>
  <c r="L530" i="1"/>
  <c r="M530" i="1"/>
  <c r="N530" i="1"/>
  <c r="O530" i="1"/>
  <c r="P530" i="1"/>
  <c r="Q530" i="1"/>
  <c r="R530" i="1"/>
  <c r="S530" i="1"/>
  <c r="T530" i="1"/>
  <c r="U530" i="1"/>
  <c r="V530" i="1"/>
  <c r="I531" i="1"/>
  <c r="J531" i="1"/>
  <c r="K531" i="1"/>
  <c r="L531" i="1"/>
  <c r="M531" i="1"/>
  <c r="N531" i="1"/>
  <c r="O531" i="1"/>
  <c r="P531" i="1"/>
  <c r="T531" i="1" s="1"/>
  <c r="Q531" i="1"/>
  <c r="R531" i="1"/>
  <c r="S531" i="1"/>
  <c r="U531" i="1" s="1"/>
  <c r="V531" i="1"/>
  <c r="I532" i="1"/>
  <c r="J532" i="1"/>
  <c r="K532" i="1"/>
  <c r="L532" i="1"/>
  <c r="M532" i="1"/>
  <c r="N532" i="1"/>
  <c r="O532" i="1"/>
  <c r="P532" i="1"/>
  <c r="T532" i="1" s="1"/>
  <c r="Q532" i="1"/>
  <c r="R532" i="1"/>
  <c r="S532" i="1"/>
  <c r="U532" i="1" s="1"/>
  <c r="V532" i="1"/>
  <c r="I533" i="1"/>
  <c r="J533" i="1"/>
  <c r="K533" i="1"/>
  <c r="L533" i="1"/>
  <c r="M533" i="1"/>
  <c r="N533" i="1"/>
  <c r="O533" i="1"/>
  <c r="P533" i="1"/>
  <c r="Q533" i="1"/>
  <c r="R533" i="1"/>
  <c r="S533" i="1"/>
  <c r="T533" i="1"/>
  <c r="U533" i="1"/>
  <c r="V533" i="1"/>
  <c r="I534" i="1"/>
  <c r="J534" i="1"/>
  <c r="K534" i="1"/>
  <c r="L534" i="1"/>
  <c r="M534" i="1"/>
  <c r="N534" i="1"/>
  <c r="O534" i="1"/>
  <c r="P534" i="1"/>
  <c r="T534" i="1" s="1"/>
  <c r="Q534" i="1"/>
  <c r="R534" i="1"/>
  <c r="S534" i="1"/>
  <c r="U534" i="1" s="1"/>
  <c r="V534" i="1"/>
  <c r="I535" i="1"/>
  <c r="J535" i="1"/>
  <c r="K535" i="1"/>
  <c r="L535" i="1"/>
  <c r="M535" i="1"/>
  <c r="N535" i="1"/>
  <c r="O535" i="1"/>
  <c r="P535" i="1"/>
  <c r="T535" i="1" s="1"/>
  <c r="Q535" i="1"/>
  <c r="R535" i="1"/>
  <c r="S535" i="1"/>
  <c r="U535" i="1" s="1"/>
  <c r="V535" i="1"/>
  <c r="I536" i="1"/>
  <c r="J536" i="1"/>
  <c r="K536" i="1"/>
  <c r="L536" i="1"/>
  <c r="M536" i="1"/>
  <c r="N536" i="1"/>
  <c r="O536" i="1"/>
  <c r="P536" i="1"/>
  <c r="Q536" i="1"/>
  <c r="R536" i="1"/>
  <c r="S536" i="1"/>
  <c r="T536" i="1"/>
  <c r="U536" i="1"/>
  <c r="V536" i="1"/>
  <c r="I537" i="1"/>
  <c r="J537" i="1"/>
  <c r="K537" i="1"/>
  <c r="L537" i="1"/>
  <c r="M537" i="1"/>
  <c r="N537" i="1"/>
  <c r="O537" i="1"/>
  <c r="P537" i="1"/>
  <c r="T537" i="1" s="1"/>
  <c r="Q537" i="1"/>
  <c r="R537" i="1"/>
  <c r="S537" i="1"/>
  <c r="U537" i="1" s="1"/>
  <c r="V537" i="1"/>
  <c r="I538" i="1"/>
  <c r="J538" i="1"/>
  <c r="K538" i="1"/>
  <c r="L538" i="1"/>
  <c r="M538" i="1"/>
  <c r="N538" i="1"/>
  <c r="O538" i="1"/>
  <c r="P538" i="1"/>
  <c r="T538" i="1" s="1"/>
  <c r="Q538" i="1"/>
  <c r="R538" i="1"/>
  <c r="S538" i="1"/>
  <c r="U538" i="1" s="1"/>
  <c r="V538" i="1"/>
  <c r="I539" i="1"/>
  <c r="J539" i="1"/>
  <c r="K539" i="1"/>
  <c r="L539" i="1"/>
  <c r="M539" i="1"/>
  <c r="N539" i="1"/>
  <c r="O539" i="1"/>
  <c r="P539" i="1"/>
  <c r="Q539" i="1"/>
  <c r="R539" i="1"/>
  <c r="S539" i="1"/>
  <c r="T539" i="1"/>
  <c r="U539" i="1"/>
  <c r="V539" i="1"/>
  <c r="I540" i="1"/>
  <c r="J540" i="1"/>
  <c r="K540" i="1"/>
  <c r="L540" i="1"/>
  <c r="M540" i="1"/>
  <c r="N540" i="1"/>
  <c r="O540" i="1"/>
  <c r="P540" i="1"/>
  <c r="T540" i="1" s="1"/>
  <c r="Q540" i="1"/>
  <c r="R540" i="1"/>
  <c r="S540" i="1"/>
  <c r="U540" i="1" s="1"/>
  <c r="V540" i="1"/>
  <c r="I541" i="1"/>
  <c r="J541" i="1"/>
  <c r="K541" i="1"/>
  <c r="L541" i="1"/>
  <c r="M541" i="1"/>
  <c r="N541" i="1"/>
  <c r="O541" i="1"/>
  <c r="P541" i="1"/>
  <c r="T541" i="1" s="1"/>
  <c r="Q541" i="1"/>
  <c r="R541" i="1"/>
  <c r="S541" i="1"/>
  <c r="U541" i="1" s="1"/>
  <c r="V541" i="1"/>
  <c r="I542" i="1"/>
  <c r="J542" i="1"/>
  <c r="K542" i="1"/>
  <c r="L542" i="1"/>
  <c r="M542" i="1"/>
  <c r="N542" i="1"/>
  <c r="O542" i="1"/>
  <c r="P542" i="1"/>
  <c r="Q542" i="1"/>
  <c r="R542" i="1"/>
  <c r="S542" i="1"/>
  <c r="T542" i="1"/>
  <c r="U542" i="1"/>
  <c r="V542" i="1"/>
  <c r="I543" i="1"/>
  <c r="J543" i="1"/>
  <c r="K543" i="1"/>
  <c r="L543" i="1"/>
  <c r="M543" i="1"/>
  <c r="N543" i="1"/>
  <c r="O543" i="1"/>
  <c r="P543" i="1"/>
  <c r="T543" i="1" s="1"/>
  <c r="Q543" i="1"/>
  <c r="R543" i="1"/>
  <c r="S543" i="1"/>
  <c r="U543" i="1" s="1"/>
  <c r="V543" i="1"/>
  <c r="I544" i="1"/>
  <c r="J544" i="1"/>
  <c r="K544" i="1"/>
  <c r="L544" i="1"/>
  <c r="M544" i="1"/>
  <c r="N544" i="1"/>
  <c r="O544" i="1"/>
  <c r="P544" i="1"/>
  <c r="T544" i="1" s="1"/>
  <c r="Q544" i="1"/>
  <c r="R544" i="1"/>
  <c r="S544" i="1"/>
  <c r="U544" i="1" s="1"/>
  <c r="V544" i="1"/>
  <c r="I545" i="1"/>
  <c r="J545" i="1"/>
  <c r="K545" i="1"/>
  <c r="L545" i="1"/>
  <c r="M545" i="1"/>
  <c r="N545" i="1"/>
  <c r="O545" i="1"/>
  <c r="P545" i="1"/>
  <c r="Q545" i="1"/>
  <c r="R545" i="1"/>
  <c r="S545" i="1"/>
  <c r="T545" i="1"/>
  <c r="U545" i="1"/>
  <c r="V545" i="1"/>
  <c r="I546" i="1"/>
  <c r="J546" i="1"/>
  <c r="K546" i="1"/>
  <c r="L546" i="1"/>
  <c r="M546" i="1"/>
  <c r="N546" i="1"/>
  <c r="O546" i="1"/>
  <c r="P546" i="1"/>
  <c r="T546" i="1" s="1"/>
  <c r="Q546" i="1"/>
  <c r="R546" i="1"/>
  <c r="S546" i="1"/>
  <c r="U546" i="1" s="1"/>
  <c r="V546" i="1"/>
  <c r="I547" i="1"/>
  <c r="J547" i="1"/>
  <c r="K547" i="1"/>
  <c r="L547" i="1"/>
  <c r="M547" i="1"/>
  <c r="N547" i="1"/>
  <c r="O547" i="1"/>
  <c r="P547" i="1"/>
  <c r="T547" i="1" s="1"/>
  <c r="Q547" i="1"/>
  <c r="R547" i="1"/>
  <c r="S547" i="1"/>
  <c r="U547" i="1" s="1"/>
  <c r="V547" i="1"/>
  <c r="I548" i="1"/>
  <c r="J548" i="1"/>
  <c r="K548" i="1"/>
  <c r="L548" i="1"/>
  <c r="M548" i="1"/>
  <c r="N548" i="1"/>
  <c r="O548" i="1"/>
  <c r="P548" i="1"/>
  <c r="Q548" i="1"/>
  <c r="R548" i="1"/>
  <c r="S548" i="1"/>
  <c r="T548" i="1"/>
  <c r="U548" i="1"/>
  <c r="V548" i="1"/>
  <c r="I549" i="1"/>
  <c r="J549" i="1"/>
  <c r="K549" i="1"/>
  <c r="L549" i="1"/>
  <c r="M549" i="1"/>
  <c r="N549" i="1"/>
  <c r="O549" i="1"/>
  <c r="P549" i="1"/>
  <c r="T549" i="1" s="1"/>
  <c r="Q549" i="1"/>
  <c r="R549" i="1"/>
  <c r="S549" i="1"/>
  <c r="U549" i="1" s="1"/>
  <c r="V549" i="1"/>
  <c r="I550" i="1"/>
  <c r="J550" i="1"/>
  <c r="K550" i="1"/>
  <c r="L550" i="1"/>
  <c r="M550" i="1"/>
  <c r="N550" i="1"/>
  <c r="O550" i="1"/>
  <c r="P550" i="1"/>
  <c r="T550" i="1" s="1"/>
  <c r="Q550" i="1"/>
  <c r="R550" i="1"/>
  <c r="S550" i="1"/>
  <c r="U550" i="1" s="1"/>
  <c r="V550" i="1"/>
  <c r="I551" i="1"/>
  <c r="J551" i="1"/>
  <c r="K551" i="1"/>
  <c r="L551" i="1"/>
  <c r="M551" i="1"/>
  <c r="N551" i="1"/>
  <c r="O551" i="1"/>
  <c r="P551" i="1"/>
  <c r="Q551" i="1"/>
  <c r="R551" i="1"/>
  <c r="S551" i="1"/>
  <c r="T551" i="1"/>
  <c r="U551" i="1"/>
  <c r="V551" i="1"/>
  <c r="I552" i="1"/>
  <c r="J552" i="1"/>
  <c r="K552" i="1"/>
  <c r="L552" i="1"/>
  <c r="M552" i="1"/>
  <c r="N552" i="1"/>
  <c r="O552" i="1"/>
  <c r="P552" i="1"/>
  <c r="T552" i="1" s="1"/>
  <c r="Q552" i="1"/>
  <c r="R552" i="1"/>
  <c r="S552" i="1"/>
  <c r="U552" i="1" s="1"/>
  <c r="V552" i="1"/>
  <c r="I553" i="1"/>
  <c r="J553" i="1"/>
  <c r="K553" i="1"/>
  <c r="L553" i="1"/>
  <c r="M553" i="1"/>
  <c r="N553" i="1"/>
  <c r="O553" i="1"/>
  <c r="P553" i="1"/>
  <c r="T553" i="1" s="1"/>
  <c r="Q553" i="1"/>
  <c r="R553" i="1"/>
  <c r="S553" i="1"/>
  <c r="U553" i="1" s="1"/>
  <c r="V553" i="1"/>
  <c r="I554" i="1"/>
  <c r="J554" i="1"/>
  <c r="K554" i="1"/>
  <c r="L554" i="1"/>
  <c r="M554" i="1"/>
  <c r="N554" i="1"/>
  <c r="O554" i="1"/>
  <c r="P554" i="1"/>
  <c r="Q554" i="1"/>
  <c r="R554" i="1"/>
  <c r="S554" i="1"/>
  <c r="T554" i="1"/>
  <c r="U554" i="1"/>
  <c r="V554" i="1"/>
  <c r="I555" i="1"/>
  <c r="J555" i="1"/>
  <c r="K555" i="1"/>
  <c r="L555" i="1"/>
  <c r="M555" i="1"/>
  <c r="N555" i="1"/>
  <c r="O555" i="1"/>
  <c r="P555" i="1"/>
  <c r="T555" i="1" s="1"/>
  <c r="Q555" i="1"/>
  <c r="R555" i="1"/>
  <c r="S555" i="1"/>
  <c r="U555" i="1" s="1"/>
  <c r="V555" i="1"/>
  <c r="I556" i="1"/>
  <c r="J556" i="1"/>
  <c r="K556" i="1"/>
  <c r="L556" i="1"/>
  <c r="M556" i="1"/>
  <c r="N556" i="1"/>
  <c r="O556" i="1"/>
  <c r="P556" i="1"/>
  <c r="T556" i="1" s="1"/>
  <c r="Q556" i="1"/>
  <c r="R556" i="1"/>
  <c r="S556" i="1"/>
  <c r="U556" i="1" s="1"/>
  <c r="V556" i="1"/>
  <c r="I557" i="1"/>
  <c r="J557" i="1"/>
  <c r="K557" i="1"/>
  <c r="L557" i="1"/>
  <c r="M557" i="1"/>
  <c r="N557" i="1"/>
  <c r="O557" i="1"/>
  <c r="P557" i="1"/>
  <c r="Q557" i="1"/>
  <c r="R557" i="1"/>
  <c r="S557" i="1"/>
  <c r="T557" i="1"/>
  <c r="U557" i="1"/>
  <c r="V557" i="1"/>
  <c r="I558" i="1"/>
  <c r="J558" i="1"/>
  <c r="K558" i="1"/>
  <c r="L558" i="1"/>
  <c r="M558" i="1"/>
  <c r="N558" i="1"/>
  <c r="O558" i="1"/>
  <c r="P558" i="1"/>
  <c r="T558" i="1" s="1"/>
  <c r="Q558" i="1"/>
  <c r="R558" i="1"/>
  <c r="S558" i="1"/>
  <c r="U558" i="1" s="1"/>
  <c r="V558" i="1"/>
  <c r="I559" i="1"/>
  <c r="J559" i="1"/>
  <c r="K559" i="1"/>
  <c r="L559" i="1"/>
  <c r="M559" i="1"/>
  <c r="N559" i="1"/>
  <c r="O559" i="1"/>
  <c r="P559" i="1"/>
  <c r="T559" i="1" s="1"/>
  <c r="Q559" i="1"/>
  <c r="R559" i="1"/>
  <c r="S559" i="1"/>
  <c r="U559" i="1" s="1"/>
  <c r="V559" i="1"/>
  <c r="I560" i="1"/>
  <c r="J560" i="1"/>
  <c r="K560" i="1"/>
  <c r="L560" i="1"/>
  <c r="M560" i="1"/>
  <c r="N560" i="1"/>
  <c r="O560" i="1"/>
  <c r="P560" i="1"/>
  <c r="Q560" i="1"/>
  <c r="R560" i="1"/>
  <c r="S560" i="1"/>
  <c r="T560" i="1"/>
  <c r="U560" i="1"/>
  <c r="V560" i="1"/>
  <c r="I561" i="1"/>
  <c r="J561" i="1"/>
  <c r="K561" i="1"/>
  <c r="L561" i="1"/>
  <c r="M561" i="1"/>
  <c r="N561" i="1"/>
  <c r="O561" i="1"/>
  <c r="P561" i="1"/>
  <c r="T561" i="1" s="1"/>
  <c r="Q561" i="1"/>
  <c r="R561" i="1"/>
  <c r="S561" i="1"/>
  <c r="U561" i="1" s="1"/>
  <c r="V561" i="1"/>
  <c r="I562" i="1"/>
  <c r="J562" i="1"/>
  <c r="K562" i="1"/>
  <c r="L562" i="1"/>
  <c r="M562" i="1"/>
  <c r="N562" i="1"/>
  <c r="O562" i="1"/>
  <c r="P562" i="1"/>
  <c r="T562" i="1" s="1"/>
  <c r="Q562" i="1"/>
  <c r="R562" i="1"/>
  <c r="S562" i="1"/>
  <c r="U562" i="1" s="1"/>
  <c r="V562" i="1"/>
  <c r="I563" i="1"/>
  <c r="J563" i="1"/>
  <c r="K563" i="1"/>
  <c r="L563" i="1"/>
  <c r="M563" i="1"/>
  <c r="N563" i="1"/>
  <c r="O563" i="1"/>
  <c r="P563" i="1"/>
  <c r="Q563" i="1"/>
  <c r="R563" i="1"/>
  <c r="S563" i="1"/>
  <c r="T563" i="1"/>
  <c r="U563" i="1"/>
  <c r="V563" i="1"/>
  <c r="I564" i="1"/>
  <c r="J564" i="1"/>
  <c r="K564" i="1"/>
  <c r="L564" i="1"/>
  <c r="M564" i="1"/>
  <c r="N564" i="1"/>
  <c r="O564" i="1"/>
  <c r="P564" i="1"/>
  <c r="T564" i="1" s="1"/>
  <c r="Q564" i="1"/>
  <c r="R564" i="1"/>
  <c r="S564" i="1"/>
  <c r="U564" i="1" s="1"/>
  <c r="V564" i="1"/>
  <c r="I565" i="1"/>
  <c r="J565" i="1"/>
  <c r="K565" i="1"/>
  <c r="L565" i="1"/>
  <c r="M565" i="1"/>
  <c r="N565" i="1"/>
  <c r="O565" i="1"/>
  <c r="P565" i="1"/>
  <c r="T565" i="1" s="1"/>
  <c r="Q565" i="1"/>
  <c r="R565" i="1"/>
  <c r="S565" i="1"/>
  <c r="U565" i="1" s="1"/>
  <c r="V565" i="1"/>
  <c r="I566" i="1"/>
  <c r="J566" i="1"/>
  <c r="K566" i="1"/>
  <c r="L566" i="1"/>
  <c r="M566" i="1"/>
  <c r="N566" i="1"/>
  <c r="O566" i="1"/>
  <c r="P566" i="1"/>
  <c r="Q566" i="1"/>
  <c r="R566" i="1"/>
  <c r="S566" i="1"/>
  <c r="T566" i="1"/>
  <c r="U566" i="1"/>
  <c r="V566" i="1"/>
  <c r="I567" i="1"/>
  <c r="J567" i="1"/>
  <c r="K567" i="1"/>
  <c r="L567" i="1"/>
  <c r="M567" i="1"/>
  <c r="N567" i="1"/>
  <c r="O567" i="1"/>
  <c r="P567" i="1"/>
  <c r="T567" i="1" s="1"/>
  <c r="Q567" i="1"/>
  <c r="R567" i="1"/>
  <c r="S567" i="1"/>
  <c r="U567" i="1" s="1"/>
  <c r="V567" i="1"/>
  <c r="I568" i="1"/>
  <c r="J568" i="1"/>
  <c r="K568" i="1"/>
  <c r="L568" i="1"/>
  <c r="M568" i="1"/>
  <c r="N568" i="1"/>
  <c r="O568" i="1"/>
  <c r="P568" i="1"/>
  <c r="T568" i="1" s="1"/>
  <c r="Q568" i="1"/>
  <c r="R568" i="1"/>
  <c r="S568" i="1"/>
  <c r="U568" i="1" s="1"/>
  <c r="V568" i="1"/>
  <c r="I569" i="1"/>
  <c r="J569" i="1"/>
  <c r="K569" i="1"/>
  <c r="L569" i="1"/>
  <c r="M569" i="1"/>
  <c r="N569" i="1"/>
  <c r="O569" i="1"/>
  <c r="P569" i="1"/>
  <c r="Q569" i="1"/>
  <c r="R569" i="1"/>
  <c r="S569" i="1"/>
  <c r="T569" i="1"/>
  <c r="U569" i="1"/>
  <c r="V569" i="1"/>
  <c r="I570" i="1"/>
  <c r="J570" i="1"/>
  <c r="K570" i="1"/>
  <c r="L570" i="1"/>
  <c r="M570" i="1"/>
  <c r="N570" i="1"/>
  <c r="O570" i="1"/>
  <c r="P570" i="1"/>
  <c r="T570" i="1" s="1"/>
  <c r="Q570" i="1"/>
  <c r="R570" i="1"/>
  <c r="S570" i="1"/>
  <c r="U570" i="1" s="1"/>
  <c r="V570" i="1"/>
  <c r="I571" i="1"/>
  <c r="J571" i="1"/>
  <c r="K571" i="1"/>
  <c r="L571" i="1"/>
  <c r="M571" i="1"/>
  <c r="N571" i="1"/>
  <c r="O571" i="1"/>
  <c r="P571" i="1"/>
  <c r="T571" i="1" s="1"/>
  <c r="Q571" i="1"/>
  <c r="R571" i="1"/>
  <c r="S571" i="1"/>
  <c r="U571" i="1" s="1"/>
  <c r="V571" i="1"/>
  <c r="I572" i="1"/>
  <c r="J572" i="1"/>
  <c r="K572" i="1"/>
  <c r="L572" i="1"/>
  <c r="M572" i="1"/>
  <c r="N572" i="1"/>
  <c r="O572" i="1"/>
  <c r="P572" i="1"/>
  <c r="Q572" i="1"/>
  <c r="R572" i="1"/>
  <c r="S572" i="1"/>
  <c r="T572" i="1"/>
  <c r="U572" i="1"/>
  <c r="V572" i="1"/>
  <c r="I573" i="1"/>
  <c r="J573" i="1"/>
  <c r="K573" i="1"/>
  <c r="L573" i="1"/>
  <c r="M573" i="1"/>
  <c r="N573" i="1"/>
  <c r="O573" i="1"/>
  <c r="P573" i="1"/>
  <c r="T573" i="1" s="1"/>
  <c r="Q573" i="1"/>
  <c r="R573" i="1"/>
  <c r="S573" i="1"/>
  <c r="U573" i="1" s="1"/>
  <c r="V573" i="1"/>
  <c r="I574" i="1"/>
  <c r="J574" i="1"/>
  <c r="K574" i="1"/>
  <c r="L574" i="1"/>
  <c r="M574" i="1"/>
  <c r="N574" i="1"/>
  <c r="O574" i="1"/>
  <c r="P574" i="1"/>
  <c r="T574" i="1" s="1"/>
  <c r="Q574" i="1"/>
  <c r="R574" i="1"/>
  <c r="S574" i="1"/>
  <c r="U574" i="1" s="1"/>
  <c r="V574" i="1"/>
  <c r="I575" i="1"/>
  <c r="J575" i="1"/>
  <c r="K575" i="1"/>
  <c r="L575" i="1"/>
  <c r="M575" i="1"/>
  <c r="N575" i="1"/>
  <c r="O575" i="1"/>
  <c r="P575" i="1"/>
  <c r="Q575" i="1"/>
  <c r="R575" i="1"/>
  <c r="S575" i="1"/>
  <c r="T575" i="1"/>
  <c r="U575" i="1"/>
  <c r="V575" i="1"/>
  <c r="I576" i="1"/>
  <c r="J576" i="1"/>
  <c r="K576" i="1"/>
  <c r="L576" i="1"/>
  <c r="M576" i="1"/>
  <c r="N576" i="1"/>
  <c r="O576" i="1"/>
  <c r="P576" i="1"/>
  <c r="T576" i="1" s="1"/>
  <c r="Q576" i="1"/>
  <c r="R576" i="1"/>
  <c r="S576" i="1"/>
  <c r="U576" i="1" s="1"/>
  <c r="V576" i="1"/>
  <c r="I577" i="1"/>
  <c r="J577" i="1"/>
  <c r="K577" i="1"/>
  <c r="L577" i="1"/>
  <c r="M577" i="1"/>
  <c r="N577" i="1"/>
  <c r="O577" i="1"/>
  <c r="P577" i="1"/>
  <c r="T577" i="1" s="1"/>
  <c r="Q577" i="1"/>
  <c r="R577" i="1"/>
  <c r="S577" i="1"/>
  <c r="U577" i="1" s="1"/>
  <c r="V577" i="1"/>
  <c r="I578" i="1"/>
  <c r="J578" i="1"/>
  <c r="K578" i="1"/>
  <c r="L578" i="1"/>
  <c r="M578" i="1"/>
  <c r="N578" i="1"/>
  <c r="O578" i="1"/>
  <c r="P578" i="1"/>
  <c r="Q578" i="1"/>
  <c r="R578" i="1"/>
  <c r="S578" i="1"/>
  <c r="T578" i="1"/>
  <c r="U578" i="1"/>
  <c r="V578" i="1"/>
  <c r="I579" i="1"/>
  <c r="J579" i="1"/>
  <c r="K579" i="1"/>
  <c r="L579" i="1"/>
  <c r="M579" i="1"/>
  <c r="N579" i="1"/>
  <c r="O579" i="1"/>
  <c r="P579" i="1"/>
  <c r="T579" i="1" s="1"/>
  <c r="Q579" i="1"/>
  <c r="R579" i="1"/>
  <c r="S579" i="1"/>
  <c r="U579" i="1" s="1"/>
  <c r="V579" i="1"/>
  <c r="I580" i="1"/>
  <c r="J580" i="1"/>
  <c r="K580" i="1"/>
  <c r="L580" i="1"/>
  <c r="M580" i="1"/>
  <c r="N580" i="1"/>
  <c r="O580" i="1"/>
  <c r="P580" i="1"/>
  <c r="T580" i="1" s="1"/>
  <c r="Q580" i="1"/>
  <c r="R580" i="1"/>
  <c r="S580" i="1"/>
  <c r="U580" i="1" s="1"/>
  <c r="V580" i="1"/>
  <c r="I581" i="1"/>
  <c r="J581" i="1"/>
  <c r="K581" i="1"/>
  <c r="L581" i="1"/>
  <c r="M581" i="1"/>
  <c r="N581" i="1"/>
  <c r="O581" i="1"/>
  <c r="P581" i="1"/>
  <c r="Q581" i="1"/>
  <c r="R581" i="1"/>
  <c r="S581" i="1"/>
  <c r="T581" i="1"/>
  <c r="U581" i="1"/>
  <c r="V581" i="1"/>
  <c r="I582" i="1"/>
  <c r="J582" i="1"/>
  <c r="K582" i="1"/>
  <c r="L582" i="1"/>
  <c r="M582" i="1"/>
  <c r="N582" i="1"/>
  <c r="O582" i="1"/>
  <c r="P582" i="1"/>
  <c r="T582" i="1" s="1"/>
  <c r="Q582" i="1"/>
  <c r="R582" i="1"/>
  <c r="S582" i="1"/>
  <c r="U582" i="1" s="1"/>
  <c r="V582" i="1"/>
  <c r="I583" i="1"/>
  <c r="J583" i="1"/>
  <c r="K583" i="1"/>
  <c r="L583" i="1"/>
  <c r="M583" i="1"/>
  <c r="N583" i="1"/>
  <c r="O583" i="1"/>
  <c r="P583" i="1"/>
  <c r="T583" i="1" s="1"/>
  <c r="Q583" i="1"/>
  <c r="R583" i="1"/>
  <c r="S583" i="1"/>
  <c r="U583" i="1" s="1"/>
  <c r="V583" i="1"/>
  <c r="I584" i="1"/>
  <c r="J584" i="1"/>
  <c r="K584" i="1"/>
  <c r="L584" i="1"/>
  <c r="M584" i="1"/>
  <c r="N584" i="1"/>
  <c r="O584" i="1"/>
  <c r="P584" i="1"/>
  <c r="Q584" i="1"/>
  <c r="R584" i="1"/>
  <c r="S584" i="1"/>
  <c r="T584" i="1"/>
  <c r="U584" i="1"/>
  <c r="V584" i="1"/>
  <c r="I585" i="1"/>
  <c r="J585" i="1"/>
  <c r="K585" i="1"/>
  <c r="L585" i="1"/>
  <c r="M585" i="1"/>
  <c r="N585" i="1"/>
  <c r="O585" i="1"/>
  <c r="P585" i="1"/>
  <c r="T585" i="1" s="1"/>
  <c r="Q585" i="1"/>
  <c r="R585" i="1"/>
  <c r="S585" i="1"/>
  <c r="U585" i="1" s="1"/>
  <c r="V585" i="1"/>
  <c r="I586" i="1"/>
  <c r="J586" i="1"/>
  <c r="K586" i="1"/>
  <c r="L586" i="1"/>
  <c r="M586" i="1"/>
  <c r="N586" i="1"/>
  <c r="O586" i="1"/>
  <c r="P586" i="1"/>
  <c r="T586" i="1" s="1"/>
  <c r="Q586" i="1"/>
  <c r="R586" i="1"/>
  <c r="S586" i="1"/>
  <c r="U586" i="1" s="1"/>
  <c r="V586" i="1"/>
  <c r="I587" i="1"/>
  <c r="J587" i="1"/>
  <c r="K587" i="1"/>
  <c r="L587" i="1"/>
  <c r="M587" i="1"/>
  <c r="N587" i="1"/>
  <c r="O587" i="1"/>
  <c r="P587" i="1"/>
  <c r="Q587" i="1"/>
  <c r="R587" i="1"/>
  <c r="S587" i="1"/>
  <c r="T587" i="1"/>
  <c r="U587" i="1"/>
  <c r="V587" i="1"/>
  <c r="I588" i="1"/>
  <c r="J588" i="1"/>
  <c r="K588" i="1"/>
  <c r="L588" i="1"/>
  <c r="M588" i="1"/>
  <c r="N588" i="1"/>
  <c r="O588" i="1"/>
  <c r="P588" i="1"/>
  <c r="T588" i="1" s="1"/>
  <c r="Q588" i="1"/>
  <c r="R588" i="1"/>
  <c r="S588" i="1"/>
  <c r="U588" i="1" s="1"/>
  <c r="V588" i="1"/>
  <c r="I589" i="1"/>
  <c r="J589" i="1"/>
  <c r="K589" i="1"/>
  <c r="L589" i="1"/>
  <c r="M589" i="1"/>
  <c r="N589" i="1"/>
  <c r="O589" i="1"/>
  <c r="P589" i="1"/>
  <c r="T589" i="1" s="1"/>
  <c r="Q589" i="1"/>
  <c r="R589" i="1"/>
  <c r="S589" i="1"/>
  <c r="U589" i="1" s="1"/>
  <c r="V589" i="1"/>
  <c r="I590" i="1"/>
  <c r="J590" i="1"/>
  <c r="K590" i="1"/>
  <c r="L590" i="1"/>
  <c r="M590" i="1"/>
  <c r="N590" i="1"/>
  <c r="O590" i="1"/>
  <c r="P590" i="1"/>
  <c r="Q590" i="1"/>
  <c r="R590" i="1"/>
  <c r="S590" i="1"/>
  <c r="T590" i="1"/>
  <c r="U590" i="1"/>
  <c r="V590" i="1"/>
  <c r="I591" i="1"/>
  <c r="J591" i="1"/>
  <c r="K591" i="1"/>
  <c r="L591" i="1"/>
  <c r="M591" i="1"/>
  <c r="N591" i="1"/>
  <c r="O591" i="1"/>
  <c r="P591" i="1"/>
  <c r="T591" i="1" s="1"/>
  <c r="Q591" i="1"/>
  <c r="R591" i="1"/>
  <c r="S591" i="1"/>
  <c r="U591" i="1" s="1"/>
  <c r="V591" i="1"/>
  <c r="I592" i="1"/>
  <c r="J592" i="1"/>
  <c r="V592" i="1" s="1"/>
  <c r="K592" i="1"/>
  <c r="L592" i="1"/>
  <c r="M592" i="1"/>
  <c r="N592" i="1"/>
  <c r="O592" i="1"/>
  <c r="P592" i="1"/>
  <c r="T592" i="1" s="1"/>
  <c r="Q592" i="1"/>
  <c r="R592" i="1"/>
  <c r="S592" i="1"/>
  <c r="U592" i="1" s="1"/>
  <c r="I593" i="1"/>
  <c r="J593" i="1"/>
  <c r="K593" i="1"/>
  <c r="L593" i="1"/>
  <c r="M593" i="1"/>
  <c r="N593" i="1"/>
  <c r="O593" i="1"/>
  <c r="P593" i="1"/>
  <c r="Q593" i="1"/>
  <c r="R593" i="1"/>
  <c r="S593" i="1"/>
  <c r="T593" i="1"/>
  <c r="U593" i="1"/>
  <c r="V593" i="1"/>
  <c r="I594" i="1"/>
  <c r="J594" i="1"/>
  <c r="K594" i="1"/>
  <c r="L594" i="1"/>
  <c r="M594" i="1"/>
  <c r="N594" i="1"/>
  <c r="O594" i="1"/>
  <c r="P594" i="1"/>
  <c r="T594" i="1" s="1"/>
  <c r="Q594" i="1"/>
  <c r="R594" i="1"/>
  <c r="S594" i="1"/>
  <c r="U594" i="1" s="1"/>
  <c r="V594" i="1"/>
  <c r="I595" i="1"/>
  <c r="J595" i="1"/>
  <c r="K595" i="1"/>
  <c r="L595" i="1"/>
  <c r="M595" i="1"/>
  <c r="N595" i="1"/>
  <c r="O595" i="1"/>
  <c r="P595" i="1"/>
  <c r="T595" i="1" s="1"/>
  <c r="Q595" i="1"/>
  <c r="R595" i="1"/>
  <c r="S595" i="1"/>
  <c r="U595" i="1" s="1"/>
  <c r="V595" i="1"/>
  <c r="I596" i="1"/>
  <c r="J596" i="1"/>
  <c r="K596" i="1"/>
  <c r="L596" i="1"/>
  <c r="M596" i="1"/>
  <c r="N596" i="1"/>
  <c r="O596" i="1"/>
  <c r="P596" i="1"/>
  <c r="Q596" i="1"/>
  <c r="R596" i="1"/>
  <c r="S596" i="1"/>
  <c r="T596" i="1"/>
  <c r="U596" i="1"/>
  <c r="V596" i="1"/>
  <c r="I597" i="1"/>
  <c r="J597" i="1"/>
  <c r="K597" i="1"/>
  <c r="L597" i="1"/>
  <c r="M597" i="1"/>
  <c r="N597" i="1"/>
  <c r="O597" i="1"/>
  <c r="P597" i="1"/>
  <c r="T597" i="1" s="1"/>
  <c r="Q597" i="1"/>
  <c r="R597" i="1"/>
  <c r="S597" i="1"/>
  <c r="U597" i="1" s="1"/>
  <c r="V597" i="1"/>
  <c r="I598" i="1"/>
  <c r="J598" i="1"/>
  <c r="V598" i="1" s="1"/>
  <c r="K598" i="1"/>
  <c r="L598" i="1"/>
  <c r="M598" i="1"/>
  <c r="N598" i="1"/>
  <c r="O598" i="1"/>
  <c r="P598" i="1"/>
  <c r="T598" i="1" s="1"/>
  <c r="Q598" i="1"/>
  <c r="R598" i="1"/>
  <c r="S598" i="1"/>
  <c r="U598" i="1" s="1"/>
  <c r="I599" i="1"/>
  <c r="J599" i="1"/>
  <c r="K599" i="1"/>
  <c r="L599" i="1"/>
  <c r="M599" i="1"/>
  <c r="N599" i="1"/>
  <c r="O599" i="1"/>
  <c r="P599" i="1"/>
  <c r="Q599" i="1"/>
  <c r="R599" i="1"/>
  <c r="S599" i="1"/>
  <c r="T599" i="1"/>
  <c r="U599" i="1"/>
  <c r="V599" i="1"/>
  <c r="I600" i="1"/>
  <c r="J600" i="1"/>
  <c r="K600" i="1"/>
  <c r="L600" i="1"/>
  <c r="M600" i="1"/>
  <c r="N600" i="1"/>
  <c r="O600" i="1"/>
  <c r="P600" i="1"/>
  <c r="T600" i="1" s="1"/>
  <c r="Q600" i="1"/>
  <c r="R600" i="1"/>
  <c r="S600" i="1"/>
  <c r="U600" i="1" s="1"/>
  <c r="V600" i="1"/>
  <c r="I601" i="1"/>
  <c r="J601" i="1"/>
  <c r="V601" i="1" s="1"/>
  <c r="K601" i="1"/>
  <c r="L601" i="1"/>
  <c r="M601" i="1"/>
  <c r="N601" i="1"/>
  <c r="O601" i="1"/>
  <c r="P601" i="1"/>
  <c r="T601" i="1" s="1"/>
  <c r="Q601" i="1"/>
  <c r="R601" i="1"/>
  <c r="S601" i="1"/>
  <c r="U601" i="1" s="1"/>
  <c r="I602" i="1"/>
  <c r="J602" i="1"/>
  <c r="K602" i="1"/>
  <c r="L602" i="1"/>
  <c r="M602" i="1"/>
  <c r="N602" i="1"/>
  <c r="O602" i="1"/>
  <c r="P602" i="1"/>
  <c r="Q602" i="1"/>
  <c r="R602" i="1"/>
  <c r="S602" i="1"/>
  <c r="T602" i="1"/>
  <c r="U602" i="1"/>
  <c r="V602" i="1"/>
  <c r="I603" i="1"/>
  <c r="J603" i="1"/>
  <c r="K603" i="1"/>
  <c r="L603" i="1"/>
  <c r="M603" i="1"/>
  <c r="N603" i="1"/>
  <c r="O603" i="1"/>
  <c r="P603" i="1"/>
  <c r="T603" i="1" s="1"/>
  <c r="Q603" i="1"/>
  <c r="R603" i="1"/>
  <c r="S603" i="1"/>
  <c r="U603" i="1" s="1"/>
  <c r="V603" i="1"/>
  <c r="I604" i="1"/>
  <c r="J604" i="1"/>
  <c r="K604" i="1"/>
  <c r="L604" i="1"/>
  <c r="M604" i="1"/>
  <c r="N604" i="1"/>
  <c r="O604" i="1"/>
  <c r="P604" i="1"/>
  <c r="T604" i="1" s="1"/>
  <c r="Q604" i="1"/>
  <c r="R604" i="1"/>
  <c r="S604" i="1"/>
  <c r="U604" i="1" s="1"/>
  <c r="V604" i="1"/>
  <c r="I605" i="1"/>
  <c r="J605" i="1"/>
  <c r="K605" i="1"/>
  <c r="L605" i="1"/>
  <c r="M605" i="1"/>
  <c r="N605" i="1"/>
  <c r="O605" i="1"/>
  <c r="P605" i="1"/>
  <c r="Q605" i="1"/>
  <c r="R605" i="1"/>
  <c r="S605" i="1"/>
  <c r="T605" i="1"/>
  <c r="U605" i="1"/>
  <c r="V605" i="1"/>
  <c r="I606" i="1"/>
  <c r="J606" i="1"/>
  <c r="K606" i="1"/>
  <c r="L606" i="1"/>
  <c r="M606" i="1"/>
  <c r="N606" i="1"/>
  <c r="O606" i="1"/>
  <c r="P606" i="1"/>
  <c r="T606" i="1" s="1"/>
  <c r="Q606" i="1"/>
  <c r="R606" i="1"/>
  <c r="S606" i="1"/>
  <c r="U606" i="1" s="1"/>
  <c r="V606" i="1"/>
  <c r="I607" i="1"/>
  <c r="J607" i="1"/>
  <c r="V607" i="1" s="1"/>
  <c r="K607" i="1"/>
  <c r="L607" i="1"/>
  <c r="M607" i="1"/>
  <c r="N607" i="1"/>
  <c r="O607" i="1"/>
  <c r="P607" i="1"/>
  <c r="T607" i="1" s="1"/>
  <c r="Q607" i="1"/>
  <c r="R607" i="1"/>
  <c r="S607" i="1"/>
  <c r="U607" i="1" s="1"/>
  <c r="I608" i="1"/>
  <c r="J608" i="1"/>
  <c r="K608" i="1"/>
  <c r="L608" i="1"/>
  <c r="M608" i="1"/>
  <c r="N608" i="1"/>
  <c r="O608" i="1"/>
  <c r="P608" i="1"/>
  <c r="Q608" i="1"/>
  <c r="R608" i="1"/>
  <c r="S608" i="1"/>
  <c r="T608" i="1"/>
  <c r="U608" i="1"/>
  <c r="V608" i="1"/>
  <c r="I609" i="1"/>
  <c r="J609" i="1"/>
  <c r="K609" i="1"/>
  <c r="L609" i="1"/>
  <c r="M609" i="1"/>
  <c r="N609" i="1"/>
  <c r="O609" i="1"/>
  <c r="P609" i="1"/>
  <c r="T609" i="1" s="1"/>
  <c r="Q609" i="1"/>
  <c r="R609" i="1"/>
  <c r="S609" i="1"/>
  <c r="U609" i="1" s="1"/>
  <c r="V609" i="1"/>
  <c r="I610" i="1"/>
  <c r="J610" i="1"/>
  <c r="K610" i="1"/>
  <c r="L610" i="1"/>
  <c r="M610" i="1"/>
  <c r="N610" i="1"/>
  <c r="O610" i="1"/>
  <c r="P610" i="1"/>
  <c r="T610" i="1" s="1"/>
  <c r="Q610" i="1"/>
  <c r="R610" i="1"/>
  <c r="S610" i="1"/>
  <c r="U610" i="1" s="1"/>
  <c r="V610" i="1"/>
  <c r="I611" i="1"/>
  <c r="J611" i="1"/>
  <c r="K611" i="1"/>
  <c r="L611" i="1"/>
  <c r="M611" i="1"/>
  <c r="N611" i="1"/>
  <c r="O611" i="1"/>
  <c r="P611" i="1"/>
  <c r="Q611" i="1"/>
  <c r="R611" i="1"/>
  <c r="S611" i="1"/>
  <c r="T611" i="1"/>
  <c r="U611" i="1"/>
  <c r="V611" i="1"/>
  <c r="I612" i="1"/>
  <c r="J612" i="1"/>
  <c r="K612" i="1"/>
  <c r="L612" i="1"/>
  <c r="M612" i="1"/>
  <c r="N612" i="1"/>
  <c r="O612" i="1"/>
  <c r="P612" i="1"/>
  <c r="T612" i="1" s="1"/>
  <c r="Q612" i="1"/>
  <c r="R612" i="1"/>
  <c r="S612" i="1"/>
  <c r="U612" i="1" s="1"/>
  <c r="V612" i="1"/>
  <c r="I613" i="1"/>
  <c r="J613" i="1"/>
  <c r="V613" i="1" s="1"/>
  <c r="K613" i="1"/>
  <c r="L613" i="1"/>
  <c r="M613" i="1"/>
  <c r="N613" i="1"/>
  <c r="O613" i="1"/>
  <c r="P613" i="1"/>
  <c r="T613" i="1" s="1"/>
  <c r="Q613" i="1"/>
  <c r="R613" i="1"/>
  <c r="S613" i="1"/>
  <c r="U613" i="1" s="1"/>
  <c r="I614" i="1"/>
  <c r="J614" i="1"/>
  <c r="K614" i="1"/>
  <c r="L614" i="1"/>
  <c r="M614" i="1"/>
  <c r="N614" i="1"/>
  <c r="O614" i="1"/>
  <c r="P614" i="1"/>
  <c r="Q614" i="1"/>
  <c r="R614" i="1"/>
  <c r="S614" i="1"/>
  <c r="T614" i="1"/>
  <c r="U614" i="1"/>
  <c r="V614" i="1"/>
  <c r="I615" i="1"/>
  <c r="J615" i="1"/>
  <c r="K615" i="1"/>
  <c r="L615" i="1"/>
  <c r="M615" i="1"/>
  <c r="N615" i="1"/>
  <c r="O615" i="1"/>
  <c r="P615" i="1"/>
  <c r="T615" i="1" s="1"/>
  <c r="Q615" i="1"/>
  <c r="R615" i="1"/>
  <c r="S615" i="1"/>
  <c r="U615" i="1" s="1"/>
  <c r="V615" i="1"/>
  <c r="I616" i="1"/>
  <c r="J616" i="1"/>
  <c r="V616" i="1" s="1"/>
  <c r="K616" i="1"/>
  <c r="L616" i="1"/>
  <c r="M616" i="1"/>
  <c r="N616" i="1"/>
  <c r="O616" i="1"/>
  <c r="P616" i="1"/>
  <c r="T616" i="1" s="1"/>
  <c r="Q616" i="1"/>
  <c r="R616" i="1"/>
  <c r="S616" i="1"/>
  <c r="U616" i="1" s="1"/>
  <c r="I617" i="1"/>
  <c r="J617" i="1"/>
  <c r="K617" i="1"/>
  <c r="L617" i="1"/>
  <c r="M617" i="1"/>
  <c r="N617" i="1"/>
  <c r="O617" i="1"/>
  <c r="P617" i="1"/>
  <c r="Q617" i="1"/>
  <c r="R617" i="1"/>
  <c r="S617" i="1"/>
  <c r="T617" i="1"/>
  <c r="U617" i="1"/>
  <c r="V617" i="1"/>
  <c r="I618" i="1"/>
  <c r="J618" i="1"/>
  <c r="K618" i="1"/>
  <c r="L618" i="1"/>
  <c r="M618" i="1"/>
  <c r="N618" i="1"/>
  <c r="O618" i="1"/>
  <c r="P618" i="1"/>
  <c r="T618" i="1" s="1"/>
  <c r="Q618" i="1"/>
  <c r="R618" i="1"/>
  <c r="S618" i="1"/>
  <c r="U618" i="1" s="1"/>
  <c r="V618" i="1"/>
  <c r="I619" i="1"/>
  <c r="J619" i="1"/>
  <c r="K619" i="1"/>
  <c r="L619" i="1"/>
  <c r="M619" i="1"/>
  <c r="N619" i="1"/>
  <c r="O619" i="1"/>
  <c r="P619" i="1"/>
  <c r="T619" i="1" s="1"/>
  <c r="Q619" i="1"/>
  <c r="R619" i="1"/>
  <c r="S619" i="1"/>
  <c r="U619" i="1" s="1"/>
  <c r="V619" i="1"/>
  <c r="I620" i="1"/>
  <c r="J620" i="1"/>
  <c r="K620" i="1"/>
  <c r="L620" i="1"/>
  <c r="M620" i="1"/>
  <c r="N620" i="1"/>
  <c r="O620" i="1"/>
  <c r="P620" i="1"/>
  <c r="Q620" i="1"/>
  <c r="R620" i="1"/>
  <c r="S620" i="1"/>
  <c r="T620" i="1"/>
  <c r="U620" i="1"/>
  <c r="V620" i="1"/>
  <c r="I621" i="1"/>
  <c r="J621" i="1"/>
  <c r="K621" i="1"/>
  <c r="L621" i="1"/>
  <c r="M621" i="1"/>
  <c r="N621" i="1"/>
  <c r="O621" i="1"/>
  <c r="P621" i="1"/>
  <c r="T621" i="1" s="1"/>
  <c r="Q621" i="1"/>
  <c r="R621" i="1"/>
  <c r="S621" i="1"/>
  <c r="U621" i="1" s="1"/>
  <c r="V621" i="1"/>
  <c r="I622" i="1"/>
  <c r="J622" i="1"/>
  <c r="K622" i="1"/>
  <c r="L622" i="1"/>
  <c r="M622" i="1"/>
  <c r="N622" i="1"/>
  <c r="O622" i="1"/>
  <c r="P622" i="1"/>
  <c r="T622" i="1" s="1"/>
  <c r="Q622" i="1"/>
  <c r="R622" i="1"/>
  <c r="S622" i="1"/>
  <c r="U622" i="1" s="1"/>
  <c r="V622" i="1"/>
  <c r="I623" i="1"/>
  <c r="J623" i="1"/>
  <c r="K623" i="1"/>
  <c r="L623" i="1"/>
  <c r="M623" i="1"/>
  <c r="N623" i="1"/>
  <c r="O623" i="1"/>
  <c r="P623" i="1"/>
  <c r="Q623" i="1"/>
  <c r="R623" i="1"/>
  <c r="S623" i="1"/>
  <c r="T623" i="1"/>
  <c r="U623" i="1"/>
  <c r="V623" i="1"/>
  <c r="I624" i="1"/>
  <c r="J624" i="1"/>
  <c r="K624" i="1"/>
  <c r="L624" i="1"/>
  <c r="M624" i="1"/>
  <c r="N624" i="1"/>
  <c r="O624" i="1"/>
  <c r="P624" i="1"/>
  <c r="T624" i="1" s="1"/>
  <c r="Q624" i="1"/>
  <c r="R624" i="1"/>
  <c r="S624" i="1"/>
  <c r="U624" i="1" s="1"/>
  <c r="V624" i="1"/>
  <c r="I625" i="1"/>
  <c r="J625" i="1"/>
  <c r="V625" i="1" s="1"/>
  <c r="K625" i="1"/>
  <c r="L625" i="1"/>
  <c r="M625" i="1"/>
  <c r="N625" i="1"/>
  <c r="O625" i="1"/>
  <c r="P625" i="1"/>
  <c r="T625" i="1" s="1"/>
  <c r="Q625" i="1"/>
  <c r="R625" i="1"/>
  <c r="S625" i="1"/>
  <c r="U625" i="1" s="1"/>
  <c r="I626" i="1"/>
  <c r="J626" i="1"/>
  <c r="K626" i="1"/>
  <c r="L626" i="1"/>
  <c r="M626" i="1"/>
  <c r="N626" i="1"/>
  <c r="O626" i="1"/>
  <c r="P626" i="1"/>
  <c r="Q626" i="1"/>
  <c r="R626" i="1"/>
  <c r="S626" i="1"/>
  <c r="T626" i="1"/>
  <c r="U626" i="1"/>
  <c r="V626" i="1"/>
  <c r="I627" i="1"/>
  <c r="J627" i="1"/>
  <c r="K627" i="1"/>
  <c r="L627" i="1"/>
  <c r="M627" i="1"/>
  <c r="N627" i="1"/>
  <c r="O627" i="1"/>
  <c r="P627" i="1"/>
  <c r="T627" i="1" s="1"/>
  <c r="Q627" i="1"/>
  <c r="R627" i="1"/>
  <c r="S627" i="1"/>
  <c r="U627" i="1" s="1"/>
  <c r="V627" i="1"/>
  <c r="I628" i="1"/>
  <c r="J628" i="1"/>
  <c r="K628" i="1"/>
  <c r="L628" i="1"/>
  <c r="M628" i="1"/>
  <c r="N628" i="1"/>
  <c r="O628" i="1"/>
  <c r="P628" i="1"/>
  <c r="T628" i="1" s="1"/>
  <c r="Q628" i="1"/>
  <c r="R628" i="1"/>
  <c r="S628" i="1"/>
  <c r="U628" i="1" s="1"/>
  <c r="V628" i="1"/>
  <c r="I629" i="1"/>
  <c r="J629" i="1"/>
  <c r="K629" i="1"/>
  <c r="L629" i="1"/>
  <c r="M629" i="1"/>
  <c r="N629" i="1"/>
  <c r="O629" i="1"/>
  <c r="P629" i="1"/>
  <c r="Q629" i="1"/>
  <c r="R629" i="1"/>
  <c r="S629" i="1"/>
  <c r="T629" i="1"/>
  <c r="U629" i="1"/>
  <c r="V629" i="1"/>
  <c r="I630" i="1"/>
  <c r="J630" i="1"/>
  <c r="K630" i="1"/>
  <c r="L630" i="1"/>
  <c r="M630" i="1"/>
  <c r="N630" i="1"/>
  <c r="O630" i="1"/>
  <c r="P630" i="1"/>
  <c r="T630" i="1" s="1"/>
  <c r="Q630" i="1"/>
  <c r="R630" i="1"/>
  <c r="S630" i="1"/>
  <c r="U630" i="1" s="1"/>
  <c r="V630" i="1"/>
  <c r="I631" i="1"/>
  <c r="J631" i="1"/>
  <c r="K631" i="1"/>
  <c r="L631" i="1"/>
  <c r="M631" i="1"/>
  <c r="N631" i="1"/>
  <c r="O631" i="1"/>
  <c r="P631" i="1"/>
  <c r="T631" i="1" s="1"/>
  <c r="Q631" i="1"/>
  <c r="R631" i="1"/>
  <c r="S631" i="1"/>
  <c r="U631" i="1" s="1"/>
  <c r="V631" i="1"/>
  <c r="I632" i="1"/>
  <c r="J632" i="1"/>
  <c r="K632" i="1"/>
  <c r="L632" i="1"/>
  <c r="M632" i="1"/>
  <c r="N632" i="1"/>
  <c r="O632" i="1"/>
  <c r="P632" i="1"/>
  <c r="Q632" i="1"/>
  <c r="R632" i="1"/>
  <c r="S632" i="1"/>
  <c r="T632" i="1"/>
  <c r="U632" i="1"/>
  <c r="V632" i="1"/>
  <c r="I633" i="1"/>
  <c r="J633" i="1"/>
  <c r="K633" i="1"/>
  <c r="L633" i="1"/>
  <c r="M633" i="1"/>
  <c r="N633" i="1"/>
  <c r="O633" i="1"/>
  <c r="P633" i="1"/>
  <c r="T633" i="1" s="1"/>
  <c r="Q633" i="1"/>
  <c r="R633" i="1"/>
  <c r="S633" i="1"/>
  <c r="U633" i="1" s="1"/>
  <c r="V633" i="1"/>
  <c r="I634" i="1"/>
  <c r="J634" i="1"/>
  <c r="K634" i="1"/>
  <c r="L634" i="1"/>
  <c r="M634" i="1"/>
  <c r="N634" i="1"/>
  <c r="O634" i="1"/>
  <c r="P634" i="1"/>
  <c r="T634" i="1" s="1"/>
  <c r="Q634" i="1"/>
  <c r="R634" i="1"/>
  <c r="S634" i="1"/>
  <c r="U634" i="1" s="1"/>
  <c r="V634" i="1"/>
  <c r="I635" i="1"/>
  <c r="J635" i="1"/>
  <c r="K635" i="1"/>
  <c r="L635" i="1"/>
  <c r="M635" i="1"/>
  <c r="N635" i="1"/>
  <c r="O635" i="1"/>
  <c r="P635" i="1"/>
  <c r="Q635" i="1"/>
  <c r="R635" i="1"/>
  <c r="S635" i="1"/>
  <c r="T635" i="1"/>
  <c r="U635" i="1"/>
  <c r="V635" i="1"/>
  <c r="I636" i="1"/>
  <c r="J636" i="1"/>
  <c r="K636" i="1"/>
  <c r="L636" i="1"/>
  <c r="M636" i="1"/>
  <c r="N636" i="1"/>
  <c r="O636" i="1"/>
  <c r="P636" i="1"/>
  <c r="T636" i="1" s="1"/>
  <c r="Q636" i="1"/>
  <c r="R636" i="1"/>
  <c r="S636" i="1"/>
  <c r="U636" i="1" s="1"/>
  <c r="V636" i="1"/>
  <c r="I637" i="1"/>
  <c r="J637" i="1"/>
  <c r="V637" i="1" s="1"/>
  <c r="K637" i="1"/>
  <c r="L637" i="1"/>
  <c r="M637" i="1"/>
  <c r="N637" i="1"/>
  <c r="O637" i="1"/>
  <c r="P637" i="1"/>
  <c r="T637" i="1" s="1"/>
  <c r="Q637" i="1"/>
  <c r="R637" i="1"/>
  <c r="S637" i="1"/>
  <c r="U637" i="1" s="1"/>
  <c r="I638" i="1"/>
  <c r="J638" i="1"/>
  <c r="K638" i="1"/>
  <c r="L638" i="1"/>
  <c r="M638" i="1"/>
  <c r="N638" i="1"/>
  <c r="O638" i="1"/>
  <c r="P638" i="1"/>
  <c r="Q638" i="1"/>
  <c r="R638" i="1"/>
  <c r="S638" i="1"/>
  <c r="T638" i="1"/>
  <c r="U638" i="1"/>
  <c r="V638" i="1"/>
  <c r="I639" i="1"/>
  <c r="J639" i="1"/>
  <c r="K639" i="1"/>
  <c r="L639" i="1"/>
  <c r="M639" i="1"/>
  <c r="N639" i="1"/>
  <c r="O639" i="1"/>
  <c r="P639" i="1"/>
  <c r="T639" i="1" s="1"/>
  <c r="Q639" i="1"/>
  <c r="R639" i="1"/>
  <c r="S639" i="1"/>
  <c r="U639" i="1" s="1"/>
  <c r="V639" i="1"/>
  <c r="I640" i="1"/>
  <c r="J640" i="1"/>
  <c r="K640" i="1"/>
  <c r="L640" i="1"/>
  <c r="M640" i="1"/>
  <c r="N640" i="1"/>
  <c r="O640" i="1"/>
  <c r="P640" i="1"/>
  <c r="T640" i="1" s="1"/>
  <c r="Q640" i="1"/>
  <c r="R640" i="1"/>
  <c r="S640" i="1"/>
  <c r="U640" i="1" s="1"/>
  <c r="V640" i="1"/>
  <c r="I641" i="1"/>
  <c r="J641" i="1"/>
  <c r="K641" i="1"/>
  <c r="L641" i="1"/>
  <c r="M641" i="1"/>
  <c r="N641" i="1"/>
  <c r="O641" i="1"/>
  <c r="P641" i="1"/>
  <c r="Q641" i="1"/>
  <c r="R641" i="1"/>
  <c r="S641" i="1"/>
  <c r="T641" i="1"/>
  <c r="U641" i="1"/>
  <c r="V641" i="1"/>
  <c r="I642" i="1"/>
  <c r="J642" i="1"/>
  <c r="K642" i="1"/>
  <c r="L642" i="1"/>
  <c r="M642" i="1"/>
  <c r="N642" i="1"/>
  <c r="O642" i="1"/>
  <c r="P642" i="1"/>
  <c r="T642" i="1" s="1"/>
  <c r="Q642" i="1"/>
  <c r="R642" i="1"/>
  <c r="S642" i="1"/>
  <c r="U642" i="1" s="1"/>
  <c r="V642" i="1"/>
  <c r="I643" i="1"/>
  <c r="J643" i="1"/>
  <c r="K643" i="1"/>
  <c r="L643" i="1"/>
  <c r="M643" i="1"/>
  <c r="N643" i="1"/>
  <c r="O643" i="1"/>
  <c r="P643" i="1"/>
  <c r="T643" i="1" s="1"/>
  <c r="Q643" i="1"/>
  <c r="R643" i="1"/>
  <c r="S643" i="1"/>
  <c r="U643" i="1" s="1"/>
  <c r="V643" i="1"/>
  <c r="I644" i="1"/>
  <c r="J644" i="1"/>
  <c r="K644" i="1"/>
  <c r="L644" i="1"/>
  <c r="M644" i="1"/>
  <c r="N644" i="1"/>
  <c r="O644" i="1"/>
  <c r="P644" i="1"/>
  <c r="Q644" i="1"/>
  <c r="R644" i="1"/>
  <c r="S644" i="1"/>
  <c r="T644" i="1"/>
  <c r="U644" i="1"/>
  <c r="V644" i="1"/>
  <c r="I645" i="1"/>
  <c r="J645" i="1"/>
  <c r="K645" i="1"/>
  <c r="L645" i="1"/>
  <c r="M645" i="1"/>
  <c r="N645" i="1"/>
  <c r="O645" i="1"/>
  <c r="P645" i="1"/>
  <c r="T645" i="1" s="1"/>
  <c r="Q645" i="1"/>
  <c r="R645" i="1"/>
  <c r="S645" i="1"/>
  <c r="U645" i="1" s="1"/>
  <c r="V645" i="1"/>
  <c r="I646" i="1"/>
  <c r="J646" i="1"/>
  <c r="V646" i="1" s="1"/>
  <c r="K646" i="1"/>
  <c r="L646" i="1"/>
  <c r="M646" i="1"/>
  <c r="N646" i="1"/>
  <c r="O646" i="1"/>
  <c r="P646" i="1"/>
  <c r="T646" i="1" s="1"/>
  <c r="Q646" i="1"/>
  <c r="R646" i="1"/>
  <c r="S646" i="1"/>
  <c r="U646" i="1" s="1"/>
  <c r="I647" i="1"/>
  <c r="J647" i="1"/>
  <c r="K647" i="1"/>
  <c r="L647" i="1"/>
  <c r="M647" i="1"/>
  <c r="N647" i="1"/>
  <c r="O647" i="1"/>
  <c r="P647" i="1"/>
  <c r="Q647" i="1"/>
  <c r="R647" i="1"/>
  <c r="S647" i="1"/>
  <c r="T647" i="1"/>
  <c r="U647" i="1"/>
  <c r="V647" i="1"/>
  <c r="I648" i="1"/>
  <c r="J648" i="1"/>
  <c r="K648" i="1"/>
  <c r="L648" i="1"/>
  <c r="M648" i="1"/>
  <c r="N648" i="1"/>
  <c r="O648" i="1"/>
  <c r="P648" i="1"/>
  <c r="T648" i="1" s="1"/>
  <c r="Q648" i="1"/>
  <c r="R648" i="1"/>
  <c r="S648" i="1"/>
  <c r="U648" i="1" s="1"/>
  <c r="V648" i="1"/>
  <c r="I649" i="1"/>
  <c r="J649" i="1"/>
  <c r="K649" i="1"/>
  <c r="L649" i="1"/>
  <c r="M649" i="1"/>
  <c r="N649" i="1"/>
  <c r="O649" i="1"/>
  <c r="P649" i="1"/>
  <c r="T649" i="1" s="1"/>
  <c r="Q649" i="1"/>
  <c r="R649" i="1"/>
  <c r="S649" i="1"/>
  <c r="U649" i="1" s="1"/>
  <c r="V649" i="1"/>
  <c r="I650" i="1"/>
  <c r="J650" i="1"/>
  <c r="K650" i="1"/>
  <c r="L650" i="1"/>
  <c r="M650" i="1"/>
  <c r="N650" i="1"/>
  <c r="O650" i="1"/>
  <c r="P650" i="1"/>
  <c r="Q650" i="1"/>
  <c r="R650" i="1"/>
  <c r="S650" i="1"/>
  <c r="T650" i="1"/>
  <c r="U650" i="1"/>
  <c r="V650" i="1"/>
  <c r="I651" i="1"/>
  <c r="J651" i="1"/>
  <c r="K651" i="1"/>
  <c r="L651" i="1"/>
  <c r="M651" i="1"/>
  <c r="N651" i="1"/>
  <c r="O651" i="1"/>
  <c r="P651" i="1"/>
  <c r="T651" i="1" s="1"/>
  <c r="Q651" i="1"/>
  <c r="R651" i="1"/>
  <c r="S651" i="1"/>
  <c r="U651" i="1" s="1"/>
  <c r="V651" i="1"/>
  <c r="I652" i="1"/>
  <c r="J652" i="1"/>
  <c r="K652" i="1"/>
  <c r="L652" i="1"/>
  <c r="M652" i="1"/>
  <c r="N652" i="1"/>
  <c r="O652" i="1"/>
  <c r="P652" i="1"/>
  <c r="T652" i="1" s="1"/>
  <c r="Q652" i="1"/>
  <c r="R652" i="1"/>
  <c r="S652" i="1"/>
  <c r="U652" i="1" s="1"/>
  <c r="V652" i="1"/>
  <c r="I653" i="1"/>
  <c r="J653" i="1"/>
  <c r="K653" i="1"/>
  <c r="L653" i="1"/>
  <c r="M653" i="1"/>
  <c r="N653" i="1"/>
  <c r="O653" i="1"/>
  <c r="P653" i="1"/>
  <c r="Q653" i="1"/>
  <c r="R653" i="1"/>
  <c r="S653" i="1"/>
  <c r="T653" i="1"/>
  <c r="U653" i="1"/>
  <c r="V653" i="1"/>
  <c r="I654" i="1"/>
  <c r="J654" i="1"/>
  <c r="K654" i="1"/>
  <c r="L654" i="1"/>
  <c r="M654" i="1"/>
  <c r="N654" i="1"/>
  <c r="O654" i="1"/>
  <c r="P654" i="1"/>
  <c r="T654" i="1" s="1"/>
  <c r="Q654" i="1"/>
  <c r="R654" i="1"/>
  <c r="S654" i="1"/>
  <c r="U654" i="1" s="1"/>
  <c r="V654" i="1"/>
  <c r="I655" i="1"/>
  <c r="J655" i="1"/>
  <c r="V655" i="1" s="1"/>
  <c r="K655" i="1"/>
  <c r="L655" i="1"/>
  <c r="M655" i="1"/>
  <c r="N655" i="1"/>
  <c r="O655" i="1"/>
  <c r="P655" i="1"/>
  <c r="T655" i="1" s="1"/>
  <c r="Q655" i="1"/>
  <c r="R655" i="1"/>
  <c r="S655" i="1"/>
  <c r="U655" i="1" s="1"/>
  <c r="I656" i="1"/>
  <c r="J656" i="1"/>
  <c r="K656" i="1"/>
  <c r="L656" i="1"/>
  <c r="M656" i="1"/>
  <c r="N656" i="1"/>
  <c r="O656" i="1"/>
  <c r="P656" i="1"/>
  <c r="Q656" i="1"/>
  <c r="R656" i="1"/>
  <c r="S656" i="1"/>
  <c r="T656" i="1"/>
  <c r="U656" i="1"/>
  <c r="V656" i="1"/>
  <c r="I657" i="1"/>
  <c r="J657" i="1"/>
  <c r="K657" i="1"/>
  <c r="L657" i="1"/>
  <c r="M657" i="1"/>
  <c r="N657" i="1"/>
  <c r="O657" i="1"/>
  <c r="P657" i="1"/>
  <c r="T657" i="1" s="1"/>
  <c r="Q657" i="1"/>
  <c r="R657" i="1"/>
  <c r="S657" i="1"/>
  <c r="U657" i="1" s="1"/>
  <c r="V657" i="1"/>
  <c r="I658" i="1"/>
  <c r="J658" i="1"/>
  <c r="K658" i="1"/>
  <c r="L658" i="1"/>
  <c r="M658" i="1"/>
  <c r="N658" i="1"/>
  <c r="O658" i="1"/>
  <c r="P658" i="1"/>
  <c r="T658" i="1" s="1"/>
  <c r="Q658" i="1"/>
  <c r="R658" i="1"/>
  <c r="S658" i="1"/>
  <c r="U658" i="1" s="1"/>
  <c r="V658" i="1"/>
  <c r="I659" i="1"/>
  <c r="J659" i="1"/>
  <c r="K659" i="1"/>
  <c r="L659" i="1"/>
  <c r="M659" i="1"/>
  <c r="N659" i="1"/>
  <c r="O659" i="1"/>
  <c r="P659" i="1"/>
  <c r="Q659" i="1"/>
  <c r="R659" i="1"/>
  <c r="S659" i="1"/>
  <c r="T659" i="1"/>
  <c r="U659" i="1"/>
  <c r="V659" i="1"/>
  <c r="I660" i="1"/>
  <c r="J660" i="1"/>
  <c r="K660" i="1"/>
  <c r="L660" i="1"/>
  <c r="M660" i="1"/>
  <c r="N660" i="1"/>
  <c r="O660" i="1"/>
  <c r="P660" i="1"/>
  <c r="T660" i="1" s="1"/>
  <c r="Q660" i="1"/>
  <c r="R660" i="1"/>
  <c r="S660" i="1"/>
  <c r="U660" i="1" s="1"/>
  <c r="V660" i="1"/>
  <c r="I661" i="1"/>
  <c r="J661" i="1"/>
  <c r="K661" i="1"/>
  <c r="L661" i="1"/>
  <c r="M661" i="1"/>
  <c r="N661" i="1"/>
  <c r="O661" i="1"/>
  <c r="P661" i="1"/>
  <c r="T661" i="1" s="1"/>
  <c r="Q661" i="1"/>
  <c r="R661" i="1"/>
  <c r="S661" i="1"/>
  <c r="U661" i="1" s="1"/>
  <c r="V661" i="1"/>
  <c r="I662" i="1"/>
  <c r="J662" i="1"/>
  <c r="K662" i="1"/>
  <c r="L662" i="1"/>
  <c r="M662" i="1"/>
  <c r="N662" i="1"/>
  <c r="O662" i="1"/>
  <c r="P662" i="1"/>
  <c r="Q662" i="1"/>
  <c r="R662" i="1"/>
  <c r="S662" i="1"/>
  <c r="T662" i="1"/>
  <c r="U662" i="1"/>
  <c r="V662" i="1"/>
  <c r="I663" i="1"/>
  <c r="J663" i="1"/>
  <c r="K663" i="1"/>
  <c r="L663" i="1"/>
  <c r="M663" i="1"/>
  <c r="N663" i="1"/>
  <c r="O663" i="1"/>
  <c r="P663" i="1"/>
  <c r="T663" i="1" s="1"/>
  <c r="Q663" i="1"/>
  <c r="R663" i="1"/>
  <c r="S663" i="1"/>
  <c r="U663" i="1" s="1"/>
  <c r="V663" i="1"/>
  <c r="I664" i="1"/>
  <c r="J664" i="1"/>
  <c r="K664" i="1"/>
  <c r="L664" i="1"/>
  <c r="M664" i="1"/>
  <c r="N664" i="1"/>
  <c r="O664" i="1"/>
  <c r="P664" i="1"/>
  <c r="T664" i="1" s="1"/>
  <c r="Q664" i="1"/>
  <c r="R664" i="1"/>
  <c r="S664" i="1"/>
  <c r="U664" i="1" s="1"/>
  <c r="V664" i="1"/>
  <c r="I665" i="1"/>
  <c r="J665" i="1"/>
  <c r="K665" i="1"/>
  <c r="L665" i="1"/>
  <c r="M665" i="1"/>
  <c r="N665" i="1"/>
  <c r="O665" i="1"/>
  <c r="P665" i="1"/>
  <c r="Q665" i="1"/>
  <c r="R665" i="1"/>
  <c r="S665" i="1"/>
  <c r="T665" i="1"/>
  <c r="U665" i="1"/>
  <c r="V665" i="1"/>
  <c r="I666" i="1"/>
  <c r="J666" i="1"/>
  <c r="K666" i="1"/>
  <c r="L666" i="1"/>
  <c r="M666" i="1"/>
  <c r="N666" i="1"/>
  <c r="O666" i="1"/>
  <c r="P666" i="1"/>
  <c r="T666" i="1" s="1"/>
  <c r="Q666" i="1"/>
  <c r="R666" i="1"/>
  <c r="S666" i="1"/>
  <c r="U666" i="1" s="1"/>
  <c r="V666" i="1"/>
  <c r="I667" i="1"/>
  <c r="J667" i="1"/>
  <c r="K667" i="1"/>
  <c r="L667" i="1"/>
  <c r="M667" i="1"/>
  <c r="N667" i="1"/>
  <c r="O667" i="1"/>
  <c r="P667" i="1"/>
  <c r="T667" i="1" s="1"/>
  <c r="Q667" i="1"/>
  <c r="R667" i="1"/>
  <c r="S667" i="1"/>
  <c r="U667" i="1" s="1"/>
  <c r="V667" i="1"/>
  <c r="I668" i="1"/>
  <c r="J668" i="1"/>
  <c r="K668" i="1"/>
  <c r="L668" i="1"/>
  <c r="M668" i="1"/>
  <c r="N668" i="1"/>
  <c r="O668" i="1"/>
  <c r="P668" i="1"/>
  <c r="Q668" i="1"/>
  <c r="R668" i="1"/>
  <c r="S668" i="1"/>
  <c r="T668" i="1"/>
  <c r="U668" i="1"/>
  <c r="V668" i="1"/>
  <c r="I669" i="1"/>
  <c r="J669" i="1"/>
  <c r="K669" i="1"/>
  <c r="L669" i="1"/>
  <c r="M669" i="1"/>
  <c r="N669" i="1"/>
  <c r="O669" i="1"/>
  <c r="P669" i="1"/>
  <c r="T669" i="1" s="1"/>
  <c r="Q669" i="1"/>
  <c r="R669" i="1"/>
  <c r="S669" i="1"/>
  <c r="U669" i="1" s="1"/>
  <c r="V669" i="1"/>
  <c r="I670" i="1"/>
  <c r="J670" i="1"/>
  <c r="K670" i="1"/>
  <c r="L670" i="1"/>
  <c r="M670" i="1"/>
  <c r="N670" i="1"/>
  <c r="O670" i="1"/>
  <c r="P670" i="1"/>
  <c r="T670" i="1" s="1"/>
  <c r="Q670" i="1"/>
  <c r="R670" i="1"/>
  <c r="S670" i="1"/>
  <c r="U670" i="1" s="1"/>
  <c r="V670" i="1"/>
  <c r="I671" i="1"/>
  <c r="J671" i="1"/>
  <c r="K671" i="1"/>
  <c r="L671" i="1"/>
  <c r="M671" i="1"/>
  <c r="N671" i="1"/>
  <c r="O671" i="1"/>
  <c r="P671" i="1"/>
  <c r="Q671" i="1"/>
  <c r="R671" i="1"/>
  <c r="S671" i="1"/>
  <c r="T671" i="1"/>
  <c r="U671" i="1"/>
  <c r="V671" i="1"/>
  <c r="I672" i="1"/>
  <c r="J672" i="1"/>
  <c r="K672" i="1"/>
  <c r="L672" i="1"/>
  <c r="M672" i="1"/>
  <c r="N672" i="1"/>
  <c r="O672" i="1"/>
  <c r="P672" i="1"/>
  <c r="T672" i="1" s="1"/>
  <c r="Q672" i="1"/>
  <c r="R672" i="1"/>
  <c r="S672" i="1"/>
  <c r="U672" i="1" s="1"/>
  <c r="V672" i="1"/>
  <c r="I673" i="1"/>
  <c r="J673" i="1"/>
  <c r="K673" i="1"/>
  <c r="L673" i="1"/>
  <c r="M673" i="1"/>
  <c r="N673" i="1"/>
  <c r="O673" i="1"/>
  <c r="P673" i="1"/>
  <c r="T673" i="1" s="1"/>
  <c r="Q673" i="1"/>
  <c r="R673" i="1"/>
  <c r="S673" i="1"/>
  <c r="U673" i="1" s="1"/>
  <c r="V673" i="1"/>
  <c r="I674" i="1"/>
  <c r="J674" i="1"/>
  <c r="K674" i="1"/>
  <c r="L674" i="1"/>
  <c r="M674" i="1"/>
  <c r="N674" i="1"/>
  <c r="O674" i="1"/>
  <c r="P674" i="1"/>
  <c r="Q674" i="1"/>
  <c r="R674" i="1"/>
  <c r="S674" i="1"/>
  <c r="T674" i="1"/>
  <c r="U674" i="1"/>
  <c r="V674" i="1"/>
  <c r="I675" i="1"/>
  <c r="J675" i="1"/>
  <c r="K675" i="1"/>
  <c r="L675" i="1"/>
  <c r="M675" i="1"/>
  <c r="N675" i="1"/>
  <c r="O675" i="1"/>
  <c r="P675" i="1"/>
  <c r="T675" i="1" s="1"/>
  <c r="Q675" i="1"/>
  <c r="R675" i="1"/>
  <c r="S675" i="1"/>
  <c r="U675" i="1" s="1"/>
  <c r="V675" i="1"/>
  <c r="I676" i="1"/>
  <c r="J676" i="1"/>
  <c r="K676" i="1"/>
  <c r="L676" i="1"/>
  <c r="M676" i="1"/>
  <c r="N676" i="1"/>
  <c r="O676" i="1"/>
  <c r="P676" i="1"/>
  <c r="T676" i="1" s="1"/>
  <c r="Q676" i="1"/>
  <c r="R676" i="1"/>
  <c r="S676" i="1"/>
  <c r="U676" i="1" s="1"/>
  <c r="V676" i="1"/>
  <c r="I677" i="1"/>
  <c r="J677" i="1"/>
  <c r="K677" i="1"/>
  <c r="L677" i="1"/>
  <c r="M677" i="1"/>
  <c r="N677" i="1"/>
  <c r="O677" i="1"/>
  <c r="P677" i="1"/>
  <c r="Q677" i="1"/>
  <c r="R677" i="1"/>
  <c r="S677" i="1"/>
  <c r="T677" i="1"/>
  <c r="U677" i="1"/>
  <c r="V677" i="1"/>
  <c r="I678" i="1"/>
  <c r="J678" i="1"/>
  <c r="K678" i="1"/>
  <c r="L678" i="1"/>
  <c r="M678" i="1"/>
  <c r="N678" i="1"/>
  <c r="O678" i="1"/>
  <c r="P678" i="1"/>
  <c r="T678" i="1" s="1"/>
  <c r="Q678" i="1"/>
  <c r="R678" i="1"/>
  <c r="S678" i="1"/>
  <c r="U678" i="1" s="1"/>
  <c r="V678" i="1"/>
  <c r="I679" i="1"/>
  <c r="J679" i="1"/>
  <c r="K679" i="1"/>
  <c r="L679" i="1"/>
  <c r="M679" i="1"/>
  <c r="N679" i="1"/>
  <c r="O679" i="1"/>
  <c r="P679" i="1"/>
  <c r="T679" i="1" s="1"/>
  <c r="Q679" i="1"/>
  <c r="R679" i="1"/>
  <c r="S679" i="1"/>
  <c r="U679" i="1" s="1"/>
  <c r="V679" i="1"/>
  <c r="I680" i="1"/>
  <c r="J680" i="1"/>
  <c r="K680" i="1"/>
  <c r="L680" i="1"/>
  <c r="M680" i="1"/>
  <c r="N680" i="1"/>
  <c r="O680" i="1"/>
  <c r="P680" i="1"/>
  <c r="Q680" i="1"/>
  <c r="R680" i="1"/>
  <c r="S680" i="1"/>
  <c r="T680" i="1"/>
  <c r="U680" i="1"/>
  <c r="V680" i="1"/>
  <c r="I681" i="1"/>
  <c r="J681" i="1"/>
  <c r="K681" i="1"/>
  <c r="L681" i="1"/>
  <c r="M681" i="1"/>
  <c r="N681" i="1"/>
  <c r="O681" i="1"/>
  <c r="P681" i="1"/>
  <c r="T681" i="1" s="1"/>
  <c r="Q681" i="1"/>
  <c r="R681" i="1"/>
  <c r="S681" i="1"/>
  <c r="U681" i="1" s="1"/>
  <c r="V681" i="1"/>
  <c r="I682" i="1"/>
  <c r="J682" i="1"/>
  <c r="K682" i="1"/>
  <c r="L682" i="1"/>
  <c r="M682" i="1"/>
  <c r="N682" i="1"/>
  <c r="O682" i="1"/>
  <c r="P682" i="1"/>
  <c r="T682" i="1" s="1"/>
  <c r="Q682" i="1"/>
  <c r="R682" i="1"/>
  <c r="S682" i="1"/>
  <c r="U682" i="1" s="1"/>
  <c r="V682" i="1"/>
  <c r="I683" i="1"/>
  <c r="J683" i="1"/>
  <c r="K683" i="1"/>
  <c r="L683" i="1"/>
  <c r="M683" i="1"/>
  <c r="N683" i="1"/>
  <c r="O683" i="1"/>
  <c r="P683" i="1"/>
  <c r="Q683" i="1"/>
  <c r="R683" i="1"/>
  <c r="S683" i="1"/>
  <c r="T683" i="1"/>
  <c r="U683" i="1"/>
  <c r="V683" i="1"/>
  <c r="I684" i="1"/>
  <c r="J684" i="1"/>
  <c r="K684" i="1"/>
  <c r="L684" i="1"/>
  <c r="M684" i="1"/>
  <c r="N684" i="1"/>
  <c r="O684" i="1"/>
  <c r="P684" i="1"/>
  <c r="T684" i="1" s="1"/>
  <c r="Q684" i="1"/>
  <c r="R684" i="1"/>
  <c r="S684" i="1"/>
  <c r="U684" i="1" s="1"/>
  <c r="V684" i="1"/>
  <c r="I685" i="1"/>
  <c r="J685" i="1"/>
  <c r="K685" i="1"/>
  <c r="L685" i="1"/>
  <c r="M685" i="1"/>
  <c r="N685" i="1"/>
  <c r="O685" i="1"/>
  <c r="P685" i="1"/>
  <c r="T685" i="1" s="1"/>
  <c r="Q685" i="1"/>
  <c r="R685" i="1"/>
  <c r="S685" i="1"/>
  <c r="U685" i="1" s="1"/>
  <c r="V685" i="1"/>
  <c r="I686" i="1"/>
  <c r="J686" i="1"/>
  <c r="K686" i="1"/>
  <c r="L686" i="1"/>
  <c r="M686" i="1"/>
  <c r="N686" i="1"/>
  <c r="O686" i="1"/>
  <c r="P686" i="1"/>
  <c r="Q686" i="1"/>
  <c r="R686" i="1"/>
  <c r="S686" i="1"/>
  <c r="T686" i="1"/>
  <c r="U686" i="1"/>
  <c r="V686" i="1"/>
  <c r="I687" i="1"/>
  <c r="J687" i="1"/>
  <c r="K687" i="1"/>
  <c r="L687" i="1"/>
  <c r="M687" i="1"/>
  <c r="N687" i="1"/>
  <c r="O687" i="1"/>
  <c r="P687" i="1"/>
  <c r="T687" i="1" s="1"/>
  <c r="Q687" i="1"/>
  <c r="R687" i="1"/>
  <c r="S687" i="1"/>
  <c r="U687" i="1" s="1"/>
  <c r="V687" i="1"/>
  <c r="I688" i="1"/>
  <c r="J688" i="1"/>
  <c r="K688" i="1"/>
  <c r="L688" i="1"/>
  <c r="M688" i="1"/>
  <c r="N688" i="1"/>
  <c r="O688" i="1"/>
  <c r="P688" i="1"/>
  <c r="T688" i="1" s="1"/>
  <c r="Q688" i="1"/>
  <c r="R688" i="1"/>
  <c r="S688" i="1"/>
  <c r="U688" i="1" s="1"/>
  <c r="V688" i="1"/>
  <c r="I689" i="1"/>
  <c r="J689" i="1"/>
  <c r="K689" i="1"/>
  <c r="L689" i="1"/>
  <c r="M689" i="1"/>
  <c r="N689" i="1"/>
  <c r="O689" i="1"/>
  <c r="P689" i="1"/>
  <c r="Q689" i="1"/>
  <c r="R689" i="1"/>
  <c r="S689" i="1"/>
  <c r="T689" i="1"/>
  <c r="U689" i="1"/>
  <c r="V689" i="1"/>
  <c r="I690" i="1"/>
  <c r="J690" i="1"/>
  <c r="K690" i="1"/>
  <c r="L690" i="1"/>
  <c r="M690" i="1"/>
  <c r="N690" i="1"/>
  <c r="O690" i="1"/>
  <c r="P690" i="1"/>
  <c r="T690" i="1" s="1"/>
  <c r="Q690" i="1"/>
  <c r="R690" i="1"/>
  <c r="S690" i="1"/>
  <c r="U690" i="1" s="1"/>
  <c r="V690" i="1"/>
  <c r="I691" i="1"/>
  <c r="J691" i="1"/>
  <c r="K691" i="1"/>
  <c r="L691" i="1"/>
  <c r="M691" i="1"/>
  <c r="N691" i="1"/>
  <c r="O691" i="1"/>
  <c r="P691" i="1"/>
  <c r="T691" i="1" s="1"/>
  <c r="Q691" i="1"/>
  <c r="R691" i="1"/>
  <c r="S691" i="1"/>
  <c r="U691" i="1" s="1"/>
  <c r="V691" i="1"/>
  <c r="I692" i="1"/>
  <c r="J692" i="1"/>
  <c r="K692" i="1"/>
  <c r="L692" i="1"/>
  <c r="M692" i="1"/>
  <c r="N692" i="1"/>
  <c r="O692" i="1"/>
  <c r="P692" i="1"/>
  <c r="Q692" i="1"/>
  <c r="R692" i="1"/>
  <c r="S692" i="1"/>
  <c r="T692" i="1"/>
  <c r="U692" i="1"/>
  <c r="V692" i="1"/>
  <c r="I693" i="1"/>
  <c r="J693" i="1"/>
  <c r="K693" i="1"/>
  <c r="L693" i="1"/>
  <c r="M693" i="1"/>
  <c r="N693" i="1"/>
  <c r="O693" i="1"/>
  <c r="P693" i="1"/>
  <c r="T693" i="1" s="1"/>
  <c r="Q693" i="1"/>
  <c r="R693" i="1"/>
  <c r="S693" i="1"/>
  <c r="U693" i="1" s="1"/>
  <c r="V693" i="1"/>
  <c r="I694" i="1"/>
  <c r="J694" i="1"/>
  <c r="K694" i="1"/>
  <c r="L694" i="1"/>
  <c r="M694" i="1"/>
  <c r="N694" i="1"/>
  <c r="O694" i="1"/>
  <c r="P694" i="1"/>
  <c r="T694" i="1" s="1"/>
  <c r="Q694" i="1"/>
  <c r="R694" i="1"/>
  <c r="S694" i="1"/>
  <c r="U694" i="1" s="1"/>
  <c r="V694" i="1"/>
  <c r="I695" i="1"/>
  <c r="J695" i="1"/>
  <c r="K695" i="1"/>
  <c r="L695" i="1"/>
  <c r="M695" i="1"/>
  <c r="N695" i="1"/>
  <c r="O695" i="1"/>
  <c r="P695" i="1"/>
  <c r="Q695" i="1"/>
  <c r="R695" i="1"/>
  <c r="S695" i="1"/>
  <c r="T695" i="1"/>
  <c r="U695" i="1"/>
  <c r="V695" i="1"/>
  <c r="I696" i="1"/>
  <c r="J696" i="1"/>
  <c r="K696" i="1"/>
  <c r="L696" i="1"/>
  <c r="M696" i="1"/>
  <c r="N696" i="1"/>
  <c r="O696" i="1"/>
  <c r="P696" i="1"/>
  <c r="T696" i="1" s="1"/>
  <c r="Q696" i="1"/>
  <c r="R696" i="1"/>
  <c r="S696" i="1"/>
  <c r="U696" i="1" s="1"/>
  <c r="V696" i="1"/>
  <c r="I697" i="1"/>
  <c r="J697" i="1"/>
  <c r="K697" i="1"/>
  <c r="L697" i="1"/>
  <c r="M697" i="1"/>
  <c r="N697" i="1"/>
  <c r="O697" i="1"/>
  <c r="P697" i="1"/>
  <c r="T697" i="1" s="1"/>
  <c r="Q697" i="1"/>
  <c r="R697" i="1"/>
  <c r="S697" i="1"/>
  <c r="U697" i="1" s="1"/>
  <c r="V697" i="1"/>
  <c r="I698" i="1"/>
  <c r="J698" i="1"/>
  <c r="K698" i="1"/>
  <c r="L698" i="1"/>
  <c r="M698" i="1"/>
  <c r="N698" i="1"/>
  <c r="O698" i="1"/>
  <c r="P698" i="1"/>
  <c r="Q698" i="1"/>
  <c r="R698" i="1"/>
  <c r="S698" i="1"/>
  <c r="T698" i="1"/>
  <c r="U698" i="1"/>
  <c r="V698" i="1"/>
  <c r="I699" i="1"/>
  <c r="J699" i="1"/>
  <c r="K699" i="1"/>
  <c r="L699" i="1"/>
  <c r="M699" i="1"/>
  <c r="N699" i="1"/>
  <c r="O699" i="1"/>
  <c r="P699" i="1"/>
  <c r="T699" i="1" s="1"/>
  <c r="Q699" i="1"/>
  <c r="R699" i="1"/>
  <c r="S699" i="1"/>
  <c r="U699" i="1" s="1"/>
  <c r="V699" i="1"/>
  <c r="I700" i="1"/>
  <c r="J700" i="1"/>
  <c r="K700" i="1"/>
  <c r="L700" i="1"/>
  <c r="M700" i="1"/>
  <c r="N700" i="1"/>
  <c r="O700" i="1"/>
  <c r="P700" i="1"/>
  <c r="T700" i="1" s="1"/>
  <c r="Q700" i="1"/>
  <c r="R700" i="1"/>
  <c r="S700" i="1"/>
  <c r="U700" i="1" s="1"/>
  <c r="V700" i="1"/>
  <c r="I701" i="1"/>
  <c r="J701" i="1"/>
  <c r="K701" i="1"/>
  <c r="L701" i="1"/>
  <c r="M701" i="1"/>
  <c r="N701" i="1"/>
  <c r="O701" i="1"/>
  <c r="P701" i="1"/>
  <c r="Q701" i="1"/>
  <c r="R701" i="1"/>
  <c r="S701" i="1"/>
  <c r="T701" i="1"/>
  <c r="U701" i="1"/>
  <c r="V701" i="1"/>
  <c r="I702" i="1"/>
  <c r="J702" i="1"/>
  <c r="K702" i="1"/>
  <c r="L702" i="1"/>
  <c r="M702" i="1"/>
  <c r="N702" i="1"/>
  <c r="O702" i="1"/>
  <c r="P702" i="1"/>
  <c r="T702" i="1" s="1"/>
  <c r="Q702" i="1"/>
  <c r="R702" i="1"/>
  <c r="S702" i="1"/>
  <c r="U702" i="1" s="1"/>
  <c r="V702" i="1"/>
  <c r="I703" i="1"/>
  <c r="J703" i="1"/>
  <c r="K703" i="1"/>
  <c r="L703" i="1"/>
  <c r="M703" i="1"/>
  <c r="N703" i="1"/>
  <c r="O703" i="1"/>
  <c r="P703" i="1"/>
  <c r="T703" i="1" s="1"/>
  <c r="Q703" i="1"/>
  <c r="R703" i="1"/>
  <c r="S703" i="1"/>
  <c r="U703" i="1" s="1"/>
  <c r="V703" i="1"/>
  <c r="T704" i="1"/>
  <c r="U704" i="1"/>
  <c r="V704" i="1"/>
  <c r="S502" i="1"/>
  <c r="R502" i="1"/>
  <c r="Q502" i="1"/>
  <c r="P502" i="1"/>
  <c r="O502" i="1"/>
  <c r="N502" i="1"/>
  <c r="M502" i="1"/>
  <c r="L502" i="1"/>
  <c r="K502" i="1"/>
  <c r="J502" i="1"/>
  <c r="V502" i="1" s="1"/>
  <c r="I502" i="1"/>
  <c r="I301" i="1"/>
  <c r="J301" i="1"/>
  <c r="K301" i="1"/>
  <c r="L301" i="1"/>
  <c r="M301" i="1"/>
  <c r="N301" i="1"/>
  <c r="O301" i="1"/>
  <c r="P301" i="1"/>
  <c r="Q301" i="1"/>
  <c r="R301" i="1"/>
  <c r="S301" i="1"/>
  <c r="U301" i="1" s="1"/>
  <c r="T301" i="1"/>
  <c r="V301" i="1"/>
  <c r="I302" i="1"/>
  <c r="J302" i="1"/>
  <c r="V302" i="1" s="1"/>
  <c r="K302" i="1"/>
  <c r="L302" i="1"/>
  <c r="M302" i="1"/>
  <c r="N302" i="1"/>
  <c r="O302" i="1"/>
  <c r="P302" i="1"/>
  <c r="T302" i="1" s="1"/>
  <c r="Q302" i="1"/>
  <c r="R302" i="1"/>
  <c r="S302" i="1"/>
  <c r="U302" i="1" s="1"/>
  <c r="I303" i="1"/>
  <c r="J303" i="1"/>
  <c r="V303" i="1" s="1"/>
  <c r="K303" i="1"/>
  <c r="L303" i="1"/>
  <c r="M303" i="1"/>
  <c r="N303" i="1"/>
  <c r="O303" i="1"/>
  <c r="P303" i="1"/>
  <c r="T303" i="1" s="1"/>
  <c r="Q303" i="1"/>
  <c r="R303" i="1"/>
  <c r="S303" i="1"/>
  <c r="U303" i="1" s="1"/>
  <c r="I304" i="1"/>
  <c r="J304" i="1"/>
  <c r="K304" i="1"/>
  <c r="L304" i="1"/>
  <c r="M304" i="1"/>
  <c r="N304" i="1"/>
  <c r="O304" i="1"/>
  <c r="P304" i="1"/>
  <c r="T304" i="1" s="1"/>
  <c r="Q304" i="1"/>
  <c r="R304" i="1"/>
  <c r="S304" i="1"/>
  <c r="U304" i="1" s="1"/>
  <c r="V304" i="1"/>
  <c r="I305" i="1"/>
  <c r="J305" i="1"/>
  <c r="K305" i="1"/>
  <c r="L305" i="1"/>
  <c r="M305" i="1"/>
  <c r="N305" i="1"/>
  <c r="O305" i="1"/>
  <c r="P305" i="1"/>
  <c r="T305" i="1" s="1"/>
  <c r="Q305" i="1"/>
  <c r="R305" i="1"/>
  <c r="S305" i="1"/>
  <c r="U305" i="1" s="1"/>
  <c r="V305" i="1"/>
  <c r="I306" i="1"/>
  <c r="J306" i="1"/>
  <c r="V306" i="1" s="1"/>
  <c r="K306" i="1"/>
  <c r="L306" i="1"/>
  <c r="M306" i="1"/>
  <c r="N306" i="1"/>
  <c r="O306" i="1"/>
  <c r="P306" i="1"/>
  <c r="T306" i="1" s="1"/>
  <c r="Q306" i="1"/>
  <c r="R306" i="1"/>
  <c r="S306" i="1"/>
  <c r="U306" i="1" s="1"/>
  <c r="I307" i="1"/>
  <c r="J307" i="1"/>
  <c r="K307" i="1"/>
  <c r="L307" i="1"/>
  <c r="M307" i="1"/>
  <c r="N307" i="1"/>
  <c r="O307" i="1"/>
  <c r="P307" i="1"/>
  <c r="T307" i="1" s="1"/>
  <c r="Q307" i="1"/>
  <c r="R307" i="1"/>
  <c r="S307" i="1"/>
  <c r="U307" i="1" s="1"/>
  <c r="V307" i="1"/>
  <c r="I308" i="1"/>
  <c r="J308" i="1"/>
  <c r="V308" i="1" s="1"/>
  <c r="K308" i="1"/>
  <c r="L308" i="1"/>
  <c r="M308" i="1"/>
  <c r="N308" i="1"/>
  <c r="O308" i="1"/>
  <c r="P308" i="1"/>
  <c r="T308" i="1" s="1"/>
  <c r="Q308" i="1"/>
  <c r="R308" i="1"/>
  <c r="S308" i="1"/>
  <c r="U308" i="1" s="1"/>
  <c r="I309" i="1"/>
  <c r="J309" i="1"/>
  <c r="V309" i="1" s="1"/>
  <c r="K309" i="1"/>
  <c r="L309" i="1"/>
  <c r="M309" i="1"/>
  <c r="N309" i="1"/>
  <c r="O309" i="1"/>
  <c r="P309" i="1"/>
  <c r="T309" i="1" s="1"/>
  <c r="Q309" i="1"/>
  <c r="R309" i="1"/>
  <c r="S309" i="1"/>
  <c r="U309" i="1" s="1"/>
  <c r="I310" i="1"/>
  <c r="J310" i="1"/>
  <c r="K310" i="1"/>
  <c r="L310" i="1"/>
  <c r="M310" i="1"/>
  <c r="N310" i="1"/>
  <c r="O310" i="1"/>
  <c r="P310" i="1"/>
  <c r="T310" i="1" s="1"/>
  <c r="Q310" i="1"/>
  <c r="R310" i="1"/>
  <c r="S310" i="1"/>
  <c r="U310" i="1"/>
  <c r="V310" i="1"/>
  <c r="I311" i="1"/>
  <c r="J311" i="1"/>
  <c r="V311" i="1" s="1"/>
  <c r="K311" i="1"/>
  <c r="L311" i="1"/>
  <c r="M311" i="1"/>
  <c r="N311" i="1"/>
  <c r="O311" i="1"/>
  <c r="P311" i="1"/>
  <c r="T311" i="1" s="1"/>
  <c r="Q311" i="1"/>
  <c r="R311" i="1"/>
  <c r="S311" i="1"/>
  <c r="U311" i="1" s="1"/>
  <c r="I312" i="1"/>
  <c r="J312" i="1"/>
  <c r="V312" i="1" s="1"/>
  <c r="K312" i="1"/>
  <c r="L312" i="1"/>
  <c r="M312" i="1"/>
  <c r="N312" i="1"/>
  <c r="O312" i="1"/>
  <c r="P312" i="1"/>
  <c r="T312" i="1" s="1"/>
  <c r="Q312" i="1"/>
  <c r="R312" i="1"/>
  <c r="S312" i="1"/>
  <c r="U312" i="1" s="1"/>
  <c r="I313" i="1"/>
  <c r="J313" i="1"/>
  <c r="K313" i="1"/>
  <c r="L313" i="1"/>
  <c r="M313" i="1"/>
  <c r="N313" i="1"/>
  <c r="O313" i="1"/>
  <c r="P313" i="1"/>
  <c r="T313" i="1" s="1"/>
  <c r="Q313" i="1"/>
  <c r="R313" i="1"/>
  <c r="S313" i="1"/>
  <c r="U313" i="1" s="1"/>
  <c r="V313" i="1"/>
  <c r="I314" i="1"/>
  <c r="J314" i="1"/>
  <c r="V314" i="1" s="1"/>
  <c r="K314" i="1"/>
  <c r="L314" i="1"/>
  <c r="M314" i="1"/>
  <c r="N314" i="1"/>
  <c r="O314" i="1"/>
  <c r="P314" i="1"/>
  <c r="T314" i="1" s="1"/>
  <c r="Q314" i="1"/>
  <c r="R314" i="1"/>
  <c r="S314" i="1"/>
  <c r="U314" i="1" s="1"/>
  <c r="I315" i="1"/>
  <c r="J315" i="1"/>
  <c r="V315" i="1" s="1"/>
  <c r="K315" i="1"/>
  <c r="L315" i="1"/>
  <c r="M315" i="1"/>
  <c r="N315" i="1"/>
  <c r="O315" i="1"/>
  <c r="P315" i="1"/>
  <c r="T315" i="1" s="1"/>
  <c r="Q315" i="1"/>
  <c r="R315" i="1"/>
  <c r="S315" i="1"/>
  <c r="U315" i="1" s="1"/>
  <c r="I316" i="1"/>
  <c r="J316" i="1"/>
  <c r="K316" i="1"/>
  <c r="L316" i="1"/>
  <c r="M316" i="1"/>
  <c r="N316" i="1"/>
  <c r="O316" i="1"/>
  <c r="P316" i="1"/>
  <c r="T316" i="1" s="1"/>
  <c r="Q316" i="1"/>
  <c r="R316" i="1"/>
  <c r="S316" i="1"/>
  <c r="U316" i="1"/>
  <c r="V316" i="1"/>
  <c r="I317" i="1"/>
  <c r="J317" i="1"/>
  <c r="V317" i="1" s="1"/>
  <c r="K317" i="1"/>
  <c r="L317" i="1"/>
  <c r="M317" i="1"/>
  <c r="N317" i="1"/>
  <c r="O317" i="1"/>
  <c r="P317" i="1"/>
  <c r="Q317" i="1"/>
  <c r="R317" i="1"/>
  <c r="S317" i="1"/>
  <c r="U317" i="1" s="1"/>
  <c r="T317" i="1"/>
  <c r="I318" i="1"/>
  <c r="J318" i="1"/>
  <c r="V318" i="1" s="1"/>
  <c r="K318" i="1"/>
  <c r="L318" i="1"/>
  <c r="M318" i="1"/>
  <c r="N318" i="1"/>
  <c r="O318" i="1"/>
  <c r="P318" i="1"/>
  <c r="T318" i="1" s="1"/>
  <c r="Q318" i="1"/>
  <c r="R318" i="1"/>
  <c r="S318" i="1"/>
  <c r="U318" i="1" s="1"/>
  <c r="I319" i="1"/>
  <c r="J319" i="1"/>
  <c r="K319" i="1"/>
  <c r="L319" i="1"/>
  <c r="M319" i="1"/>
  <c r="N319" i="1"/>
  <c r="O319" i="1"/>
  <c r="P319" i="1"/>
  <c r="T319" i="1" s="1"/>
  <c r="Q319" i="1"/>
  <c r="R319" i="1"/>
  <c r="S319" i="1"/>
  <c r="U319" i="1" s="1"/>
  <c r="V319" i="1"/>
  <c r="I320" i="1"/>
  <c r="J320" i="1"/>
  <c r="V320" i="1" s="1"/>
  <c r="K320" i="1"/>
  <c r="L320" i="1"/>
  <c r="M320" i="1"/>
  <c r="N320" i="1"/>
  <c r="O320" i="1"/>
  <c r="P320" i="1"/>
  <c r="T320" i="1" s="1"/>
  <c r="Q320" i="1"/>
  <c r="R320" i="1"/>
  <c r="S320" i="1"/>
  <c r="U320" i="1" s="1"/>
  <c r="I321" i="1"/>
  <c r="J321" i="1"/>
  <c r="V321" i="1" s="1"/>
  <c r="K321" i="1"/>
  <c r="L321" i="1"/>
  <c r="M321" i="1"/>
  <c r="N321" i="1"/>
  <c r="O321" i="1"/>
  <c r="P321" i="1"/>
  <c r="T321" i="1" s="1"/>
  <c r="Q321" i="1"/>
  <c r="R321" i="1"/>
  <c r="S321" i="1"/>
  <c r="U321" i="1" s="1"/>
  <c r="I322" i="1"/>
  <c r="J322" i="1"/>
  <c r="K322" i="1"/>
  <c r="L322" i="1"/>
  <c r="M322" i="1"/>
  <c r="N322" i="1"/>
  <c r="O322" i="1"/>
  <c r="P322" i="1"/>
  <c r="T322" i="1" s="1"/>
  <c r="Q322" i="1"/>
  <c r="R322" i="1"/>
  <c r="S322" i="1"/>
  <c r="U322" i="1"/>
  <c r="V322" i="1"/>
  <c r="I323" i="1"/>
  <c r="J323" i="1"/>
  <c r="V323" i="1" s="1"/>
  <c r="K323" i="1"/>
  <c r="L323" i="1"/>
  <c r="M323" i="1"/>
  <c r="N323" i="1"/>
  <c r="O323" i="1"/>
  <c r="P323" i="1"/>
  <c r="Q323" i="1"/>
  <c r="R323" i="1"/>
  <c r="S323" i="1"/>
  <c r="U323" i="1" s="1"/>
  <c r="T323" i="1"/>
  <c r="I324" i="1"/>
  <c r="J324" i="1"/>
  <c r="V324" i="1" s="1"/>
  <c r="K324" i="1"/>
  <c r="L324" i="1"/>
  <c r="M324" i="1"/>
  <c r="N324" i="1"/>
  <c r="O324" i="1"/>
  <c r="P324" i="1"/>
  <c r="T324" i="1" s="1"/>
  <c r="Q324" i="1"/>
  <c r="R324" i="1"/>
  <c r="S324" i="1"/>
  <c r="U324" i="1" s="1"/>
  <c r="I325" i="1"/>
  <c r="J325" i="1"/>
  <c r="K325" i="1"/>
  <c r="L325" i="1"/>
  <c r="M325" i="1"/>
  <c r="N325" i="1"/>
  <c r="O325" i="1"/>
  <c r="P325" i="1"/>
  <c r="T325" i="1" s="1"/>
  <c r="Q325" i="1"/>
  <c r="R325" i="1"/>
  <c r="S325" i="1"/>
  <c r="U325" i="1" s="1"/>
  <c r="V325" i="1"/>
  <c r="I326" i="1"/>
  <c r="J326" i="1"/>
  <c r="V326" i="1" s="1"/>
  <c r="K326" i="1"/>
  <c r="L326" i="1"/>
  <c r="M326" i="1"/>
  <c r="N326" i="1"/>
  <c r="O326" i="1"/>
  <c r="P326" i="1"/>
  <c r="T326" i="1" s="1"/>
  <c r="Q326" i="1"/>
  <c r="R326" i="1"/>
  <c r="S326" i="1"/>
  <c r="U326" i="1" s="1"/>
  <c r="I327" i="1"/>
  <c r="J327" i="1"/>
  <c r="V327" i="1" s="1"/>
  <c r="K327" i="1"/>
  <c r="L327" i="1"/>
  <c r="M327" i="1"/>
  <c r="N327" i="1"/>
  <c r="O327" i="1"/>
  <c r="P327" i="1"/>
  <c r="T327" i="1" s="1"/>
  <c r="Q327" i="1"/>
  <c r="R327" i="1"/>
  <c r="S327" i="1"/>
  <c r="U327" i="1" s="1"/>
  <c r="I328" i="1"/>
  <c r="J328" i="1"/>
  <c r="K328" i="1"/>
  <c r="L328" i="1"/>
  <c r="M328" i="1"/>
  <c r="N328" i="1"/>
  <c r="O328" i="1"/>
  <c r="P328" i="1"/>
  <c r="T328" i="1" s="1"/>
  <c r="Q328" i="1"/>
  <c r="R328" i="1"/>
  <c r="S328" i="1"/>
  <c r="U328" i="1"/>
  <c r="V328" i="1"/>
  <c r="I329" i="1"/>
  <c r="J329" i="1"/>
  <c r="V329" i="1" s="1"/>
  <c r="K329" i="1"/>
  <c r="L329" i="1"/>
  <c r="M329" i="1"/>
  <c r="N329" i="1"/>
  <c r="O329" i="1"/>
  <c r="P329" i="1"/>
  <c r="Q329" i="1"/>
  <c r="R329" i="1"/>
  <c r="S329" i="1"/>
  <c r="U329" i="1" s="1"/>
  <c r="T329" i="1"/>
  <c r="I330" i="1"/>
  <c r="J330" i="1"/>
  <c r="K330" i="1"/>
  <c r="L330" i="1"/>
  <c r="M330" i="1"/>
  <c r="N330" i="1"/>
  <c r="O330" i="1"/>
  <c r="P330" i="1"/>
  <c r="T330" i="1" s="1"/>
  <c r="Q330" i="1"/>
  <c r="R330" i="1"/>
  <c r="S330" i="1"/>
  <c r="U330" i="1" s="1"/>
  <c r="V330" i="1"/>
  <c r="I331" i="1"/>
  <c r="J331" i="1"/>
  <c r="K331" i="1"/>
  <c r="L331" i="1"/>
  <c r="M331" i="1"/>
  <c r="N331" i="1"/>
  <c r="O331" i="1"/>
  <c r="P331" i="1"/>
  <c r="Q331" i="1"/>
  <c r="R331" i="1"/>
  <c r="S331" i="1"/>
  <c r="T331" i="1"/>
  <c r="U331" i="1"/>
  <c r="V331" i="1"/>
  <c r="I332" i="1"/>
  <c r="J332" i="1"/>
  <c r="K332" i="1"/>
  <c r="L332" i="1"/>
  <c r="M332" i="1"/>
  <c r="N332" i="1"/>
  <c r="O332" i="1"/>
  <c r="P332" i="1"/>
  <c r="Q332" i="1"/>
  <c r="R332" i="1"/>
  <c r="S332" i="1"/>
  <c r="U332" i="1" s="1"/>
  <c r="T332" i="1"/>
  <c r="V332" i="1"/>
  <c r="I333" i="1"/>
  <c r="J333" i="1"/>
  <c r="K333" i="1"/>
  <c r="L333" i="1"/>
  <c r="M333" i="1"/>
  <c r="N333" i="1"/>
  <c r="O333" i="1"/>
  <c r="P333" i="1"/>
  <c r="T333" i="1" s="1"/>
  <c r="Q333" i="1"/>
  <c r="R333" i="1"/>
  <c r="S333" i="1"/>
  <c r="U333" i="1" s="1"/>
  <c r="V333" i="1"/>
  <c r="I334" i="1"/>
  <c r="J334" i="1"/>
  <c r="K334" i="1"/>
  <c r="L334" i="1"/>
  <c r="M334" i="1"/>
  <c r="N334" i="1"/>
  <c r="O334" i="1"/>
  <c r="P334" i="1"/>
  <c r="Q334" i="1"/>
  <c r="R334" i="1"/>
  <c r="S334" i="1"/>
  <c r="T334" i="1"/>
  <c r="U334" i="1"/>
  <c r="V334" i="1"/>
  <c r="I335" i="1"/>
  <c r="J335" i="1"/>
  <c r="K335" i="1"/>
  <c r="L335" i="1"/>
  <c r="M335" i="1"/>
  <c r="N335" i="1"/>
  <c r="O335" i="1"/>
  <c r="P335" i="1"/>
  <c r="Q335" i="1"/>
  <c r="R335" i="1"/>
  <c r="S335" i="1"/>
  <c r="U335" i="1" s="1"/>
  <c r="T335" i="1"/>
  <c r="V335" i="1"/>
  <c r="I336" i="1"/>
  <c r="J336" i="1"/>
  <c r="K336" i="1"/>
  <c r="L336" i="1"/>
  <c r="M336" i="1"/>
  <c r="N336" i="1"/>
  <c r="O336" i="1"/>
  <c r="P336" i="1"/>
  <c r="T336" i="1" s="1"/>
  <c r="Q336" i="1"/>
  <c r="R336" i="1"/>
  <c r="S336" i="1"/>
  <c r="U336" i="1" s="1"/>
  <c r="V336" i="1"/>
  <c r="I337" i="1"/>
  <c r="J337" i="1"/>
  <c r="K337" i="1"/>
  <c r="L337" i="1"/>
  <c r="M337" i="1"/>
  <c r="N337" i="1"/>
  <c r="O337" i="1"/>
  <c r="P337" i="1"/>
  <c r="Q337" i="1"/>
  <c r="R337" i="1"/>
  <c r="S337" i="1"/>
  <c r="T337" i="1"/>
  <c r="U337" i="1"/>
  <c r="V337" i="1"/>
  <c r="I338" i="1"/>
  <c r="J338" i="1"/>
  <c r="K338" i="1"/>
  <c r="L338" i="1"/>
  <c r="M338" i="1"/>
  <c r="N338" i="1"/>
  <c r="O338" i="1"/>
  <c r="P338" i="1"/>
  <c r="Q338" i="1"/>
  <c r="R338" i="1"/>
  <c r="S338" i="1"/>
  <c r="U338" i="1" s="1"/>
  <c r="T338" i="1"/>
  <c r="V338" i="1"/>
  <c r="I339" i="1"/>
  <c r="J339" i="1"/>
  <c r="K339" i="1"/>
  <c r="L339" i="1"/>
  <c r="M339" i="1"/>
  <c r="N339" i="1"/>
  <c r="O339" i="1"/>
  <c r="P339" i="1"/>
  <c r="T339" i="1" s="1"/>
  <c r="Q339" i="1"/>
  <c r="R339" i="1"/>
  <c r="S339" i="1"/>
  <c r="U339" i="1" s="1"/>
  <c r="V339" i="1"/>
  <c r="I340" i="1"/>
  <c r="J340" i="1"/>
  <c r="K340" i="1"/>
  <c r="L340" i="1"/>
  <c r="M340" i="1"/>
  <c r="N340" i="1"/>
  <c r="O340" i="1"/>
  <c r="P340" i="1"/>
  <c r="Q340" i="1"/>
  <c r="R340" i="1"/>
  <c r="S340" i="1"/>
  <c r="T340" i="1"/>
  <c r="U340" i="1"/>
  <c r="V340" i="1"/>
  <c r="I341" i="1"/>
  <c r="J341" i="1"/>
  <c r="K341" i="1"/>
  <c r="L341" i="1"/>
  <c r="M341" i="1"/>
  <c r="N341" i="1"/>
  <c r="O341" i="1"/>
  <c r="P341" i="1"/>
  <c r="Q341" i="1"/>
  <c r="R341" i="1"/>
  <c r="S341" i="1"/>
  <c r="U341" i="1" s="1"/>
  <c r="T341" i="1"/>
  <c r="V341" i="1"/>
  <c r="I342" i="1"/>
  <c r="J342" i="1"/>
  <c r="V342" i="1" s="1"/>
  <c r="K342" i="1"/>
  <c r="L342" i="1"/>
  <c r="M342" i="1"/>
  <c r="N342" i="1"/>
  <c r="O342" i="1"/>
  <c r="P342" i="1"/>
  <c r="T342" i="1" s="1"/>
  <c r="Q342" i="1"/>
  <c r="R342" i="1"/>
  <c r="S342" i="1"/>
  <c r="U342" i="1" s="1"/>
  <c r="I343" i="1"/>
  <c r="J343" i="1"/>
  <c r="K343" i="1"/>
  <c r="L343" i="1"/>
  <c r="M343" i="1"/>
  <c r="N343" i="1"/>
  <c r="O343" i="1"/>
  <c r="P343" i="1"/>
  <c r="Q343" i="1"/>
  <c r="R343" i="1"/>
  <c r="S343" i="1"/>
  <c r="T343" i="1"/>
  <c r="U343" i="1"/>
  <c r="V343" i="1"/>
  <c r="I344" i="1"/>
  <c r="J344" i="1"/>
  <c r="K344" i="1"/>
  <c r="L344" i="1"/>
  <c r="M344" i="1"/>
  <c r="N344" i="1"/>
  <c r="O344" i="1"/>
  <c r="P344" i="1"/>
  <c r="T344" i="1" s="1"/>
  <c r="Q344" i="1"/>
  <c r="R344" i="1"/>
  <c r="S344" i="1"/>
  <c r="U344" i="1" s="1"/>
  <c r="V344" i="1"/>
  <c r="I345" i="1"/>
  <c r="J345" i="1"/>
  <c r="K345" i="1"/>
  <c r="L345" i="1"/>
  <c r="M345" i="1"/>
  <c r="N345" i="1"/>
  <c r="O345" i="1"/>
  <c r="P345" i="1"/>
  <c r="T345" i="1" s="1"/>
  <c r="Q345" i="1"/>
  <c r="R345" i="1"/>
  <c r="S345" i="1"/>
  <c r="U345" i="1" s="1"/>
  <c r="V345" i="1"/>
  <c r="I346" i="1"/>
  <c r="J346" i="1"/>
  <c r="K346" i="1"/>
  <c r="L346" i="1"/>
  <c r="M346" i="1"/>
  <c r="N346" i="1"/>
  <c r="O346" i="1"/>
  <c r="P346" i="1"/>
  <c r="Q346" i="1"/>
  <c r="R346" i="1"/>
  <c r="S346" i="1"/>
  <c r="T346" i="1"/>
  <c r="U346" i="1"/>
  <c r="V346" i="1"/>
  <c r="I347" i="1"/>
  <c r="J347" i="1"/>
  <c r="K347" i="1"/>
  <c r="L347" i="1"/>
  <c r="M347" i="1"/>
  <c r="N347" i="1"/>
  <c r="O347" i="1"/>
  <c r="P347" i="1"/>
  <c r="Q347" i="1"/>
  <c r="R347" i="1"/>
  <c r="S347" i="1"/>
  <c r="U347" i="1" s="1"/>
  <c r="T347" i="1"/>
  <c r="V347" i="1"/>
  <c r="I348" i="1"/>
  <c r="J348" i="1"/>
  <c r="K348" i="1"/>
  <c r="L348" i="1"/>
  <c r="M348" i="1"/>
  <c r="N348" i="1"/>
  <c r="O348" i="1"/>
  <c r="P348" i="1"/>
  <c r="T348" i="1" s="1"/>
  <c r="Q348" i="1"/>
  <c r="R348" i="1"/>
  <c r="S348" i="1"/>
  <c r="U348" i="1" s="1"/>
  <c r="V348" i="1"/>
  <c r="I349" i="1"/>
  <c r="J349" i="1"/>
  <c r="K349" i="1"/>
  <c r="L349" i="1"/>
  <c r="M349" i="1"/>
  <c r="N349" i="1"/>
  <c r="O349" i="1"/>
  <c r="P349" i="1"/>
  <c r="Q349" i="1"/>
  <c r="R349" i="1"/>
  <c r="S349" i="1"/>
  <c r="T349" i="1"/>
  <c r="U349" i="1"/>
  <c r="V349" i="1"/>
  <c r="I350" i="1"/>
  <c r="J350" i="1"/>
  <c r="K350" i="1"/>
  <c r="L350" i="1"/>
  <c r="M350" i="1"/>
  <c r="N350" i="1"/>
  <c r="O350" i="1"/>
  <c r="P350" i="1"/>
  <c r="Q350" i="1"/>
  <c r="R350" i="1"/>
  <c r="S350" i="1"/>
  <c r="U350" i="1" s="1"/>
  <c r="T350" i="1"/>
  <c r="V350" i="1"/>
  <c r="I351" i="1"/>
  <c r="J351" i="1"/>
  <c r="K351" i="1"/>
  <c r="L351" i="1"/>
  <c r="M351" i="1"/>
  <c r="N351" i="1"/>
  <c r="O351" i="1"/>
  <c r="P351" i="1"/>
  <c r="T351" i="1" s="1"/>
  <c r="Q351" i="1"/>
  <c r="R351" i="1"/>
  <c r="S351" i="1"/>
  <c r="U351" i="1" s="1"/>
  <c r="V351" i="1"/>
  <c r="I352" i="1"/>
  <c r="J352" i="1"/>
  <c r="K352" i="1"/>
  <c r="L352" i="1"/>
  <c r="M352" i="1"/>
  <c r="N352" i="1"/>
  <c r="O352" i="1"/>
  <c r="P352" i="1"/>
  <c r="Q352" i="1"/>
  <c r="R352" i="1"/>
  <c r="S352" i="1"/>
  <c r="T352" i="1"/>
  <c r="U352" i="1"/>
  <c r="V352" i="1"/>
  <c r="I353" i="1"/>
  <c r="J353" i="1"/>
  <c r="K353" i="1"/>
  <c r="L353" i="1"/>
  <c r="M353" i="1"/>
  <c r="N353" i="1"/>
  <c r="O353" i="1"/>
  <c r="P353" i="1"/>
  <c r="Q353" i="1"/>
  <c r="R353" i="1"/>
  <c r="S353" i="1"/>
  <c r="U353" i="1" s="1"/>
  <c r="T353" i="1"/>
  <c r="V353" i="1"/>
  <c r="I354" i="1"/>
  <c r="J354" i="1"/>
  <c r="K354" i="1"/>
  <c r="L354" i="1"/>
  <c r="M354" i="1"/>
  <c r="N354" i="1"/>
  <c r="O354" i="1"/>
  <c r="P354" i="1"/>
  <c r="T354" i="1" s="1"/>
  <c r="Q354" i="1"/>
  <c r="R354" i="1"/>
  <c r="S354" i="1"/>
  <c r="U354" i="1" s="1"/>
  <c r="V354" i="1"/>
  <c r="I355" i="1"/>
  <c r="J355" i="1"/>
  <c r="K355" i="1"/>
  <c r="L355" i="1"/>
  <c r="M355" i="1"/>
  <c r="N355" i="1"/>
  <c r="O355" i="1"/>
  <c r="P355" i="1"/>
  <c r="Q355" i="1"/>
  <c r="R355" i="1"/>
  <c r="S355" i="1"/>
  <c r="T355" i="1"/>
  <c r="U355" i="1"/>
  <c r="V355" i="1"/>
  <c r="I356" i="1"/>
  <c r="J356" i="1"/>
  <c r="K356" i="1"/>
  <c r="L356" i="1"/>
  <c r="M356" i="1"/>
  <c r="N356" i="1"/>
  <c r="O356" i="1"/>
  <c r="P356" i="1"/>
  <c r="T356" i="1" s="1"/>
  <c r="Q356" i="1"/>
  <c r="R356" i="1"/>
  <c r="S356" i="1"/>
  <c r="U356" i="1" s="1"/>
  <c r="V356" i="1"/>
  <c r="I357" i="1"/>
  <c r="J357" i="1"/>
  <c r="K357" i="1"/>
  <c r="L357" i="1"/>
  <c r="M357" i="1"/>
  <c r="N357" i="1"/>
  <c r="O357" i="1"/>
  <c r="P357" i="1"/>
  <c r="T357" i="1" s="1"/>
  <c r="Q357" i="1"/>
  <c r="R357" i="1"/>
  <c r="S357" i="1"/>
  <c r="U357" i="1" s="1"/>
  <c r="V357" i="1"/>
  <c r="I358" i="1"/>
  <c r="J358" i="1"/>
  <c r="K358" i="1"/>
  <c r="L358" i="1"/>
  <c r="M358" i="1"/>
  <c r="N358" i="1"/>
  <c r="O358" i="1"/>
  <c r="P358" i="1"/>
  <c r="Q358" i="1"/>
  <c r="R358" i="1"/>
  <c r="S358" i="1"/>
  <c r="T358" i="1"/>
  <c r="U358" i="1"/>
  <c r="V358" i="1"/>
  <c r="I359" i="1"/>
  <c r="J359" i="1"/>
  <c r="K359" i="1"/>
  <c r="L359" i="1"/>
  <c r="M359" i="1"/>
  <c r="N359" i="1"/>
  <c r="O359" i="1"/>
  <c r="P359" i="1"/>
  <c r="Q359" i="1"/>
  <c r="R359" i="1"/>
  <c r="S359" i="1"/>
  <c r="U359" i="1" s="1"/>
  <c r="T359" i="1"/>
  <c r="V359" i="1"/>
  <c r="I360" i="1"/>
  <c r="J360" i="1"/>
  <c r="K360" i="1"/>
  <c r="L360" i="1"/>
  <c r="M360" i="1"/>
  <c r="N360" i="1"/>
  <c r="O360" i="1"/>
  <c r="P360" i="1"/>
  <c r="T360" i="1" s="1"/>
  <c r="Q360" i="1"/>
  <c r="R360" i="1"/>
  <c r="S360" i="1"/>
  <c r="U360" i="1" s="1"/>
  <c r="V360" i="1"/>
  <c r="I361" i="1"/>
  <c r="J361" i="1"/>
  <c r="K361" i="1"/>
  <c r="L361" i="1"/>
  <c r="M361" i="1"/>
  <c r="N361" i="1"/>
  <c r="O361" i="1"/>
  <c r="P361" i="1"/>
  <c r="Q361" i="1"/>
  <c r="R361" i="1"/>
  <c r="S361" i="1"/>
  <c r="T361" i="1"/>
  <c r="U361" i="1"/>
  <c r="V361" i="1"/>
  <c r="I362" i="1"/>
  <c r="J362" i="1"/>
  <c r="K362" i="1"/>
  <c r="L362" i="1"/>
  <c r="M362" i="1"/>
  <c r="N362" i="1"/>
  <c r="O362" i="1"/>
  <c r="P362" i="1"/>
  <c r="T362" i="1" s="1"/>
  <c r="Q362" i="1"/>
  <c r="R362" i="1"/>
  <c r="S362" i="1"/>
  <c r="U362" i="1" s="1"/>
  <c r="V362" i="1"/>
  <c r="I363" i="1"/>
  <c r="J363" i="1"/>
  <c r="K363" i="1"/>
  <c r="L363" i="1"/>
  <c r="M363" i="1"/>
  <c r="N363" i="1"/>
  <c r="O363" i="1"/>
  <c r="P363" i="1"/>
  <c r="T363" i="1" s="1"/>
  <c r="Q363" i="1"/>
  <c r="R363" i="1"/>
  <c r="S363" i="1"/>
  <c r="U363" i="1" s="1"/>
  <c r="V363" i="1"/>
  <c r="I364" i="1"/>
  <c r="J364" i="1"/>
  <c r="K364" i="1"/>
  <c r="L364" i="1"/>
  <c r="M364" i="1"/>
  <c r="N364" i="1"/>
  <c r="O364" i="1"/>
  <c r="P364" i="1"/>
  <c r="Q364" i="1"/>
  <c r="R364" i="1"/>
  <c r="S364" i="1"/>
  <c r="T364" i="1"/>
  <c r="U364" i="1"/>
  <c r="V364" i="1"/>
  <c r="I365" i="1"/>
  <c r="J365" i="1"/>
  <c r="K365" i="1"/>
  <c r="L365" i="1"/>
  <c r="M365" i="1"/>
  <c r="N365" i="1"/>
  <c r="O365" i="1"/>
  <c r="P365" i="1"/>
  <c r="Q365" i="1"/>
  <c r="R365" i="1"/>
  <c r="S365" i="1"/>
  <c r="U365" i="1" s="1"/>
  <c r="T365" i="1"/>
  <c r="V365" i="1"/>
  <c r="I366" i="1"/>
  <c r="J366" i="1"/>
  <c r="K366" i="1"/>
  <c r="L366" i="1"/>
  <c r="M366" i="1"/>
  <c r="N366" i="1"/>
  <c r="O366" i="1"/>
  <c r="P366" i="1"/>
  <c r="T366" i="1" s="1"/>
  <c r="Q366" i="1"/>
  <c r="R366" i="1"/>
  <c r="S366" i="1"/>
  <c r="U366" i="1" s="1"/>
  <c r="V366" i="1"/>
  <c r="I367" i="1"/>
  <c r="J367" i="1"/>
  <c r="K367" i="1"/>
  <c r="L367" i="1"/>
  <c r="M367" i="1"/>
  <c r="N367" i="1"/>
  <c r="O367" i="1"/>
  <c r="P367" i="1"/>
  <c r="Q367" i="1"/>
  <c r="R367" i="1"/>
  <c r="S367" i="1"/>
  <c r="T367" i="1"/>
  <c r="U367" i="1"/>
  <c r="V367" i="1"/>
  <c r="I368" i="1"/>
  <c r="J368" i="1"/>
  <c r="K368" i="1"/>
  <c r="L368" i="1"/>
  <c r="M368" i="1"/>
  <c r="N368" i="1"/>
  <c r="O368" i="1"/>
  <c r="P368" i="1"/>
  <c r="Q368" i="1"/>
  <c r="R368" i="1"/>
  <c r="S368" i="1"/>
  <c r="U368" i="1" s="1"/>
  <c r="T368" i="1"/>
  <c r="V368" i="1"/>
  <c r="I369" i="1"/>
  <c r="J369" i="1"/>
  <c r="K369" i="1"/>
  <c r="L369" i="1"/>
  <c r="M369" i="1"/>
  <c r="N369" i="1"/>
  <c r="O369" i="1"/>
  <c r="P369" i="1"/>
  <c r="T369" i="1" s="1"/>
  <c r="Q369" i="1"/>
  <c r="R369" i="1"/>
  <c r="S369" i="1"/>
  <c r="U369" i="1" s="1"/>
  <c r="V369" i="1"/>
  <c r="I370" i="1"/>
  <c r="J370" i="1"/>
  <c r="K370" i="1"/>
  <c r="L370" i="1"/>
  <c r="M370" i="1"/>
  <c r="N370" i="1"/>
  <c r="O370" i="1"/>
  <c r="P370" i="1"/>
  <c r="Q370" i="1"/>
  <c r="R370" i="1"/>
  <c r="S370" i="1"/>
  <c r="T370" i="1"/>
  <c r="U370" i="1"/>
  <c r="V370" i="1"/>
  <c r="I371" i="1"/>
  <c r="J371" i="1"/>
  <c r="K371" i="1"/>
  <c r="L371" i="1"/>
  <c r="M371" i="1"/>
  <c r="N371" i="1"/>
  <c r="O371" i="1"/>
  <c r="P371" i="1"/>
  <c r="T371" i="1" s="1"/>
  <c r="Q371" i="1"/>
  <c r="R371" i="1"/>
  <c r="S371" i="1"/>
  <c r="U371" i="1" s="1"/>
  <c r="V371" i="1"/>
  <c r="I372" i="1"/>
  <c r="J372" i="1"/>
  <c r="K372" i="1"/>
  <c r="L372" i="1"/>
  <c r="M372" i="1"/>
  <c r="N372" i="1"/>
  <c r="O372" i="1"/>
  <c r="P372" i="1"/>
  <c r="T372" i="1" s="1"/>
  <c r="Q372" i="1"/>
  <c r="R372" i="1"/>
  <c r="S372" i="1"/>
  <c r="U372" i="1" s="1"/>
  <c r="V372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I374" i="1"/>
  <c r="J374" i="1"/>
  <c r="K374" i="1"/>
  <c r="L374" i="1"/>
  <c r="M374" i="1"/>
  <c r="N374" i="1"/>
  <c r="O374" i="1"/>
  <c r="P374" i="1"/>
  <c r="T374" i="1" s="1"/>
  <c r="Q374" i="1"/>
  <c r="R374" i="1"/>
  <c r="S374" i="1"/>
  <c r="U374" i="1" s="1"/>
  <c r="V374" i="1"/>
  <c r="I375" i="1"/>
  <c r="J375" i="1"/>
  <c r="K375" i="1"/>
  <c r="L375" i="1"/>
  <c r="M375" i="1"/>
  <c r="N375" i="1"/>
  <c r="O375" i="1"/>
  <c r="P375" i="1"/>
  <c r="T375" i="1" s="1"/>
  <c r="Q375" i="1"/>
  <c r="R375" i="1"/>
  <c r="S375" i="1"/>
  <c r="U375" i="1" s="1"/>
  <c r="V375" i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I377" i="1"/>
  <c r="J377" i="1"/>
  <c r="K377" i="1"/>
  <c r="L377" i="1"/>
  <c r="M377" i="1"/>
  <c r="N377" i="1"/>
  <c r="O377" i="1"/>
  <c r="P377" i="1"/>
  <c r="T377" i="1" s="1"/>
  <c r="Q377" i="1"/>
  <c r="R377" i="1"/>
  <c r="S377" i="1"/>
  <c r="U377" i="1" s="1"/>
  <c r="V377" i="1"/>
  <c r="I378" i="1"/>
  <c r="J378" i="1"/>
  <c r="K378" i="1"/>
  <c r="L378" i="1"/>
  <c r="M378" i="1"/>
  <c r="N378" i="1"/>
  <c r="O378" i="1"/>
  <c r="P378" i="1"/>
  <c r="T378" i="1" s="1"/>
  <c r="Q378" i="1"/>
  <c r="R378" i="1"/>
  <c r="S378" i="1"/>
  <c r="U378" i="1" s="1"/>
  <c r="V378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I380" i="1"/>
  <c r="J380" i="1"/>
  <c r="K380" i="1"/>
  <c r="L380" i="1"/>
  <c r="M380" i="1"/>
  <c r="N380" i="1"/>
  <c r="O380" i="1"/>
  <c r="P380" i="1"/>
  <c r="T380" i="1" s="1"/>
  <c r="Q380" i="1"/>
  <c r="R380" i="1"/>
  <c r="S380" i="1"/>
  <c r="U380" i="1" s="1"/>
  <c r="V380" i="1"/>
  <c r="I381" i="1"/>
  <c r="J381" i="1"/>
  <c r="K381" i="1"/>
  <c r="L381" i="1"/>
  <c r="M381" i="1"/>
  <c r="N381" i="1"/>
  <c r="O381" i="1"/>
  <c r="P381" i="1"/>
  <c r="T381" i="1" s="1"/>
  <c r="Q381" i="1"/>
  <c r="R381" i="1"/>
  <c r="S381" i="1"/>
  <c r="U381" i="1" s="1"/>
  <c r="V381" i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I383" i="1"/>
  <c r="J383" i="1"/>
  <c r="K383" i="1"/>
  <c r="L383" i="1"/>
  <c r="M383" i="1"/>
  <c r="N383" i="1"/>
  <c r="O383" i="1"/>
  <c r="P383" i="1"/>
  <c r="T383" i="1" s="1"/>
  <c r="Q383" i="1"/>
  <c r="R383" i="1"/>
  <c r="S383" i="1"/>
  <c r="U383" i="1" s="1"/>
  <c r="V383" i="1"/>
  <c r="I384" i="1"/>
  <c r="J384" i="1"/>
  <c r="V384" i="1" s="1"/>
  <c r="K384" i="1"/>
  <c r="L384" i="1"/>
  <c r="M384" i="1"/>
  <c r="N384" i="1"/>
  <c r="O384" i="1"/>
  <c r="P384" i="1"/>
  <c r="T384" i="1" s="1"/>
  <c r="Q384" i="1"/>
  <c r="R384" i="1"/>
  <c r="S384" i="1"/>
  <c r="U384" i="1" s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I386" i="1"/>
  <c r="J386" i="1"/>
  <c r="K386" i="1"/>
  <c r="L386" i="1"/>
  <c r="M386" i="1"/>
  <c r="N386" i="1"/>
  <c r="O386" i="1"/>
  <c r="P386" i="1"/>
  <c r="T386" i="1" s="1"/>
  <c r="Q386" i="1"/>
  <c r="R386" i="1"/>
  <c r="S386" i="1"/>
  <c r="U386" i="1" s="1"/>
  <c r="V386" i="1"/>
  <c r="I387" i="1"/>
  <c r="J387" i="1"/>
  <c r="K387" i="1"/>
  <c r="L387" i="1"/>
  <c r="M387" i="1"/>
  <c r="N387" i="1"/>
  <c r="O387" i="1"/>
  <c r="P387" i="1"/>
  <c r="T387" i="1" s="1"/>
  <c r="Q387" i="1"/>
  <c r="R387" i="1"/>
  <c r="S387" i="1"/>
  <c r="U387" i="1" s="1"/>
  <c r="V387" i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I389" i="1"/>
  <c r="J389" i="1"/>
  <c r="K389" i="1"/>
  <c r="L389" i="1"/>
  <c r="M389" i="1"/>
  <c r="N389" i="1"/>
  <c r="O389" i="1"/>
  <c r="P389" i="1"/>
  <c r="T389" i="1" s="1"/>
  <c r="Q389" i="1"/>
  <c r="R389" i="1"/>
  <c r="S389" i="1"/>
  <c r="U389" i="1" s="1"/>
  <c r="V389" i="1"/>
  <c r="I390" i="1"/>
  <c r="J390" i="1"/>
  <c r="K390" i="1"/>
  <c r="L390" i="1"/>
  <c r="M390" i="1"/>
  <c r="N390" i="1"/>
  <c r="O390" i="1"/>
  <c r="P390" i="1"/>
  <c r="T390" i="1" s="1"/>
  <c r="Q390" i="1"/>
  <c r="R390" i="1"/>
  <c r="S390" i="1"/>
  <c r="U390" i="1" s="1"/>
  <c r="V390" i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V391" i="1"/>
  <c r="I392" i="1"/>
  <c r="J392" i="1"/>
  <c r="K392" i="1"/>
  <c r="L392" i="1"/>
  <c r="M392" i="1"/>
  <c r="N392" i="1"/>
  <c r="O392" i="1"/>
  <c r="P392" i="1"/>
  <c r="Q392" i="1"/>
  <c r="R392" i="1"/>
  <c r="S392" i="1"/>
  <c r="U392" i="1" s="1"/>
  <c r="T392" i="1"/>
  <c r="V392" i="1"/>
  <c r="I393" i="1"/>
  <c r="J393" i="1"/>
  <c r="K393" i="1"/>
  <c r="L393" i="1"/>
  <c r="M393" i="1"/>
  <c r="N393" i="1"/>
  <c r="O393" i="1"/>
  <c r="P393" i="1"/>
  <c r="T393" i="1" s="1"/>
  <c r="Q393" i="1"/>
  <c r="R393" i="1"/>
  <c r="S393" i="1"/>
  <c r="U393" i="1" s="1"/>
  <c r="V393" i="1"/>
  <c r="I394" i="1"/>
  <c r="J394" i="1"/>
  <c r="K394" i="1"/>
  <c r="L394" i="1"/>
  <c r="M394" i="1"/>
  <c r="N394" i="1"/>
  <c r="O394" i="1"/>
  <c r="P394" i="1"/>
  <c r="Q394" i="1"/>
  <c r="R394" i="1"/>
  <c r="S394" i="1"/>
  <c r="T394" i="1"/>
  <c r="U394" i="1"/>
  <c r="V394" i="1"/>
  <c r="I395" i="1"/>
  <c r="J395" i="1"/>
  <c r="K395" i="1"/>
  <c r="L395" i="1"/>
  <c r="M395" i="1"/>
  <c r="N395" i="1"/>
  <c r="O395" i="1"/>
  <c r="P395" i="1"/>
  <c r="Q395" i="1"/>
  <c r="R395" i="1"/>
  <c r="S395" i="1"/>
  <c r="U395" i="1" s="1"/>
  <c r="T395" i="1"/>
  <c r="V395" i="1"/>
  <c r="I396" i="1"/>
  <c r="J396" i="1"/>
  <c r="K396" i="1"/>
  <c r="L396" i="1"/>
  <c r="M396" i="1"/>
  <c r="N396" i="1"/>
  <c r="O396" i="1"/>
  <c r="P396" i="1"/>
  <c r="T396" i="1" s="1"/>
  <c r="Q396" i="1"/>
  <c r="R396" i="1"/>
  <c r="S396" i="1"/>
  <c r="U396" i="1" s="1"/>
  <c r="V396" i="1"/>
  <c r="I397" i="1"/>
  <c r="J397" i="1"/>
  <c r="K397" i="1"/>
  <c r="L397" i="1"/>
  <c r="M397" i="1"/>
  <c r="N397" i="1"/>
  <c r="O397" i="1"/>
  <c r="P397" i="1"/>
  <c r="Q397" i="1"/>
  <c r="R397" i="1"/>
  <c r="S397" i="1"/>
  <c r="T397" i="1"/>
  <c r="U397" i="1"/>
  <c r="V397" i="1"/>
  <c r="I398" i="1"/>
  <c r="J398" i="1"/>
  <c r="K398" i="1"/>
  <c r="L398" i="1"/>
  <c r="M398" i="1"/>
  <c r="N398" i="1"/>
  <c r="O398" i="1"/>
  <c r="P398" i="1"/>
  <c r="Q398" i="1"/>
  <c r="R398" i="1"/>
  <c r="S398" i="1"/>
  <c r="U398" i="1" s="1"/>
  <c r="T398" i="1"/>
  <c r="V398" i="1"/>
  <c r="I399" i="1"/>
  <c r="J399" i="1"/>
  <c r="K399" i="1"/>
  <c r="L399" i="1"/>
  <c r="M399" i="1"/>
  <c r="N399" i="1"/>
  <c r="O399" i="1"/>
  <c r="P399" i="1"/>
  <c r="T399" i="1" s="1"/>
  <c r="Q399" i="1"/>
  <c r="R399" i="1"/>
  <c r="S399" i="1"/>
  <c r="U399" i="1" s="1"/>
  <c r="V399" i="1"/>
  <c r="I400" i="1"/>
  <c r="J400" i="1"/>
  <c r="K400" i="1"/>
  <c r="L400" i="1"/>
  <c r="M400" i="1"/>
  <c r="N400" i="1"/>
  <c r="O400" i="1"/>
  <c r="P400" i="1"/>
  <c r="Q400" i="1"/>
  <c r="R400" i="1"/>
  <c r="S400" i="1"/>
  <c r="T400" i="1"/>
  <c r="U400" i="1"/>
  <c r="V400" i="1"/>
  <c r="I401" i="1"/>
  <c r="J401" i="1"/>
  <c r="K401" i="1"/>
  <c r="L401" i="1"/>
  <c r="M401" i="1"/>
  <c r="N401" i="1"/>
  <c r="O401" i="1"/>
  <c r="P401" i="1"/>
  <c r="Q401" i="1"/>
  <c r="R401" i="1"/>
  <c r="S401" i="1"/>
  <c r="U401" i="1" s="1"/>
  <c r="T401" i="1"/>
  <c r="V401" i="1"/>
  <c r="I402" i="1"/>
  <c r="J402" i="1"/>
  <c r="K402" i="1"/>
  <c r="L402" i="1"/>
  <c r="M402" i="1"/>
  <c r="N402" i="1"/>
  <c r="O402" i="1"/>
  <c r="P402" i="1"/>
  <c r="T402" i="1" s="1"/>
  <c r="Q402" i="1"/>
  <c r="R402" i="1"/>
  <c r="S402" i="1"/>
  <c r="U402" i="1" s="1"/>
  <c r="V402" i="1"/>
  <c r="I403" i="1"/>
  <c r="J403" i="1"/>
  <c r="K403" i="1"/>
  <c r="L403" i="1"/>
  <c r="M403" i="1"/>
  <c r="N403" i="1"/>
  <c r="O403" i="1"/>
  <c r="P403" i="1"/>
  <c r="Q403" i="1"/>
  <c r="R403" i="1"/>
  <c r="S403" i="1"/>
  <c r="T403" i="1"/>
  <c r="U403" i="1"/>
  <c r="V403" i="1"/>
  <c r="I404" i="1"/>
  <c r="J404" i="1"/>
  <c r="K404" i="1"/>
  <c r="L404" i="1"/>
  <c r="M404" i="1"/>
  <c r="N404" i="1"/>
  <c r="O404" i="1"/>
  <c r="P404" i="1"/>
  <c r="Q404" i="1"/>
  <c r="R404" i="1"/>
  <c r="S404" i="1"/>
  <c r="U404" i="1" s="1"/>
  <c r="T404" i="1"/>
  <c r="V404" i="1"/>
  <c r="I405" i="1"/>
  <c r="J405" i="1"/>
  <c r="K405" i="1"/>
  <c r="L405" i="1"/>
  <c r="M405" i="1"/>
  <c r="N405" i="1"/>
  <c r="O405" i="1"/>
  <c r="P405" i="1"/>
  <c r="T405" i="1" s="1"/>
  <c r="Q405" i="1"/>
  <c r="R405" i="1"/>
  <c r="S405" i="1"/>
  <c r="U405" i="1" s="1"/>
  <c r="V405" i="1"/>
  <c r="I406" i="1"/>
  <c r="J406" i="1"/>
  <c r="K406" i="1"/>
  <c r="L406" i="1"/>
  <c r="M406" i="1"/>
  <c r="N406" i="1"/>
  <c r="O406" i="1"/>
  <c r="P406" i="1"/>
  <c r="Q406" i="1"/>
  <c r="R406" i="1"/>
  <c r="S406" i="1"/>
  <c r="T406" i="1"/>
  <c r="U406" i="1"/>
  <c r="V406" i="1"/>
  <c r="I407" i="1"/>
  <c r="J407" i="1"/>
  <c r="K407" i="1"/>
  <c r="L407" i="1"/>
  <c r="M407" i="1"/>
  <c r="N407" i="1"/>
  <c r="O407" i="1"/>
  <c r="P407" i="1"/>
  <c r="T407" i="1" s="1"/>
  <c r="Q407" i="1"/>
  <c r="R407" i="1"/>
  <c r="S407" i="1"/>
  <c r="U407" i="1" s="1"/>
  <c r="V407" i="1"/>
  <c r="I408" i="1"/>
  <c r="J408" i="1"/>
  <c r="K408" i="1"/>
  <c r="L408" i="1"/>
  <c r="M408" i="1"/>
  <c r="N408" i="1"/>
  <c r="O408" i="1"/>
  <c r="P408" i="1"/>
  <c r="T408" i="1" s="1"/>
  <c r="Q408" i="1"/>
  <c r="R408" i="1"/>
  <c r="S408" i="1"/>
  <c r="U408" i="1" s="1"/>
  <c r="V408" i="1"/>
  <c r="I409" i="1"/>
  <c r="J409" i="1"/>
  <c r="K409" i="1"/>
  <c r="L409" i="1"/>
  <c r="M409" i="1"/>
  <c r="N409" i="1"/>
  <c r="O409" i="1"/>
  <c r="P409" i="1"/>
  <c r="Q409" i="1"/>
  <c r="R409" i="1"/>
  <c r="S409" i="1"/>
  <c r="T409" i="1"/>
  <c r="U409" i="1"/>
  <c r="V409" i="1"/>
  <c r="I410" i="1"/>
  <c r="J410" i="1"/>
  <c r="K410" i="1"/>
  <c r="L410" i="1"/>
  <c r="M410" i="1"/>
  <c r="N410" i="1"/>
  <c r="O410" i="1"/>
  <c r="P410" i="1"/>
  <c r="T410" i="1" s="1"/>
  <c r="Q410" i="1"/>
  <c r="R410" i="1"/>
  <c r="S410" i="1"/>
  <c r="U410" i="1" s="1"/>
  <c r="V410" i="1"/>
  <c r="I411" i="1"/>
  <c r="J411" i="1"/>
  <c r="K411" i="1"/>
  <c r="L411" i="1"/>
  <c r="M411" i="1"/>
  <c r="N411" i="1"/>
  <c r="O411" i="1"/>
  <c r="P411" i="1"/>
  <c r="T411" i="1" s="1"/>
  <c r="Q411" i="1"/>
  <c r="R411" i="1"/>
  <c r="S411" i="1"/>
  <c r="U411" i="1" s="1"/>
  <c r="V411" i="1"/>
  <c r="I412" i="1"/>
  <c r="J412" i="1"/>
  <c r="K412" i="1"/>
  <c r="L412" i="1"/>
  <c r="M412" i="1"/>
  <c r="N412" i="1"/>
  <c r="O412" i="1"/>
  <c r="P412" i="1"/>
  <c r="Q412" i="1"/>
  <c r="R412" i="1"/>
  <c r="S412" i="1"/>
  <c r="T412" i="1"/>
  <c r="U412" i="1"/>
  <c r="V412" i="1"/>
  <c r="I413" i="1"/>
  <c r="J413" i="1"/>
  <c r="K413" i="1"/>
  <c r="L413" i="1"/>
  <c r="M413" i="1"/>
  <c r="N413" i="1"/>
  <c r="O413" i="1"/>
  <c r="P413" i="1"/>
  <c r="T413" i="1" s="1"/>
  <c r="Q413" i="1"/>
  <c r="R413" i="1"/>
  <c r="S413" i="1"/>
  <c r="U413" i="1" s="1"/>
  <c r="V413" i="1"/>
  <c r="I414" i="1"/>
  <c r="J414" i="1"/>
  <c r="K414" i="1"/>
  <c r="L414" i="1"/>
  <c r="M414" i="1"/>
  <c r="N414" i="1"/>
  <c r="O414" i="1"/>
  <c r="P414" i="1"/>
  <c r="T414" i="1" s="1"/>
  <c r="Q414" i="1"/>
  <c r="R414" i="1"/>
  <c r="S414" i="1"/>
  <c r="U414" i="1" s="1"/>
  <c r="V414" i="1"/>
  <c r="I415" i="1"/>
  <c r="J415" i="1"/>
  <c r="K415" i="1"/>
  <c r="L415" i="1"/>
  <c r="M415" i="1"/>
  <c r="N415" i="1"/>
  <c r="O415" i="1"/>
  <c r="P415" i="1"/>
  <c r="Q415" i="1"/>
  <c r="R415" i="1"/>
  <c r="S415" i="1"/>
  <c r="T415" i="1"/>
  <c r="U415" i="1"/>
  <c r="V415" i="1"/>
  <c r="I416" i="1"/>
  <c r="J416" i="1"/>
  <c r="K416" i="1"/>
  <c r="L416" i="1"/>
  <c r="M416" i="1"/>
  <c r="N416" i="1"/>
  <c r="O416" i="1"/>
  <c r="P416" i="1"/>
  <c r="T416" i="1" s="1"/>
  <c r="Q416" i="1"/>
  <c r="R416" i="1"/>
  <c r="S416" i="1"/>
  <c r="U416" i="1" s="1"/>
  <c r="V416" i="1"/>
  <c r="I417" i="1"/>
  <c r="J417" i="1"/>
  <c r="K417" i="1"/>
  <c r="L417" i="1"/>
  <c r="M417" i="1"/>
  <c r="N417" i="1"/>
  <c r="O417" i="1"/>
  <c r="P417" i="1"/>
  <c r="T417" i="1" s="1"/>
  <c r="Q417" i="1"/>
  <c r="R417" i="1"/>
  <c r="S417" i="1"/>
  <c r="U417" i="1" s="1"/>
  <c r="V417" i="1"/>
  <c r="I418" i="1"/>
  <c r="J418" i="1"/>
  <c r="K418" i="1"/>
  <c r="L418" i="1"/>
  <c r="M418" i="1"/>
  <c r="N418" i="1"/>
  <c r="O418" i="1"/>
  <c r="P418" i="1"/>
  <c r="Q418" i="1"/>
  <c r="R418" i="1"/>
  <c r="S418" i="1"/>
  <c r="T418" i="1"/>
  <c r="U418" i="1"/>
  <c r="V418" i="1"/>
  <c r="I419" i="1"/>
  <c r="J419" i="1"/>
  <c r="K419" i="1"/>
  <c r="L419" i="1"/>
  <c r="M419" i="1"/>
  <c r="N419" i="1"/>
  <c r="O419" i="1"/>
  <c r="P419" i="1"/>
  <c r="T419" i="1" s="1"/>
  <c r="Q419" i="1"/>
  <c r="R419" i="1"/>
  <c r="S419" i="1"/>
  <c r="U419" i="1" s="1"/>
  <c r="V419" i="1"/>
  <c r="I420" i="1"/>
  <c r="J420" i="1"/>
  <c r="K420" i="1"/>
  <c r="L420" i="1"/>
  <c r="M420" i="1"/>
  <c r="N420" i="1"/>
  <c r="O420" i="1"/>
  <c r="P420" i="1"/>
  <c r="T420" i="1" s="1"/>
  <c r="Q420" i="1"/>
  <c r="R420" i="1"/>
  <c r="S420" i="1"/>
  <c r="U420" i="1" s="1"/>
  <c r="V420" i="1"/>
  <c r="I421" i="1"/>
  <c r="J421" i="1"/>
  <c r="K421" i="1"/>
  <c r="L421" i="1"/>
  <c r="M421" i="1"/>
  <c r="N421" i="1"/>
  <c r="O421" i="1"/>
  <c r="P421" i="1"/>
  <c r="Q421" i="1"/>
  <c r="R421" i="1"/>
  <c r="S421" i="1"/>
  <c r="T421" i="1"/>
  <c r="U421" i="1"/>
  <c r="V421" i="1"/>
  <c r="I422" i="1"/>
  <c r="J422" i="1"/>
  <c r="K422" i="1"/>
  <c r="L422" i="1"/>
  <c r="M422" i="1"/>
  <c r="N422" i="1"/>
  <c r="O422" i="1"/>
  <c r="P422" i="1"/>
  <c r="Q422" i="1"/>
  <c r="R422" i="1"/>
  <c r="S422" i="1"/>
  <c r="U422" i="1" s="1"/>
  <c r="T422" i="1"/>
  <c r="V422" i="1"/>
  <c r="I423" i="1"/>
  <c r="J423" i="1"/>
  <c r="K423" i="1"/>
  <c r="L423" i="1"/>
  <c r="M423" i="1"/>
  <c r="N423" i="1"/>
  <c r="O423" i="1"/>
  <c r="P423" i="1"/>
  <c r="T423" i="1" s="1"/>
  <c r="Q423" i="1"/>
  <c r="R423" i="1"/>
  <c r="S423" i="1"/>
  <c r="U423" i="1" s="1"/>
  <c r="V423" i="1"/>
  <c r="I424" i="1"/>
  <c r="J424" i="1"/>
  <c r="K424" i="1"/>
  <c r="L424" i="1"/>
  <c r="M424" i="1"/>
  <c r="N424" i="1"/>
  <c r="O424" i="1"/>
  <c r="P424" i="1"/>
  <c r="Q424" i="1"/>
  <c r="R424" i="1"/>
  <c r="S424" i="1"/>
  <c r="T424" i="1"/>
  <c r="U424" i="1"/>
  <c r="V424" i="1"/>
  <c r="I425" i="1"/>
  <c r="J425" i="1"/>
  <c r="K425" i="1"/>
  <c r="L425" i="1"/>
  <c r="M425" i="1"/>
  <c r="N425" i="1"/>
  <c r="O425" i="1"/>
  <c r="P425" i="1"/>
  <c r="T425" i="1" s="1"/>
  <c r="Q425" i="1"/>
  <c r="R425" i="1"/>
  <c r="S425" i="1"/>
  <c r="U425" i="1" s="1"/>
  <c r="V425" i="1"/>
  <c r="I426" i="1"/>
  <c r="J426" i="1"/>
  <c r="K426" i="1"/>
  <c r="L426" i="1"/>
  <c r="M426" i="1"/>
  <c r="N426" i="1"/>
  <c r="O426" i="1"/>
  <c r="P426" i="1"/>
  <c r="T426" i="1" s="1"/>
  <c r="Q426" i="1"/>
  <c r="R426" i="1"/>
  <c r="S426" i="1"/>
  <c r="U426" i="1" s="1"/>
  <c r="V426" i="1"/>
  <c r="I427" i="1"/>
  <c r="J427" i="1"/>
  <c r="K427" i="1"/>
  <c r="L427" i="1"/>
  <c r="M427" i="1"/>
  <c r="N427" i="1"/>
  <c r="O427" i="1"/>
  <c r="P427" i="1"/>
  <c r="Q427" i="1"/>
  <c r="R427" i="1"/>
  <c r="S427" i="1"/>
  <c r="T427" i="1"/>
  <c r="U427" i="1"/>
  <c r="V427" i="1"/>
  <c r="I428" i="1"/>
  <c r="J428" i="1"/>
  <c r="K428" i="1"/>
  <c r="L428" i="1"/>
  <c r="M428" i="1"/>
  <c r="N428" i="1"/>
  <c r="O428" i="1"/>
  <c r="P428" i="1"/>
  <c r="T428" i="1" s="1"/>
  <c r="Q428" i="1"/>
  <c r="R428" i="1"/>
  <c r="S428" i="1"/>
  <c r="U428" i="1" s="1"/>
  <c r="V428" i="1"/>
  <c r="I429" i="1"/>
  <c r="J429" i="1"/>
  <c r="K429" i="1"/>
  <c r="L429" i="1"/>
  <c r="M429" i="1"/>
  <c r="N429" i="1"/>
  <c r="O429" i="1"/>
  <c r="P429" i="1"/>
  <c r="T429" i="1" s="1"/>
  <c r="Q429" i="1"/>
  <c r="R429" i="1"/>
  <c r="S429" i="1"/>
  <c r="U429" i="1" s="1"/>
  <c r="V429" i="1"/>
  <c r="I430" i="1"/>
  <c r="J430" i="1"/>
  <c r="K430" i="1"/>
  <c r="L430" i="1"/>
  <c r="M430" i="1"/>
  <c r="N430" i="1"/>
  <c r="O430" i="1"/>
  <c r="P430" i="1"/>
  <c r="Q430" i="1"/>
  <c r="R430" i="1"/>
  <c r="S430" i="1"/>
  <c r="T430" i="1"/>
  <c r="U430" i="1"/>
  <c r="V430" i="1"/>
  <c r="I431" i="1"/>
  <c r="J431" i="1"/>
  <c r="K431" i="1"/>
  <c r="L431" i="1"/>
  <c r="M431" i="1"/>
  <c r="N431" i="1"/>
  <c r="O431" i="1"/>
  <c r="P431" i="1"/>
  <c r="T431" i="1" s="1"/>
  <c r="Q431" i="1"/>
  <c r="R431" i="1"/>
  <c r="S431" i="1"/>
  <c r="U431" i="1" s="1"/>
  <c r="V431" i="1"/>
  <c r="I432" i="1"/>
  <c r="J432" i="1"/>
  <c r="K432" i="1"/>
  <c r="L432" i="1"/>
  <c r="M432" i="1"/>
  <c r="N432" i="1"/>
  <c r="O432" i="1"/>
  <c r="P432" i="1"/>
  <c r="T432" i="1" s="1"/>
  <c r="Q432" i="1"/>
  <c r="R432" i="1"/>
  <c r="S432" i="1"/>
  <c r="U432" i="1" s="1"/>
  <c r="V432" i="1"/>
  <c r="I433" i="1"/>
  <c r="J433" i="1"/>
  <c r="K433" i="1"/>
  <c r="L433" i="1"/>
  <c r="M433" i="1"/>
  <c r="N433" i="1"/>
  <c r="O433" i="1"/>
  <c r="P433" i="1"/>
  <c r="Q433" i="1"/>
  <c r="R433" i="1"/>
  <c r="S433" i="1"/>
  <c r="T433" i="1"/>
  <c r="U433" i="1"/>
  <c r="V433" i="1"/>
  <c r="I434" i="1"/>
  <c r="J434" i="1"/>
  <c r="K434" i="1"/>
  <c r="L434" i="1"/>
  <c r="M434" i="1"/>
  <c r="N434" i="1"/>
  <c r="O434" i="1"/>
  <c r="P434" i="1"/>
  <c r="T434" i="1" s="1"/>
  <c r="Q434" i="1"/>
  <c r="R434" i="1"/>
  <c r="S434" i="1"/>
  <c r="U434" i="1" s="1"/>
  <c r="V434" i="1"/>
  <c r="I435" i="1"/>
  <c r="J435" i="1"/>
  <c r="K435" i="1"/>
  <c r="L435" i="1"/>
  <c r="M435" i="1"/>
  <c r="N435" i="1"/>
  <c r="O435" i="1"/>
  <c r="P435" i="1"/>
  <c r="T435" i="1" s="1"/>
  <c r="Q435" i="1"/>
  <c r="R435" i="1"/>
  <c r="S435" i="1"/>
  <c r="U435" i="1" s="1"/>
  <c r="V435" i="1"/>
  <c r="I436" i="1"/>
  <c r="J436" i="1"/>
  <c r="K436" i="1"/>
  <c r="L436" i="1"/>
  <c r="M436" i="1"/>
  <c r="N436" i="1"/>
  <c r="O436" i="1"/>
  <c r="P436" i="1"/>
  <c r="Q436" i="1"/>
  <c r="R436" i="1"/>
  <c r="S436" i="1"/>
  <c r="T436" i="1"/>
  <c r="U436" i="1"/>
  <c r="V436" i="1"/>
  <c r="I437" i="1"/>
  <c r="J437" i="1"/>
  <c r="K437" i="1"/>
  <c r="L437" i="1"/>
  <c r="M437" i="1"/>
  <c r="N437" i="1"/>
  <c r="O437" i="1"/>
  <c r="P437" i="1"/>
  <c r="T437" i="1" s="1"/>
  <c r="Q437" i="1"/>
  <c r="R437" i="1"/>
  <c r="S437" i="1"/>
  <c r="U437" i="1" s="1"/>
  <c r="V437" i="1"/>
  <c r="I438" i="1"/>
  <c r="J438" i="1"/>
  <c r="K438" i="1"/>
  <c r="L438" i="1"/>
  <c r="M438" i="1"/>
  <c r="N438" i="1"/>
  <c r="O438" i="1"/>
  <c r="P438" i="1"/>
  <c r="T438" i="1" s="1"/>
  <c r="Q438" i="1"/>
  <c r="R438" i="1"/>
  <c r="S438" i="1"/>
  <c r="U438" i="1" s="1"/>
  <c r="V438" i="1"/>
  <c r="I439" i="1"/>
  <c r="J439" i="1"/>
  <c r="K439" i="1"/>
  <c r="L439" i="1"/>
  <c r="M439" i="1"/>
  <c r="N439" i="1"/>
  <c r="O439" i="1"/>
  <c r="P439" i="1"/>
  <c r="Q439" i="1"/>
  <c r="R439" i="1"/>
  <c r="S439" i="1"/>
  <c r="T439" i="1"/>
  <c r="U439" i="1"/>
  <c r="V439" i="1"/>
  <c r="I440" i="1"/>
  <c r="J440" i="1"/>
  <c r="K440" i="1"/>
  <c r="L440" i="1"/>
  <c r="M440" i="1"/>
  <c r="N440" i="1"/>
  <c r="O440" i="1"/>
  <c r="P440" i="1"/>
  <c r="T440" i="1" s="1"/>
  <c r="Q440" i="1"/>
  <c r="R440" i="1"/>
  <c r="S440" i="1"/>
  <c r="U440" i="1" s="1"/>
  <c r="V440" i="1"/>
  <c r="I441" i="1"/>
  <c r="J441" i="1"/>
  <c r="K441" i="1"/>
  <c r="L441" i="1"/>
  <c r="M441" i="1"/>
  <c r="N441" i="1"/>
  <c r="O441" i="1"/>
  <c r="P441" i="1"/>
  <c r="T441" i="1" s="1"/>
  <c r="Q441" i="1"/>
  <c r="R441" i="1"/>
  <c r="S441" i="1"/>
  <c r="U441" i="1" s="1"/>
  <c r="V441" i="1"/>
  <c r="I442" i="1"/>
  <c r="J442" i="1"/>
  <c r="K442" i="1"/>
  <c r="L442" i="1"/>
  <c r="M442" i="1"/>
  <c r="N442" i="1"/>
  <c r="O442" i="1"/>
  <c r="P442" i="1"/>
  <c r="Q442" i="1"/>
  <c r="R442" i="1"/>
  <c r="S442" i="1"/>
  <c r="T442" i="1"/>
  <c r="U442" i="1"/>
  <c r="V442" i="1"/>
  <c r="I443" i="1"/>
  <c r="J443" i="1"/>
  <c r="K443" i="1"/>
  <c r="L443" i="1"/>
  <c r="M443" i="1"/>
  <c r="N443" i="1"/>
  <c r="O443" i="1"/>
  <c r="P443" i="1"/>
  <c r="T443" i="1" s="1"/>
  <c r="Q443" i="1"/>
  <c r="R443" i="1"/>
  <c r="S443" i="1"/>
  <c r="U443" i="1" s="1"/>
  <c r="V443" i="1"/>
  <c r="I444" i="1"/>
  <c r="J444" i="1"/>
  <c r="K444" i="1"/>
  <c r="L444" i="1"/>
  <c r="M444" i="1"/>
  <c r="N444" i="1"/>
  <c r="O444" i="1"/>
  <c r="P444" i="1"/>
  <c r="T444" i="1" s="1"/>
  <c r="Q444" i="1"/>
  <c r="R444" i="1"/>
  <c r="S444" i="1"/>
  <c r="U444" i="1" s="1"/>
  <c r="V444" i="1"/>
  <c r="I445" i="1"/>
  <c r="J445" i="1"/>
  <c r="K445" i="1"/>
  <c r="L445" i="1"/>
  <c r="M445" i="1"/>
  <c r="N445" i="1"/>
  <c r="O445" i="1"/>
  <c r="P445" i="1"/>
  <c r="Q445" i="1"/>
  <c r="R445" i="1"/>
  <c r="S445" i="1"/>
  <c r="T445" i="1"/>
  <c r="U445" i="1"/>
  <c r="V445" i="1"/>
  <c r="I446" i="1"/>
  <c r="J446" i="1"/>
  <c r="K446" i="1"/>
  <c r="L446" i="1"/>
  <c r="M446" i="1"/>
  <c r="N446" i="1"/>
  <c r="O446" i="1"/>
  <c r="P446" i="1"/>
  <c r="T446" i="1" s="1"/>
  <c r="Q446" i="1"/>
  <c r="R446" i="1"/>
  <c r="S446" i="1"/>
  <c r="U446" i="1" s="1"/>
  <c r="V446" i="1"/>
  <c r="I447" i="1"/>
  <c r="J447" i="1"/>
  <c r="K447" i="1"/>
  <c r="L447" i="1"/>
  <c r="M447" i="1"/>
  <c r="N447" i="1"/>
  <c r="O447" i="1"/>
  <c r="P447" i="1"/>
  <c r="T447" i="1" s="1"/>
  <c r="Q447" i="1"/>
  <c r="R447" i="1"/>
  <c r="S447" i="1"/>
  <c r="U447" i="1" s="1"/>
  <c r="V447" i="1"/>
  <c r="I448" i="1"/>
  <c r="J448" i="1"/>
  <c r="K448" i="1"/>
  <c r="L448" i="1"/>
  <c r="M448" i="1"/>
  <c r="N448" i="1"/>
  <c r="O448" i="1"/>
  <c r="P448" i="1"/>
  <c r="Q448" i="1"/>
  <c r="R448" i="1"/>
  <c r="S448" i="1"/>
  <c r="T448" i="1"/>
  <c r="U448" i="1"/>
  <c r="V448" i="1"/>
  <c r="I449" i="1"/>
  <c r="J449" i="1"/>
  <c r="K449" i="1"/>
  <c r="L449" i="1"/>
  <c r="M449" i="1"/>
  <c r="N449" i="1"/>
  <c r="O449" i="1"/>
  <c r="P449" i="1"/>
  <c r="T449" i="1" s="1"/>
  <c r="Q449" i="1"/>
  <c r="R449" i="1"/>
  <c r="S449" i="1"/>
  <c r="U449" i="1" s="1"/>
  <c r="V449" i="1"/>
  <c r="I450" i="1"/>
  <c r="J450" i="1"/>
  <c r="K450" i="1"/>
  <c r="L450" i="1"/>
  <c r="M450" i="1"/>
  <c r="N450" i="1"/>
  <c r="O450" i="1"/>
  <c r="P450" i="1"/>
  <c r="T450" i="1" s="1"/>
  <c r="Q450" i="1"/>
  <c r="R450" i="1"/>
  <c r="S450" i="1"/>
  <c r="U450" i="1" s="1"/>
  <c r="V450" i="1"/>
  <c r="I451" i="1"/>
  <c r="J451" i="1"/>
  <c r="K451" i="1"/>
  <c r="L451" i="1"/>
  <c r="M451" i="1"/>
  <c r="N451" i="1"/>
  <c r="O451" i="1"/>
  <c r="P451" i="1"/>
  <c r="Q451" i="1"/>
  <c r="R451" i="1"/>
  <c r="S451" i="1"/>
  <c r="T451" i="1"/>
  <c r="U451" i="1"/>
  <c r="V451" i="1"/>
  <c r="I452" i="1"/>
  <c r="J452" i="1"/>
  <c r="K452" i="1"/>
  <c r="L452" i="1"/>
  <c r="M452" i="1"/>
  <c r="N452" i="1"/>
  <c r="O452" i="1"/>
  <c r="P452" i="1"/>
  <c r="T452" i="1" s="1"/>
  <c r="Q452" i="1"/>
  <c r="R452" i="1"/>
  <c r="S452" i="1"/>
  <c r="U452" i="1" s="1"/>
  <c r="V452" i="1"/>
  <c r="I453" i="1"/>
  <c r="J453" i="1"/>
  <c r="K453" i="1"/>
  <c r="L453" i="1"/>
  <c r="M453" i="1"/>
  <c r="N453" i="1"/>
  <c r="O453" i="1"/>
  <c r="P453" i="1"/>
  <c r="T453" i="1" s="1"/>
  <c r="Q453" i="1"/>
  <c r="R453" i="1"/>
  <c r="S453" i="1"/>
  <c r="U453" i="1" s="1"/>
  <c r="V453" i="1"/>
  <c r="I454" i="1"/>
  <c r="J454" i="1"/>
  <c r="K454" i="1"/>
  <c r="L454" i="1"/>
  <c r="M454" i="1"/>
  <c r="N454" i="1"/>
  <c r="O454" i="1"/>
  <c r="P454" i="1"/>
  <c r="Q454" i="1"/>
  <c r="R454" i="1"/>
  <c r="S454" i="1"/>
  <c r="T454" i="1"/>
  <c r="U454" i="1"/>
  <c r="V454" i="1"/>
  <c r="I455" i="1"/>
  <c r="J455" i="1"/>
  <c r="K455" i="1"/>
  <c r="L455" i="1"/>
  <c r="M455" i="1"/>
  <c r="N455" i="1"/>
  <c r="O455" i="1"/>
  <c r="P455" i="1"/>
  <c r="Q455" i="1"/>
  <c r="R455" i="1"/>
  <c r="S455" i="1"/>
  <c r="U455" i="1" s="1"/>
  <c r="T455" i="1"/>
  <c r="V455" i="1"/>
  <c r="I456" i="1"/>
  <c r="J456" i="1"/>
  <c r="K456" i="1"/>
  <c r="L456" i="1"/>
  <c r="M456" i="1"/>
  <c r="N456" i="1"/>
  <c r="O456" i="1"/>
  <c r="P456" i="1"/>
  <c r="T456" i="1" s="1"/>
  <c r="Q456" i="1"/>
  <c r="R456" i="1"/>
  <c r="S456" i="1"/>
  <c r="U456" i="1" s="1"/>
  <c r="V456" i="1"/>
  <c r="I457" i="1"/>
  <c r="J457" i="1"/>
  <c r="K457" i="1"/>
  <c r="L457" i="1"/>
  <c r="M457" i="1"/>
  <c r="N457" i="1"/>
  <c r="O457" i="1"/>
  <c r="P457" i="1"/>
  <c r="Q457" i="1"/>
  <c r="R457" i="1"/>
  <c r="S457" i="1"/>
  <c r="T457" i="1"/>
  <c r="U457" i="1"/>
  <c r="V457" i="1"/>
  <c r="I458" i="1"/>
  <c r="J458" i="1"/>
  <c r="K458" i="1"/>
  <c r="L458" i="1"/>
  <c r="M458" i="1"/>
  <c r="N458" i="1"/>
  <c r="O458" i="1"/>
  <c r="P458" i="1"/>
  <c r="Q458" i="1"/>
  <c r="R458" i="1"/>
  <c r="S458" i="1"/>
  <c r="U458" i="1" s="1"/>
  <c r="T458" i="1"/>
  <c r="V458" i="1"/>
  <c r="I459" i="1"/>
  <c r="J459" i="1"/>
  <c r="K459" i="1"/>
  <c r="L459" i="1"/>
  <c r="M459" i="1"/>
  <c r="N459" i="1"/>
  <c r="O459" i="1"/>
  <c r="P459" i="1"/>
  <c r="T459" i="1" s="1"/>
  <c r="Q459" i="1"/>
  <c r="R459" i="1"/>
  <c r="S459" i="1"/>
  <c r="U459" i="1" s="1"/>
  <c r="V459" i="1"/>
  <c r="I460" i="1"/>
  <c r="J460" i="1"/>
  <c r="K460" i="1"/>
  <c r="L460" i="1"/>
  <c r="M460" i="1"/>
  <c r="N460" i="1"/>
  <c r="O460" i="1"/>
  <c r="P460" i="1"/>
  <c r="Q460" i="1"/>
  <c r="R460" i="1"/>
  <c r="S460" i="1"/>
  <c r="T460" i="1"/>
  <c r="U460" i="1"/>
  <c r="V460" i="1"/>
  <c r="I461" i="1"/>
  <c r="J461" i="1"/>
  <c r="K461" i="1"/>
  <c r="L461" i="1"/>
  <c r="M461" i="1"/>
  <c r="N461" i="1"/>
  <c r="O461" i="1"/>
  <c r="P461" i="1"/>
  <c r="Q461" i="1"/>
  <c r="R461" i="1"/>
  <c r="S461" i="1"/>
  <c r="U461" i="1" s="1"/>
  <c r="T461" i="1"/>
  <c r="V461" i="1"/>
  <c r="I462" i="1"/>
  <c r="J462" i="1"/>
  <c r="V462" i="1" s="1"/>
  <c r="K462" i="1"/>
  <c r="L462" i="1"/>
  <c r="M462" i="1"/>
  <c r="N462" i="1"/>
  <c r="O462" i="1"/>
  <c r="P462" i="1"/>
  <c r="T462" i="1" s="1"/>
  <c r="Q462" i="1"/>
  <c r="R462" i="1"/>
  <c r="S462" i="1"/>
  <c r="U462" i="1" s="1"/>
  <c r="I463" i="1"/>
  <c r="J463" i="1"/>
  <c r="K463" i="1"/>
  <c r="L463" i="1"/>
  <c r="M463" i="1"/>
  <c r="N463" i="1"/>
  <c r="O463" i="1"/>
  <c r="P463" i="1"/>
  <c r="Q463" i="1"/>
  <c r="R463" i="1"/>
  <c r="S463" i="1"/>
  <c r="T463" i="1"/>
  <c r="U463" i="1"/>
  <c r="V463" i="1"/>
  <c r="I464" i="1"/>
  <c r="J464" i="1"/>
  <c r="K464" i="1"/>
  <c r="L464" i="1"/>
  <c r="M464" i="1"/>
  <c r="N464" i="1"/>
  <c r="O464" i="1"/>
  <c r="P464" i="1"/>
  <c r="Q464" i="1"/>
  <c r="R464" i="1"/>
  <c r="S464" i="1"/>
  <c r="U464" i="1" s="1"/>
  <c r="T464" i="1"/>
  <c r="V464" i="1"/>
  <c r="I465" i="1"/>
  <c r="J465" i="1"/>
  <c r="K465" i="1"/>
  <c r="L465" i="1"/>
  <c r="M465" i="1"/>
  <c r="N465" i="1"/>
  <c r="O465" i="1"/>
  <c r="P465" i="1"/>
  <c r="T465" i="1" s="1"/>
  <c r="Q465" i="1"/>
  <c r="R465" i="1"/>
  <c r="S465" i="1"/>
  <c r="U465" i="1" s="1"/>
  <c r="V465" i="1"/>
  <c r="I466" i="1"/>
  <c r="J466" i="1"/>
  <c r="K466" i="1"/>
  <c r="L466" i="1"/>
  <c r="M466" i="1"/>
  <c r="N466" i="1"/>
  <c r="O466" i="1"/>
  <c r="P466" i="1"/>
  <c r="Q466" i="1"/>
  <c r="R466" i="1"/>
  <c r="S466" i="1"/>
  <c r="T466" i="1"/>
  <c r="U466" i="1"/>
  <c r="V466" i="1"/>
  <c r="I467" i="1"/>
  <c r="J467" i="1"/>
  <c r="K467" i="1"/>
  <c r="L467" i="1"/>
  <c r="M467" i="1"/>
  <c r="N467" i="1"/>
  <c r="O467" i="1"/>
  <c r="P467" i="1"/>
  <c r="Q467" i="1"/>
  <c r="R467" i="1"/>
  <c r="S467" i="1"/>
  <c r="U467" i="1" s="1"/>
  <c r="T467" i="1"/>
  <c r="V467" i="1"/>
  <c r="I468" i="1"/>
  <c r="J468" i="1"/>
  <c r="K468" i="1"/>
  <c r="L468" i="1"/>
  <c r="M468" i="1"/>
  <c r="N468" i="1"/>
  <c r="O468" i="1"/>
  <c r="P468" i="1"/>
  <c r="T468" i="1" s="1"/>
  <c r="Q468" i="1"/>
  <c r="R468" i="1"/>
  <c r="S468" i="1"/>
  <c r="U468" i="1" s="1"/>
  <c r="V468" i="1"/>
  <c r="I469" i="1"/>
  <c r="J469" i="1"/>
  <c r="K469" i="1"/>
  <c r="L469" i="1"/>
  <c r="M469" i="1"/>
  <c r="N469" i="1"/>
  <c r="O469" i="1"/>
  <c r="P469" i="1"/>
  <c r="Q469" i="1"/>
  <c r="R469" i="1"/>
  <c r="S469" i="1"/>
  <c r="T469" i="1"/>
  <c r="U469" i="1"/>
  <c r="V469" i="1"/>
  <c r="I470" i="1"/>
  <c r="J470" i="1"/>
  <c r="K470" i="1"/>
  <c r="L470" i="1"/>
  <c r="M470" i="1"/>
  <c r="N470" i="1"/>
  <c r="O470" i="1"/>
  <c r="P470" i="1"/>
  <c r="Q470" i="1"/>
  <c r="R470" i="1"/>
  <c r="S470" i="1"/>
  <c r="U470" i="1" s="1"/>
  <c r="T470" i="1"/>
  <c r="V470" i="1"/>
  <c r="I471" i="1"/>
  <c r="J471" i="1"/>
  <c r="K471" i="1"/>
  <c r="L471" i="1"/>
  <c r="M471" i="1"/>
  <c r="N471" i="1"/>
  <c r="O471" i="1"/>
  <c r="P471" i="1"/>
  <c r="T471" i="1" s="1"/>
  <c r="Q471" i="1"/>
  <c r="R471" i="1"/>
  <c r="S471" i="1"/>
  <c r="U471" i="1" s="1"/>
  <c r="V471" i="1"/>
  <c r="I472" i="1"/>
  <c r="J472" i="1"/>
  <c r="K472" i="1"/>
  <c r="L472" i="1"/>
  <c r="M472" i="1"/>
  <c r="N472" i="1"/>
  <c r="O472" i="1"/>
  <c r="P472" i="1"/>
  <c r="Q472" i="1"/>
  <c r="R472" i="1"/>
  <c r="S472" i="1"/>
  <c r="T472" i="1"/>
  <c r="U472" i="1"/>
  <c r="V472" i="1"/>
  <c r="I473" i="1"/>
  <c r="J473" i="1"/>
  <c r="K473" i="1"/>
  <c r="L473" i="1"/>
  <c r="M473" i="1"/>
  <c r="N473" i="1"/>
  <c r="O473" i="1"/>
  <c r="P473" i="1"/>
  <c r="Q473" i="1"/>
  <c r="R473" i="1"/>
  <c r="S473" i="1"/>
  <c r="U473" i="1" s="1"/>
  <c r="T473" i="1"/>
  <c r="V473" i="1"/>
  <c r="I474" i="1"/>
  <c r="J474" i="1"/>
  <c r="K474" i="1"/>
  <c r="L474" i="1"/>
  <c r="M474" i="1"/>
  <c r="N474" i="1"/>
  <c r="O474" i="1"/>
  <c r="P474" i="1"/>
  <c r="T474" i="1" s="1"/>
  <c r="Q474" i="1"/>
  <c r="R474" i="1"/>
  <c r="S474" i="1"/>
  <c r="U474" i="1" s="1"/>
  <c r="V474" i="1"/>
  <c r="I475" i="1"/>
  <c r="J475" i="1"/>
  <c r="K475" i="1"/>
  <c r="L475" i="1"/>
  <c r="M475" i="1"/>
  <c r="N475" i="1"/>
  <c r="O475" i="1"/>
  <c r="P475" i="1"/>
  <c r="Q475" i="1"/>
  <c r="R475" i="1"/>
  <c r="S475" i="1"/>
  <c r="T475" i="1"/>
  <c r="U475" i="1"/>
  <c r="V475" i="1"/>
  <c r="I476" i="1"/>
  <c r="J476" i="1"/>
  <c r="K476" i="1"/>
  <c r="L476" i="1"/>
  <c r="M476" i="1"/>
  <c r="N476" i="1"/>
  <c r="O476" i="1"/>
  <c r="P476" i="1"/>
  <c r="Q476" i="1"/>
  <c r="R476" i="1"/>
  <c r="S476" i="1"/>
  <c r="U476" i="1" s="1"/>
  <c r="T476" i="1"/>
  <c r="V476" i="1"/>
  <c r="I477" i="1"/>
  <c r="J477" i="1"/>
  <c r="K477" i="1"/>
  <c r="L477" i="1"/>
  <c r="M477" i="1"/>
  <c r="N477" i="1"/>
  <c r="O477" i="1"/>
  <c r="P477" i="1"/>
  <c r="T477" i="1" s="1"/>
  <c r="Q477" i="1"/>
  <c r="R477" i="1"/>
  <c r="S477" i="1"/>
  <c r="U477" i="1" s="1"/>
  <c r="V477" i="1"/>
  <c r="I478" i="1"/>
  <c r="J478" i="1"/>
  <c r="K478" i="1"/>
  <c r="L478" i="1"/>
  <c r="M478" i="1"/>
  <c r="N478" i="1"/>
  <c r="O478" i="1"/>
  <c r="P478" i="1"/>
  <c r="Q478" i="1"/>
  <c r="R478" i="1"/>
  <c r="S478" i="1"/>
  <c r="T478" i="1"/>
  <c r="U478" i="1"/>
  <c r="V478" i="1"/>
  <c r="I479" i="1"/>
  <c r="J479" i="1"/>
  <c r="K479" i="1"/>
  <c r="L479" i="1"/>
  <c r="M479" i="1"/>
  <c r="N479" i="1"/>
  <c r="O479" i="1"/>
  <c r="P479" i="1"/>
  <c r="Q479" i="1"/>
  <c r="R479" i="1"/>
  <c r="S479" i="1"/>
  <c r="U479" i="1" s="1"/>
  <c r="T479" i="1"/>
  <c r="V479" i="1"/>
  <c r="I480" i="1"/>
  <c r="J480" i="1"/>
  <c r="K480" i="1"/>
  <c r="L480" i="1"/>
  <c r="M480" i="1"/>
  <c r="N480" i="1"/>
  <c r="O480" i="1"/>
  <c r="P480" i="1"/>
  <c r="T480" i="1" s="1"/>
  <c r="Q480" i="1"/>
  <c r="R480" i="1"/>
  <c r="S480" i="1"/>
  <c r="U480" i="1" s="1"/>
  <c r="V480" i="1"/>
  <c r="I481" i="1"/>
  <c r="J481" i="1"/>
  <c r="K481" i="1"/>
  <c r="L481" i="1"/>
  <c r="M481" i="1"/>
  <c r="N481" i="1"/>
  <c r="O481" i="1"/>
  <c r="P481" i="1"/>
  <c r="Q481" i="1"/>
  <c r="R481" i="1"/>
  <c r="S481" i="1"/>
  <c r="T481" i="1"/>
  <c r="U481" i="1"/>
  <c r="V481" i="1"/>
  <c r="I482" i="1"/>
  <c r="J482" i="1"/>
  <c r="K482" i="1"/>
  <c r="L482" i="1"/>
  <c r="M482" i="1"/>
  <c r="N482" i="1"/>
  <c r="O482" i="1"/>
  <c r="P482" i="1"/>
  <c r="Q482" i="1"/>
  <c r="R482" i="1"/>
  <c r="S482" i="1"/>
  <c r="U482" i="1" s="1"/>
  <c r="T482" i="1"/>
  <c r="V482" i="1"/>
  <c r="I483" i="1"/>
  <c r="J483" i="1"/>
  <c r="K483" i="1"/>
  <c r="L483" i="1"/>
  <c r="M483" i="1"/>
  <c r="N483" i="1"/>
  <c r="O483" i="1"/>
  <c r="P483" i="1"/>
  <c r="T483" i="1" s="1"/>
  <c r="Q483" i="1"/>
  <c r="R483" i="1"/>
  <c r="S483" i="1"/>
  <c r="U483" i="1" s="1"/>
  <c r="V483" i="1"/>
  <c r="I484" i="1"/>
  <c r="J484" i="1"/>
  <c r="K484" i="1"/>
  <c r="L484" i="1"/>
  <c r="M484" i="1"/>
  <c r="N484" i="1"/>
  <c r="O484" i="1"/>
  <c r="P484" i="1"/>
  <c r="Q484" i="1"/>
  <c r="R484" i="1"/>
  <c r="S484" i="1"/>
  <c r="T484" i="1"/>
  <c r="U484" i="1"/>
  <c r="V484" i="1"/>
  <c r="I485" i="1"/>
  <c r="J485" i="1"/>
  <c r="K485" i="1"/>
  <c r="L485" i="1"/>
  <c r="M485" i="1"/>
  <c r="N485" i="1"/>
  <c r="O485" i="1"/>
  <c r="P485" i="1"/>
  <c r="Q485" i="1"/>
  <c r="R485" i="1"/>
  <c r="S485" i="1"/>
  <c r="U485" i="1" s="1"/>
  <c r="T485" i="1"/>
  <c r="V485" i="1"/>
  <c r="I486" i="1"/>
  <c r="J486" i="1"/>
  <c r="K486" i="1"/>
  <c r="L486" i="1"/>
  <c r="M486" i="1"/>
  <c r="N486" i="1"/>
  <c r="O486" i="1"/>
  <c r="P486" i="1"/>
  <c r="T486" i="1" s="1"/>
  <c r="Q486" i="1"/>
  <c r="R486" i="1"/>
  <c r="S486" i="1"/>
  <c r="U486" i="1" s="1"/>
  <c r="V486" i="1"/>
  <c r="I487" i="1"/>
  <c r="J487" i="1"/>
  <c r="K487" i="1"/>
  <c r="L487" i="1"/>
  <c r="M487" i="1"/>
  <c r="N487" i="1"/>
  <c r="O487" i="1"/>
  <c r="P487" i="1"/>
  <c r="Q487" i="1"/>
  <c r="R487" i="1"/>
  <c r="S487" i="1"/>
  <c r="T487" i="1"/>
  <c r="U487" i="1"/>
  <c r="V487" i="1"/>
  <c r="I488" i="1"/>
  <c r="J488" i="1"/>
  <c r="K488" i="1"/>
  <c r="L488" i="1"/>
  <c r="M488" i="1"/>
  <c r="N488" i="1"/>
  <c r="O488" i="1"/>
  <c r="P488" i="1"/>
  <c r="Q488" i="1"/>
  <c r="R488" i="1"/>
  <c r="S488" i="1"/>
  <c r="U488" i="1" s="1"/>
  <c r="T488" i="1"/>
  <c r="V488" i="1"/>
  <c r="I489" i="1"/>
  <c r="J489" i="1"/>
  <c r="K489" i="1"/>
  <c r="L489" i="1"/>
  <c r="M489" i="1"/>
  <c r="N489" i="1"/>
  <c r="O489" i="1"/>
  <c r="P489" i="1"/>
  <c r="T489" i="1" s="1"/>
  <c r="Q489" i="1"/>
  <c r="R489" i="1"/>
  <c r="S489" i="1"/>
  <c r="U489" i="1" s="1"/>
  <c r="V489" i="1"/>
  <c r="I490" i="1"/>
  <c r="J490" i="1"/>
  <c r="K490" i="1"/>
  <c r="L490" i="1"/>
  <c r="M490" i="1"/>
  <c r="N490" i="1"/>
  <c r="O490" i="1"/>
  <c r="P490" i="1"/>
  <c r="Q490" i="1"/>
  <c r="R490" i="1"/>
  <c r="S490" i="1"/>
  <c r="T490" i="1"/>
  <c r="U490" i="1"/>
  <c r="V490" i="1"/>
  <c r="I491" i="1"/>
  <c r="J491" i="1"/>
  <c r="K491" i="1"/>
  <c r="L491" i="1"/>
  <c r="M491" i="1"/>
  <c r="N491" i="1"/>
  <c r="O491" i="1"/>
  <c r="P491" i="1"/>
  <c r="Q491" i="1"/>
  <c r="R491" i="1"/>
  <c r="S491" i="1"/>
  <c r="U491" i="1" s="1"/>
  <c r="T491" i="1"/>
  <c r="V491" i="1"/>
  <c r="I492" i="1"/>
  <c r="J492" i="1"/>
  <c r="K492" i="1"/>
  <c r="L492" i="1"/>
  <c r="M492" i="1"/>
  <c r="N492" i="1"/>
  <c r="O492" i="1"/>
  <c r="P492" i="1"/>
  <c r="T492" i="1" s="1"/>
  <c r="Q492" i="1"/>
  <c r="R492" i="1"/>
  <c r="S492" i="1"/>
  <c r="U492" i="1" s="1"/>
  <c r="V492" i="1"/>
  <c r="I493" i="1"/>
  <c r="J493" i="1"/>
  <c r="K493" i="1"/>
  <c r="L493" i="1"/>
  <c r="M493" i="1"/>
  <c r="N493" i="1"/>
  <c r="O493" i="1"/>
  <c r="P493" i="1"/>
  <c r="Q493" i="1"/>
  <c r="R493" i="1"/>
  <c r="S493" i="1"/>
  <c r="T493" i="1"/>
  <c r="U493" i="1"/>
  <c r="V493" i="1"/>
  <c r="I494" i="1"/>
  <c r="J494" i="1"/>
  <c r="K494" i="1"/>
  <c r="L494" i="1"/>
  <c r="M494" i="1"/>
  <c r="N494" i="1"/>
  <c r="O494" i="1"/>
  <c r="P494" i="1"/>
  <c r="Q494" i="1"/>
  <c r="R494" i="1"/>
  <c r="S494" i="1"/>
  <c r="U494" i="1" s="1"/>
  <c r="T494" i="1"/>
  <c r="V494" i="1"/>
  <c r="I495" i="1"/>
  <c r="J495" i="1"/>
  <c r="K495" i="1"/>
  <c r="L495" i="1"/>
  <c r="M495" i="1"/>
  <c r="N495" i="1"/>
  <c r="O495" i="1"/>
  <c r="P495" i="1"/>
  <c r="T495" i="1" s="1"/>
  <c r="Q495" i="1"/>
  <c r="R495" i="1"/>
  <c r="S495" i="1"/>
  <c r="U495" i="1" s="1"/>
  <c r="V495" i="1"/>
  <c r="I496" i="1"/>
  <c r="J496" i="1"/>
  <c r="K496" i="1"/>
  <c r="L496" i="1"/>
  <c r="M496" i="1"/>
  <c r="N496" i="1"/>
  <c r="O496" i="1"/>
  <c r="P496" i="1"/>
  <c r="Q496" i="1"/>
  <c r="R496" i="1"/>
  <c r="S496" i="1"/>
  <c r="T496" i="1"/>
  <c r="U496" i="1"/>
  <c r="V496" i="1"/>
  <c r="I497" i="1"/>
  <c r="J497" i="1"/>
  <c r="K497" i="1"/>
  <c r="L497" i="1"/>
  <c r="M497" i="1"/>
  <c r="N497" i="1"/>
  <c r="O497" i="1"/>
  <c r="P497" i="1"/>
  <c r="Q497" i="1"/>
  <c r="R497" i="1"/>
  <c r="S497" i="1"/>
  <c r="U497" i="1" s="1"/>
  <c r="T497" i="1"/>
  <c r="V497" i="1"/>
  <c r="I498" i="1"/>
  <c r="J498" i="1"/>
  <c r="K498" i="1"/>
  <c r="L498" i="1"/>
  <c r="M498" i="1"/>
  <c r="N498" i="1"/>
  <c r="O498" i="1"/>
  <c r="P498" i="1"/>
  <c r="T498" i="1" s="1"/>
  <c r="Q498" i="1"/>
  <c r="R498" i="1"/>
  <c r="S498" i="1"/>
  <c r="U498" i="1" s="1"/>
  <c r="V498" i="1"/>
  <c r="I499" i="1"/>
  <c r="J499" i="1"/>
  <c r="K499" i="1"/>
  <c r="L499" i="1"/>
  <c r="M499" i="1"/>
  <c r="N499" i="1"/>
  <c r="O499" i="1"/>
  <c r="P499" i="1"/>
  <c r="Q499" i="1"/>
  <c r="R499" i="1"/>
  <c r="S499" i="1"/>
  <c r="T499" i="1"/>
  <c r="U499" i="1"/>
  <c r="V499" i="1"/>
  <c r="I500" i="1"/>
  <c r="J500" i="1"/>
  <c r="K500" i="1"/>
  <c r="L500" i="1"/>
  <c r="M500" i="1"/>
  <c r="N500" i="1"/>
  <c r="O500" i="1"/>
  <c r="P500" i="1"/>
  <c r="Q500" i="1"/>
  <c r="R500" i="1"/>
  <c r="S500" i="1"/>
  <c r="U500" i="1" s="1"/>
  <c r="T500" i="1"/>
  <c r="V500" i="1"/>
  <c r="I501" i="1"/>
  <c r="J501" i="1"/>
  <c r="K501" i="1"/>
  <c r="L501" i="1"/>
  <c r="M501" i="1"/>
  <c r="N501" i="1"/>
  <c r="O501" i="1"/>
  <c r="P501" i="1"/>
  <c r="T501" i="1" s="1"/>
  <c r="Q501" i="1"/>
  <c r="R501" i="1"/>
  <c r="S501" i="1"/>
  <c r="U501" i="1" s="1"/>
  <c r="V501" i="1"/>
  <c r="T502" i="1"/>
  <c r="U502" i="1"/>
  <c r="S300" i="1"/>
  <c r="R300" i="1"/>
  <c r="Q300" i="1"/>
  <c r="P300" i="1"/>
  <c r="O300" i="1"/>
  <c r="N300" i="1"/>
  <c r="M300" i="1"/>
  <c r="L300" i="1"/>
  <c r="K300" i="1"/>
  <c r="J300" i="1"/>
  <c r="I300" i="1"/>
  <c r="I62" i="1" l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I63" i="1"/>
  <c r="J63" i="1"/>
  <c r="K63" i="1"/>
  <c r="L63" i="1"/>
  <c r="M63" i="1"/>
  <c r="N63" i="1"/>
  <c r="O63" i="1"/>
  <c r="P63" i="1"/>
  <c r="T63" i="1" s="1"/>
  <c r="Q63" i="1"/>
  <c r="R63" i="1"/>
  <c r="S63" i="1"/>
  <c r="U63" i="1"/>
  <c r="V63" i="1"/>
  <c r="I64" i="1"/>
  <c r="J64" i="1"/>
  <c r="K64" i="1"/>
  <c r="L64" i="1"/>
  <c r="M64" i="1"/>
  <c r="N64" i="1"/>
  <c r="O64" i="1"/>
  <c r="P64" i="1"/>
  <c r="T64" i="1" s="1"/>
  <c r="Q64" i="1"/>
  <c r="R64" i="1"/>
  <c r="S64" i="1"/>
  <c r="U64" i="1" s="1"/>
  <c r="V64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I66" i="1"/>
  <c r="J66" i="1"/>
  <c r="K66" i="1"/>
  <c r="L66" i="1"/>
  <c r="M66" i="1"/>
  <c r="N66" i="1"/>
  <c r="O66" i="1"/>
  <c r="P66" i="1"/>
  <c r="T66" i="1" s="1"/>
  <c r="Q66" i="1"/>
  <c r="R66" i="1"/>
  <c r="S66" i="1"/>
  <c r="U66" i="1"/>
  <c r="V66" i="1"/>
  <c r="I67" i="1"/>
  <c r="J67" i="1"/>
  <c r="K67" i="1"/>
  <c r="L67" i="1"/>
  <c r="M67" i="1"/>
  <c r="N67" i="1"/>
  <c r="O67" i="1"/>
  <c r="P67" i="1"/>
  <c r="T67" i="1" s="1"/>
  <c r="Q67" i="1"/>
  <c r="R67" i="1"/>
  <c r="S67" i="1"/>
  <c r="U67" i="1" s="1"/>
  <c r="V67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I69" i="1"/>
  <c r="J69" i="1"/>
  <c r="K69" i="1"/>
  <c r="L69" i="1"/>
  <c r="M69" i="1"/>
  <c r="N69" i="1"/>
  <c r="O69" i="1"/>
  <c r="P69" i="1"/>
  <c r="T69" i="1" s="1"/>
  <c r="Q69" i="1"/>
  <c r="R69" i="1"/>
  <c r="S69" i="1"/>
  <c r="U69" i="1"/>
  <c r="V69" i="1"/>
  <c r="I70" i="1"/>
  <c r="J70" i="1"/>
  <c r="K70" i="1"/>
  <c r="L70" i="1"/>
  <c r="M70" i="1"/>
  <c r="N70" i="1"/>
  <c r="O70" i="1"/>
  <c r="P70" i="1"/>
  <c r="T70" i="1" s="1"/>
  <c r="Q70" i="1"/>
  <c r="R70" i="1"/>
  <c r="S70" i="1"/>
  <c r="U70" i="1" s="1"/>
  <c r="V70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I72" i="1"/>
  <c r="J72" i="1"/>
  <c r="K72" i="1"/>
  <c r="L72" i="1"/>
  <c r="M72" i="1"/>
  <c r="N72" i="1"/>
  <c r="O72" i="1"/>
  <c r="P72" i="1"/>
  <c r="T72" i="1" s="1"/>
  <c r="Q72" i="1"/>
  <c r="R72" i="1"/>
  <c r="S72" i="1"/>
  <c r="U72" i="1"/>
  <c r="V72" i="1"/>
  <c r="I73" i="1"/>
  <c r="J73" i="1"/>
  <c r="K73" i="1"/>
  <c r="L73" i="1"/>
  <c r="M73" i="1"/>
  <c r="N73" i="1"/>
  <c r="O73" i="1"/>
  <c r="P73" i="1"/>
  <c r="T73" i="1" s="1"/>
  <c r="Q73" i="1"/>
  <c r="R73" i="1"/>
  <c r="S73" i="1"/>
  <c r="U73" i="1" s="1"/>
  <c r="V73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I75" i="1"/>
  <c r="J75" i="1"/>
  <c r="K75" i="1"/>
  <c r="L75" i="1"/>
  <c r="M75" i="1"/>
  <c r="N75" i="1"/>
  <c r="O75" i="1"/>
  <c r="P75" i="1"/>
  <c r="T75" i="1" s="1"/>
  <c r="Q75" i="1"/>
  <c r="R75" i="1"/>
  <c r="S75" i="1"/>
  <c r="U75" i="1"/>
  <c r="V75" i="1"/>
  <c r="I76" i="1"/>
  <c r="J76" i="1"/>
  <c r="K76" i="1"/>
  <c r="L76" i="1"/>
  <c r="M76" i="1"/>
  <c r="N76" i="1"/>
  <c r="O76" i="1"/>
  <c r="P76" i="1"/>
  <c r="T76" i="1" s="1"/>
  <c r="Q76" i="1"/>
  <c r="R76" i="1"/>
  <c r="S76" i="1"/>
  <c r="U76" i="1" s="1"/>
  <c r="V76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I78" i="1"/>
  <c r="J78" i="1"/>
  <c r="K78" i="1"/>
  <c r="L78" i="1"/>
  <c r="M78" i="1"/>
  <c r="N78" i="1"/>
  <c r="O78" i="1"/>
  <c r="P78" i="1"/>
  <c r="T78" i="1" s="1"/>
  <c r="Q78" i="1"/>
  <c r="R78" i="1"/>
  <c r="S78" i="1"/>
  <c r="U78" i="1"/>
  <c r="V78" i="1"/>
  <c r="I79" i="1"/>
  <c r="J79" i="1"/>
  <c r="K79" i="1"/>
  <c r="L79" i="1"/>
  <c r="M79" i="1"/>
  <c r="N79" i="1"/>
  <c r="O79" i="1"/>
  <c r="P79" i="1"/>
  <c r="T79" i="1" s="1"/>
  <c r="Q79" i="1"/>
  <c r="R79" i="1"/>
  <c r="S79" i="1"/>
  <c r="U79" i="1" s="1"/>
  <c r="V79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I82" i="1"/>
  <c r="J82" i="1"/>
  <c r="K82" i="1"/>
  <c r="L82" i="1"/>
  <c r="M82" i="1"/>
  <c r="N82" i="1"/>
  <c r="O82" i="1"/>
  <c r="P82" i="1"/>
  <c r="T82" i="1" s="1"/>
  <c r="Q82" i="1"/>
  <c r="R82" i="1"/>
  <c r="S82" i="1"/>
  <c r="U82" i="1" s="1"/>
  <c r="V82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I85" i="1"/>
  <c r="J85" i="1"/>
  <c r="K85" i="1"/>
  <c r="L85" i="1"/>
  <c r="M85" i="1"/>
  <c r="N85" i="1"/>
  <c r="O85" i="1"/>
  <c r="P85" i="1"/>
  <c r="T85" i="1" s="1"/>
  <c r="Q85" i="1"/>
  <c r="R85" i="1"/>
  <c r="S85" i="1"/>
  <c r="U85" i="1" s="1"/>
  <c r="V85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I88" i="1"/>
  <c r="J88" i="1"/>
  <c r="K88" i="1"/>
  <c r="L88" i="1"/>
  <c r="M88" i="1"/>
  <c r="N88" i="1"/>
  <c r="O88" i="1"/>
  <c r="P88" i="1"/>
  <c r="T88" i="1" s="1"/>
  <c r="Q88" i="1"/>
  <c r="R88" i="1"/>
  <c r="S88" i="1"/>
  <c r="U88" i="1" s="1"/>
  <c r="V88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I91" i="1"/>
  <c r="J91" i="1"/>
  <c r="K91" i="1"/>
  <c r="L91" i="1"/>
  <c r="M91" i="1"/>
  <c r="N91" i="1"/>
  <c r="O91" i="1"/>
  <c r="P91" i="1"/>
  <c r="T91" i="1" s="1"/>
  <c r="Q91" i="1"/>
  <c r="R91" i="1"/>
  <c r="S91" i="1"/>
  <c r="U91" i="1" s="1"/>
  <c r="V91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I93" i="1"/>
  <c r="J93" i="1"/>
  <c r="K93" i="1"/>
  <c r="L93" i="1"/>
  <c r="M93" i="1"/>
  <c r="N93" i="1"/>
  <c r="O93" i="1"/>
  <c r="P93" i="1"/>
  <c r="T93" i="1" s="1"/>
  <c r="Q93" i="1"/>
  <c r="R93" i="1"/>
  <c r="S93" i="1"/>
  <c r="U93" i="1" s="1"/>
  <c r="V93" i="1"/>
  <c r="I94" i="1"/>
  <c r="J94" i="1"/>
  <c r="K94" i="1"/>
  <c r="L94" i="1"/>
  <c r="M94" i="1"/>
  <c r="N94" i="1"/>
  <c r="O94" i="1"/>
  <c r="P94" i="1"/>
  <c r="T94" i="1" s="1"/>
  <c r="Q94" i="1"/>
  <c r="R94" i="1"/>
  <c r="S94" i="1"/>
  <c r="U94" i="1" s="1"/>
  <c r="V94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I96" i="1"/>
  <c r="J96" i="1"/>
  <c r="K96" i="1"/>
  <c r="L96" i="1"/>
  <c r="M96" i="1"/>
  <c r="N96" i="1"/>
  <c r="O96" i="1"/>
  <c r="P96" i="1"/>
  <c r="T96" i="1" s="1"/>
  <c r="Q96" i="1"/>
  <c r="R96" i="1"/>
  <c r="S96" i="1"/>
  <c r="U96" i="1" s="1"/>
  <c r="V96" i="1"/>
  <c r="I97" i="1"/>
  <c r="J97" i="1"/>
  <c r="V97" i="1" s="1"/>
  <c r="K97" i="1"/>
  <c r="L97" i="1"/>
  <c r="M97" i="1"/>
  <c r="N97" i="1"/>
  <c r="O97" i="1"/>
  <c r="P97" i="1"/>
  <c r="T97" i="1" s="1"/>
  <c r="Q97" i="1"/>
  <c r="R97" i="1"/>
  <c r="S97" i="1"/>
  <c r="U97" i="1" s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I99" i="1"/>
  <c r="J99" i="1"/>
  <c r="K99" i="1"/>
  <c r="L99" i="1"/>
  <c r="M99" i="1"/>
  <c r="N99" i="1"/>
  <c r="O99" i="1"/>
  <c r="P99" i="1"/>
  <c r="T99" i="1" s="1"/>
  <c r="Q99" i="1"/>
  <c r="R99" i="1"/>
  <c r="S99" i="1"/>
  <c r="U99" i="1" s="1"/>
  <c r="V99" i="1"/>
  <c r="I100" i="1"/>
  <c r="J100" i="1"/>
  <c r="K100" i="1"/>
  <c r="L100" i="1"/>
  <c r="M100" i="1"/>
  <c r="N100" i="1"/>
  <c r="O100" i="1"/>
  <c r="P100" i="1"/>
  <c r="T100" i="1" s="1"/>
  <c r="Q100" i="1"/>
  <c r="R100" i="1"/>
  <c r="S100" i="1"/>
  <c r="U100" i="1" s="1"/>
  <c r="V100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I102" i="1"/>
  <c r="J102" i="1"/>
  <c r="K102" i="1"/>
  <c r="L102" i="1"/>
  <c r="M102" i="1"/>
  <c r="N102" i="1"/>
  <c r="O102" i="1"/>
  <c r="P102" i="1"/>
  <c r="T102" i="1" s="1"/>
  <c r="Q102" i="1"/>
  <c r="R102" i="1"/>
  <c r="S102" i="1"/>
  <c r="U102" i="1" s="1"/>
  <c r="V102" i="1"/>
  <c r="I103" i="1"/>
  <c r="J103" i="1"/>
  <c r="K103" i="1"/>
  <c r="L103" i="1"/>
  <c r="M103" i="1"/>
  <c r="N103" i="1"/>
  <c r="O103" i="1"/>
  <c r="P103" i="1"/>
  <c r="T103" i="1" s="1"/>
  <c r="Q103" i="1"/>
  <c r="R103" i="1"/>
  <c r="S103" i="1"/>
  <c r="U103" i="1" s="1"/>
  <c r="V103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I105" i="1"/>
  <c r="J105" i="1"/>
  <c r="K105" i="1"/>
  <c r="L105" i="1"/>
  <c r="M105" i="1"/>
  <c r="N105" i="1"/>
  <c r="O105" i="1"/>
  <c r="P105" i="1"/>
  <c r="T105" i="1" s="1"/>
  <c r="Q105" i="1"/>
  <c r="R105" i="1"/>
  <c r="S105" i="1"/>
  <c r="U105" i="1" s="1"/>
  <c r="V105" i="1"/>
  <c r="I106" i="1"/>
  <c r="J106" i="1"/>
  <c r="K106" i="1"/>
  <c r="L106" i="1"/>
  <c r="M106" i="1"/>
  <c r="N106" i="1"/>
  <c r="O106" i="1"/>
  <c r="P106" i="1"/>
  <c r="T106" i="1" s="1"/>
  <c r="Q106" i="1"/>
  <c r="R106" i="1"/>
  <c r="S106" i="1"/>
  <c r="U106" i="1" s="1"/>
  <c r="V106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I108" i="1"/>
  <c r="J108" i="1"/>
  <c r="K108" i="1"/>
  <c r="L108" i="1"/>
  <c r="M108" i="1"/>
  <c r="N108" i="1"/>
  <c r="O108" i="1"/>
  <c r="P108" i="1"/>
  <c r="T108" i="1" s="1"/>
  <c r="Q108" i="1"/>
  <c r="R108" i="1"/>
  <c r="S108" i="1"/>
  <c r="U108" i="1" s="1"/>
  <c r="V108" i="1"/>
  <c r="I109" i="1"/>
  <c r="J109" i="1"/>
  <c r="K109" i="1"/>
  <c r="L109" i="1"/>
  <c r="M109" i="1"/>
  <c r="N109" i="1"/>
  <c r="O109" i="1"/>
  <c r="P109" i="1"/>
  <c r="T109" i="1" s="1"/>
  <c r="Q109" i="1"/>
  <c r="R109" i="1"/>
  <c r="S109" i="1"/>
  <c r="U109" i="1" s="1"/>
  <c r="V109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I111" i="1"/>
  <c r="J111" i="1"/>
  <c r="K111" i="1"/>
  <c r="L111" i="1"/>
  <c r="M111" i="1"/>
  <c r="N111" i="1"/>
  <c r="O111" i="1"/>
  <c r="P111" i="1"/>
  <c r="T111" i="1" s="1"/>
  <c r="Q111" i="1"/>
  <c r="R111" i="1"/>
  <c r="S111" i="1"/>
  <c r="U111" i="1" s="1"/>
  <c r="V111" i="1"/>
  <c r="I112" i="1"/>
  <c r="J112" i="1"/>
  <c r="K112" i="1"/>
  <c r="L112" i="1"/>
  <c r="M112" i="1"/>
  <c r="N112" i="1"/>
  <c r="O112" i="1"/>
  <c r="P112" i="1"/>
  <c r="T112" i="1" s="1"/>
  <c r="Q112" i="1"/>
  <c r="R112" i="1"/>
  <c r="S112" i="1"/>
  <c r="U112" i="1" s="1"/>
  <c r="V112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I114" i="1"/>
  <c r="J114" i="1"/>
  <c r="K114" i="1"/>
  <c r="L114" i="1"/>
  <c r="M114" i="1"/>
  <c r="N114" i="1"/>
  <c r="O114" i="1"/>
  <c r="P114" i="1"/>
  <c r="T114" i="1" s="1"/>
  <c r="Q114" i="1"/>
  <c r="R114" i="1"/>
  <c r="S114" i="1"/>
  <c r="U114" i="1" s="1"/>
  <c r="V114" i="1"/>
  <c r="I115" i="1"/>
  <c r="J115" i="1"/>
  <c r="K115" i="1"/>
  <c r="L115" i="1"/>
  <c r="M115" i="1"/>
  <c r="N115" i="1"/>
  <c r="O115" i="1"/>
  <c r="P115" i="1"/>
  <c r="T115" i="1" s="1"/>
  <c r="Q115" i="1"/>
  <c r="R115" i="1"/>
  <c r="S115" i="1"/>
  <c r="U115" i="1" s="1"/>
  <c r="V115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I117" i="1"/>
  <c r="J117" i="1"/>
  <c r="K117" i="1"/>
  <c r="L117" i="1"/>
  <c r="M117" i="1"/>
  <c r="N117" i="1"/>
  <c r="O117" i="1"/>
  <c r="P117" i="1"/>
  <c r="T117" i="1" s="1"/>
  <c r="Q117" i="1"/>
  <c r="R117" i="1"/>
  <c r="S117" i="1"/>
  <c r="U117" i="1" s="1"/>
  <c r="V117" i="1"/>
  <c r="I118" i="1"/>
  <c r="J118" i="1"/>
  <c r="V118" i="1" s="1"/>
  <c r="K118" i="1"/>
  <c r="L118" i="1"/>
  <c r="M118" i="1"/>
  <c r="N118" i="1"/>
  <c r="O118" i="1"/>
  <c r="P118" i="1"/>
  <c r="T118" i="1" s="1"/>
  <c r="Q118" i="1"/>
  <c r="R118" i="1"/>
  <c r="S118" i="1"/>
  <c r="U118" i="1" s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I120" i="1"/>
  <c r="J120" i="1"/>
  <c r="K120" i="1"/>
  <c r="L120" i="1"/>
  <c r="M120" i="1"/>
  <c r="N120" i="1"/>
  <c r="O120" i="1"/>
  <c r="P120" i="1"/>
  <c r="T120" i="1" s="1"/>
  <c r="Q120" i="1"/>
  <c r="R120" i="1"/>
  <c r="S120" i="1"/>
  <c r="U120" i="1" s="1"/>
  <c r="V120" i="1"/>
  <c r="I121" i="1"/>
  <c r="J121" i="1"/>
  <c r="V121" i="1" s="1"/>
  <c r="K121" i="1"/>
  <c r="L121" i="1"/>
  <c r="M121" i="1"/>
  <c r="N121" i="1"/>
  <c r="O121" i="1"/>
  <c r="P121" i="1"/>
  <c r="T121" i="1" s="1"/>
  <c r="Q121" i="1"/>
  <c r="R121" i="1"/>
  <c r="S121" i="1"/>
  <c r="U121" i="1" s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I123" i="1"/>
  <c r="J123" i="1"/>
  <c r="K123" i="1"/>
  <c r="L123" i="1"/>
  <c r="M123" i="1"/>
  <c r="N123" i="1"/>
  <c r="O123" i="1"/>
  <c r="P123" i="1"/>
  <c r="T123" i="1" s="1"/>
  <c r="Q123" i="1"/>
  <c r="R123" i="1"/>
  <c r="S123" i="1"/>
  <c r="U123" i="1" s="1"/>
  <c r="V123" i="1"/>
  <c r="I124" i="1"/>
  <c r="J124" i="1"/>
  <c r="K124" i="1"/>
  <c r="L124" i="1"/>
  <c r="M124" i="1"/>
  <c r="N124" i="1"/>
  <c r="O124" i="1"/>
  <c r="P124" i="1"/>
  <c r="T124" i="1" s="1"/>
  <c r="Q124" i="1"/>
  <c r="R124" i="1"/>
  <c r="S124" i="1"/>
  <c r="U124" i="1" s="1"/>
  <c r="V124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I126" i="1"/>
  <c r="J126" i="1"/>
  <c r="K126" i="1"/>
  <c r="L126" i="1"/>
  <c r="M126" i="1"/>
  <c r="N126" i="1"/>
  <c r="O126" i="1"/>
  <c r="P126" i="1"/>
  <c r="T126" i="1" s="1"/>
  <c r="Q126" i="1"/>
  <c r="R126" i="1"/>
  <c r="S126" i="1"/>
  <c r="U126" i="1" s="1"/>
  <c r="V126" i="1"/>
  <c r="I127" i="1"/>
  <c r="J127" i="1"/>
  <c r="K127" i="1"/>
  <c r="L127" i="1"/>
  <c r="M127" i="1"/>
  <c r="N127" i="1"/>
  <c r="O127" i="1"/>
  <c r="P127" i="1"/>
  <c r="T127" i="1" s="1"/>
  <c r="Q127" i="1"/>
  <c r="R127" i="1"/>
  <c r="S127" i="1"/>
  <c r="U127" i="1" s="1"/>
  <c r="V127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I129" i="1"/>
  <c r="J129" i="1"/>
  <c r="K129" i="1"/>
  <c r="L129" i="1"/>
  <c r="M129" i="1"/>
  <c r="N129" i="1"/>
  <c r="O129" i="1"/>
  <c r="P129" i="1"/>
  <c r="T129" i="1" s="1"/>
  <c r="Q129" i="1"/>
  <c r="R129" i="1"/>
  <c r="S129" i="1"/>
  <c r="U129" i="1" s="1"/>
  <c r="V129" i="1"/>
  <c r="I130" i="1"/>
  <c r="J130" i="1"/>
  <c r="K130" i="1"/>
  <c r="L130" i="1"/>
  <c r="M130" i="1"/>
  <c r="N130" i="1"/>
  <c r="O130" i="1"/>
  <c r="P130" i="1"/>
  <c r="T130" i="1" s="1"/>
  <c r="Q130" i="1"/>
  <c r="R130" i="1"/>
  <c r="S130" i="1"/>
  <c r="U130" i="1" s="1"/>
  <c r="V130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I132" i="1"/>
  <c r="J132" i="1"/>
  <c r="K132" i="1"/>
  <c r="L132" i="1"/>
  <c r="M132" i="1"/>
  <c r="N132" i="1"/>
  <c r="O132" i="1"/>
  <c r="P132" i="1"/>
  <c r="T132" i="1" s="1"/>
  <c r="Q132" i="1"/>
  <c r="R132" i="1"/>
  <c r="S132" i="1"/>
  <c r="U132" i="1" s="1"/>
  <c r="V132" i="1"/>
  <c r="I133" i="1"/>
  <c r="J133" i="1"/>
  <c r="K133" i="1"/>
  <c r="L133" i="1"/>
  <c r="M133" i="1"/>
  <c r="N133" i="1"/>
  <c r="O133" i="1"/>
  <c r="P133" i="1"/>
  <c r="T133" i="1" s="1"/>
  <c r="Q133" i="1"/>
  <c r="R133" i="1"/>
  <c r="S133" i="1"/>
  <c r="U133" i="1" s="1"/>
  <c r="V133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I135" i="1"/>
  <c r="J135" i="1"/>
  <c r="K135" i="1"/>
  <c r="L135" i="1"/>
  <c r="M135" i="1"/>
  <c r="N135" i="1"/>
  <c r="O135" i="1"/>
  <c r="P135" i="1"/>
  <c r="T135" i="1" s="1"/>
  <c r="Q135" i="1"/>
  <c r="R135" i="1"/>
  <c r="S135" i="1"/>
  <c r="U135" i="1" s="1"/>
  <c r="V135" i="1"/>
  <c r="I136" i="1"/>
  <c r="J136" i="1"/>
  <c r="K136" i="1"/>
  <c r="L136" i="1"/>
  <c r="M136" i="1"/>
  <c r="N136" i="1"/>
  <c r="O136" i="1"/>
  <c r="P136" i="1"/>
  <c r="T136" i="1" s="1"/>
  <c r="Q136" i="1"/>
  <c r="R136" i="1"/>
  <c r="S136" i="1"/>
  <c r="U136" i="1" s="1"/>
  <c r="V136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I138" i="1"/>
  <c r="J138" i="1"/>
  <c r="K138" i="1"/>
  <c r="L138" i="1"/>
  <c r="M138" i="1"/>
  <c r="N138" i="1"/>
  <c r="O138" i="1"/>
  <c r="P138" i="1"/>
  <c r="T138" i="1" s="1"/>
  <c r="Q138" i="1"/>
  <c r="R138" i="1"/>
  <c r="S138" i="1"/>
  <c r="U138" i="1" s="1"/>
  <c r="V138" i="1"/>
  <c r="I139" i="1"/>
  <c r="J139" i="1"/>
  <c r="K139" i="1"/>
  <c r="L139" i="1"/>
  <c r="M139" i="1"/>
  <c r="N139" i="1"/>
  <c r="O139" i="1"/>
  <c r="P139" i="1"/>
  <c r="T139" i="1" s="1"/>
  <c r="Q139" i="1"/>
  <c r="R139" i="1"/>
  <c r="S139" i="1"/>
  <c r="U139" i="1" s="1"/>
  <c r="V139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I141" i="1"/>
  <c r="J141" i="1"/>
  <c r="K141" i="1"/>
  <c r="L141" i="1"/>
  <c r="M141" i="1"/>
  <c r="N141" i="1"/>
  <c r="O141" i="1"/>
  <c r="P141" i="1"/>
  <c r="T141" i="1" s="1"/>
  <c r="Q141" i="1"/>
  <c r="R141" i="1"/>
  <c r="S141" i="1"/>
  <c r="U141" i="1" s="1"/>
  <c r="V141" i="1"/>
  <c r="I142" i="1"/>
  <c r="J142" i="1"/>
  <c r="K142" i="1"/>
  <c r="L142" i="1"/>
  <c r="M142" i="1"/>
  <c r="N142" i="1"/>
  <c r="O142" i="1"/>
  <c r="P142" i="1"/>
  <c r="T142" i="1" s="1"/>
  <c r="Q142" i="1"/>
  <c r="R142" i="1"/>
  <c r="S142" i="1"/>
  <c r="U142" i="1" s="1"/>
  <c r="V142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I144" i="1"/>
  <c r="J144" i="1"/>
  <c r="K144" i="1"/>
  <c r="L144" i="1"/>
  <c r="M144" i="1"/>
  <c r="N144" i="1"/>
  <c r="O144" i="1"/>
  <c r="P144" i="1"/>
  <c r="T144" i="1" s="1"/>
  <c r="Q144" i="1"/>
  <c r="R144" i="1"/>
  <c r="S144" i="1"/>
  <c r="U144" i="1" s="1"/>
  <c r="V144" i="1"/>
  <c r="I145" i="1"/>
  <c r="J145" i="1"/>
  <c r="K145" i="1"/>
  <c r="L145" i="1"/>
  <c r="M145" i="1"/>
  <c r="N145" i="1"/>
  <c r="O145" i="1"/>
  <c r="P145" i="1"/>
  <c r="T145" i="1" s="1"/>
  <c r="Q145" i="1"/>
  <c r="R145" i="1"/>
  <c r="S145" i="1"/>
  <c r="U145" i="1" s="1"/>
  <c r="V145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I147" i="1"/>
  <c r="J147" i="1"/>
  <c r="K147" i="1"/>
  <c r="L147" i="1"/>
  <c r="M147" i="1"/>
  <c r="N147" i="1"/>
  <c r="O147" i="1"/>
  <c r="P147" i="1"/>
  <c r="T147" i="1" s="1"/>
  <c r="Q147" i="1"/>
  <c r="R147" i="1"/>
  <c r="S147" i="1"/>
  <c r="U147" i="1" s="1"/>
  <c r="V147" i="1"/>
  <c r="I148" i="1"/>
  <c r="J148" i="1"/>
  <c r="K148" i="1"/>
  <c r="L148" i="1"/>
  <c r="M148" i="1"/>
  <c r="N148" i="1"/>
  <c r="O148" i="1"/>
  <c r="P148" i="1"/>
  <c r="T148" i="1" s="1"/>
  <c r="Q148" i="1"/>
  <c r="R148" i="1"/>
  <c r="S148" i="1"/>
  <c r="U148" i="1" s="1"/>
  <c r="V148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I150" i="1"/>
  <c r="J150" i="1"/>
  <c r="K150" i="1"/>
  <c r="L150" i="1"/>
  <c r="M150" i="1"/>
  <c r="N150" i="1"/>
  <c r="O150" i="1"/>
  <c r="P150" i="1"/>
  <c r="T150" i="1" s="1"/>
  <c r="Q150" i="1"/>
  <c r="R150" i="1"/>
  <c r="S150" i="1"/>
  <c r="U150" i="1" s="1"/>
  <c r="V150" i="1"/>
  <c r="I151" i="1"/>
  <c r="J151" i="1"/>
  <c r="K151" i="1"/>
  <c r="L151" i="1"/>
  <c r="M151" i="1"/>
  <c r="N151" i="1"/>
  <c r="O151" i="1"/>
  <c r="P151" i="1"/>
  <c r="T151" i="1" s="1"/>
  <c r="Q151" i="1"/>
  <c r="R151" i="1"/>
  <c r="S151" i="1"/>
  <c r="U151" i="1" s="1"/>
  <c r="V151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I153" i="1"/>
  <c r="J153" i="1"/>
  <c r="K153" i="1"/>
  <c r="L153" i="1"/>
  <c r="M153" i="1"/>
  <c r="N153" i="1"/>
  <c r="O153" i="1"/>
  <c r="P153" i="1"/>
  <c r="T153" i="1" s="1"/>
  <c r="Q153" i="1"/>
  <c r="R153" i="1"/>
  <c r="S153" i="1"/>
  <c r="U153" i="1" s="1"/>
  <c r="V153" i="1"/>
  <c r="I154" i="1"/>
  <c r="J154" i="1"/>
  <c r="K154" i="1"/>
  <c r="L154" i="1"/>
  <c r="M154" i="1"/>
  <c r="N154" i="1"/>
  <c r="O154" i="1"/>
  <c r="P154" i="1"/>
  <c r="T154" i="1" s="1"/>
  <c r="Q154" i="1"/>
  <c r="R154" i="1"/>
  <c r="S154" i="1"/>
  <c r="U154" i="1" s="1"/>
  <c r="V154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I156" i="1"/>
  <c r="J156" i="1"/>
  <c r="K156" i="1"/>
  <c r="L156" i="1"/>
  <c r="M156" i="1"/>
  <c r="N156" i="1"/>
  <c r="O156" i="1"/>
  <c r="P156" i="1"/>
  <c r="T156" i="1" s="1"/>
  <c r="Q156" i="1"/>
  <c r="R156" i="1"/>
  <c r="S156" i="1"/>
  <c r="U156" i="1" s="1"/>
  <c r="V156" i="1"/>
  <c r="I157" i="1"/>
  <c r="J157" i="1"/>
  <c r="K157" i="1"/>
  <c r="L157" i="1"/>
  <c r="M157" i="1"/>
  <c r="N157" i="1"/>
  <c r="O157" i="1"/>
  <c r="P157" i="1"/>
  <c r="T157" i="1" s="1"/>
  <c r="Q157" i="1"/>
  <c r="R157" i="1"/>
  <c r="S157" i="1"/>
  <c r="U157" i="1" s="1"/>
  <c r="V157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I159" i="1"/>
  <c r="J159" i="1"/>
  <c r="K159" i="1"/>
  <c r="L159" i="1"/>
  <c r="M159" i="1"/>
  <c r="N159" i="1"/>
  <c r="O159" i="1"/>
  <c r="P159" i="1"/>
  <c r="T159" i="1" s="1"/>
  <c r="Q159" i="1"/>
  <c r="R159" i="1"/>
  <c r="S159" i="1"/>
  <c r="U159" i="1" s="1"/>
  <c r="V159" i="1"/>
  <c r="I160" i="1"/>
  <c r="J160" i="1"/>
  <c r="K160" i="1"/>
  <c r="L160" i="1"/>
  <c r="M160" i="1"/>
  <c r="N160" i="1"/>
  <c r="O160" i="1"/>
  <c r="P160" i="1"/>
  <c r="T160" i="1" s="1"/>
  <c r="Q160" i="1"/>
  <c r="R160" i="1"/>
  <c r="S160" i="1"/>
  <c r="U160" i="1" s="1"/>
  <c r="V160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I162" i="1"/>
  <c r="J162" i="1"/>
  <c r="K162" i="1"/>
  <c r="L162" i="1"/>
  <c r="M162" i="1"/>
  <c r="N162" i="1"/>
  <c r="O162" i="1"/>
  <c r="P162" i="1"/>
  <c r="T162" i="1" s="1"/>
  <c r="Q162" i="1"/>
  <c r="R162" i="1"/>
  <c r="S162" i="1"/>
  <c r="U162" i="1" s="1"/>
  <c r="V162" i="1"/>
  <c r="I163" i="1"/>
  <c r="J163" i="1"/>
  <c r="K163" i="1"/>
  <c r="L163" i="1"/>
  <c r="M163" i="1"/>
  <c r="N163" i="1"/>
  <c r="O163" i="1"/>
  <c r="P163" i="1"/>
  <c r="T163" i="1" s="1"/>
  <c r="Q163" i="1"/>
  <c r="R163" i="1"/>
  <c r="S163" i="1"/>
  <c r="U163" i="1" s="1"/>
  <c r="V163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I165" i="1"/>
  <c r="J165" i="1"/>
  <c r="K165" i="1"/>
  <c r="L165" i="1"/>
  <c r="M165" i="1"/>
  <c r="N165" i="1"/>
  <c r="O165" i="1"/>
  <c r="P165" i="1"/>
  <c r="T165" i="1" s="1"/>
  <c r="Q165" i="1"/>
  <c r="R165" i="1"/>
  <c r="S165" i="1"/>
  <c r="U165" i="1" s="1"/>
  <c r="V165" i="1"/>
  <c r="I166" i="1"/>
  <c r="J166" i="1"/>
  <c r="K166" i="1"/>
  <c r="L166" i="1"/>
  <c r="M166" i="1"/>
  <c r="N166" i="1"/>
  <c r="O166" i="1"/>
  <c r="P166" i="1"/>
  <c r="T166" i="1" s="1"/>
  <c r="Q166" i="1"/>
  <c r="R166" i="1"/>
  <c r="S166" i="1"/>
  <c r="U166" i="1" s="1"/>
  <c r="V166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I168" i="1"/>
  <c r="J168" i="1"/>
  <c r="K168" i="1"/>
  <c r="L168" i="1"/>
  <c r="M168" i="1"/>
  <c r="N168" i="1"/>
  <c r="O168" i="1"/>
  <c r="P168" i="1"/>
  <c r="T168" i="1" s="1"/>
  <c r="Q168" i="1"/>
  <c r="R168" i="1"/>
  <c r="S168" i="1"/>
  <c r="U168" i="1" s="1"/>
  <c r="V168" i="1"/>
  <c r="I169" i="1"/>
  <c r="J169" i="1"/>
  <c r="K169" i="1"/>
  <c r="L169" i="1"/>
  <c r="M169" i="1"/>
  <c r="N169" i="1"/>
  <c r="O169" i="1"/>
  <c r="P169" i="1"/>
  <c r="T169" i="1" s="1"/>
  <c r="Q169" i="1"/>
  <c r="R169" i="1"/>
  <c r="S169" i="1"/>
  <c r="U169" i="1" s="1"/>
  <c r="V169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I171" i="1"/>
  <c r="J171" i="1"/>
  <c r="K171" i="1"/>
  <c r="L171" i="1"/>
  <c r="M171" i="1"/>
  <c r="N171" i="1"/>
  <c r="O171" i="1"/>
  <c r="P171" i="1"/>
  <c r="T171" i="1" s="1"/>
  <c r="Q171" i="1"/>
  <c r="R171" i="1"/>
  <c r="S171" i="1"/>
  <c r="U171" i="1" s="1"/>
  <c r="V171" i="1"/>
  <c r="I172" i="1"/>
  <c r="J172" i="1"/>
  <c r="K172" i="1"/>
  <c r="L172" i="1"/>
  <c r="M172" i="1"/>
  <c r="N172" i="1"/>
  <c r="O172" i="1"/>
  <c r="P172" i="1"/>
  <c r="T172" i="1" s="1"/>
  <c r="Q172" i="1"/>
  <c r="R172" i="1"/>
  <c r="S172" i="1"/>
  <c r="U172" i="1" s="1"/>
  <c r="V172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I174" i="1"/>
  <c r="J174" i="1"/>
  <c r="K174" i="1"/>
  <c r="L174" i="1"/>
  <c r="M174" i="1"/>
  <c r="N174" i="1"/>
  <c r="O174" i="1"/>
  <c r="P174" i="1"/>
  <c r="T174" i="1" s="1"/>
  <c r="Q174" i="1"/>
  <c r="R174" i="1"/>
  <c r="S174" i="1"/>
  <c r="U174" i="1" s="1"/>
  <c r="V174" i="1"/>
  <c r="I175" i="1"/>
  <c r="J175" i="1"/>
  <c r="K175" i="1"/>
  <c r="L175" i="1"/>
  <c r="M175" i="1"/>
  <c r="N175" i="1"/>
  <c r="O175" i="1"/>
  <c r="P175" i="1"/>
  <c r="T175" i="1" s="1"/>
  <c r="Q175" i="1"/>
  <c r="R175" i="1"/>
  <c r="S175" i="1"/>
  <c r="U175" i="1" s="1"/>
  <c r="V175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I177" i="1"/>
  <c r="J177" i="1"/>
  <c r="K177" i="1"/>
  <c r="L177" i="1"/>
  <c r="M177" i="1"/>
  <c r="N177" i="1"/>
  <c r="O177" i="1"/>
  <c r="P177" i="1"/>
  <c r="T177" i="1" s="1"/>
  <c r="Q177" i="1"/>
  <c r="R177" i="1"/>
  <c r="S177" i="1"/>
  <c r="U177" i="1" s="1"/>
  <c r="V177" i="1"/>
  <c r="I178" i="1"/>
  <c r="J178" i="1"/>
  <c r="K178" i="1"/>
  <c r="L178" i="1"/>
  <c r="M178" i="1"/>
  <c r="N178" i="1"/>
  <c r="O178" i="1"/>
  <c r="P178" i="1"/>
  <c r="T178" i="1" s="1"/>
  <c r="Q178" i="1"/>
  <c r="R178" i="1"/>
  <c r="S178" i="1"/>
  <c r="U178" i="1" s="1"/>
  <c r="V178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I180" i="1"/>
  <c r="J180" i="1"/>
  <c r="K180" i="1"/>
  <c r="L180" i="1"/>
  <c r="M180" i="1"/>
  <c r="N180" i="1"/>
  <c r="O180" i="1"/>
  <c r="P180" i="1"/>
  <c r="T180" i="1" s="1"/>
  <c r="Q180" i="1"/>
  <c r="R180" i="1"/>
  <c r="S180" i="1"/>
  <c r="U180" i="1" s="1"/>
  <c r="V180" i="1"/>
  <c r="I181" i="1"/>
  <c r="J181" i="1"/>
  <c r="K181" i="1"/>
  <c r="L181" i="1"/>
  <c r="M181" i="1"/>
  <c r="N181" i="1"/>
  <c r="O181" i="1"/>
  <c r="P181" i="1"/>
  <c r="T181" i="1" s="1"/>
  <c r="Q181" i="1"/>
  <c r="R181" i="1"/>
  <c r="S181" i="1"/>
  <c r="U181" i="1" s="1"/>
  <c r="V181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U182" i="1"/>
  <c r="V182" i="1"/>
  <c r="I183" i="1"/>
  <c r="J183" i="1"/>
  <c r="K183" i="1"/>
  <c r="L183" i="1"/>
  <c r="M183" i="1"/>
  <c r="N183" i="1"/>
  <c r="O183" i="1"/>
  <c r="P183" i="1"/>
  <c r="T183" i="1" s="1"/>
  <c r="Q183" i="1"/>
  <c r="R183" i="1"/>
  <c r="S183" i="1"/>
  <c r="U183" i="1" s="1"/>
  <c r="V183" i="1"/>
  <c r="I184" i="1"/>
  <c r="J184" i="1"/>
  <c r="K184" i="1"/>
  <c r="L184" i="1"/>
  <c r="M184" i="1"/>
  <c r="N184" i="1"/>
  <c r="O184" i="1"/>
  <c r="P184" i="1"/>
  <c r="T184" i="1" s="1"/>
  <c r="Q184" i="1"/>
  <c r="R184" i="1"/>
  <c r="S184" i="1"/>
  <c r="U184" i="1" s="1"/>
  <c r="V184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I186" i="1"/>
  <c r="J186" i="1"/>
  <c r="K186" i="1"/>
  <c r="L186" i="1"/>
  <c r="M186" i="1"/>
  <c r="N186" i="1"/>
  <c r="O186" i="1"/>
  <c r="P186" i="1"/>
  <c r="T186" i="1" s="1"/>
  <c r="Q186" i="1"/>
  <c r="R186" i="1"/>
  <c r="S186" i="1"/>
  <c r="U186" i="1" s="1"/>
  <c r="V186" i="1"/>
  <c r="I187" i="1"/>
  <c r="J187" i="1"/>
  <c r="K187" i="1"/>
  <c r="L187" i="1"/>
  <c r="M187" i="1"/>
  <c r="N187" i="1"/>
  <c r="O187" i="1"/>
  <c r="P187" i="1"/>
  <c r="T187" i="1" s="1"/>
  <c r="Q187" i="1"/>
  <c r="R187" i="1"/>
  <c r="S187" i="1"/>
  <c r="U187" i="1" s="1"/>
  <c r="V187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I189" i="1"/>
  <c r="J189" i="1"/>
  <c r="K189" i="1"/>
  <c r="L189" i="1"/>
  <c r="M189" i="1"/>
  <c r="N189" i="1"/>
  <c r="O189" i="1"/>
  <c r="P189" i="1"/>
  <c r="T189" i="1" s="1"/>
  <c r="Q189" i="1"/>
  <c r="R189" i="1"/>
  <c r="S189" i="1"/>
  <c r="U189" i="1" s="1"/>
  <c r="V189" i="1"/>
  <c r="I190" i="1"/>
  <c r="J190" i="1"/>
  <c r="K190" i="1"/>
  <c r="L190" i="1"/>
  <c r="M190" i="1"/>
  <c r="N190" i="1"/>
  <c r="O190" i="1"/>
  <c r="P190" i="1"/>
  <c r="T190" i="1" s="1"/>
  <c r="Q190" i="1"/>
  <c r="R190" i="1"/>
  <c r="S190" i="1"/>
  <c r="U190" i="1" s="1"/>
  <c r="V190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I192" i="1"/>
  <c r="J192" i="1"/>
  <c r="K192" i="1"/>
  <c r="L192" i="1"/>
  <c r="M192" i="1"/>
  <c r="N192" i="1"/>
  <c r="O192" i="1"/>
  <c r="P192" i="1"/>
  <c r="T192" i="1" s="1"/>
  <c r="Q192" i="1"/>
  <c r="R192" i="1"/>
  <c r="S192" i="1"/>
  <c r="U192" i="1" s="1"/>
  <c r="V192" i="1"/>
  <c r="I193" i="1"/>
  <c r="J193" i="1"/>
  <c r="K193" i="1"/>
  <c r="L193" i="1"/>
  <c r="M193" i="1"/>
  <c r="N193" i="1"/>
  <c r="O193" i="1"/>
  <c r="P193" i="1"/>
  <c r="T193" i="1" s="1"/>
  <c r="Q193" i="1"/>
  <c r="R193" i="1"/>
  <c r="S193" i="1"/>
  <c r="U193" i="1" s="1"/>
  <c r="V193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I195" i="1"/>
  <c r="J195" i="1"/>
  <c r="K195" i="1"/>
  <c r="L195" i="1"/>
  <c r="M195" i="1"/>
  <c r="N195" i="1"/>
  <c r="O195" i="1"/>
  <c r="P195" i="1"/>
  <c r="T195" i="1" s="1"/>
  <c r="Q195" i="1"/>
  <c r="R195" i="1"/>
  <c r="S195" i="1"/>
  <c r="U195" i="1" s="1"/>
  <c r="V195" i="1"/>
  <c r="I196" i="1"/>
  <c r="J196" i="1"/>
  <c r="K196" i="1"/>
  <c r="L196" i="1"/>
  <c r="M196" i="1"/>
  <c r="N196" i="1"/>
  <c r="O196" i="1"/>
  <c r="P196" i="1"/>
  <c r="T196" i="1" s="1"/>
  <c r="Q196" i="1"/>
  <c r="R196" i="1"/>
  <c r="S196" i="1"/>
  <c r="U196" i="1" s="1"/>
  <c r="V196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I198" i="1"/>
  <c r="J198" i="1"/>
  <c r="K198" i="1"/>
  <c r="L198" i="1"/>
  <c r="M198" i="1"/>
  <c r="N198" i="1"/>
  <c r="O198" i="1"/>
  <c r="P198" i="1"/>
  <c r="T198" i="1" s="1"/>
  <c r="Q198" i="1"/>
  <c r="R198" i="1"/>
  <c r="S198" i="1"/>
  <c r="U198" i="1" s="1"/>
  <c r="V198" i="1"/>
  <c r="I199" i="1"/>
  <c r="J199" i="1"/>
  <c r="K199" i="1"/>
  <c r="L199" i="1"/>
  <c r="M199" i="1"/>
  <c r="N199" i="1"/>
  <c r="O199" i="1"/>
  <c r="P199" i="1"/>
  <c r="T199" i="1" s="1"/>
  <c r="Q199" i="1"/>
  <c r="R199" i="1"/>
  <c r="S199" i="1"/>
  <c r="U199" i="1" s="1"/>
  <c r="V199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I201" i="1"/>
  <c r="J201" i="1"/>
  <c r="K201" i="1"/>
  <c r="L201" i="1"/>
  <c r="M201" i="1"/>
  <c r="N201" i="1"/>
  <c r="O201" i="1"/>
  <c r="P201" i="1"/>
  <c r="T201" i="1" s="1"/>
  <c r="Q201" i="1"/>
  <c r="R201" i="1"/>
  <c r="S201" i="1"/>
  <c r="U201" i="1" s="1"/>
  <c r="V201" i="1"/>
  <c r="I202" i="1"/>
  <c r="J202" i="1"/>
  <c r="K202" i="1"/>
  <c r="L202" i="1"/>
  <c r="M202" i="1"/>
  <c r="N202" i="1"/>
  <c r="O202" i="1"/>
  <c r="P202" i="1"/>
  <c r="T202" i="1" s="1"/>
  <c r="Q202" i="1"/>
  <c r="R202" i="1"/>
  <c r="S202" i="1"/>
  <c r="U202" i="1" s="1"/>
  <c r="V202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I204" i="1"/>
  <c r="J204" i="1"/>
  <c r="K204" i="1"/>
  <c r="L204" i="1"/>
  <c r="M204" i="1"/>
  <c r="N204" i="1"/>
  <c r="O204" i="1"/>
  <c r="P204" i="1"/>
  <c r="T204" i="1" s="1"/>
  <c r="Q204" i="1"/>
  <c r="R204" i="1"/>
  <c r="S204" i="1"/>
  <c r="U204" i="1" s="1"/>
  <c r="V204" i="1"/>
  <c r="I205" i="1"/>
  <c r="J205" i="1"/>
  <c r="K205" i="1"/>
  <c r="L205" i="1"/>
  <c r="M205" i="1"/>
  <c r="N205" i="1"/>
  <c r="O205" i="1"/>
  <c r="P205" i="1"/>
  <c r="T205" i="1" s="1"/>
  <c r="Q205" i="1"/>
  <c r="R205" i="1"/>
  <c r="S205" i="1"/>
  <c r="U205" i="1" s="1"/>
  <c r="V205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I207" i="1"/>
  <c r="J207" i="1"/>
  <c r="K207" i="1"/>
  <c r="L207" i="1"/>
  <c r="M207" i="1"/>
  <c r="N207" i="1"/>
  <c r="O207" i="1"/>
  <c r="P207" i="1"/>
  <c r="T207" i="1" s="1"/>
  <c r="Q207" i="1"/>
  <c r="R207" i="1"/>
  <c r="S207" i="1"/>
  <c r="U207" i="1" s="1"/>
  <c r="V207" i="1"/>
  <c r="I208" i="1"/>
  <c r="J208" i="1"/>
  <c r="K208" i="1"/>
  <c r="L208" i="1"/>
  <c r="M208" i="1"/>
  <c r="N208" i="1"/>
  <c r="O208" i="1"/>
  <c r="P208" i="1"/>
  <c r="T208" i="1" s="1"/>
  <c r="Q208" i="1"/>
  <c r="R208" i="1"/>
  <c r="S208" i="1"/>
  <c r="U208" i="1" s="1"/>
  <c r="V208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I210" i="1"/>
  <c r="J210" i="1"/>
  <c r="K210" i="1"/>
  <c r="L210" i="1"/>
  <c r="M210" i="1"/>
  <c r="N210" i="1"/>
  <c r="O210" i="1"/>
  <c r="P210" i="1"/>
  <c r="T210" i="1" s="1"/>
  <c r="Q210" i="1"/>
  <c r="R210" i="1"/>
  <c r="S210" i="1"/>
  <c r="U210" i="1" s="1"/>
  <c r="V210" i="1"/>
  <c r="I211" i="1"/>
  <c r="J211" i="1"/>
  <c r="K211" i="1"/>
  <c r="L211" i="1"/>
  <c r="M211" i="1"/>
  <c r="N211" i="1"/>
  <c r="O211" i="1"/>
  <c r="P211" i="1"/>
  <c r="T211" i="1" s="1"/>
  <c r="Q211" i="1"/>
  <c r="R211" i="1"/>
  <c r="S211" i="1"/>
  <c r="U211" i="1" s="1"/>
  <c r="V211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I213" i="1"/>
  <c r="J213" i="1"/>
  <c r="K213" i="1"/>
  <c r="L213" i="1"/>
  <c r="M213" i="1"/>
  <c r="N213" i="1"/>
  <c r="O213" i="1"/>
  <c r="P213" i="1"/>
  <c r="T213" i="1" s="1"/>
  <c r="Q213" i="1"/>
  <c r="R213" i="1"/>
  <c r="S213" i="1"/>
  <c r="U213" i="1" s="1"/>
  <c r="V213" i="1"/>
  <c r="I214" i="1"/>
  <c r="J214" i="1"/>
  <c r="K214" i="1"/>
  <c r="L214" i="1"/>
  <c r="M214" i="1"/>
  <c r="N214" i="1"/>
  <c r="O214" i="1"/>
  <c r="P214" i="1"/>
  <c r="T214" i="1" s="1"/>
  <c r="Q214" i="1"/>
  <c r="R214" i="1"/>
  <c r="S214" i="1"/>
  <c r="U214" i="1" s="1"/>
  <c r="V214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I216" i="1"/>
  <c r="J216" i="1"/>
  <c r="K216" i="1"/>
  <c r="L216" i="1"/>
  <c r="M216" i="1"/>
  <c r="N216" i="1"/>
  <c r="O216" i="1"/>
  <c r="P216" i="1"/>
  <c r="T216" i="1" s="1"/>
  <c r="Q216" i="1"/>
  <c r="R216" i="1"/>
  <c r="S216" i="1"/>
  <c r="U216" i="1" s="1"/>
  <c r="V216" i="1"/>
  <c r="I217" i="1"/>
  <c r="J217" i="1"/>
  <c r="K217" i="1"/>
  <c r="L217" i="1"/>
  <c r="M217" i="1"/>
  <c r="N217" i="1"/>
  <c r="O217" i="1"/>
  <c r="P217" i="1"/>
  <c r="T217" i="1" s="1"/>
  <c r="Q217" i="1"/>
  <c r="R217" i="1"/>
  <c r="S217" i="1"/>
  <c r="U217" i="1" s="1"/>
  <c r="V217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I219" i="1"/>
  <c r="J219" i="1"/>
  <c r="K219" i="1"/>
  <c r="L219" i="1"/>
  <c r="M219" i="1"/>
  <c r="N219" i="1"/>
  <c r="O219" i="1"/>
  <c r="P219" i="1"/>
  <c r="T219" i="1" s="1"/>
  <c r="Q219" i="1"/>
  <c r="R219" i="1"/>
  <c r="S219" i="1"/>
  <c r="U219" i="1" s="1"/>
  <c r="V219" i="1"/>
  <c r="I220" i="1"/>
  <c r="J220" i="1"/>
  <c r="K220" i="1"/>
  <c r="L220" i="1"/>
  <c r="M220" i="1"/>
  <c r="N220" i="1"/>
  <c r="O220" i="1"/>
  <c r="P220" i="1"/>
  <c r="T220" i="1" s="1"/>
  <c r="Q220" i="1"/>
  <c r="R220" i="1"/>
  <c r="S220" i="1"/>
  <c r="U220" i="1" s="1"/>
  <c r="V220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I222" i="1"/>
  <c r="J222" i="1"/>
  <c r="K222" i="1"/>
  <c r="L222" i="1"/>
  <c r="M222" i="1"/>
  <c r="N222" i="1"/>
  <c r="O222" i="1"/>
  <c r="P222" i="1"/>
  <c r="T222" i="1" s="1"/>
  <c r="Q222" i="1"/>
  <c r="R222" i="1"/>
  <c r="S222" i="1"/>
  <c r="U222" i="1" s="1"/>
  <c r="V222" i="1"/>
  <c r="I223" i="1"/>
  <c r="J223" i="1"/>
  <c r="K223" i="1"/>
  <c r="L223" i="1"/>
  <c r="M223" i="1"/>
  <c r="N223" i="1"/>
  <c r="O223" i="1"/>
  <c r="P223" i="1"/>
  <c r="T223" i="1" s="1"/>
  <c r="Q223" i="1"/>
  <c r="R223" i="1"/>
  <c r="S223" i="1"/>
  <c r="U223" i="1" s="1"/>
  <c r="V223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I225" i="1"/>
  <c r="J225" i="1"/>
  <c r="K225" i="1"/>
  <c r="L225" i="1"/>
  <c r="M225" i="1"/>
  <c r="N225" i="1"/>
  <c r="O225" i="1"/>
  <c r="P225" i="1"/>
  <c r="T225" i="1" s="1"/>
  <c r="Q225" i="1"/>
  <c r="R225" i="1"/>
  <c r="S225" i="1"/>
  <c r="U225" i="1" s="1"/>
  <c r="V225" i="1"/>
  <c r="I226" i="1"/>
  <c r="J226" i="1"/>
  <c r="K226" i="1"/>
  <c r="L226" i="1"/>
  <c r="M226" i="1"/>
  <c r="N226" i="1"/>
  <c r="O226" i="1"/>
  <c r="P226" i="1"/>
  <c r="T226" i="1" s="1"/>
  <c r="Q226" i="1"/>
  <c r="R226" i="1"/>
  <c r="S226" i="1"/>
  <c r="U226" i="1" s="1"/>
  <c r="V226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I228" i="1"/>
  <c r="J228" i="1"/>
  <c r="K228" i="1"/>
  <c r="L228" i="1"/>
  <c r="M228" i="1"/>
  <c r="N228" i="1"/>
  <c r="O228" i="1"/>
  <c r="P228" i="1"/>
  <c r="T228" i="1" s="1"/>
  <c r="Q228" i="1"/>
  <c r="R228" i="1"/>
  <c r="S228" i="1"/>
  <c r="U228" i="1" s="1"/>
  <c r="V228" i="1"/>
  <c r="I229" i="1"/>
  <c r="J229" i="1"/>
  <c r="K229" i="1"/>
  <c r="L229" i="1"/>
  <c r="M229" i="1"/>
  <c r="N229" i="1"/>
  <c r="O229" i="1"/>
  <c r="P229" i="1"/>
  <c r="T229" i="1" s="1"/>
  <c r="Q229" i="1"/>
  <c r="R229" i="1"/>
  <c r="S229" i="1"/>
  <c r="U229" i="1" s="1"/>
  <c r="V229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I231" i="1"/>
  <c r="J231" i="1"/>
  <c r="K231" i="1"/>
  <c r="L231" i="1"/>
  <c r="M231" i="1"/>
  <c r="N231" i="1"/>
  <c r="O231" i="1"/>
  <c r="P231" i="1"/>
  <c r="T231" i="1" s="1"/>
  <c r="Q231" i="1"/>
  <c r="R231" i="1"/>
  <c r="S231" i="1"/>
  <c r="U231" i="1" s="1"/>
  <c r="V231" i="1"/>
  <c r="I232" i="1"/>
  <c r="J232" i="1"/>
  <c r="K232" i="1"/>
  <c r="L232" i="1"/>
  <c r="M232" i="1"/>
  <c r="N232" i="1"/>
  <c r="O232" i="1"/>
  <c r="P232" i="1"/>
  <c r="T232" i="1" s="1"/>
  <c r="Q232" i="1"/>
  <c r="R232" i="1"/>
  <c r="S232" i="1"/>
  <c r="U232" i="1" s="1"/>
  <c r="V232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I234" i="1"/>
  <c r="J234" i="1"/>
  <c r="K234" i="1"/>
  <c r="L234" i="1"/>
  <c r="M234" i="1"/>
  <c r="N234" i="1"/>
  <c r="O234" i="1"/>
  <c r="P234" i="1"/>
  <c r="T234" i="1" s="1"/>
  <c r="Q234" i="1"/>
  <c r="R234" i="1"/>
  <c r="S234" i="1"/>
  <c r="U234" i="1" s="1"/>
  <c r="V234" i="1"/>
  <c r="I235" i="1"/>
  <c r="J235" i="1"/>
  <c r="K235" i="1"/>
  <c r="L235" i="1"/>
  <c r="M235" i="1"/>
  <c r="N235" i="1"/>
  <c r="O235" i="1"/>
  <c r="P235" i="1"/>
  <c r="T235" i="1" s="1"/>
  <c r="Q235" i="1"/>
  <c r="R235" i="1"/>
  <c r="S235" i="1"/>
  <c r="U235" i="1" s="1"/>
  <c r="V235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I237" i="1"/>
  <c r="J237" i="1"/>
  <c r="K237" i="1"/>
  <c r="L237" i="1"/>
  <c r="M237" i="1"/>
  <c r="N237" i="1"/>
  <c r="O237" i="1"/>
  <c r="P237" i="1"/>
  <c r="T237" i="1" s="1"/>
  <c r="Q237" i="1"/>
  <c r="R237" i="1"/>
  <c r="S237" i="1"/>
  <c r="U237" i="1" s="1"/>
  <c r="V237" i="1"/>
  <c r="I238" i="1"/>
  <c r="J238" i="1"/>
  <c r="K238" i="1"/>
  <c r="L238" i="1"/>
  <c r="M238" i="1"/>
  <c r="N238" i="1"/>
  <c r="O238" i="1"/>
  <c r="P238" i="1"/>
  <c r="T238" i="1" s="1"/>
  <c r="Q238" i="1"/>
  <c r="R238" i="1"/>
  <c r="S238" i="1"/>
  <c r="U238" i="1" s="1"/>
  <c r="V238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I240" i="1"/>
  <c r="J240" i="1"/>
  <c r="K240" i="1"/>
  <c r="L240" i="1"/>
  <c r="M240" i="1"/>
  <c r="N240" i="1"/>
  <c r="O240" i="1"/>
  <c r="P240" i="1"/>
  <c r="T240" i="1" s="1"/>
  <c r="Q240" i="1"/>
  <c r="R240" i="1"/>
  <c r="S240" i="1"/>
  <c r="U240" i="1" s="1"/>
  <c r="V240" i="1"/>
  <c r="I241" i="1"/>
  <c r="J241" i="1"/>
  <c r="K241" i="1"/>
  <c r="L241" i="1"/>
  <c r="M241" i="1"/>
  <c r="N241" i="1"/>
  <c r="O241" i="1"/>
  <c r="P241" i="1"/>
  <c r="T241" i="1" s="1"/>
  <c r="Q241" i="1"/>
  <c r="R241" i="1"/>
  <c r="S241" i="1"/>
  <c r="U241" i="1" s="1"/>
  <c r="V241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I243" i="1"/>
  <c r="J243" i="1"/>
  <c r="K243" i="1"/>
  <c r="L243" i="1"/>
  <c r="M243" i="1"/>
  <c r="N243" i="1"/>
  <c r="O243" i="1"/>
  <c r="P243" i="1"/>
  <c r="T243" i="1" s="1"/>
  <c r="Q243" i="1"/>
  <c r="R243" i="1"/>
  <c r="S243" i="1"/>
  <c r="U243" i="1" s="1"/>
  <c r="V243" i="1"/>
  <c r="I244" i="1"/>
  <c r="J244" i="1"/>
  <c r="K244" i="1"/>
  <c r="L244" i="1"/>
  <c r="M244" i="1"/>
  <c r="N244" i="1"/>
  <c r="O244" i="1"/>
  <c r="P244" i="1"/>
  <c r="T244" i="1" s="1"/>
  <c r="Q244" i="1"/>
  <c r="R244" i="1"/>
  <c r="S244" i="1"/>
  <c r="U244" i="1" s="1"/>
  <c r="V244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I246" i="1"/>
  <c r="J246" i="1"/>
  <c r="K246" i="1"/>
  <c r="L246" i="1"/>
  <c r="M246" i="1"/>
  <c r="N246" i="1"/>
  <c r="O246" i="1"/>
  <c r="P246" i="1"/>
  <c r="Q246" i="1"/>
  <c r="R246" i="1"/>
  <c r="S246" i="1"/>
  <c r="U246" i="1" s="1"/>
  <c r="T246" i="1"/>
  <c r="V246" i="1"/>
  <c r="I247" i="1"/>
  <c r="J247" i="1"/>
  <c r="K247" i="1"/>
  <c r="L247" i="1"/>
  <c r="M247" i="1"/>
  <c r="N247" i="1"/>
  <c r="O247" i="1"/>
  <c r="P247" i="1"/>
  <c r="T247" i="1" s="1"/>
  <c r="Q247" i="1"/>
  <c r="R247" i="1"/>
  <c r="S247" i="1"/>
  <c r="U247" i="1" s="1"/>
  <c r="V247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I249" i="1"/>
  <c r="J249" i="1"/>
  <c r="K249" i="1"/>
  <c r="L249" i="1"/>
  <c r="M249" i="1"/>
  <c r="N249" i="1"/>
  <c r="O249" i="1"/>
  <c r="P249" i="1"/>
  <c r="T249" i="1" s="1"/>
  <c r="Q249" i="1"/>
  <c r="R249" i="1"/>
  <c r="S249" i="1"/>
  <c r="U249" i="1" s="1"/>
  <c r="V249" i="1"/>
  <c r="I250" i="1"/>
  <c r="J250" i="1"/>
  <c r="K250" i="1"/>
  <c r="L250" i="1"/>
  <c r="M250" i="1"/>
  <c r="N250" i="1"/>
  <c r="O250" i="1"/>
  <c r="P250" i="1"/>
  <c r="T250" i="1" s="1"/>
  <c r="Q250" i="1"/>
  <c r="R250" i="1"/>
  <c r="S250" i="1"/>
  <c r="U250" i="1" s="1"/>
  <c r="V250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I252" i="1"/>
  <c r="J252" i="1"/>
  <c r="K252" i="1"/>
  <c r="L252" i="1"/>
  <c r="M252" i="1"/>
  <c r="N252" i="1"/>
  <c r="O252" i="1"/>
  <c r="P252" i="1"/>
  <c r="Q252" i="1"/>
  <c r="R252" i="1"/>
  <c r="S252" i="1"/>
  <c r="U252" i="1" s="1"/>
  <c r="T252" i="1"/>
  <c r="V252" i="1"/>
  <c r="I253" i="1"/>
  <c r="J253" i="1"/>
  <c r="K253" i="1"/>
  <c r="L253" i="1"/>
  <c r="M253" i="1"/>
  <c r="N253" i="1"/>
  <c r="O253" i="1"/>
  <c r="P253" i="1"/>
  <c r="T253" i="1" s="1"/>
  <c r="Q253" i="1"/>
  <c r="R253" i="1"/>
  <c r="S253" i="1"/>
  <c r="U253" i="1" s="1"/>
  <c r="V253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I255" i="1"/>
  <c r="J255" i="1"/>
  <c r="K255" i="1"/>
  <c r="L255" i="1"/>
  <c r="M255" i="1"/>
  <c r="N255" i="1"/>
  <c r="O255" i="1"/>
  <c r="P255" i="1"/>
  <c r="T255" i="1" s="1"/>
  <c r="Q255" i="1"/>
  <c r="R255" i="1"/>
  <c r="S255" i="1"/>
  <c r="U255" i="1" s="1"/>
  <c r="V255" i="1"/>
  <c r="I256" i="1"/>
  <c r="J256" i="1"/>
  <c r="K256" i="1"/>
  <c r="L256" i="1"/>
  <c r="M256" i="1"/>
  <c r="N256" i="1"/>
  <c r="O256" i="1"/>
  <c r="P256" i="1"/>
  <c r="T256" i="1" s="1"/>
  <c r="Q256" i="1"/>
  <c r="R256" i="1"/>
  <c r="S256" i="1"/>
  <c r="U256" i="1" s="1"/>
  <c r="V256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I258" i="1"/>
  <c r="J258" i="1"/>
  <c r="K258" i="1"/>
  <c r="L258" i="1"/>
  <c r="M258" i="1"/>
  <c r="N258" i="1"/>
  <c r="O258" i="1"/>
  <c r="P258" i="1"/>
  <c r="T258" i="1" s="1"/>
  <c r="Q258" i="1"/>
  <c r="R258" i="1"/>
  <c r="S258" i="1"/>
  <c r="U258" i="1" s="1"/>
  <c r="V258" i="1"/>
  <c r="I259" i="1"/>
  <c r="J259" i="1"/>
  <c r="V259" i="1" s="1"/>
  <c r="K259" i="1"/>
  <c r="L259" i="1"/>
  <c r="M259" i="1"/>
  <c r="N259" i="1"/>
  <c r="O259" i="1"/>
  <c r="P259" i="1"/>
  <c r="T259" i="1" s="1"/>
  <c r="Q259" i="1"/>
  <c r="R259" i="1"/>
  <c r="S259" i="1"/>
  <c r="U259" i="1" s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I261" i="1"/>
  <c r="J261" i="1"/>
  <c r="K261" i="1"/>
  <c r="L261" i="1"/>
  <c r="M261" i="1"/>
  <c r="N261" i="1"/>
  <c r="O261" i="1"/>
  <c r="P261" i="1"/>
  <c r="T261" i="1" s="1"/>
  <c r="Q261" i="1"/>
  <c r="R261" i="1"/>
  <c r="S261" i="1"/>
  <c r="U261" i="1" s="1"/>
  <c r="V261" i="1"/>
  <c r="I262" i="1"/>
  <c r="J262" i="1"/>
  <c r="K262" i="1"/>
  <c r="L262" i="1"/>
  <c r="M262" i="1"/>
  <c r="N262" i="1"/>
  <c r="O262" i="1"/>
  <c r="P262" i="1"/>
  <c r="T262" i="1" s="1"/>
  <c r="Q262" i="1"/>
  <c r="R262" i="1"/>
  <c r="S262" i="1"/>
  <c r="U262" i="1" s="1"/>
  <c r="V262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I264" i="1"/>
  <c r="J264" i="1"/>
  <c r="K264" i="1"/>
  <c r="L264" i="1"/>
  <c r="M264" i="1"/>
  <c r="N264" i="1"/>
  <c r="O264" i="1"/>
  <c r="P264" i="1"/>
  <c r="T264" i="1" s="1"/>
  <c r="Q264" i="1"/>
  <c r="R264" i="1"/>
  <c r="S264" i="1"/>
  <c r="U264" i="1" s="1"/>
  <c r="V264" i="1"/>
  <c r="I265" i="1"/>
  <c r="J265" i="1"/>
  <c r="V265" i="1" s="1"/>
  <c r="K265" i="1"/>
  <c r="L265" i="1"/>
  <c r="M265" i="1"/>
  <c r="N265" i="1"/>
  <c r="O265" i="1"/>
  <c r="P265" i="1"/>
  <c r="T265" i="1" s="1"/>
  <c r="Q265" i="1"/>
  <c r="R265" i="1"/>
  <c r="S265" i="1"/>
  <c r="U265" i="1" s="1"/>
  <c r="I266" i="1"/>
  <c r="J266" i="1"/>
  <c r="K266" i="1"/>
  <c r="L266" i="1"/>
  <c r="M266" i="1"/>
  <c r="N266" i="1"/>
  <c r="O266" i="1"/>
  <c r="P266" i="1"/>
  <c r="Q266" i="1"/>
  <c r="R266" i="1"/>
  <c r="S266" i="1"/>
  <c r="T266" i="1"/>
  <c r="U266" i="1"/>
  <c r="V266" i="1"/>
  <c r="I267" i="1"/>
  <c r="J267" i="1"/>
  <c r="K267" i="1"/>
  <c r="L267" i="1"/>
  <c r="M267" i="1"/>
  <c r="N267" i="1"/>
  <c r="O267" i="1"/>
  <c r="P267" i="1"/>
  <c r="T267" i="1" s="1"/>
  <c r="Q267" i="1"/>
  <c r="R267" i="1"/>
  <c r="S267" i="1"/>
  <c r="U267" i="1" s="1"/>
  <c r="V267" i="1"/>
  <c r="I268" i="1"/>
  <c r="J268" i="1"/>
  <c r="K268" i="1"/>
  <c r="L268" i="1"/>
  <c r="M268" i="1"/>
  <c r="N268" i="1"/>
  <c r="O268" i="1"/>
  <c r="P268" i="1"/>
  <c r="T268" i="1" s="1"/>
  <c r="Q268" i="1"/>
  <c r="R268" i="1"/>
  <c r="S268" i="1"/>
  <c r="U268" i="1" s="1"/>
  <c r="V268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I270" i="1"/>
  <c r="J270" i="1"/>
  <c r="K270" i="1"/>
  <c r="L270" i="1"/>
  <c r="M270" i="1"/>
  <c r="N270" i="1"/>
  <c r="O270" i="1"/>
  <c r="P270" i="1"/>
  <c r="T270" i="1" s="1"/>
  <c r="Q270" i="1"/>
  <c r="R270" i="1"/>
  <c r="S270" i="1"/>
  <c r="U270" i="1" s="1"/>
  <c r="V270" i="1"/>
  <c r="I271" i="1"/>
  <c r="J271" i="1"/>
  <c r="K271" i="1"/>
  <c r="L271" i="1"/>
  <c r="M271" i="1"/>
  <c r="N271" i="1"/>
  <c r="O271" i="1"/>
  <c r="P271" i="1"/>
  <c r="T271" i="1" s="1"/>
  <c r="Q271" i="1"/>
  <c r="R271" i="1"/>
  <c r="S271" i="1"/>
  <c r="U271" i="1" s="1"/>
  <c r="V271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I273" i="1"/>
  <c r="J273" i="1"/>
  <c r="K273" i="1"/>
  <c r="L273" i="1"/>
  <c r="M273" i="1"/>
  <c r="N273" i="1"/>
  <c r="O273" i="1"/>
  <c r="P273" i="1"/>
  <c r="T273" i="1" s="1"/>
  <c r="Q273" i="1"/>
  <c r="R273" i="1"/>
  <c r="S273" i="1"/>
  <c r="U273" i="1" s="1"/>
  <c r="V273" i="1"/>
  <c r="I274" i="1"/>
  <c r="J274" i="1"/>
  <c r="V274" i="1" s="1"/>
  <c r="K274" i="1"/>
  <c r="L274" i="1"/>
  <c r="M274" i="1"/>
  <c r="N274" i="1"/>
  <c r="O274" i="1"/>
  <c r="P274" i="1"/>
  <c r="T274" i="1" s="1"/>
  <c r="Q274" i="1"/>
  <c r="R274" i="1"/>
  <c r="S274" i="1"/>
  <c r="U274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I276" i="1"/>
  <c r="J276" i="1"/>
  <c r="K276" i="1"/>
  <c r="L276" i="1"/>
  <c r="M276" i="1"/>
  <c r="N276" i="1"/>
  <c r="O276" i="1"/>
  <c r="P276" i="1"/>
  <c r="T276" i="1" s="1"/>
  <c r="Q276" i="1"/>
  <c r="R276" i="1"/>
  <c r="S276" i="1"/>
  <c r="U276" i="1" s="1"/>
  <c r="V276" i="1"/>
  <c r="I277" i="1"/>
  <c r="J277" i="1"/>
  <c r="K277" i="1"/>
  <c r="L277" i="1"/>
  <c r="M277" i="1"/>
  <c r="N277" i="1"/>
  <c r="O277" i="1"/>
  <c r="P277" i="1"/>
  <c r="T277" i="1" s="1"/>
  <c r="Q277" i="1"/>
  <c r="R277" i="1"/>
  <c r="S277" i="1"/>
  <c r="U277" i="1"/>
  <c r="V277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I279" i="1"/>
  <c r="J279" i="1"/>
  <c r="K279" i="1"/>
  <c r="L279" i="1"/>
  <c r="M279" i="1"/>
  <c r="N279" i="1"/>
  <c r="O279" i="1"/>
  <c r="P279" i="1"/>
  <c r="T279" i="1" s="1"/>
  <c r="Q279" i="1"/>
  <c r="R279" i="1"/>
  <c r="S279" i="1"/>
  <c r="U279" i="1" s="1"/>
  <c r="V279" i="1"/>
  <c r="I280" i="1"/>
  <c r="J280" i="1"/>
  <c r="K280" i="1"/>
  <c r="L280" i="1"/>
  <c r="M280" i="1"/>
  <c r="N280" i="1"/>
  <c r="O280" i="1"/>
  <c r="P280" i="1"/>
  <c r="T280" i="1" s="1"/>
  <c r="Q280" i="1"/>
  <c r="R280" i="1"/>
  <c r="S280" i="1"/>
  <c r="U280" i="1"/>
  <c r="V280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I282" i="1"/>
  <c r="J282" i="1"/>
  <c r="K282" i="1"/>
  <c r="L282" i="1"/>
  <c r="M282" i="1"/>
  <c r="N282" i="1"/>
  <c r="O282" i="1"/>
  <c r="P282" i="1"/>
  <c r="T282" i="1" s="1"/>
  <c r="Q282" i="1"/>
  <c r="R282" i="1"/>
  <c r="S282" i="1"/>
  <c r="U282" i="1" s="1"/>
  <c r="V282" i="1"/>
  <c r="I283" i="1"/>
  <c r="J283" i="1"/>
  <c r="K283" i="1"/>
  <c r="L283" i="1"/>
  <c r="M283" i="1"/>
  <c r="N283" i="1"/>
  <c r="O283" i="1"/>
  <c r="P283" i="1"/>
  <c r="T283" i="1" s="1"/>
  <c r="Q283" i="1"/>
  <c r="R283" i="1"/>
  <c r="S283" i="1"/>
  <c r="U283" i="1"/>
  <c r="V283" i="1"/>
  <c r="I284" i="1"/>
  <c r="J284" i="1"/>
  <c r="K284" i="1"/>
  <c r="L284" i="1"/>
  <c r="M284" i="1"/>
  <c r="N284" i="1"/>
  <c r="O284" i="1"/>
  <c r="P284" i="1"/>
  <c r="Q284" i="1"/>
  <c r="R284" i="1"/>
  <c r="S284" i="1"/>
  <c r="T284" i="1"/>
  <c r="U284" i="1"/>
  <c r="V284" i="1"/>
  <c r="I285" i="1"/>
  <c r="J285" i="1"/>
  <c r="K285" i="1"/>
  <c r="L285" i="1"/>
  <c r="M285" i="1"/>
  <c r="N285" i="1"/>
  <c r="O285" i="1"/>
  <c r="P285" i="1"/>
  <c r="T285" i="1" s="1"/>
  <c r="Q285" i="1"/>
  <c r="R285" i="1"/>
  <c r="S285" i="1"/>
  <c r="U285" i="1" s="1"/>
  <c r="V285" i="1"/>
  <c r="I286" i="1"/>
  <c r="J286" i="1"/>
  <c r="K286" i="1"/>
  <c r="L286" i="1"/>
  <c r="M286" i="1"/>
  <c r="N286" i="1"/>
  <c r="O286" i="1"/>
  <c r="P286" i="1"/>
  <c r="T286" i="1" s="1"/>
  <c r="Q286" i="1"/>
  <c r="R286" i="1"/>
  <c r="S286" i="1"/>
  <c r="U286" i="1"/>
  <c r="V286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I288" i="1"/>
  <c r="J288" i="1"/>
  <c r="K288" i="1"/>
  <c r="L288" i="1"/>
  <c r="M288" i="1"/>
  <c r="N288" i="1"/>
  <c r="O288" i="1"/>
  <c r="P288" i="1"/>
  <c r="T288" i="1" s="1"/>
  <c r="Q288" i="1"/>
  <c r="R288" i="1"/>
  <c r="S288" i="1"/>
  <c r="U288" i="1" s="1"/>
  <c r="V288" i="1"/>
  <c r="I289" i="1"/>
  <c r="J289" i="1"/>
  <c r="K289" i="1"/>
  <c r="L289" i="1"/>
  <c r="M289" i="1"/>
  <c r="N289" i="1"/>
  <c r="O289" i="1"/>
  <c r="P289" i="1"/>
  <c r="T289" i="1" s="1"/>
  <c r="Q289" i="1"/>
  <c r="R289" i="1"/>
  <c r="S289" i="1"/>
  <c r="U289" i="1"/>
  <c r="V289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I291" i="1"/>
  <c r="J291" i="1"/>
  <c r="K291" i="1"/>
  <c r="L291" i="1"/>
  <c r="M291" i="1"/>
  <c r="N291" i="1"/>
  <c r="O291" i="1"/>
  <c r="P291" i="1"/>
  <c r="T291" i="1" s="1"/>
  <c r="Q291" i="1"/>
  <c r="R291" i="1"/>
  <c r="S291" i="1"/>
  <c r="U291" i="1" s="1"/>
  <c r="V291" i="1"/>
  <c r="I292" i="1"/>
  <c r="J292" i="1"/>
  <c r="K292" i="1"/>
  <c r="L292" i="1"/>
  <c r="M292" i="1"/>
  <c r="N292" i="1"/>
  <c r="O292" i="1"/>
  <c r="P292" i="1"/>
  <c r="T292" i="1" s="1"/>
  <c r="Q292" i="1"/>
  <c r="R292" i="1"/>
  <c r="S292" i="1"/>
  <c r="U292" i="1"/>
  <c r="V292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I294" i="1"/>
  <c r="J294" i="1"/>
  <c r="K294" i="1"/>
  <c r="L294" i="1"/>
  <c r="M294" i="1"/>
  <c r="N294" i="1"/>
  <c r="O294" i="1"/>
  <c r="P294" i="1"/>
  <c r="T294" i="1" s="1"/>
  <c r="Q294" i="1"/>
  <c r="R294" i="1"/>
  <c r="S294" i="1"/>
  <c r="U294" i="1" s="1"/>
  <c r="V294" i="1"/>
  <c r="I295" i="1"/>
  <c r="J295" i="1"/>
  <c r="K295" i="1"/>
  <c r="L295" i="1"/>
  <c r="M295" i="1"/>
  <c r="N295" i="1"/>
  <c r="O295" i="1"/>
  <c r="P295" i="1"/>
  <c r="T295" i="1" s="1"/>
  <c r="Q295" i="1"/>
  <c r="R295" i="1"/>
  <c r="S295" i="1"/>
  <c r="U295" i="1"/>
  <c r="V295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I297" i="1"/>
  <c r="J297" i="1"/>
  <c r="K297" i="1"/>
  <c r="L297" i="1"/>
  <c r="M297" i="1"/>
  <c r="N297" i="1"/>
  <c r="O297" i="1"/>
  <c r="P297" i="1"/>
  <c r="T297" i="1" s="1"/>
  <c r="Q297" i="1"/>
  <c r="R297" i="1"/>
  <c r="S297" i="1"/>
  <c r="U297" i="1" s="1"/>
  <c r="V297" i="1"/>
  <c r="I298" i="1"/>
  <c r="J298" i="1"/>
  <c r="K298" i="1"/>
  <c r="L298" i="1"/>
  <c r="M298" i="1"/>
  <c r="N298" i="1"/>
  <c r="O298" i="1"/>
  <c r="P298" i="1"/>
  <c r="T298" i="1" s="1"/>
  <c r="Q298" i="1"/>
  <c r="R298" i="1"/>
  <c r="S298" i="1"/>
  <c r="U298" i="1"/>
  <c r="V298" i="1"/>
  <c r="I299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T300" i="1"/>
  <c r="U300" i="1"/>
  <c r="V300" i="1"/>
  <c r="S7" i="1" l="1"/>
  <c r="S8" i="1"/>
  <c r="U8" i="1" s="1"/>
  <c r="S9" i="1"/>
  <c r="U9" i="1" s="1"/>
  <c r="S10" i="1"/>
  <c r="U10" i="1" s="1"/>
  <c r="P7" i="1"/>
  <c r="T7" i="1" s="1"/>
  <c r="P8" i="1"/>
  <c r="T8" i="1" s="1"/>
  <c r="P9" i="1"/>
  <c r="T9" i="1" s="1"/>
  <c r="P10" i="1"/>
  <c r="T10" i="1" s="1"/>
  <c r="S11" i="1"/>
  <c r="U11" i="1" s="1"/>
  <c r="P11" i="1"/>
  <c r="T11" i="1" s="1"/>
  <c r="S12" i="1"/>
  <c r="U12" i="1" s="1"/>
  <c r="P12" i="1"/>
  <c r="T12" i="1" s="1"/>
  <c r="S13" i="1"/>
  <c r="U13" i="1" s="1"/>
  <c r="P13" i="1"/>
  <c r="T13" i="1" s="1"/>
  <c r="S14" i="1"/>
  <c r="U14" i="1" s="1"/>
  <c r="P14" i="1"/>
  <c r="T14" i="1" s="1"/>
  <c r="S15" i="1"/>
  <c r="U15" i="1" s="1"/>
  <c r="P15" i="1"/>
  <c r="T15" i="1" s="1"/>
  <c r="S16" i="1"/>
  <c r="U16" i="1" s="1"/>
  <c r="P16" i="1"/>
  <c r="T16" i="1" s="1"/>
  <c r="S17" i="1"/>
  <c r="U17" i="1" s="1"/>
  <c r="P17" i="1"/>
  <c r="T17" i="1" s="1"/>
  <c r="S18" i="1"/>
  <c r="U18" i="1" s="1"/>
  <c r="P18" i="1"/>
  <c r="T18" i="1" s="1"/>
  <c r="S19" i="1"/>
  <c r="U19" i="1" s="1"/>
  <c r="P19" i="1"/>
  <c r="T19" i="1" s="1"/>
  <c r="S20" i="1"/>
  <c r="U20" i="1" s="1"/>
  <c r="P20" i="1"/>
  <c r="T20" i="1" s="1"/>
  <c r="S21" i="1"/>
  <c r="U21" i="1" s="1"/>
  <c r="P21" i="1"/>
  <c r="T21" i="1" s="1"/>
  <c r="S22" i="1"/>
  <c r="U22" i="1" s="1"/>
  <c r="P22" i="1"/>
  <c r="T22" i="1" s="1"/>
  <c r="S23" i="1"/>
  <c r="U23" i="1" s="1"/>
  <c r="P23" i="1"/>
  <c r="T23" i="1" s="1"/>
  <c r="S24" i="1"/>
  <c r="U24" i="1" s="1"/>
  <c r="P24" i="1"/>
  <c r="T24" i="1" s="1"/>
  <c r="S25" i="1"/>
  <c r="U25" i="1" s="1"/>
  <c r="P25" i="1"/>
  <c r="T25" i="1" s="1"/>
  <c r="S26" i="1"/>
  <c r="U26" i="1" s="1"/>
  <c r="P26" i="1"/>
  <c r="T26" i="1" s="1"/>
  <c r="S27" i="1"/>
  <c r="U27" i="1" s="1"/>
  <c r="P27" i="1"/>
  <c r="T27" i="1" s="1"/>
  <c r="S28" i="1"/>
  <c r="U28" i="1" s="1"/>
  <c r="P28" i="1"/>
  <c r="T28" i="1" s="1"/>
  <c r="S29" i="1"/>
  <c r="U29" i="1" s="1"/>
  <c r="P29" i="1"/>
  <c r="T29" i="1" s="1"/>
  <c r="S30" i="1"/>
  <c r="U30" i="1" s="1"/>
  <c r="P30" i="1"/>
  <c r="T30" i="1" s="1"/>
  <c r="S31" i="1"/>
  <c r="U31" i="1" s="1"/>
  <c r="P31" i="1"/>
  <c r="T31" i="1" s="1"/>
  <c r="S32" i="1"/>
  <c r="U32" i="1" s="1"/>
  <c r="P32" i="1"/>
  <c r="T32" i="1" s="1"/>
  <c r="S33" i="1"/>
  <c r="U33" i="1" s="1"/>
  <c r="P33" i="1"/>
  <c r="T33" i="1" s="1"/>
  <c r="S34" i="1"/>
  <c r="U34" i="1" s="1"/>
  <c r="P34" i="1"/>
  <c r="T34" i="1" s="1"/>
  <c r="S35" i="1"/>
  <c r="U35" i="1" s="1"/>
  <c r="P35" i="1"/>
  <c r="T35" i="1" s="1"/>
  <c r="S36" i="1"/>
  <c r="U36" i="1" s="1"/>
  <c r="P36" i="1"/>
  <c r="T36" i="1" s="1"/>
  <c r="S37" i="1"/>
  <c r="U37" i="1" s="1"/>
  <c r="P37" i="1"/>
  <c r="T37" i="1" s="1"/>
  <c r="S38" i="1"/>
  <c r="U38" i="1" s="1"/>
  <c r="P38" i="1"/>
  <c r="T38" i="1" s="1"/>
  <c r="S39" i="1"/>
  <c r="U39" i="1" s="1"/>
  <c r="P39" i="1"/>
  <c r="T39" i="1" s="1"/>
  <c r="S40" i="1"/>
  <c r="U40" i="1" s="1"/>
  <c r="P40" i="1"/>
  <c r="T40" i="1" s="1"/>
  <c r="S41" i="1"/>
  <c r="U41" i="1" s="1"/>
  <c r="P41" i="1"/>
  <c r="T41" i="1" s="1"/>
  <c r="S42" i="1"/>
  <c r="U42" i="1" s="1"/>
  <c r="P42" i="1"/>
  <c r="T42" i="1" s="1"/>
  <c r="S43" i="1"/>
  <c r="U43" i="1" s="1"/>
  <c r="P43" i="1"/>
  <c r="T43" i="1" s="1"/>
  <c r="S44" i="1"/>
  <c r="U44" i="1" s="1"/>
  <c r="P44" i="1"/>
  <c r="T44" i="1" s="1"/>
  <c r="S45" i="1"/>
  <c r="U45" i="1" s="1"/>
  <c r="P45" i="1"/>
  <c r="T45" i="1" s="1"/>
  <c r="S46" i="1"/>
  <c r="U46" i="1" s="1"/>
  <c r="P46" i="1"/>
  <c r="T46" i="1" s="1"/>
  <c r="S47" i="1"/>
  <c r="U47" i="1" s="1"/>
  <c r="P47" i="1"/>
  <c r="T47" i="1" s="1"/>
  <c r="S48" i="1"/>
  <c r="U48" i="1" s="1"/>
  <c r="P48" i="1"/>
  <c r="T48" i="1" s="1"/>
  <c r="S49" i="1"/>
  <c r="U49" i="1" s="1"/>
  <c r="P49" i="1"/>
  <c r="T49" i="1" s="1"/>
  <c r="S50" i="1"/>
  <c r="U50" i="1" s="1"/>
  <c r="P50" i="1"/>
  <c r="T50" i="1" s="1"/>
  <c r="S51" i="1"/>
  <c r="U51" i="1" s="1"/>
  <c r="P51" i="1"/>
  <c r="T51" i="1" s="1"/>
  <c r="S52" i="1"/>
  <c r="U52" i="1" s="1"/>
  <c r="P52" i="1"/>
  <c r="T52" i="1" s="1"/>
  <c r="S53" i="1"/>
  <c r="U53" i="1" s="1"/>
  <c r="S54" i="1"/>
  <c r="U54" i="1" s="1"/>
  <c r="S55" i="1"/>
  <c r="U55" i="1" s="1"/>
  <c r="S56" i="1"/>
  <c r="U56" i="1" s="1"/>
  <c r="P53" i="1"/>
  <c r="T53" i="1" s="1"/>
  <c r="P54" i="1"/>
  <c r="T54" i="1" s="1"/>
  <c r="P55" i="1"/>
  <c r="T55" i="1" s="1"/>
  <c r="P56" i="1"/>
  <c r="T56" i="1" s="1"/>
  <c r="S57" i="1"/>
  <c r="U57" i="1" s="1"/>
  <c r="P57" i="1"/>
  <c r="T57" i="1" s="1"/>
  <c r="S58" i="1"/>
  <c r="U58" i="1" s="1"/>
  <c r="P58" i="1"/>
  <c r="T58" i="1" s="1"/>
  <c r="S59" i="1"/>
  <c r="U59" i="1" s="1"/>
  <c r="P59" i="1"/>
  <c r="T59" i="1" s="1"/>
  <c r="S60" i="1"/>
  <c r="U60" i="1" s="1"/>
  <c r="P60" i="1"/>
  <c r="T60" i="1" s="1"/>
  <c r="S61" i="1"/>
  <c r="U61" i="1" s="1"/>
  <c r="P61" i="1"/>
  <c r="T61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J7" i="1"/>
  <c r="V7" i="1" s="1"/>
  <c r="J53" i="1"/>
  <c r="V53" i="1" s="1"/>
  <c r="J27" i="1"/>
  <c r="V27" i="1" s="1"/>
  <c r="B4" i="1"/>
  <c r="J36" i="1"/>
  <c r="V36" i="1" s="1"/>
  <c r="J61" i="1"/>
  <c r="V61" i="1" s="1"/>
  <c r="J34" i="1"/>
  <c r="V34" i="1" s="1"/>
  <c r="J35" i="1"/>
  <c r="V35" i="1" s="1"/>
  <c r="J37" i="1"/>
  <c r="V37" i="1" s="1"/>
  <c r="J28" i="1"/>
  <c r="V28" i="1" s="1"/>
  <c r="J29" i="1"/>
  <c r="V29" i="1" s="1"/>
  <c r="J30" i="1"/>
  <c r="V30" i="1" s="1"/>
  <c r="J31" i="1"/>
  <c r="V31" i="1" s="1"/>
  <c r="J32" i="1"/>
  <c r="V32" i="1" s="1"/>
  <c r="J33" i="1"/>
  <c r="V33" i="1" s="1"/>
  <c r="J18" i="1"/>
  <c r="V18" i="1" s="1"/>
  <c r="J19" i="1"/>
  <c r="V19" i="1" s="1"/>
  <c r="J57" i="1"/>
  <c r="V57" i="1" s="1"/>
  <c r="J58" i="1"/>
  <c r="V58" i="1" s="1"/>
  <c r="J59" i="1"/>
  <c r="V59" i="1" s="1"/>
  <c r="J60" i="1"/>
  <c r="V60" i="1"/>
  <c r="J50" i="1"/>
  <c r="V50" i="1" s="1"/>
  <c r="J11" i="1"/>
  <c r="V11" i="1" s="1"/>
  <c r="J12" i="1"/>
  <c r="V12" i="1" s="1"/>
  <c r="J13" i="1"/>
  <c r="V13" i="1" s="1"/>
  <c r="J20" i="1"/>
  <c r="V20" i="1" s="1"/>
  <c r="J23" i="1"/>
  <c r="V23" i="1" s="1"/>
  <c r="J24" i="1"/>
  <c r="V24" i="1" s="1"/>
  <c r="J52" i="1"/>
  <c r="V52" i="1" s="1"/>
  <c r="J54" i="1"/>
  <c r="V54" i="1" s="1"/>
  <c r="J55" i="1"/>
  <c r="V55" i="1" s="1"/>
  <c r="J56" i="1"/>
  <c r="V56" i="1" s="1"/>
  <c r="J40" i="1"/>
  <c r="V40" i="1" s="1"/>
  <c r="J41" i="1"/>
  <c r="V41" i="1" s="1"/>
  <c r="J45" i="1"/>
  <c r="V45" i="1" s="1"/>
  <c r="J46" i="1"/>
  <c r="V46" i="1" s="1"/>
  <c r="J25" i="1"/>
  <c r="V25" i="1" s="1"/>
  <c r="J26" i="1"/>
  <c r="V26" i="1" s="1"/>
  <c r="J8" i="1"/>
  <c r="V8" i="1" s="1"/>
  <c r="J9" i="1"/>
  <c r="V9" i="1" s="1"/>
  <c r="J10" i="1"/>
  <c r="V10" i="1" s="1"/>
  <c r="J14" i="1"/>
  <c r="V14" i="1" s="1"/>
  <c r="J15" i="1"/>
  <c r="V15" i="1" s="1"/>
  <c r="J16" i="1"/>
  <c r="V16" i="1" s="1"/>
  <c r="J17" i="1"/>
  <c r="V17" i="1" s="1"/>
  <c r="J49" i="1"/>
  <c r="V49" i="1" s="1"/>
  <c r="J21" i="1"/>
  <c r="V21" i="1" s="1"/>
  <c r="J22" i="1"/>
  <c r="V22" i="1" s="1"/>
  <c r="J38" i="1"/>
  <c r="V38" i="1" s="1"/>
  <c r="J39" i="1"/>
  <c r="V39" i="1" s="1"/>
  <c r="J42" i="1"/>
  <c r="V42" i="1" s="1"/>
  <c r="J43" i="1"/>
  <c r="V43" i="1" s="1"/>
  <c r="J44" i="1"/>
  <c r="V44" i="1" s="1"/>
  <c r="J47" i="1"/>
  <c r="V47" i="1" s="1"/>
  <c r="J48" i="1"/>
  <c r="V48" i="1" s="1"/>
  <c r="J51" i="1"/>
  <c r="V51" i="1" s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T6" i="1"/>
  <c r="I7" i="1"/>
  <c r="K7" i="1"/>
  <c r="L7" i="1"/>
  <c r="M7" i="1"/>
  <c r="N7" i="1"/>
  <c r="O7" i="1"/>
  <c r="I8" i="1"/>
  <c r="K8" i="1"/>
  <c r="L8" i="1"/>
  <c r="M8" i="1"/>
  <c r="N8" i="1"/>
  <c r="O8" i="1"/>
  <c r="I9" i="1"/>
  <c r="K9" i="1"/>
  <c r="L9" i="1"/>
  <c r="M9" i="1"/>
  <c r="N9" i="1"/>
  <c r="O9" i="1"/>
  <c r="I10" i="1"/>
  <c r="K10" i="1"/>
  <c r="L10" i="1"/>
  <c r="M10" i="1"/>
  <c r="N10" i="1"/>
  <c r="O10" i="1"/>
  <c r="I11" i="1"/>
  <c r="K11" i="1"/>
  <c r="L11" i="1"/>
  <c r="M11" i="1"/>
  <c r="N11" i="1"/>
  <c r="O11" i="1"/>
  <c r="I12" i="1"/>
  <c r="K12" i="1"/>
  <c r="L12" i="1"/>
  <c r="M12" i="1"/>
  <c r="N12" i="1"/>
  <c r="O12" i="1"/>
  <c r="I13" i="1"/>
  <c r="K13" i="1"/>
  <c r="L13" i="1"/>
  <c r="M13" i="1"/>
  <c r="N13" i="1"/>
  <c r="O13" i="1"/>
  <c r="I14" i="1"/>
  <c r="K14" i="1"/>
  <c r="L14" i="1"/>
  <c r="M14" i="1"/>
  <c r="N14" i="1"/>
  <c r="O14" i="1"/>
  <c r="I15" i="1"/>
  <c r="K15" i="1"/>
  <c r="L15" i="1"/>
  <c r="M15" i="1"/>
  <c r="N15" i="1"/>
  <c r="O15" i="1"/>
  <c r="I16" i="1"/>
  <c r="K16" i="1"/>
  <c r="L16" i="1"/>
  <c r="M16" i="1"/>
  <c r="N16" i="1"/>
  <c r="O16" i="1"/>
  <c r="I17" i="1"/>
  <c r="K17" i="1"/>
  <c r="L17" i="1"/>
  <c r="M17" i="1"/>
  <c r="N17" i="1"/>
  <c r="O17" i="1"/>
  <c r="I18" i="1"/>
  <c r="K18" i="1"/>
  <c r="L18" i="1"/>
  <c r="M18" i="1"/>
  <c r="N18" i="1"/>
  <c r="O18" i="1"/>
  <c r="I19" i="1"/>
  <c r="K19" i="1"/>
  <c r="L19" i="1"/>
  <c r="M19" i="1"/>
  <c r="N19" i="1"/>
  <c r="O19" i="1"/>
  <c r="I20" i="1"/>
  <c r="K20" i="1"/>
  <c r="L20" i="1"/>
  <c r="M20" i="1"/>
  <c r="N20" i="1"/>
  <c r="O20" i="1"/>
  <c r="I21" i="1"/>
  <c r="K21" i="1"/>
  <c r="L21" i="1"/>
  <c r="M21" i="1"/>
  <c r="N21" i="1"/>
  <c r="O21" i="1"/>
  <c r="I22" i="1"/>
  <c r="K22" i="1"/>
  <c r="L22" i="1"/>
  <c r="M22" i="1"/>
  <c r="N22" i="1"/>
  <c r="O22" i="1"/>
  <c r="I23" i="1"/>
  <c r="K23" i="1"/>
  <c r="L23" i="1"/>
  <c r="M23" i="1"/>
  <c r="N23" i="1"/>
  <c r="O23" i="1"/>
  <c r="I24" i="1"/>
  <c r="K24" i="1"/>
  <c r="L24" i="1"/>
  <c r="M24" i="1"/>
  <c r="N24" i="1"/>
  <c r="O24" i="1"/>
  <c r="I25" i="1"/>
  <c r="K25" i="1"/>
  <c r="L25" i="1"/>
  <c r="M25" i="1"/>
  <c r="N25" i="1"/>
  <c r="O25" i="1"/>
  <c r="I26" i="1"/>
  <c r="K26" i="1"/>
  <c r="L26" i="1"/>
  <c r="M26" i="1"/>
  <c r="N26" i="1"/>
  <c r="O26" i="1"/>
  <c r="I27" i="1"/>
  <c r="K27" i="1"/>
  <c r="L27" i="1"/>
  <c r="M27" i="1"/>
  <c r="N27" i="1"/>
  <c r="O27" i="1"/>
  <c r="I28" i="1"/>
  <c r="K28" i="1"/>
  <c r="L28" i="1"/>
  <c r="M28" i="1"/>
  <c r="N28" i="1"/>
  <c r="O28" i="1"/>
  <c r="I29" i="1"/>
  <c r="K29" i="1"/>
  <c r="L29" i="1"/>
  <c r="M29" i="1"/>
  <c r="N29" i="1"/>
  <c r="O29" i="1"/>
  <c r="I30" i="1"/>
  <c r="K30" i="1"/>
  <c r="L30" i="1"/>
  <c r="M30" i="1"/>
  <c r="N30" i="1"/>
  <c r="O30" i="1"/>
  <c r="I31" i="1"/>
  <c r="K31" i="1"/>
  <c r="L31" i="1"/>
  <c r="M31" i="1"/>
  <c r="N31" i="1"/>
  <c r="O31" i="1"/>
  <c r="I32" i="1"/>
  <c r="K32" i="1"/>
  <c r="L32" i="1"/>
  <c r="M32" i="1"/>
  <c r="N32" i="1"/>
  <c r="O32" i="1"/>
  <c r="I33" i="1"/>
  <c r="K33" i="1"/>
  <c r="L33" i="1"/>
  <c r="M33" i="1"/>
  <c r="N33" i="1"/>
  <c r="O33" i="1"/>
  <c r="I34" i="1"/>
  <c r="K34" i="1"/>
  <c r="L34" i="1"/>
  <c r="M34" i="1"/>
  <c r="N34" i="1"/>
  <c r="O34" i="1"/>
  <c r="I35" i="1"/>
  <c r="K35" i="1"/>
  <c r="L35" i="1"/>
  <c r="M35" i="1"/>
  <c r="N35" i="1"/>
  <c r="O35" i="1"/>
  <c r="I36" i="1"/>
  <c r="K36" i="1"/>
  <c r="L36" i="1"/>
  <c r="M36" i="1"/>
  <c r="N36" i="1"/>
  <c r="O36" i="1"/>
  <c r="I37" i="1"/>
  <c r="K37" i="1"/>
  <c r="L37" i="1"/>
  <c r="M37" i="1"/>
  <c r="N37" i="1"/>
  <c r="O37" i="1"/>
  <c r="I38" i="1"/>
  <c r="K38" i="1"/>
  <c r="L38" i="1"/>
  <c r="M38" i="1"/>
  <c r="N38" i="1"/>
  <c r="O38" i="1"/>
  <c r="I39" i="1"/>
  <c r="K39" i="1"/>
  <c r="L39" i="1"/>
  <c r="M39" i="1"/>
  <c r="N39" i="1"/>
  <c r="O39" i="1"/>
  <c r="I40" i="1"/>
  <c r="K40" i="1"/>
  <c r="L40" i="1"/>
  <c r="M40" i="1"/>
  <c r="N40" i="1"/>
  <c r="O40" i="1"/>
  <c r="I41" i="1"/>
  <c r="K41" i="1"/>
  <c r="L41" i="1"/>
  <c r="M41" i="1"/>
  <c r="N41" i="1"/>
  <c r="O41" i="1"/>
  <c r="I42" i="1"/>
  <c r="K42" i="1"/>
  <c r="L42" i="1"/>
  <c r="M42" i="1"/>
  <c r="N42" i="1"/>
  <c r="O42" i="1"/>
  <c r="I43" i="1"/>
  <c r="K43" i="1"/>
  <c r="L43" i="1"/>
  <c r="M43" i="1"/>
  <c r="N43" i="1"/>
  <c r="O43" i="1"/>
  <c r="I44" i="1"/>
  <c r="K44" i="1"/>
  <c r="L44" i="1"/>
  <c r="M44" i="1"/>
  <c r="N44" i="1"/>
  <c r="O44" i="1"/>
  <c r="I45" i="1"/>
  <c r="K45" i="1"/>
  <c r="L45" i="1"/>
  <c r="M45" i="1"/>
  <c r="N45" i="1"/>
  <c r="O45" i="1"/>
  <c r="I46" i="1"/>
  <c r="K46" i="1"/>
  <c r="L46" i="1"/>
  <c r="M46" i="1"/>
  <c r="N46" i="1"/>
  <c r="O46" i="1"/>
  <c r="I47" i="1"/>
  <c r="K47" i="1"/>
  <c r="L47" i="1"/>
  <c r="M47" i="1"/>
  <c r="N47" i="1"/>
  <c r="O47" i="1"/>
  <c r="I48" i="1"/>
  <c r="K48" i="1"/>
  <c r="L48" i="1"/>
  <c r="M48" i="1"/>
  <c r="N48" i="1"/>
  <c r="O48" i="1"/>
  <c r="I49" i="1"/>
  <c r="K49" i="1"/>
  <c r="L49" i="1"/>
  <c r="M49" i="1"/>
  <c r="N49" i="1"/>
  <c r="O49" i="1"/>
  <c r="I50" i="1"/>
  <c r="K50" i="1"/>
  <c r="L50" i="1"/>
  <c r="M50" i="1"/>
  <c r="N50" i="1"/>
  <c r="O50" i="1"/>
  <c r="I51" i="1"/>
  <c r="K51" i="1"/>
  <c r="L51" i="1"/>
  <c r="M51" i="1"/>
  <c r="N51" i="1"/>
  <c r="O51" i="1"/>
  <c r="I52" i="1"/>
  <c r="K52" i="1"/>
  <c r="L52" i="1"/>
  <c r="M52" i="1"/>
  <c r="N52" i="1"/>
  <c r="O52" i="1"/>
  <c r="I53" i="1"/>
  <c r="K53" i="1"/>
  <c r="L53" i="1"/>
  <c r="M53" i="1"/>
  <c r="N53" i="1"/>
  <c r="O53" i="1"/>
  <c r="I54" i="1"/>
  <c r="K54" i="1"/>
  <c r="L54" i="1"/>
  <c r="M54" i="1"/>
  <c r="N54" i="1"/>
  <c r="O54" i="1"/>
  <c r="I55" i="1"/>
  <c r="K55" i="1"/>
  <c r="L55" i="1"/>
  <c r="M55" i="1"/>
  <c r="N55" i="1"/>
  <c r="O55" i="1"/>
  <c r="I56" i="1"/>
  <c r="K56" i="1"/>
  <c r="L56" i="1"/>
  <c r="M56" i="1"/>
  <c r="N56" i="1"/>
  <c r="O56" i="1"/>
  <c r="I57" i="1"/>
  <c r="K57" i="1"/>
  <c r="L57" i="1"/>
  <c r="M57" i="1"/>
  <c r="N57" i="1"/>
  <c r="O57" i="1"/>
  <c r="I58" i="1"/>
  <c r="K58" i="1"/>
  <c r="L58" i="1"/>
  <c r="M58" i="1"/>
  <c r="N58" i="1"/>
  <c r="O58" i="1"/>
  <c r="I59" i="1"/>
  <c r="K59" i="1"/>
  <c r="L59" i="1"/>
  <c r="M59" i="1"/>
  <c r="N59" i="1"/>
  <c r="O59" i="1"/>
  <c r="I60" i="1"/>
  <c r="K60" i="1"/>
  <c r="L60" i="1"/>
  <c r="M60" i="1"/>
  <c r="N60" i="1"/>
  <c r="O60" i="1"/>
  <c r="I61" i="1"/>
  <c r="K61" i="1"/>
  <c r="L61" i="1"/>
  <c r="M61" i="1"/>
  <c r="N61" i="1"/>
  <c r="O61" i="1"/>
  <c r="D7" i="1" l="1"/>
  <c r="D13" i="1"/>
  <c r="D19" i="1"/>
  <c r="D25" i="1"/>
  <c r="D31" i="1"/>
  <c r="D37" i="1"/>
  <c r="D43" i="1"/>
  <c r="D49" i="1"/>
  <c r="D55" i="1"/>
  <c r="D61" i="1"/>
  <c r="D36" i="1"/>
  <c r="D8" i="1"/>
  <c r="D14" i="1"/>
  <c r="D20" i="1"/>
  <c r="D26" i="1"/>
  <c r="D32" i="1"/>
  <c r="D38" i="1"/>
  <c r="D44" i="1"/>
  <c r="D50" i="1"/>
  <c r="D56" i="1"/>
  <c r="D30" i="1"/>
  <c r="D9" i="1"/>
  <c r="D15" i="1"/>
  <c r="D21" i="1"/>
  <c r="D27" i="1"/>
  <c r="E27" i="1" s="1"/>
  <c r="D33" i="1"/>
  <c r="D39" i="1"/>
  <c r="D45" i="1"/>
  <c r="D51" i="1"/>
  <c r="D57" i="1"/>
  <c r="D24" i="1"/>
  <c r="E24" i="1" s="1"/>
  <c r="D10" i="1"/>
  <c r="D16" i="1"/>
  <c r="D22" i="1"/>
  <c r="D28" i="1"/>
  <c r="E28" i="1" s="1"/>
  <c r="D34" i="1"/>
  <c r="D40" i="1"/>
  <c r="E40" i="1" s="1"/>
  <c r="D46" i="1"/>
  <c r="D52" i="1"/>
  <c r="D58" i="1"/>
  <c r="D18" i="1"/>
  <c r="D11" i="1"/>
  <c r="D17" i="1"/>
  <c r="E17" i="1" s="1"/>
  <c r="D23" i="1"/>
  <c r="D29" i="1"/>
  <c r="D35" i="1"/>
  <c r="D41" i="1"/>
  <c r="D47" i="1"/>
  <c r="D53" i="1"/>
  <c r="E53" i="1" s="1"/>
  <c r="D59" i="1"/>
  <c r="D12" i="1"/>
  <c r="E12" i="1" s="1"/>
  <c r="D42" i="1"/>
  <c r="D48" i="1"/>
  <c r="D54" i="1"/>
  <c r="E54" i="1" s="1"/>
  <c r="D60" i="1"/>
  <c r="E60" i="1" s="1"/>
  <c r="E18" i="1"/>
  <c r="E30" i="1"/>
  <c r="E36" i="1"/>
  <c r="E42" i="1"/>
  <c r="E48" i="1"/>
  <c r="E7" i="1"/>
  <c r="E13" i="1"/>
  <c r="E19" i="1"/>
  <c r="E25" i="1"/>
  <c r="E31" i="1"/>
  <c r="E37" i="1"/>
  <c r="E43" i="1"/>
  <c r="E49" i="1"/>
  <c r="E55" i="1"/>
  <c r="E61" i="1"/>
  <c r="E8" i="1"/>
  <c r="E14" i="1"/>
  <c r="E20" i="1"/>
  <c r="E26" i="1"/>
  <c r="E32" i="1"/>
  <c r="E38" i="1"/>
  <c r="E44" i="1"/>
  <c r="E50" i="1"/>
  <c r="E56" i="1"/>
  <c r="E9" i="1"/>
  <c r="E15" i="1"/>
  <c r="E21" i="1"/>
  <c r="E33" i="1"/>
  <c r="E39" i="1"/>
  <c r="E45" i="1"/>
  <c r="E51" i="1"/>
  <c r="E57" i="1"/>
  <c r="E10" i="1"/>
  <c r="E16" i="1"/>
  <c r="E22" i="1"/>
  <c r="E34" i="1"/>
  <c r="E46" i="1"/>
  <c r="E52" i="1"/>
  <c r="E58" i="1"/>
  <c r="E11" i="1"/>
  <c r="E23" i="1"/>
  <c r="E29" i="1"/>
  <c r="E35" i="1"/>
  <c r="E41" i="1"/>
  <c r="E47" i="1"/>
  <c r="E59" i="1"/>
  <c r="U7" i="1"/>
  <c r="E62" i="1" l="1"/>
</calcChain>
</file>

<file path=xl/sharedStrings.xml><?xml version="1.0" encoding="utf-8"?>
<sst xmlns="http://schemas.openxmlformats.org/spreadsheetml/2006/main" count="152" uniqueCount="149">
  <si>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</si>
  <si>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</si>
  <si>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</si>
  <si>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</si>
  <si>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</si>
  <si>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</si>
  <si>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</si>
  <si>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</si>
  <si>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FLT3 p.Asp835Tyr</t>
  </si>
  <si>
    <t>KIT p.Asp816Val</t>
  </si>
  <si>
    <t>NGS Common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</si>
  <si>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</si>
  <si>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</si>
  <si>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</si>
  <si>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</si>
  <si>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</si>
  <si>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</si>
  <si>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</si>
  <si>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</si>
  <si>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</si>
  <si>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</si>
  <si>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</si>
  <si>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</si>
  <si>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</si>
  <si>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ENSP00000451828:p.Glu117del</t>
  </si>
  <si>
    <t>ENSP00000375892:p.Arg251Trp</t>
  </si>
  <si>
    <t>ENSP00000419060:p.Val207Gly</t>
  </si>
  <si>
    <t>ENSP00000419060:p.Val207Glu</t>
  </si>
  <si>
    <t>140453136..140453137</t>
  </si>
  <si>
    <t>ENSP00000419060:p.Val207Arg</t>
  </si>
  <si>
    <t>ENSP00000419060:p.Val207Lys</t>
  </si>
  <si>
    <t>ENSP00000419060:p.Val207Met</t>
  </si>
  <si>
    <t>ENSP00000320866:p.Asp244Gly</t>
  </si>
  <si>
    <t>ENSP00000275493:p.Asn234Asp</t>
  </si>
  <si>
    <t>ENSP00000275493:p.Gly719Ser</t>
  </si>
  <si>
    <t>55242465..55242479</t>
  </si>
  <si>
    <t>ENSP00000275493:p.Glu746_Ala750del</t>
  </si>
  <si>
    <t>ENSP00000275493:p.Leu858Arg</t>
  </si>
  <si>
    <t>ENSP00000275493:p.Leu861Gln</t>
  </si>
  <si>
    <t>ENSP00000275493:p.Tyr1016His</t>
  </si>
  <si>
    <t>ENSP00000257290:p.Gly426Asp</t>
  </si>
  <si>
    <t>ENSP00000257290:p.Ser923Thr</t>
  </si>
  <si>
    <t>28578215..28578216</t>
  </si>
  <si>
    <t>ENSP00000370369:p.Pro989fs</t>
  </si>
  <si>
    <t>28592635..28592637</t>
  </si>
  <si>
    <t>ENSP00000370369:p.Ile836del</t>
  </si>
  <si>
    <t>ENSP00000370369:p.Asp835Tyr</t>
  </si>
  <si>
    <t>ENSP00000370369:p.Val197Ala</t>
  </si>
  <si>
    <t>ENSP00000388246:p.Gly161Arg</t>
  </si>
  <si>
    <t>ENSP00000390265:p.Ser261Leu</t>
  </si>
  <si>
    <t>ENSP00000390265:p.Arg132His</t>
  </si>
  <si>
    <t>ENSP00000390265:p.Arg132Cys</t>
  </si>
  <si>
    <t>ENSP00000331897:p.Gly190Asp</t>
  </si>
  <si>
    <t>ENSP00000331897:p.Arg172Lys</t>
  </si>
  <si>
    <t>ENSP00000331897:p.Arg140Gln</t>
  </si>
  <si>
    <t>ENSP00000288135:p.Asn400Ser</t>
  </si>
  <si>
    <t>ENSP00000288135:p.Asp816Val</t>
  </si>
  <si>
    <t>ENSP00000308495:p.Gln61His</t>
  </si>
  <si>
    <t>ENSP00000308495:p.Gln61Leu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</si>
  <si>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</si>
  <si>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</si>
  <si>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</si>
  <si>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</si>
  <si>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</si>
  <si>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ENSP00000277541:p.Ile807Val</t>
  </si>
  <si>
    <t>ENSP00000277541:p.Pro668Ser</t>
  </si>
  <si>
    <t>ENSP00000296930:p.Glu68*</t>
  </si>
  <si>
    <t>170827157..170827159</t>
  </si>
  <si>
    <t>ENSP00000296930:p.Asp180del</t>
  </si>
  <si>
    <t>ENSP00000358548:p.Gln61His</t>
  </si>
  <si>
    <t>ENSP00000358548:p.Gln61Leu</t>
  </si>
  <si>
    <t>ENSP00000358548:p.Gln61Arg</t>
  </si>
  <si>
    <t>ENSP00000358548:p.Gln61Lys</t>
  </si>
  <si>
    <t>ENSP00000263967:p.Glu542Lys</t>
  </si>
  <si>
    <t>ENSP00000263967:p.Glu545Lys</t>
  </si>
  <si>
    <t>ENSP00000263967:p.Gly914Arg</t>
  </si>
  <si>
    <t>ENSP00000263967:p.His1047Arg</t>
  </si>
  <si>
    <t>Amino Acid Change</t>
  </si>
  <si>
    <t>In Hotspot List?</t>
  </si>
  <si>
    <t>ENSP00000275493:p.Thr790Met</t>
  </si>
  <si>
    <t>ENSP00000308495:p.Gly12Ala</t>
  </si>
  <si>
    <t>ENSP00000308495:p.Gly12Ser</t>
  </si>
  <si>
    <t>BGW Version:</t>
  </si>
  <si>
    <t>Control ID:</t>
  </si>
  <si>
    <t>ENSP00000257290:p.Asp842Val</t>
  </si>
  <si>
    <t>ENSP00000371067:p.Val617Phe</t>
  </si>
  <si>
    <t>ENSP00000308495:p.Gly12Arg</t>
  </si>
  <si>
    <t>ENSP00000308495:p.Gly12Val</t>
  </si>
  <si>
    <t>C00030-F (HD734)</t>
  </si>
  <si>
    <t>Pathogenic/likely pathogenic: frequency &gt; 0.7%, AQ&gt;30; VUS/Likely benign/benign: frequency &gt; 1.3%, AQ&gt;40.</t>
  </si>
  <si>
    <t>BGW 5.0, CMOL Common V5.4</t>
  </si>
  <si>
    <t>Analyzed by:</t>
  </si>
  <si>
    <r>
      <rPr>
        <b/>
        <i/>
        <sz val="14"/>
        <color theme="1"/>
        <rFont val="Arial Narrow"/>
        <family val="2"/>
      </rPr>
      <t>AKT1</t>
    </r>
    <r>
      <rPr>
        <b/>
        <sz val="14"/>
        <color theme="1"/>
        <rFont val="Arial Narrow"/>
        <family val="2"/>
      </rPr>
      <t xml:space="preserve"> p.Glu117del</t>
    </r>
  </si>
  <si>
    <r>
      <rPr>
        <b/>
        <i/>
        <sz val="14"/>
        <color theme="1"/>
        <rFont val="Arial Narrow"/>
        <family val="2"/>
      </rPr>
      <t>AKT2</t>
    </r>
    <r>
      <rPr>
        <b/>
        <sz val="14"/>
        <color theme="1"/>
        <rFont val="Arial Narrow"/>
        <family val="2"/>
      </rPr>
      <t xml:space="preserve"> p.Arg251Trp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</si>
  <si>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p.Val600Gly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</si>
  <si>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</si>
  <si>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p.Val600Arg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</si>
  <si>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</si>
  <si>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p.Val600Met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</si>
  <si>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</si>
  <si>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p.Asn234Asp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</si>
  <si>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</si>
  <si>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EGRF</t>
    </r>
    <r>
      <rPr>
        <b/>
        <sz val="14"/>
        <color theme="1"/>
        <rFont val="Arial Narrow"/>
        <family val="2"/>
      </rPr>
      <t xml:space="preserve"> p.Glu746-Ala750del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</si>
  <si>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p.Leu858Arg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</si>
  <si>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p.Leu861Gln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</si>
  <si>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</si>
  <si>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</si>
  <si>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</si>
  <si>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p.Asp842Val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</si>
  <si>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</si>
  <si>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</si>
  <si>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</si>
  <si>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</si>
  <si>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</si>
  <si>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</si>
  <si>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p.Arg132His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</si>
  <si>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</si>
  <si>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</si>
  <si>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p.Arg172Lys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</si>
  <si>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p.Arg140Gln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</si>
  <si>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</si>
  <si>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KIT</t>
    </r>
    <r>
      <rPr>
        <b/>
        <sz val="14"/>
        <color theme="1"/>
        <rFont val="Arial Narrow"/>
        <family val="2"/>
      </rPr>
      <t xml:space="preserve"> p.Asn400Ser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</si>
  <si>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</si>
  <si>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</si>
  <si>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</si>
  <si>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</si>
  <si>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</si>
  <si>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p.Gly12Cys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</si>
  <si>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</si>
  <si>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</si>
  <si>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p.G12V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</si>
  <si>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</si>
  <si>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</si>
  <si>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p.Ile807Val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</si>
  <si>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</si>
  <si>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p.Glu68*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</si>
  <si>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p.Asp180del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</si>
  <si>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</si>
  <si>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</si>
  <si>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p.Gln61Arg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</si>
  <si>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</si>
  <si>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p.Glu542Lys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</si>
  <si>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p.Glu545Lys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</si>
  <si>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p.Gly914Arg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</si>
  <si>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p.H1047R</t>
    </r>
  </si>
  <si>
    <t>Deletion</t>
  </si>
  <si>
    <t>Insertion</t>
  </si>
  <si>
    <t>Hotspot</t>
  </si>
  <si>
    <t>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</si>
</sst>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18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color rgb="FFFF0000"/>
      <name val="Arial Narrow"/>
      <family val="2"/>
    </font>
    <font>
      <b/>
      <sz val="11"/>
      <color rgb="FFFF0000"/>
      <name val="Calibri"/>
      <family val="2"/>
      <scheme val="minor"/>
    </font>
    <font>
      <b/>
      <i/>
      <sz val="14"/>
      <color theme="1"/>
      <name val="Arial Narrow"/>
      <family val="2"/>
    </font>
    <font>
      <sz val="14"/>
      <color theme="0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7" fillId="5" borderId="0" applyNumberFormat="0" applyBorder="0" applyAlignment="0" applyProtection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5" xfId="0" applyBorder="1"/>
    <xf numFmtId="0" fontId="0" fillId="4" borderId="5" xfId="0" applyFill="1" applyBorder="1" applyAlignment="1">
      <alignment wrapText="1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11" fillId="5" borderId="3" xfId="1" applyFont="1" applyBorder="1" applyAlignment="1">
      <alignment horizontal="center" vertical="center"/>
    </xf>
    <xf numFmtId="0" fontId="11" fillId="5" borderId="2" xfId="1" applyFont="1" applyBorder="1" applyAlignment="1">
      <alignment horizontal="center"/>
    </xf>
    <xf numFmtId="0" fontId="11" fillId="5" borderId="2" xfId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</cellXfs>
  <cellStyles count="2">
    <cellStyle name="Accent1" xfId="1" builtinId="29"/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200025</xdr:colOff>
          <xdr:row>11</xdr:row>
          <xdr:rowOff>212910</xdr:rowOff>
        </xdr:from>
        <xdr:to>
          <xdr:col>28</xdr:col>
          <xdr:colOff>542926</xdr:colOff>
          <xdr:row>14</xdr:row>
          <xdr:rowOff>165284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238125</xdr:colOff>
          <xdr:row>16</xdr:row>
          <xdr:rowOff>203384</xdr:rowOff>
        </xdr:from>
        <xdr:to>
          <xdr:col>28</xdr:col>
          <xdr:colOff>571501</xdr:colOff>
          <xdr:row>19</xdr:row>
          <xdr:rowOff>165284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F61" totalsRowShown="0" headerRowDxfId="12" dataDxfId="10" headerRowBorderDxfId="11" tableBorderDxfId="9" totalsRowBorderDxfId="8" headerRowCellStyle="Accent1">
  <autoFilter ref="A6:F61" xr:uid="{00000000-0009-0000-0100-000001000000}"/>
  <sortState xmlns:xlrd2="http://schemas.microsoft.com/office/spreadsheetml/2017/richdata2" ref="A5:D61">
    <sortCondition ref="A4:A61"/>
  </sortState>
  <tableColumns count="6">
    <tableColumn id="1" xr3:uid="{00000000-0010-0000-0000-000001000000}" name="Variant" dataDxfId="7"/>
    <tableColumn id="5" xr3:uid="{00000000-0010-0000-0000-000005000000}" name="Amino Acid Change" dataDxfId="6"/>
    <tableColumn id="2" xr3:uid="{00000000-0010-0000-0000-000002000000}" name="Expected frequency" dataDxfId="5"/>
    <tableColumn id="3" xr3:uid="{00000000-0010-0000-0000-000003000000}" name="Detected Frequency" dataDxfId="0">
      <calculatedColumnFormula>IFERROR(VLOOKUP(Table1[[#This Row],[Amino Acid Change]],$S$7:$T$1000,2,0),"0.00")</calculatedColumnFormula>
    </tableColumn>
    <tableColumn id="4" xr3:uid="{00000000-0010-0000-0000-000004000000}" name="QC" dataDxfId="4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9" xr3:uid="{00000000-0010-0000-0000-000009000000}" name="Region" dataDxfId="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980"/>
  <sheetViews>
    <sheetView showZeros="0" tabSelected="1" zoomScale="68" zoomScaleNormal="68" workbookViewId="0">
      <selection activeCell="X28" sqref="X28"/>
    </sheetView>
  </sheetViews>
  <sheetFormatPr defaultColWidth="8.7109375" defaultRowHeight="18" x14ac:dyDescent="0.25"/>
  <cols>
    <col min="1" max="1" width="31.85546875" style="1" customWidth="1"/>
    <col min="2" max="2" width="45.140625" style="7" customWidth="1"/>
    <col min="3" max="3" width="27.5703125" style="1" customWidth="1"/>
    <col min="4" max="4" width="43.7109375" style="1" customWidth="1"/>
    <col min="5" max="5" width="33.42578125" style="1" customWidth="1"/>
    <col min="6" max="6" width="28.42578125" style="11" customWidth="1"/>
    <col min="7" max="7" width="12.85546875" style="11" customWidth="1"/>
    <col min="8" max="8" width="11.5703125" style="11" customWidth="1"/>
    <col min="9" max="9" width="16.140625" style="1" hidden="1" customWidth="1"/>
    <col min="10" max="10" width="26.140625" style="1" hidden="1" customWidth="1"/>
    <col min="11" max="11" width="9.42578125" style="1" hidden="1" customWidth="1"/>
    <col min="12" max="12" width="25.140625" style="1" hidden="1" customWidth="1"/>
    <col min="13" max="13" width="7.28515625" style="1" hidden="1" customWidth="1"/>
    <col min="14" max="14" width="8.28515625" style="1" hidden="1" customWidth="1"/>
    <col min="15" max="15" width="11.85546875" style="1" hidden="1" customWidth="1"/>
    <col min="16" max="16" width="15.5703125" style="1" hidden="1" customWidth="1"/>
    <col min="17" max="17" width="18.5703125" style="1" hidden="1" customWidth="1"/>
    <col min="18" max="18" width="42.42578125" style="1" hidden="1" customWidth="1"/>
    <col min="19" max="19" width="46.7109375" style="1" hidden="1" customWidth="1"/>
    <col min="20" max="20" width="15.5703125" style="1" hidden="1" customWidth="1"/>
    <col min="21" max="21" width="19.85546875" style="1" hidden="1" customWidth="1"/>
    <col min="22" max="22" width="26.140625" style="1" hidden="1" customWidth="1"/>
    <col min="23" max="23" width="8.7109375" style="1" hidden="1" customWidth="1"/>
    <col min="24" max="25" width="8.7109375" style="1" customWidth="1"/>
    <col min="26" max="16384" width="8.7109375" style="1"/>
  </cols>
  <sheetData>
    <row r="1" spans="1:23" x14ac:dyDescent="0.25">
      <c r="A1" s="5" t="s">
        <v>4</v>
      </c>
      <c r="B1" s="15"/>
      <c r="C1" s="5" t="s">
        <v>83</v>
      </c>
      <c r="D1" s="16" t="s">
        <v>88</v>
      </c>
      <c r="F1" s="1"/>
    </row>
    <row r="2" spans="1:23" x14ac:dyDescent="0.25">
      <c r="A2" s="5" t="s">
        <v>91</v>
      </c>
      <c r="B2" s="15"/>
      <c r="C2" s="5" t="s">
        <v>5</v>
      </c>
      <c r="D2" s="17"/>
      <c r="F2" s="1"/>
    </row>
    <row r="3" spans="1:23" ht="72" x14ac:dyDescent="0.25">
      <c r="A3" s="5" t="s">
        <v>7</v>
      </c>
      <c r="B3" s="6" t="s">
        <v>10</v>
      </c>
      <c r="C3" s="5" t="s">
        <v>6</v>
      </c>
      <c r="D3" s="16" t="s">
        <v>89</v>
      </c>
      <c r="F3" s="1"/>
    </row>
    <row r="4" spans="1:23" x14ac:dyDescent="0.25">
      <c r="A4" s="5" t="s">
        <v>11</v>
      </c>
      <c r="B4" s="6">
        <f>'Coverage Reports'!B5</f>
        <v>0</v>
      </c>
      <c r="C4" s="5" t="s">
        <v>82</v>
      </c>
      <c r="D4" s="20" t="s">
        <v>90</v>
      </c>
      <c r="F4" s="1"/>
    </row>
    <row r="5" spans="1:23" x14ac:dyDescent="0.25">
      <c r="A5" s="4"/>
      <c r="B5" s="8"/>
      <c r="I5" s="3"/>
    </row>
    <row r="6" spans="1:23" x14ac:dyDescent="0.25">
      <c r="A6" s="26" t="s">
        <v>0</v>
      </c>
      <c r="B6" s="27" t="s">
        <v>77</v>
      </c>
      <c r="C6" s="28" t="s">
        <v>1</v>
      </c>
      <c r="D6" s="28" t="s">
        <v>2</v>
      </c>
      <c r="E6" s="28" t="s">
        <v>3</v>
      </c>
      <c r="F6" s="28" t="s">
        <v>13</v>
      </c>
      <c r="G6" s="12"/>
      <c r="H6" s="12"/>
      <c r="I6" s="9" t="s">
        <v>12</v>
      </c>
      <c r="J6" s="9" t="s">
        <v>13</v>
      </c>
      <c r="K6" s="9" t="s">
        <v>14</v>
      </c>
      <c r="L6" s="9" t="s">
        <v>15</v>
      </c>
      <c r="M6" s="9" t="s">
        <v>16</v>
      </c>
      <c r="N6" s="9" t="s">
        <v>17</v>
      </c>
      <c r="O6" s="9" t="s">
        <v>18</v>
      </c>
      <c r="P6" s="9" t="s">
        <v>19</v>
      </c>
      <c r="Q6" s="9" t="s">
        <v>20</v>
      </c>
      <c r="R6" s="9" t="s">
        <v>21</v>
      </c>
      <c r="S6" s="9" t="s">
        <v>22</v>
      </c>
      <c r="T6" s="9" t="str">
        <f>P6</f>
        <v>Frequency</v>
      </c>
      <c r="U6" s="6" t="s">
        <v>78</v>
      </c>
      <c r="V6" s="6" t="s">
        <v>13</v>
      </c>
      <c r="W6" s="3" t="s">
        <v>148</v>
      </c>
    </row>
    <row r="7" spans="1:23" x14ac:dyDescent="0.25">
      <c r="A7" s="21" t="s">
        <v>92</v>
      </c>
      <c r="B7" s="22" t="s">
        <v>24</v>
      </c>
      <c r="C7" s="23">
        <v>1</v>
      </c>
      <c r="D7" s="24" t="str">
        <f>IFERROR(VLOOKUP(Table1[[#This Row],[Amino Acid Change]],$S$7:$T$1000,2,0),"0.00")</f>
        <v>0.00</v>
      </c>
      <c r="E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23" t="s">
        <v>23</v>
      </c>
      <c r="G7" s="12"/>
      <c r="H7" s="12"/>
      <c r="I7" s="2">
        <f>'Raw Data Cut 1.3'!A2</f>
        <v>0</v>
      </c>
      <c r="J7" s="2">
        <f>'Raw Data Cut 1.3'!B2</f>
        <v>0</v>
      </c>
      <c r="K7" s="2">
        <f>'Raw Data Cut 1.3'!C2</f>
        <v>0</v>
      </c>
      <c r="L7" s="2">
        <f>'Raw Data Cut 1.3'!D2</f>
        <v>0</v>
      </c>
      <c r="M7" s="2">
        <f>'Raw Data Cut 1.3'!E2</f>
        <v>0</v>
      </c>
      <c r="N7" s="2">
        <f>'Raw Data Cut 1.3'!G2</f>
        <v>0</v>
      </c>
      <c r="O7" s="2">
        <f>'Raw Data Cut 1.3'!H2</f>
        <v>0</v>
      </c>
      <c r="P7" s="2">
        <f>'Raw Data Cut 1.3'!I2</f>
        <v>0</v>
      </c>
      <c r="Q7" s="2">
        <f>'Raw Data Cut 1.3'!J2</f>
        <v>0</v>
      </c>
      <c r="R7" s="2">
        <f>'Raw Data Cut 1.3'!K2</f>
        <v>0</v>
      </c>
      <c r="S7" s="2">
        <f>'Raw Data Cut 1.3'!N2</f>
        <v>0</v>
      </c>
      <c r="T7" s="2">
        <f t="shared" ref="T7:T61" si="0">P7</f>
        <v>0</v>
      </c>
      <c r="U7" s="10" t="str">
        <f>IF($S7=0, "", IF(COUNTIF(Table1[Amino Acid Change], $S7)=0, "Missing", "Y"))</f>
        <v/>
      </c>
      <c r="V7" s="10">
        <f>J7</f>
        <v>0</v>
      </c>
    </row>
    <row r="8" spans="1:23" x14ac:dyDescent="0.25">
      <c r="A8" s="21" t="s">
        <v>93</v>
      </c>
      <c r="B8" s="22" t="s">
        <v>25</v>
      </c>
      <c r="C8" s="23">
        <v>25</v>
      </c>
      <c r="D8" s="24" t="str">
        <f>IFERROR(VLOOKUP(Table1[[#This Row],[Amino Acid Change]],$S$7:$T$1000,2,0),"0.00")</f>
        <v>0.00</v>
      </c>
      <c r="E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23">
        <v>40743956</v>
      </c>
      <c r="G8" s="12"/>
      <c r="H8" s="12"/>
      <c r="I8" s="2">
        <f>'Raw Data Cut 1.3'!A3</f>
        <v>0</v>
      </c>
      <c r="J8" s="2">
        <f>'Raw Data Cut 1.3'!B3</f>
        <v>0</v>
      </c>
      <c r="K8" s="2">
        <f>'Raw Data Cut 1.3'!C3</f>
        <v>0</v>
      </c>
      <c r="L8" s="2">
        <f>'Raw Data Cut 1.3'!D3</f>
        <v>0</v>
      </c>
      <c r="M8" s="2">
        <f>'Raw Data Cut 1.3'!E3</f>
        <v>0</v>
      </c>
      <c r="N8" s="2">
        <f>'Raw Data Cut 1.3'!G3</f>
        <v>0</v>
      </c>
      <c r="O8" s="2">
        <f>'Raw Data Cut 1.3'!H3</f>
        <v>0</v>
      </c>
      <c r="P8" s="2">
        <f>'Raw Data Cut 1.3'!I3</f>
        <v>0</v>
      </c>
      <c r="Q8" s="2">
        <f>'Raw Data Cut 1.3'!J3</f>
        <v>0</v>
      </c>
      <c r="R8" s="2">
        <f>'Raw Data Cut 1.3'!K3</f>
        <v>0</v>
      </c>
      <c r="S8" s="2">
        <f>'Raw Data Cut 1.3'!N3</f>
        <v>0</v>
      </c>
      <c r="T8" s="2">
        <f t="shared" si="0"/>
        <v>0</v>
      </c>
      <c r="U8" s="10" t="str">
        <f>IF($S8=0, "", IF(COUNTIF(Table1[Amino Acid Change], $S8)=0, "Missing", "Y"))</f>
        <v/>
      </c>
      <c r="V8" s="10">
        <f t="shared" ref="V8:V62" si="1">J8</f>
        <v>0</v>
      </c>
    </row>
    <row r="9" spans="1:23" x14ac:dyDescent="0.25">
      <c r="A9" s="21" t="s">
        <v>94</v>
      </c>
      <c r="B9" s="22" t="s">
        <v>26</v>
      </c>
      <c r="C9" s="23">
        <v>1</v>
      </c>
      <c r="D9" s="24" t="str">
        <f>IFERROR(VLOOKUP(Table1[[#This Row],[Amino Acid Change]],$S$7:$T$1000,2,0),"0.00")</f>
        <v>0.00</v>
      </c>
      <c r="E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23">
        <v>140453136</v>
      </c>
      <c r="G9" s="12"/>
      <c r="H9" s="12"/>
      <c r="I9" s="2">
        <f>'Raw Data Cut 1.3'!A4</f>
        <v>0</v>
      </c>
      <c r="J9" s="2">
        <f>'Raw Data Cut 1.3'!B4</f>
        <v>0</v>
      </c>
      <c r="K9" s="2">
        <f>'Raw Data Cut 1.3'!C4</f>
        <v>0</v>
      </c>
      <c r="L9" s="2">
        <f>'Raw Data Cut 1.3'!D4</f>
        <v>0</v>
      </c>
      <c r="M9" s="2">
        <f>'Raw Data Cut 1.3'!E4</f>
        <v>0</v>
      </c>
      <c r="N9" s="2">
        <f>'Raw Data Cut 1.3'!G4</f>
        <v>0</v>
      </c>
      <c r="O9" s="2">
        <f>'Raw Data Cut 1.3'!H4</f>
        <v>0</v>
      </c>
      <c r="P9" s="2">
        <f>'Raw Data Cut 1.3'!I4</f>
        <v>0</v>
      </c>
      <c r="Q9" s="2">
        <f>'Raw Data Cut 1.3'!J4</f>
        <v>0</v>
      </c>
      <c r="R9" s="2">
        <f>'Raw Data Cut 1.3'!K4</f>
        <v>0</v>
      </c>
      <c r="S9" s="2">
        <f>'Raw Data Cut 1.3'!N4</f>
        <v>0</v>
      </c>
      <c r="T9" s="2">
        <f t="shared" si="0"/>
        <v>0</v>
      </c>
      <c r="U9" s="10" t="str">
        <f>IF($S9=0, "", IF(COUNTIF(Table1[Amino Acid Change], $S9)=0, "Missing", "Y"))</f>
        <v/>
      </c>
      <c r="V9" s="10">
        <f t="shared" si="1"/>
        <v>0</v>
      </c>
    </row>
    <row r="10" spans="1:23" x14ac:dyDescent="0.25">
      <c r="A10" s="21" t="s">
        <v>95</v>
      </c>
      <c r="B10" s="22" t="s">
        <v>27</v>
      </c>
      <c r="C10" s="23">
        <v>8</v>
      </c>
      <c r="D10" s="24" t="str">
        <f>IFERROR(VLOOKUP(Table1[[#This Row],[Amino Acid Change]],$S$7:$T$1000,2,0),"0.00")</f>
        <v>0.00</v>
      </c>
      <c r="E1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23">
        <v>140453136</v>
      </c>
      <c r="G10" s="12"/>
      <c r="H10" s="12"/>
      <c r="I10" s="2">
        <f>'Raw Data Cut 1.3'!A5</f>
        <v>0</v>
      </c>
      <c r="J10" s="2">
        <f>'Raw Data Cut 1.3'!B5</f>
        <v>0</v>
      </c>
      <c r="K10" s="2">
        <f>'Raw Data Cut 1.3'!C5</f>
        <v>0</v>
      </c>
      <c r="L10" s="2">
        <f>'Raw Data Cut 1.3'!D5</f>
        <v>0</v>
      </c>
      <c r="M10" s="2">
        <f>'Raw Data Cut 1.3'!E5</f>
        <v>0</v>
      </c>
      <c r="N10" s="2">
        <f>'Raw Data Cut 1.3'!G5</f>
        <v>0</v>
      </c>
      <c r="O10" s="2">
        <f>'Raw Data Cut 1.3'!H5</f>
        <v>0</v>
      </c>
      <c r="P10" s="2">
        <f>'Raw Data Cut 1.3'!I5</f>
        <v>0</v>
      </c>
      <c r="Q10" s="2">
        <f>'Raw Data Cut 1.3'!J5</f>
        <v>0</v>
      </c>
      <c r="R10" s="2">
        <f>'Raw Data Cut 1.3'!K5</f>
        <v>0</v>
      </c>
      <c r="S10" s="2">
        <f>'Raw Data Cut 1.3'!N5</f>
        <v>0</v>
      </c>
      <c r="T10" s="2">
        <f t="shared" si="0"/>
        <v>0</v>
      </c>
      <c r="U10" s="10" t="str">
        <f>IF($S10=0, "", IF(COUNTIF(Table1[Amino Acid Change], $S10)=0, "Missing", "Y"))</f>
        <v/>
      </c>
      <c r="V10" s="10">
        <f t="shared" si="1"/>
        <v>0</v>
      </c>
    </row>
    <row r="11" spans="1:23" x14ac:dyDescent="0.25">
      <c r="A11" s="21" t="s">
        <v>96</v>
      </c>
      <c r="B11" s="22" t="s">
        <v>29</v>
      </c>
      <c r="C11" s="23">
        <v>2</v>
      </c>
      <c r="D11" s="24" t="str">
        <f>IFERROR(VLOOKUP(Table1[[#This Row],[Amino Acid Change]],$S$7:$T$1000,2,0),"0.00")</f>
        <v>0.00</v>
      </c>
      <c r="E1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23" t="s">
        <v>28</v>
      </c>
      <c r="G11" s="12"/>
      <c r="H11" s="12"/>
      <c r="I11" s="2">
        <f>'Raw Data Cut 1.3'!A6</f>
        <v>0</v>
      </c>
      <c r="J11" s="2">
        <f>'Raw Data Cut 1.3'!B6</f>
        <v>0</v>
      </c>
      <c r="K11" s="2">
        <f>'Raw Data Cut 1.3'!C6</f>
        <v>0</v>
      </c>
      <c r="L11" s="2">
        <f>'Raw Data Cut 1.3'!D6</f>
        <v>0</v>
      </c>
      <c r="M11" s="2">
        <f>'Raw Data Cut 1.3'!E6</f>
        <v>0</v>
      </c>
      <c r="N11" s="2">
        <f>'Raw Data Cut 1.3'!G6</f>
        <v>0</v>
      </c>
      <c r="O11" s="2">
        <f>'Raw Data Cut 1.3'!H6</f>
        <v>0</v>
      </c>
      <c r="P11" s="2">
        <f>'Raw Data Cut 1.3'!I6</f>
        <v>0</v>
      </c>
      <c r="Q11" s="2">
        <f>'Raw Data Cut 1.3'!J6</f>
        <v>0</v>
      </c>
      <c r="R11" s="2">
        <f>'Raw Data Cut 1.3'!K6</f>
        <v>0</v>
      </c>
      <c r="S11" s="2">
        <f>'Raw Data Cut 1.3'!N6</f>
        <v>0</v>
      </c>
      <c r="T11" s="2">
        <f t="shared" si="0"/>
        <v>0</v>
      </c>
      <c r="U11" s="10" t="str">
        <f>IF($S11=0, "", IF(COUNTIF(Table1[Amino Acid Change], $S11)=0, "Missing", "Y"))</f>
        <v/>
      </c>
      <c r="V11" s="10">
        <f t="shared" si="1"/>
        <v>0</v>
      </c>
    </row>
    <row r="12" spans="1:23" x14ac:dyDescent="0.25">
      <c r="A12" s="21" t="s">
        <v>97</v>
      </c>
      <c r="B12" s="22" t="s">
        <v>30</v>
      </c>
      <c r="C12" s="23">
        <v>1</v>
      </c>
      <c r="D12" s="24" t="str">
        <f>IFERROR(VLOOKUP(Table1[[#This Row],[Amino Acid Change]],$S$7:$T$1000,2,0),"0.00")</f>
        <v>0.00</v>
      </c>
      <c r="E1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23" t="s">
        <v>28</v>
      </c>
      <c r="G12" s="12"/>
      <c r="H12" s="12"/>
      <c r="I12" s="2">
        <f>'Raw Data Cut 1.3'!A7</f>
        <v>0</v>
      </c>
      <c r="J12" s="2">
        <f>'Raw Data Cut 1.3'!B7</f>
        <v>0</v>
      </c>
      <c r="K12" s="2">
        <f>'Raw Data Cut 1.3'!C7</f>
        <v>0</v>
      </c>
      <c r="L12" s="2">
        <f>'Raw Data Cut 1.3'!D7</f>
        <v>0</v>
      </c>
      <c r="M12" s="2">
        <f>'Raw Data Cut 1.3'!E7</f>
        <v>0</v>
      </c>
      <c r="N12" s="2">
        <f>'Raw Data Cut 1.3'!G7</f>
        <v>0</v>
      </c>
      <c r="O12" s="2">
        <f>'Raw Data Cut 1.3'!H7</f>
        <v>0</v>
      </c>
      <c r="P12" s="2">
        <f>'Raw Data Cut 1.3'!I7</f>
        <v>0</v>
      </c>
      <c r="Q12" s="2">
        <f>'Raw Data Cut 1.3'!J7</f>
        <v>0</v>
      </c>
      <c r="R12" s="2">
        <f>'Raw Data Cut 1.3'!K7</f>
        <v>0</v>
      </c>
      <c r="S12" s="2">
        <f>'Raw Data Cut 1.3'!N7</f>
        <v>0</v>
      </c>
      <c r="T12" s="2">
        <f t="shared" si="0"/>
        <v>0</v>
      </c>
      <c r="U12" s="10" t="str">
        <f>IF($S12=0, "", IF(COUNTIF(Table1[Amino Acid Change], $S12)=0, "Missing", "Y"))</f>
        <v/>
      </c>
      <c r="V12" s="10">
        <f t="shared" si="1"/>
        <v>0</v>
      </c>
    </row>
    <row r="13" spans="1:23" x14ac:dyDescent="0.25">
      <c r="A13" s="21" t="s">
        <v>98</v>
      </c>
      <c r="B13" s="22" t="s">
        <v>31</v>
      </c>
      <c r="C13" s="23">
        <v>1</v>
      </c>
      <c r="D13" s="24" t="str">
        <f>IFERROR(VLOOKUP(Table1[[#This Row],[Amino Acid Change]],$S$7:$T$1000,2,0),"0.00")</f>
        <v>0.00</v>
      </c>
      <c r="E1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23">
        <v>140453137</v>
      </c>
      <c r="G13" s="12"/>
      <c r="H13" s="12"/>
      <c r="I13" s="2">
        <f>'Raw Data Cut 1.3'!A8</f>
        <v>0</v>
      </c>
      <c r="J13" s="2">
        <f>'Raw Data Cut 1.3'!B8</f>
        <v>0</v>
      </c>
      <c r="K13" s="2">
        <f>'Raw Data Cut 1.3'!C8</f>
        <v>0</v>
      </c>
      <c r="L13" s="2">
        <f>'Raw Data Cut 1.3'!D8</f>
        <v>0</v>
      </c>
      <c r="M13" s="2">
        <f>'Raw Data Cut 1.3'!E8</f>
        <v>0</v>
      </c>
      <c r="N13" s="2">
        <f>'Raw Data Cut 1.3'!G8</f>
        <v>0</v>
      </c>
      <c r="O13" s="2">
        <f>'Raw Data Cut 1.3'!H8</f>
        <v>0</v>
      </c>
      <c r="P13" s="2">
        <f>'Raw Data Cut 1.3'!I8</f>
        <v>0</v>
      </c>
      <c r="Q13" s="2">
        <f>'Raw Data Cut 1.3'!J8</f>
        <v>0</v>
      </c>
      <c r="R13" s="2">
        <f>'Raw Data Cut 1.3'!K8</f>
        <v>0</v>
      </c>
      <c r="S13" s="2">
        <f>'Raw Data Cut 1.3'!N8</f>
        <v>0</v>
      </c>
      <c r="T13" s="2">
        <f t="shared" si="0"/>
        <v>0</v>
      </c>
      <c r="U13" s="10" t="str">
        <f>IF($S13=0, "", IF(COUNTIF(Table1[Amino Acid Change], $S13)=0, "Missing", "Y"))</f>
        <v/>
      </c>
      <c r="V13" s="10">
        <f t="shared" si="1"/>
        <v>0</v>
      </c>
    </row>
    <row r="14" spans="1:23" x14ac:dyDescent="0.25">
      <c r="A14" s="21" t="s">
        <v>99</v>
      </c>
      <c r="B14" s="22" t="s">
        <v>32</v>
      </c>
      <c r="C14" s="23">
        <v>25</v>
      </c>
      <c r="D14" s="24" t="str">
        <f>IFERROR(VLOOKUP(Table1[[#This Row],[Amino Acid Change]],$S$7:$T$1000,2,0),"0.00")</f>
        <v>0.00</v>
      </c>
      <c r="E1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23">
        <v>13051383</v>
      </c>
      <c r="G14" s="12"/>
      <c r="H14" s="12"/>
      <c r="I14" s="2">
        <f>'Raw Data Cut 1.3'!A9</f>
        <v>0</v>
      </c>
      <c r="J14" s="2">
        <f>'Raw Data Cut 1.3'!B9</f>
        <v>0</v>
      </c>
      <c r="K14" s="2">
        <f>'Raw Data Cut 1.3'!C9</f>
        <v>0</v>
      </c>
      <c r="L14" s="2">
        <f>'Raw Data Cut 1.3'!D9</f>
        <v>0</v>
      </c>
      <c r="M14" s="2">
        <f>'Raw Data Cut 1.3'!E9</f>
        <v>0</v>
      </c>
      <c r="N14" s="2">
        <f>'Raw Data Cut 1.3'!G9</f>
        <v>0</v>
      </c>
      <c r="O14" s="2">
        <f>'Raw Data Cut 1.3'!H9</f>
        <v>0</v>
      </c>
      <c r="P14" s="2">
        <f>'Raw Data Cut 1.3'!I9</f>
        <v>0</v>
      </c>
      <c r="Q14" s="2">
        <f>'Raw Data Cut 1.3'!J9</f>
        <v>0</v>
      </c>
      <c r="R14" s="2">
        <f>'Raw Data Cut 1.3'!K9</f>
        <v>0</v>
      </c>
      <c r="S14" s="2">
        <f>'Raw Data Cut 1.3'!N9</f>
        <v>0</v>
      </c>
      <c r="T14" s="2">
        <f t="shared" si="0"/>
        <v>0</v>
      </c>
      <c r="U14" s="10" t="str">
        <f>IF($S14=0, "", IF(COUNTIF(Table1[Amino Acid Change], $S14)=0, "Missing", "Y"))</f>
        <v/>
      </c>
      <c r="V14" s="10">
        <f t="shared" si="1"/>
        <v>0</v>
      </c>
    </row>
    <row r="15" spans="1:23" x14ac:dyDescent="0.25">
      <c r="A15" s="21" t="s">
        <v>100</v>
      </c>
      <c r="B15" s="22" t="s">
        <v>33</v>
      </c>
      <c r="C15" s="23">
        <v>1</v>
      </c>
      <c r="D15" s="24" t="str">
        <f>IFERROR(VLOOKUP(Table1[[#This Row],[Amino Acid Change]],$S$7:$T$1000,2,0),"0.00")</f>
        <v>0.00</v>
      </c>
      <c r="E1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23">
        <v>55220310</v>
      </c>
      <c r="G15" s="12"/>
      <c r="H15" s="12"/>
      <c r="I15" s="2">
        <f>'Raw Data Cut 1.3'!A10</f>
        <v>0</v>
      </c>
      <c r="J15" s="2">
        <f>'Raw Data Cut 1.3'!B10</f>
        <v>0</v>
      </c>
      <c r="K15" s="2">
        <f>'Raw Data Cut 1.3'!C10</f>
        <v>0</v>
      </c>
      <c r="L15" s="2">
        <f>'Raw Data Cut 1.3'!D10</f>
        <v>0</v>
      </c>
      <c r="M15" s="2">
        <f>'Raw Data Cut 1.3'!E10</f>
        <v>0</v>
      </c>
      <c r="N15" s="2">
        <f>'Raw Data Cut 1.3'!G10</f>
        <v>0</v>
      </c>
      <c r="O15" s="2">
        <f>'Raw Data Cut 1.3'!H10</f>
        <v>0</v>
      </c>
      <c r="P15" s="2">
        <f>'Raw Data Cut 1.3'!I10</f>
        <v>0</v>
      </c>
      <c r="Q15" s="2">
        <f>'Raw Data Cut 1.3'!J10</f>
        <v>0</v>
      </c>
      <c r="R15" s="2">
        <f>'Raw Data Cut 1.3'!K10</f>
        <v>0</v>
      </c>
      <c r="S15" s="2">
        <f>'Raw Data Cut 1.3'!N10</f>
        <v>0</v>
      </c>
      <c r="T15" s="2">
        <f t="shared" si="0"/>
        <v>0</v>
      </c>
      <c r="U15" s="10" t="str">
        <f>IF($S15=0, "", IF(COUNTIF(Table1[Amino Acid Change], $S15)=0, "Missing", "Y"))</f>
        <v/>
      </c>
      <c r="V15" s="10">
        <f t="shared" si="1"/>
        <v>0</v>
      </c>
    </row>
    <row r="16" spans="1:23" x14ac:dyDescent="0.25">
      <c r="A16" s="21" t="s">
        <v>101</v>
      </c>
      <c r="B16" s="22" t="s">
        <v>34</v>
      </c>
      <c r="C16" s="23">
        <v>16.7</v>
      </c>
      <c r="D16" s="24" t="str">
        <f>IFERROR(VLOOKUP(Table1[[#This Row],[Amino Acid Change]],$S$7:$T$1000,2,0),"0.00")</f>
        <v>0.00</v>
      </c>
      <c r="E1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23">
        <v>55241707</v>
      </c>
      <c r="G16" s="12"/>
      <c r="H16" s="12"/>
      <c r="I16" s="2">
        <f>'Raw Data Cut 1.3'!A11</f>
        <v>0</v>
      </c>
      <c r="J16" s="2">
        <f>'Raw Data Cut 1.3'!B11</f>
        <v>0</v>
      </c>
      <c r="K16" s="2">
        <f>'Raw Data Cut 1.3'!C11</f>
        <v>0</v>
      </c>
      <c r="L16" s="2">
        <f>'Raw Data Cut 1.3'!D11</f>
        <v>0</v>
      </c>
      <c r="M16" s="2">
        <f>'Raw Data Cut 1.3'!E11</f>
        <v>0</v>
      </c>
      <c r="N16" s="2">
        <f>'Raw Data Cut 1.3'!G11</f>
        <v>0</v>
      </c>
      <c r="O16" s="2">
        <f>'Raw Data Cut 1.3'!H11</f>
        <v>0</v>
      </c>
      <c r="P16" s="2">
        <f>'Raw Data Cut 1.3'!I11</f>
        <v>0</v>
      </c>
      <c r="Q16" s="2">
        <f>'Raw Data Cut 1.3'!J11</f>
        <v>0</v>
      </c>
      <c r="R16" s="2">
        <f>'Raw Data Cut 1.3'!K11</f>
        <v>0</v>
      </c>
      <c r="S16" s="2">
        <f>'Raw Data Cut 1.3'!N11</f>
        <v>0</v>
      </c>
      <c r="T16" s="2">
        <f t="shared" si="0"/>
        <v>0</v>
      </c>
      <c r="U16" s="10" t="str">
        <f>IF($S16=0, "", IF(COUNTIF(Table1[Amino Acid Change], $S16)=0, "Missing", "Y"))</f>
        <v/>
      </c>
      <c r="V16" s="10">
        <f t="shared" si="1"/>
        <v>0</v>
      </c>
    </row>
    <row r="17" spans="1:22" x14ac:dyDescent="0.25">
      <c r="A17" s="21" t="s">
        <v>102</v>
      </c>
      <c r="B17" s="22" t="s">
        <v>36</v>
      </c>
      <c r="C17" s="23">
        <v>1</v>
      </c>
      <c r="D17" s="24" t="str">
        <f>IFERROR(VLOOKUP(Table1[[#This Row],[Amino Acid Change]],$S$7:$T$1000,2,0),"0.00")</f>
        <v>0.00</v>
      </c>
      <c r="E1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23" t="s">
        <v>35</v>
      </c>
      <c r="G17" s="12"/>
      <c r="H17" s="12"/>
      <c r="I17" s="2">
        <f>'Raw Data Cut 1.3'!A12</f>
        <v>0</v>
      </c>
      <c r="J17" s="2">
        <f>'Raw Data Cut 1.3'!B12</f>
        <v>0</v>
      </c>
      <c r="K17" s="2">
        <f>'Raw Data Cut 1.3'!C12</f>
        <v>0</v>
      </c>
      <c r="L17" s="2">
        <f>'Raw Data Cut 1.3'!D12</f>
        <v>0</v>
      </c>
      <c r="M17" s="2">
        <f>'Raw Data Cut 1.3'!E12</f>
        <v>0</v>
      </c>
      <c r="N17" s="2">
        <f>'Raw Data Cut 1.3'!G12</f>
        <v>0</v>
      </c>
      <c r="O17" s="2">
        <f>'Raw Data Cut 1.3'!H12</f>
        <v>0</v>
      </c>
      <c r="P17" s="2">
        <f>'Raw Data Cut 1.3'!I12</f>
        <v>0</v>
      </c>
      <c r="Q17" s="2">
        <f>'Raw Data Cut 1.3'!J12</f>
        <v>0</v>
      </c>
      <c r="R17" s="2">
        <f>'Raw Data Cut 1.3'!K12</f>
        <v>0</v>
      </c>
      <c r="S17" s="2">
        <f>'Raw Data Cut 1.3'!N12</f>
        <v>0</v>
      </c>
      <c r="T17" s="2">
        <f t="shared" si="0"/>
        <v>0</v>
      </c>
      <c r="U17" s="10" t="str">
        <f>IF($S17=0, "", IF(COUNTIF(Table1[Amino Acid Change], $S17)=0, "Missing", "Y"))</f>
        <v/>
      </c>
      <c r="V17" s="10">
        <f t="shared" si="1"/>
        <v>0</v>
      </c>
    </row>
    <row r="18" spans="1:22" x14ac:dyDescent="0.25">
      <c r="A18" s="21" t="s">
        <v>103</v>
      </c>
      <c r="B18" s="22" t="s">
        <v>37</v>
      </c>
      <c r="C18" s="23">
        <v>1</v>
      </c>
      <c r="D18" s="24" t="str">
        <f>IFERROR(VLOOKUP(Table1[[#This Row],[Amino Acid Change]],$S$7:$T$1000,2,0),"0.00")</f>
        <v>0.00</v>
      </c>
      <c r="E1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23">
        <v>55259515</v>
      </c>
      <c r="G18" s="12"/>
      <c r="H18" s="12"/>
      <c r="I18" s="2">
        <f>'Raw Data Cut 1.3'!A13</f>
        <v>0</v>
      </c>
      <c r="J18" s="2">
        <f>'Raw Data Cut 1.3'!B13</f>
        <v>0</v>
      </c>
      <c r="K18" s="2">
        <f>'Raw Data Cut 1.3'!C13</f>
        <v>0</v>
      </c>
      <c r="L18" s="2">
        <f>'Raw Data Cut 1.3'!D13</f>
        <v>0</v>
      </c>
      <c r="M18" s="2">
        <f>'Raw Data Cut 1.3'!E13</f>
        <v>0</v>
      </c>
      <c r="N18" s="2">
        <f>'Raw Data Cut 1.3'!G13</f>
        <v>0</v>
      </c>
      <c r="O18" s="2">
        <f>'Raw Data Cut 1.3'!H13</f>
        <v>0</v>
      </c>
      <c r="P18" s="2">
        <f>'Raw Data Cut 1.3'!I13</f>
        <v>0</v>
      </c>
      <c r="Q18" s="2">
        <f>'Raw Data Cut 1.3'!J13</f>
        <v>0</v>
      </c>
      <c r="R18" s="2">
        <f>'Raw Data Cut 1.3'!K13</f>
        <v>0</v>
      </c>
      <c r="S18" s="2">
        <f>'Raw Data Cut 1.3'!N13</f>
        <v>0</v>
      </c>
      <c r="T18" s="2">
        <f t="shared" si="0"/>
        <v>0</v>
      </c>
      <c r="U18" s="10" t="str">
        <f>IF($S18=0, "", IF(COUNTIF(Table1[Amino Acid Change], $S18)=0, "Missing", "Y"))</f>
        <v/>
      </c>
      <c r="V18" s="10">
        <f t="shared" si="1"/>
        <v>0</v>
      </c>
    </row>
    <row r="19" spans="1:22" x14ac:dyDescent="0.25">
      <c r="A19" s="21" t="s">
        <v>104</v>
      </c>
      <c r="B19" s="22" t="s">
        <v>38</v>
      </c>
      <c r="C19" s="23">
        <v>1</v>
      </c>
      <c r="D19" s="24" t="str">
        <f>IFERROR(VLOOKUP(Table1[[#This Row],[Amino Acid Change]],$S$7:$T$1000,2,0),"0.00")</f>
        <v>0.00</v>
      </c>
      <c r="E1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23">
        <v>55259524</v>
      </c>
      <c r="G19" s="12"/>
      <c r="H19" s="12"/>
      <c r="I19" s="2">
        <f>'Raw Data Cut 1.3'!A14</f>
        <v>0</v>
      </c>
      <c r="J19" s="2">
        <f>'Raw Data Cut 1.3'!B14</f>
        <v>0</v>
      </c>
      <c r="K19" s="2">
        <f>'Raw Data Cut 1.3'!C14</f>
        <v>0</v>
      </c>
      <c r="L19" s="2">
        <f>'Raw Data Cut 1.3'!D14</f>
        <v>0</v>
      </c>
      <c r="M19" s="2">
        <f>'Raw Data Cut 1.3'!E14</f>
        <v>0</v>
      </c>
      <c r="N19" s="2">
        <f>'Raw Data Cut 1.3'!G14</f>
        <v>0</v>
      </c>
      <c r="O19" s="2">
        <f>'Raw Data Cut 1.3'!H14</f>
        <v>0</v>
      </c>
      <c r="P19" s="2">
        <f>'Raw Data Cut 1.3'!I14</f>
        <v>0</v>
      </c>
      <c r="Q19" s="2">
        <f>'Raw Data Cut 1.3'!J14</f>
        <v>0</v>
      </c>
      <c r="R19" s="2">
        <f>'Raw Data Cut 1.3'!K14</f>
        <v>0</v>
      </c>
      <c r="S19" s="2">
        <f>'Raw Data Cut 1.3'!N14</f>
        <v>0</v>
      </c>
      <c r="T19" s="2">
        <f t="shared" si="0"/>
        <v>0</v>
      </c>
      <c r="U19" s="10" t="str">
        <f>IF($S19=0, "", IF(COUNTIF(Table1[Amino Acid Change], $S19)=0, "Missing", "Y"))</f>
        <v/>
      </c>
      <c r="V19" s="10">
        <f t="shared" si="1"/>
        <v>0</v>
      </c>
    </row>
    <row r="20" spans="1:22" x14ac:dyDescent="0.25">
      <c r="A20" s="21" t="s">
        <v>105</v>
      </c>
      <c r="B20" s="22" t="s">
        <v>39</v>
      </c>
      <c r="C20" s="23">
        <v>16</v>
      </c>
      <c r="D20" s="24" t="str">
        <f>IFERROR(VLOOKUP(Table1[[#This Row],[Amino Acid Change]],$S$7:$T$1000,2,0),"0.00")</f>
        <v>0.00</v>
      </c>
      <c r="E2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23">
        <v>55268980</v>
      </c>
      <c r="G20" s="12"/>
      <c r="H20" s="12"/>
      <c r="I20" s="2">
        <f>'Raw Data Cut 1.3'!A15</f>
        <v>0</v>
      </c>
      <c r="J20" s="2">
        <f>'Raw Data Cut 1.3'!B15</f>
        <v>0</v>
      </c>
      <c r="K20" s="2">
        <f>'Raw Data Cut 1.3'!C15</f>
        <v>0</v>
      </c>
      <c r="L20" s="2">
        <f>'Raw Data Cut 1.3'!D15</f>
        <v>0</v>
      </c>
      <c r="M20" s="2">
        <f>'Raw Data Cut 1.3'!E15</f>
        <v>0</v>
      </c>
      <c r="N20" s="2">
        <f>'Raw Data Cut 1.3'!G15</f>
        <v>0</v>
      </c>
      <c r="O20" s="2">
        <f>'Raw Data Cut 1.3'!H15</f>
        <v>0</v>
      </c>
      <c r="P20" s="2">
        <f>'Raw Data Cut 1.3'!I15</f>
        <v>0</v>
      </c>
      <c r="Q20" s="2">
        <f>'Raw Data Cut 1.3'!J15</f>
        <v>0</v>
      </c>
      <c r="R20" s="2">
        <f>'Raw Data Cut 1.3'!K15</f>
        <v>0</v>
      </c>
      <c r="S20" s="2">
        <f>'Raw Data Cut 1.3'!N15</f>
        <v>0</v>
      </c>
      <c r="T20" s="2">
        <f t="shared" si="0"/>
        <v>0</v>
      </c>
      <c r="U20" s="10" t="str">
        <f>IF($S20=0, "", IF(COUNTIF(Table1[Amino Acid Change], $S20)=0, "Missing", "Y"))</f>
        <v/>
      </c>
      <c r="V20" s="10">
        <f t="shared" si="1"/>
        <v>0</v>
      </c>
    </row>
    <row r="21" spans="1:22" x14ac:dyDescent="0.25">
      <c r="A21" s="21" t="s">
        <v>106</v>
      </c>
      <c r="B21" s="25" t="s">
        <v>79</v>
      </c>
      <c r="C21" s="23">
        <v>1</v>
      </c>
      <c r="D21" s="24" t="str">
        <f>IFERROR(VLOOKUP(Table1[[#This Row],[Amino Acid Change]],$S$7:$T$1000,2,0),"0.00")</f>
        <v>0.00</v>
      </c>
      <c r="E2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23">
        <v>55249071</v>
      </c>
      <c r="G21" s="12"/>
      <c r="H21" s="12"/>
      <c r="I21" s="2">
        <f>'Raw Data Cut 1.3'!A16</f>
        <v>0</v>
      </c>
      <c r="J21" s="2">
        <f>'Raw Data Cut 1.3'!B16</f>
        <v>0</v>
      </c>
      <c r="K21" s="2">
        <f>'Raw Data Cut 1.3'!C16</f>
        <v>0</v>
      </c>
      <c r="L21" s="2">
        <f>'Raw Data Cut 1.3'!D16</f>
        <v>0</v>
      </c>
      <c r="M21" s="2">
        <f>'Raw Data Cut 1.3'!E16</f>
        <v>0</v>
      </c>
      <c r="N21" s="2">
        <f>'Raw Data Cut 1.3'!G16</f>
        <v>0</v>
      </c>
      <c r="O21" s="2">
        <f>'Raw Data Cut 1.3'!H16</f>
        <v>0</v>
      </c>
      <c r="P21" s="2">
        <f>'Raw Data Cut 1.3'!I16</f>
        <v>0</v>
      </c>
      <c r="Q21" s="2">
        <f>'Raw Data Cut 1.3'!J16</f>
        <v>0</v>
      </c>
      <c r="R21" s="2">
        <f>'Raw Data Cut 1.3'!K16</f>
        <v>0</v>
      </c>
      <c r="S21" s="2">
        <f>'Raw Data Cut 1.3'!N16</f>
        <v>0</v>
      </c>
      <c r="T21" s="2">
        <f t="shared" si="0"/>
        <v>0</v>
      </c>
      <c r="U21" s="10" t="str">
        <f>IF($S21=0, "", IF(COUNTIF(Table1[Amino Acid Change], $S21)=0, "Missing", "Y"))</f>
        <v/>
      </c>
      <c r="V21" s="10">
        <f t="shared" si="1"/>
        <v>0</v>
      </c>
    </row>
    <row r="22" spans="1:22" x14ac:dyDescent="0.25">
      <c r="A22" s="21" t="s">
        <v>107</v>
      </c>
      <c r="B22" s="22" t="s">
        <v>40</v>
      </c>
      <c r="C22" s="23">
        <v>20</v>
      </c>
      <c r="D22" s="24" t="str">
        <f>IFERROR(VLOOKUP(Table1[[#This Row],[Amino Acid Change]],$S$7:$T$1000,2,0),"0.00")</f>
        <v>0.00</v>
      </c>
      <c r="E2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23">
        <v>55138600</v>
      </c>
      <c r="G22" s="12"/>
      <c r="H22" s="12"/>
      <c r="I22" s="2">
        <f>'Raw Data Cut 1.3'!A17</f>
        <v>0</v>
      </c>
      <c r="J22" s="2">
        <f>'Raw Data Cut 1.3'!B17</f>
        <v>0</v>
      </c>
      <c r="K22" s="2">
        <f>'Raw Data Cut 1.3'!C17</f>
        <v>0</v>
      </c>
      <c r="L22" s="2">
        <f>'Raw Data Cut 1.3'!D17</f>
        <v>0</v>
      </c>
      <c r="M22" s="2">
        <f>'Raw Data Cut 1.3'!E17</f>
        <v>0</v>
      </c>
      <c r="N22" s="2">
        <f>'Raw Data Cut 1.3'!G17</f>
        <v>0</v>
      </c>
      <c r="O22" s="2">
        <f>'Raw Data Cut 1.3'!H17</f>
        <v>0</v>
      </c>
      <c r="P22" s="2">
        <f>'Raw Data Cut 1.3'!I17</f>
        <v>0</v>
      </c>
      <c r="Q22" s="2">
        <f>'Raw Data Cut 1.3'!J17</f>
        <v>0</v>
      </c>
      <c r="R22" s="2">
        <f>'Raw Data Cut 1.3'!K17</f>
        <v>0</v>
      </c>
      <c r="S22" s="2">
        <f>'Raw Data Cut 1.3'!N17</f>
        <v>0</v>
      </c>
      <c r="T22" s="2">
        <f t="shared" si="0"/>
        <v>0</v>
      </c>
      <c r="U22" s="10" t="str">
        <f>IF($S22=0, "", IF(COUNTIF(Table1[Amino Acid Change], $S22)=0, "Missing", "Y"))</f>
        <v/>
      </c>
      <c r="V22" s="10">
        <f t="shared" si="1"/>
        <v>0</v>
      </c>
    </row>
    <row r="23" spans="1:22" x14ac:dyDescent="0.25">
      <c r="A23" s="21" t="s">
        <v>108</v>
      </c>
      <c r="B23" s="22" t="s">
        <v>84</v>
      </c>
      <c r="C23" s="23">
        <v>1.3</v>
      </c>
      <c r="D23" s="24" t="str">
        <f>IFERROR(VLOOKUP(Table1[[#This Row],[Amino Acid Change]],$S$7:$T$1000,2,0),"0.00")</f>
        <v>0.00</v>
      </c>
      <c r="E2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23">
        <v>55152093</v>
      </c>
      <c r="G23" s="12"/>
      <c r="H23" s="12"/>
      <c r="I23" s="2">
        <f>'Raw Data Cut 1.3'!A18</f>
        <v>0</v>
      </c>
      <c r="J23" s="2">
        <f>'Raw Data Cut 1.3'!B18</f>
        <v>0</v>
      </c>
      <c r="K23" s="2">
        <f>'Raw Data Cut 1.3'!C18</f>
        <v>0</v>
      </c>
      <c r="L23" s="2">
        <f>'Raw Data Cut 1.3'!D18</f>
        <v>0</v>
      </c>
      <c r="M23" s="2">
        <f>'Raw Data Cut 1.3'!E18</f>
        <v>0</v>
      </c>
      <c r="N23" s="2">
        <f>'Raw Data Cut 1.3'!G18</f>
        <v>0</v>
      </c>
      <c r="O23" s="2">
        <f>'Raw Data Cut 1.3'!H18</f>
        <v>0</v>
      </c>
      <c r="P23" s="2">
        <f>'Raw Data Cut 1.3'!I18</f>
        <v>0</v>
      </c>
      <c r="Q23" s="2">
        <f>'Raw Data Cut 1.3'!J18</f>
        <v>0</v>
      </c>
      <c r="R23" s="2">
        <f>'Raw Data Cut 1.3'!K18</f>
        <v>0</v>
      </c>
      <c r="S23" s="2">
        <f>'Raw Data Cut 1.3'!N18</f>
        <v>0</v>
      </c>
      <c r="T23" s="2">
        <f t="shared" si="0"/>
        <v>0</v>
      </c>
      <c r="U23" s="10" t="str">
        <f>IF($S23=0, "", IF(COUNTIF(Table1[Amino Acid Change], $S23)=0, "Missing", "Y"))</f>
        <v/>
      </c>
      <c r="V23" s="10">
        <f t="shared" si="1"/>
        <v>0</v>
      </c>
    </row>
    <row r="24" spans="1:22" x14ac:dyDescent="0.25">
      <c r="A24" s="21" t="s">
        <v>109</v>
      </c>
      <c r="B24" s="22" t="s">
        <v>41</v>
      </c>
      <c r="C24" s="23">
        <v>10</v>
      </c>
      <c r="D24" s="24" t="str">
        <f>IFERROR(VLOOKUP(Table1[[#This Row],[Amino Acid Change]],$S$7:$T$1000,2,0),"0.00")</f>
        <v>0.00</v>
      </c>
      <c r="E2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23">
        <v>55155059</v>
      </c>
      <c r="G24" s="12"/>
      <c r="H24" s="12"/>
      <c r="I24" s="2">
        <f>'Raw Data Cut 1.3'!A19</f>
        <v>0</v>
      </c>
      <c r="J24" s="2">
        <f>'Raw Data Cut 1.3'!B19</f>
        <v>0</v>
      </c>
      <c r="K24" s="2">
        <f>'Raw Data Cut 1.3'!C19</f>
        <v>0</v>
      </c>
      <c r="L24" s="2">
        <f>'Raw Data Cut 1.3'!D19</f>
        <v>0</v>
      </c>
      <c r="M24" s="2">
        <f>'Raw Data Cut 1.3'!E19</f>
        <v>0</v>
      </c>
      <c r="N24" s="2">
        <f>'Raw Data Cut 1.3'!G19</f>
        <v>0</v>
      </c>
      <c r="O24" s="2">
        <f>'Raw Data Cut 1.3'!H19</f>
        <v>0</v>
      </c>
      <c r="P24" s="2">
        <f>'Raw Data Cut 1.3'!I19</f>
        <v>0</v>
      </c>
      <c r="Q24" s="2">
        <f>'Raw Data Cut 1.3'!J19</f>
        <v>0</v>
      </c>
      <c r="R24" s="2">
        <f>'Raw Data Cut 1.3'!K19</f>
        <v>0</v>
      </c>
      <c r="S24" s="2">
        <f>'Raw Data Cut 1.3'!N19</f>
        <v>0</v>
      </c>
      <c r="T24" s="2">
        <f t="shared" si="0"/>
        <v>0</v>
      </c>
      <c r="U24" s="10" t="str">
        <f>IF($S24=0, "", IF(COUNTIF(Table1[Amino Acid Change], $S24)=0, "Missing", "Y"))</f>
        <v/>
      </c>
      <c r="V24" s="10">
        <f t="shared" si="1"/>
        <v>0</v>
      </c>
    </row>
    <row r="25" spans="1:22" x14ac:dyDescent="0.25">
      <c r="A25" s="21" t="s">
        <v>110</v>
      </c>
      <c r="B25" s="22" t="s">
        <v>43</v>
      </c>
      <c r="C25" s="23">
        <v>25</v>
      </c>
      <c r="D25" s="24" t="str">
        <f>IFERROR(VLOOKUP(Table1[[#This Row],[Amino Acid Change]],$S$7:$T$1000,2,0),"0.00")</f>
        <v>0.00</v>
      </c>
      <c r="E2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23" t="s">
        <v>42</v>
      </c>
      <c r="G25" s="12"/>
      <c r="H25" s="12"/>
      <c r="I25" s="2">
        <f>'Raw Data Cut 1.3'!A20</f>
        <v>0</v>
      </c>
      <c r="J25" s="2">
        <f>'Raw Data Cut 1.3'!B20</f>
        <v>0</v>
      </c>
      <c r="K25" s="2">
        <f>'Raw Data Cut 1.3'!C20</f>
        <v>0</v>
      </c>
      <c r="L25" s="2">
        <f>'Raw Data Cut 1.3'!D20</f>
        <v>0</v>
      </c>
      <c r="M25" s="2">
        <f>'Raw Data Cut 1.3'!E20</f>
        <v>0</v>
      </c>
      <c r="N25" s="2">
        <f>'Raw Data Cut 1.3'!G20</f>
        <v>0</v>
      </c>
      <c r="O25" s="2">
        <f>'Raw Data Cut 1.3'!H20</f>
        <v>0</v>
      </c>
      <c r="P25" s="2">
        <f>'Raw Data Cut 1.3'!I20</f>
        <v>0</v>
      </c>
      <c r="Q25" s="2">
        <f>'Raw Data Cut 1.3'!J20</f>
        <v>0</v>
      </c>
      <c r="R25" s="2">
        <f>'Raw Data Cut 1.3'!K20</f>
        <v>0</v>
      </c>
      <c r="S25" s="2">
        <f>'Raw Data Cut 1.3'!N20</f>
        <v>0</v>
      </c>
      <c r="T25" s="2">
        <f t="shared" si="0"/>
        <v>0</v>
      </c>
      <c r="U25" s="10" t="str">
        <f>IF($S25=0, "", IF(COUNTIF(Table1[Amino Acid Change], $S25)=0, "Missing", "Y"))</f>
        <v/>
      </c>
      <c r="V25" s="10">
        <f t="shared" si="1"/>
        <v>0</v>
      </c>
    </row>
    <row r="26" spans="1:22" x14ac:dyDescent="0.25">
      <c r="A26" s="21" t="s">
        <v>111</v>
      </c>
      <c r="B26" s="22" t="s">
        <v>45</v>
      </c>
      <c r="C26" s="23">
        <v>1.3</v>
      </c>
      <c r="D26" s="24" t="str">
        <f>IFERROR(VLOOKUP(Table1[[#This Row],[Amino Acid Change]],$S$7:$T$1000,2,0),"0.00")</f>
        <v>0.00</v>
      </c>
      <c r="E2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23" t="s">
        <v>44</v>
      </c>
      <c r="G26" s="12"/>
      <c r="H26" s="12"/>
      <c r="I26" s="2">
        <f>'Raw Data Cut 1.3'!A21</f>
        <v>0</v>
      </c>
      <c r="J26" s="2">
        <f>'Raw Data Cut 1.3'!B21</f>
        <v>0</v>
      </c>
      <c r="K26" s="2">
        <f>'Raw Data Cut 1.3'!C21</f>
        <v>0</v>
      </c>
      <c r="L26" s="2">
        <f>'Raw Data Cut 1.3'!D21</f>
        <v>0</v>
      </c>
      <c r="M26" s="2">
        <f>'Raw Data Cut 1.3'!E21</f>
        <v>0</v>
      </c>
      <c r="N26" s="2">
        <f>'Raw Data Cut 1.3'!G21</f>
        <v>0</v>
      </c>
      <c r="O26" s="2">
        <f>'Raw Data Cut 1.3'!H21</f>
        <v>0</v>
      </c>
      <c r="P26" s="2">
        <f>'Raw Data Cut 1.3'!I21</f>
        <v>0</v>
      </c>
      <c r="Q26" s="2">
        <f>'Raw Data Cut 1.3'!J21</f>
        <v>0</v>
      </c>
      <c r="R26" s="2">
        <f>'Raw Data Cut 1.3'!K21</f>
        <v>0</v>
      </c>
      <c r="S26" s="2">
        <f>'Raw Data Cut 1.3'!N21</f>
        <v>0</v>
      </c>
      <c r="T26" s="2">
        <f t="shared" si="0"/>
        <v>0</v>
      </c>
      <c r="U26" s="10" t="str">
        <f>IF($S26=0, "", IF(COUNTIF(Table1[Amino Acid Change], $S26)=0, "Missing", "Y"))</f>
        <v/>
      </c>
      <c r="V26" s="10">
        <f t="shared" si="1"/>
        <v>0</v>
      </c>
    </row>
    <row r="27" spans="1:22" x14ac:dyDescent="0.25">
      <c r="A27" s="21" t="s">
        <v>8</v>
      </c>
      <c r="B27" s="22" t="s">
        <v>46</v>
      </c>
      <c r="C27" s="23">
        <v>1.3</v>
      </c>
      <c r="D27" s="24" t="str">
        <f>IFERROR(VLOOKUP(Table1[[#This Row],[Amino Acid Change]],$S$7:$T$1000,2,0),"0.00")</f>
        <v>0.00</v>
      </c>
      <c r="E2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23">
        <v>28592642</v>
      </c>
      <c r="G27" s="12"/>
      <c r="H27" s="12"/>
      <c r="I27" s="2">
        <f>'Raw Data Cut 1.3'!A22</f>
        <v>0</v>
      </c>
      <c r="J27" s="2">
        <f>'Raw Data Cut 1.3'!B22</f>
        <v>0</v>
      </c>
      <c r="K27" s="2">
        <f>'Raw Data Cut 1.3'!C22</f>
        <v>0</v>
      </c>
      <c r="L27" s="2">
        <f>'Raw Data Cut 1.3'!D22</f>
        <v>0</v>
      </c>
      <c r="M27" s="2">
        <f>'Raw Data Cut 1.3'!E22</f>
        <v>0</v>
      </c>
      <c r="N27" s="2">
        <f>'Raw Data Cut 1.3'!G22</f>
        <v>0</v>
      </c>
      <c r="O27" s="2">
        <f>'Raw Data Cut 1.3'!H22</f>
        <v>0</v>
      </c>
      <c r="P27" s="2">
        <f>'Raw Data Cut 1.3'!I22</f>
        <v>0</v>
      </c>
      <c r="Q27" s="2">
        <f>'Raw Data Cut 1.3'!J22</f>
        <v>0</v>
      </c>
      <c r="R27" s="2">
        <f>'Raw Data Cut 1.3'!K22</f>
        <v>0</v>
      </c>
      <c r="S27" s="2">
        <f>'Raw Data Cut 1.3'!N22</f>
        <v>0</v>
      </c>
      <c r="T27" s="2">
        <f t="shared" si="0"/>
        <v>0</v>
      </c>
      <c r="U27" s="10" t="str">
        <f>IF($S27=0, "", IF(COUNTIF(Table1[Amino Acid Change], $S27)=0, "Missing", "Y"))</f>
        <v/>
      </c>
      <c r="V27" s="10">
        <f t="shared" si="1"/>
        <v>0</v>
      </c>
    </row>
    <row r="28" spans="1:22" x14ac:dyDescent="0.25">
      <c r="A28" s="21" t="s">
        <v>112</v>
      </c>
      <c r="B28" s="22" t="s">
        <v>47</v>
      </c>
      <c r="C28" s="23">
        <v>25</v>
      </c>
      <c r="D28" s="24" t="str">
        <f>IFERROR(VLOOKUP(Table1[[#This Row],[Amino Acid Change]],$S$7:$T$1000,2,0),"0.00")</f>
        <v>0.00</v>
      </c>
      <c r="E2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23">
        <v>28626706</v>
      </c>
      <c r="G28" s="12"/>
      <c r="H28" s="12"/>
      <c r="I28" s="2">
        <f>'Raw Data Cut 1.3'!A23</f>
        <v>0</v>
      </c>
      <c r="J28" s="2">
        <f>'Raw Data Cut 1.3'!B23</f>
        <v>0</v>
      </c>
      <c r="K28" s="2">
        <f>'Raw Data Cut 1.3'!C23</f>
        <v>0</v>
      </c>
      <c r="L28" s="2">
        <f>'Raw Data Cut 1.3'!D23</f>
        <v>0</v>
      </c>
      <c r="M28" s="2">
        <f>'Raw Data Cut 1.3'!E23</f>
        <v>0</v>
      </c>
      <c r="N28" s="2">
        <f>'Raw Data Cut 1.3'!G23</f>
        <v>0</v>
      </c>
      <c r="O28" s="2">
        <f>'Raw Data Cut 1.3'!H23</f>
        <v>0</v>
      </c>
      <c r="P28" s="2">
        <f>'Raw Data Cut 1.3'!I23</f>
        <v>0</v>
      </c>
      <c r="Q28" s="2">
        <f>'Raw Data Cut 1.3'!J23</f>
        <v>0</v>
      </c>
      <c r="R28" s="2">
        <f>'Raw Data Cut 1.3'!K23</f>
        <v>0</v>
      </c>
      <c r="S28" s="2">
        <f>'Raw Data Cut 1.3'!N23</f>
        <v>0</v>
      </c>
      <c r="T28" s="2">
        <f t="shared" si="0"/>
        <v>0</v>
      </c>
      <c r="U28" s="10" t="str">
        <f>IF($S28=0, "", IF(COUNTIF(Table1[Amino Acid Change], $S28)=0, "Missing", "Y"))</f>
        <v/>
      </c>
      <c r="V28" s="10">
        <f t="shared" si="1"/>
        <v>0</v>
      </c>
    </row>
    <row r="29" spans="1:22" x14ac:dyDescent="0.25">
      <c r="A29" s="21" t="s">
        <v>113</v>
      </c>
      <c r="B29" s="22" t="s">
        <v>48</v>
      </c>
      <c r="C29" s="23">
        <v>20</v>
      </c>
      <c r="D29" s="24" t="str">
        <f>IFERROR(VLOOKUP(Table1[[#This Row],[Amino Acid Change]],$S$7:$T$1000,2,0),"0.00")</f>
        <v>0.00</v>
      </c>
      <c r="E2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23">
        <v>533328</v>
      </c>
      <c r="G29" s="12"/>
      <c r="H29" s="12"/>
      <c r="I29" s="2">
        <f>'Raw Data Cut 1.3'!A24</f>
        <v>0</v>
      </c>
      <c r="J29" s="2">
        <f>'Raw Data Cut 1.3'!B24</f>
        <v>0</v>
      </c>
      <c r="K29" s="2">
        <f>'Raw Data Cut 1.3'!C24</f>
        <v>0</v>
      </c>
      <c r="L29" s="2">
        <f>'Raw Data Cut 1.3'!D24</f>
        <v>0</v>
      </c>
      <c r="M29" s="2">
        <f>'Raw Data Cut 1.3'!E24</f>
        <v>0</v>
      </c>
      <c r="N29" s="2">
        <f>'Raw Data Cut 1.3'!G24</f>
        <v>0</v>
      </c>
      <c r="O29" s="2">
        <f>'Raw Data Cut 1.3'!H24</f>
        <v>0</v>
      </c>
      <c r="P29" s="2">
        <f>'Raw Data Cut 1.3'!I24</f>
        <v>0</v>
      </c>
      <c r="Q29" s="2">
        <f>'Raw Data Cut 1.3'!J24</f>
        <v>0</v>
      </c>
      <c r="R29" s="2">
        <f>'Raw Data Cut 1.3'!K24</f>
        <v>0</v>
      </c>
      <c r="S29" s="2">
        <f>'Raw Data Cut 1.3'!N24</f>
        <v>0</v>
      </c>
      <c r="T29" s="2">
        <f t="shared" si="0"/>
        <v>0</v>
      </c>
      <c r="U29" s="10" t="str">
        <f>IF($S29=0, "", IF(COUNTIF(Table1[Amino Acid Change], $S29)=0, "Missing", "Y"))</f>
        <v/>
      </c>
      <c r="V29" s="10">
        <f t="shared" si="1"/>
        <v>0</v>
      </c>
    </row>
    <row r="30" spans="1:22" x14ac:dyDescent="0.25">
      <c r="A30" s="21" t="s">
        <v>114</v>
      </c>
      <c r="B30" s="22" t="s">
        <v>49</v>
      </c>
      <c r="C30" s="23">
        <v>25</v>
      </c>
      <c r="D30" s="24" t="str">
        <f>IFERROR(VLOOKUP(Table1[[#This Row],[Amino Acid Change]],$S$7:$T$1000,2,0),"0.00")</f>
        <v>0.00</v>
      </c>
      <c r="E3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23">
        <v>209106786</v>
      </c>
      <c r="G30" s="12"/>
      <c r="H30" s="12"/>
      <c r="I30" s="2">
        <f>'Raw Data Cut 1.3'!A25</f>
        <v>0</v>
      </c>
      <c r="J30" s="2">
        <f>'Raw Data Cut 1.3'!B25</f>
        <v>0</v>
      </c>
      <c r="K30" s="2">
        <f>'Raw Data Cut 1.3'!C25</f>
        <v>0</v>
      </c>
      <c r="L30" s="2">
        <f>'Raw Data Cut 1.3'!D25</f>
        <v>0</v>
      </c>
      <c r="M30" s="2">
        <f>'Raw Data Cut 1.3'!E25</f>
        <v>0</v>
      </c>
      <c r="N30" s="2">
        <f>'Raw Data Cut 1.3'!G25</f>
        <v>0</v>
      </c>
      <c r="O30" s="2">
        <f>'Raw Data Cut 1.3'!H25</f>
        <v>0</v>
      </c>
      <c r="P30" s="2">
        <f>'Raw Data Cut 1.3'!I25</f>
        <v>0</v>
      </c>
      <c r="Q30" s="2">
        <f>'Raw Data Cut 1.3'!J25</f>
        <v>0</v>
      </c>
      <c r="R30" s="2">
        <f>'Raw Data Cut 1.3'!K25</f>
        <v>0</v>
      </c>
      <c r="S30" s="2">
        <f>'Raw Data Cut 1.3'!N25</f>
        <v>0</v>
      </c>
      <c r="T30" s="2">
        <f t="shared" si="0"/>
        <v>0</v>
      </c>
      <c r="U30" s="10" t="str">
        <f>IF($S30=0, "", IF(COUNTIF(Table1[Amino Acid Change], $S30)=0, "Missing", "Y"))</f>
        <v/>
      </c>
      <c r="V30" s="10">
        <f t="shared" si="1"/>
        <v>0</v>
      </c>
    </row>
    <row r="31" spans="1:22" x14ac:dyDescent="0.25">
      <c r="A31" s="21" t="s">
        <v>115</v>
      </c>
      <c r="B31" s="22" t="s">
        <v>50</v>
      </c>
      <c r="C31" s="23">
        <v>1.3</v>
      </c>
      <c r="D31" s="24" t="str">
        <f>IFERROR(VLOOKUP(Table1[[#This Row],[Amino Acid Change]],$S$7:$T$1000,2,0),"0.00")</f>
        <v>0.00</v>
      </c>
      <c r="E3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23">
        <v>209113112</v>
      </c>
      <c r="G31" s="12"/>
      <c r="H31" s="12"/>
      <c r="I31" s="2">
        <f>'Raw Data Cut 1.3'!A26</f>
        <v>0</v>
      </c>
      <c r="J31" s="2">
        <f>'Raw Data Cut 1.3'!B26</f>
        <v>0</v>
      </c>
      <c r="K31" s="2">
        <f>'Raw Data Cut 1.3'!C26</f>
        <v>0</v>
      </c>
      <c r="L31" s="2">
        <f>'Raw Data Cut 1.3'!D26</f>
        <v>0</v>
      </c>
      <c r="M31" s="2">
        <f>'Raw Data Cut 1.3'!E26</f>
        <v>0</v>
      </c>
      <c r="N31" s="2">
        <f>'Raw Data Cut 1.3'!G26</f>
        <v>0</v>
      </c>
      <c r="O31" s="2">
        <f>'Raw Data Cut 1.3'!H26</f>
        <v>0</v>
      </c>
      <c r="P31" s="2">
        <f>'Raw Data Cut 1.3'!I26</f>
        <v>0</v>
      </c>
      <c r="Q31" s="2">
        <f>'Raw Data Cut 1.3'!J26</f>
        <v>0</v>
      </c>
      <c r="R31" s="2">
        <f>'Raw Data Cut 1.3'!K26</f>
        <v>0</v>
      </c>
      <c r="S31" s="2">
        <f>'Raw Data Cut 1.3'!N26</f>
        <v>0</v>
      </c>
      <c r="T31" s="2">
        <f t="shared" si="0"/>
        <v>0</v>
      </c>
      <c r="U31" s="10" t="str">
        <f>IF($S31=0, "", IF(COUNTIF(Table1[Amino Acid Change], $S31)=0, "Missing", "Y"))</f>
        <v/>
      </c>
      <c r="V31" s="10">
        <f t="shared" si="1"/>
        <v>0</v>
      </c>
    </row>
    <row r="32" spans="1:22" x14ac:dyDescent="0.25">
      <c r="A32" s="21" t="s">
        <v>116</v>
      </c>
      <c r="B32" s="22" t="s">
        <v>51</v>
      </c>
      <c r="C32" s="23">
        <v>1.3</v>
      </c>
      <c r="D32" s="24" t="str">
        <f>IFERROR(VLOOKUP(Table1[[#This Row],[Amino Acid Change]],$S$7:$T$1000,2,0),"0.00")</f>
        <v>0.00</v>
      </c>
      <c r="E3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23">
        <v>209113113</v>
      </c>
      <c r="G32" s="12"/>
      <c r="H32" s="12"/>
      <c r="I32" s="2">
        <f>'Raw Data Cut 1.3'!A27</f>
        <v>0</v>
      </c>
      <c r="J32" s="2">
        <f>'Raw Data Cut 1.3'!B27</f>
        <v>0</v>
      </c>
      <c r="K32" s="2">
        <f>'Raw Data Cut 1.3'!C27</f>
        <v>0</v>
      </c>
      <c r="L32" s="2">
        <f>'Raw Data Cut 1.3'!D27</f>
        <v>0</v>
      </c>
      <c r="M32" s="2">
        <f>'Raw Data Cut 1.3'!E27</f>
        <v>0</v>
      </c>
      <c r="N32" s="2">
        <f>'Raw Data Cut 1.3'!G27</f>
        <v>0</v>
      </c>
      <c r="O32" s="2">
        <f>'Raw Data Cut 1.3'!H27</f>
        <v>0</v>
      </c>
      <c r="P32" s="2">
        <f>'Raw Data Cut 1.3'!I27</f>
        <v>0</v>
      </c>
      <c r="Q32" s="2">
        <f>'Raw Data Cut 1.3'!J27</f>
        <v>0</v>
      </c>
      <c r="R32" s="2">
        <f>'Raw Data Cut 1.3'!K27</f>
        <v>0</v>
      </c>
      <c r="S32" s="2">
        <f>'Raw Data Cut 1.3'!N27</f>
        <v>0</v>
      </c>
      <c r="T32" s="2">
        <f t="shared" si="0"/>
        <v>0</v>
      </c>
      <c r="U32" s="10" t="str">
        <f>IF($S32=0, "", IF(COUNTIF(Table1[Amino Acid Change], $S32)=0, "Missing", "Y"))</f>
        <v/>
      </c>
      <c r="V32" s="10">
        <f t="shared" si="1"/>
        <v>0</v>
      </c>
    </row>
    <row r="33" spans="1:22" x14ac:dyDescent="0.25">
      <c r="A33" s="21" t="s">
        <v>117</v>
      </c>
      <c r="B33" s="22" t="s">
        <v>52</v>
      </c>
      <c r="C33" s="23">
        <v>5</v>
      </c>
      <c r="D33" s="24" t="str">
        <f>IFERROR(VLOOKUP(Table1[[#This Row],[Amino Acid Change]],$S$7:$T$1000,2,0),"0.00")</f>
        <v>0.00</v>
      </c>
      <c r="E3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23">
        <v>90631700</v>
      </c>
      <c r="G33" s="12"/>
      <c r="H33" s="12"/>
      <c r="I33" s="2">
        <f>'Raw Data Cut 1.3'!A28</f>
        <v>0</v>
      </c>
      <c r="J33" s="2">
        <f>'Raw Data Cut 1.3'!B28</f>
        <v>0</v>
      </c>
      <c r="K33" s="2">
        <f>'Raw Data Cut 1.3'!C28</f>
        <v>0</v>
      </c>
      <c r="L33" s="2">
        <f>'Raw Data Cut 1.3'!D28</f>
        <v>0</v>
      </c>
      <c r="M33" s="2">
        <f>'Raw Data Cut 1.3'!E28</f>
        <v>0</v>
      </c>
      <c r="N33" s="2">
        <f>'Raw Data Cut 1.3'!G28</f>
        <v>0</v>
      </c>
      <c r="O33" s="2">
        <f>'Raw Data Cut 1.3'!H28</f>
        <v>0</v>
      </c>
      <c r="P33" s="2">
        <f>'Raw Data Cut 1.3'!I28</f>
        <v>0</v>
      </c>
      <c r="Q33" s="2">
        <f>'Raw Data Cut 1.3'!J28</f>
        <v>0</v>
      </c>
      <c r="R33" s="2">
        <f>'Raw Data Cut 1.3'!K28</f>
        <v>0</v>
      </c>
      <c r="S33" s="2">
        <f>'Raw Data Cut 1.3'!N28</f>
        <v>0</v>
      </c>
      <c r="T33" s="2">
        <f t="shared" si="0"/>
        <v>0</v>
      </c>
      <c r="U33" s="10" t="str">
        <f>IF($S33=0, "", IF(COUNTIF(Table1[Amino Acid Change], $S33)=0, "Missing", "Y"))</f>
        <v/>
      </c>
      <c r="V33" s="10">
        <f t="shared" si="1"/>
        <v>0</v>
      </c>
    </row>
    <row r="34" spans="1:22" x14ac:dyDescent="0.25">
      <c r="A34" s="21" t="s">
        <v>118</v>
      </c>
      <c r="B34" s="22" t="s">
        <v>53</v>
      </c>
      <c r="C34" s="23">
        <v>1.3</v>
      </c>
      <c r="D34" s="24" t="str">
        <f>IFERROR(VLOOKUP(Table1[[#This Row],[Amino Acid Change]],$S$7:$T$1000,2,0),"0.00")</f>
        <v>0.00</v>
      </c>
      <c r="E3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23">
        <v>90631838</v>
      </c>
      <c r="G34" s="12"/>
      <c r="H34" s="12"/>
      <c r="I34" s="2">
        <f>'Raw Data Cut 1.3'!A29</f>
        <v>0</v>
      </c>
      <c r="J34" s="2">
        <f>'Raw Data Cut 1.3'!B29</f>
        <v>0</v>
      </c>
      <c r="K34" s="2">
        <f>'Raw Data Cut 1.3'!C29</f>
        <v>0</v>
      </c>
      <c r="L34" s="2">
        <f>'Raw Data Cut 1.3'!D29</f>
        <v>0</v>
      </c>
      <c r="M34" s="2">
        <f>'Raw Data Cut 1.3'!E29</f>
        <v>0</v>
      </c>
      <c r="N34" s="2">
        <f>'Raw Data Cut 1.3'!G29</f>
        <v>0</v>
      </c>
      <c r="O34" s="2">
        <f>'Raw Data Cut 1.3'!H29</f>
        <v>0</v>
      </c>
      <c r="P34" s="2">
        <f>'Raw Data Cut 1.3'!I29</f>
        <v>0</v>
      </c>
      <c r="Q34" s="2">
        <f>'Raw Data Cut 1.3'!J29</f>
        <v>0</v>
      </c>
      <c r="R34" s="2">
        <f>'Raw Data Cut 1.3'!K29</f>
        <v>0</v>
      </c>
      <c r="S34" s="2">
        <f>'Raw Data Cut 1.3'!N29</f>
        <v>0</v>
      </c>
      <c r="T34" s="2">
        <f t="shared" si="0"/>
        <v>0</v>
      </c>
      <c r="U34" s="10" t="str">
        <f>IF($S34=0, "", IF(COUNTIF(Table1[Amino Acid Change], $S34)=0, "Missing", "Y"))</f>
        <v/>
      </c>
      <c r="V34" s="10">
        <f t="shared" si="1"/>
        <v>0</v>
      </c>
    </row>
    <row r="35" spans="1:22" x14ac:dyDescent="0.25">
      <c r="A35" s="21" t="s">
        <v>119</v>
      </c>
      <c r="B35" s="22" t="s">
        <v>54</v>
      </c>
      <c r="C35" s="23">
        <v>1.3</v>
      </c>
      <c r="D35" s="24" t="str">
        <f>IFERROR(VLOOKUP(Table1[[#This Row],[Amino Acid Change]],$S$7:$T$1000,2,0),"0.00")</f>
        <v>0.00</v>
      </c>
      <c r="E3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23">
        <v>90631934</v>
      </c>
      <c r="G35" s="12"/>
      <c r="H35" s="12"/>
      <c r="I35" s="2">
        <f>'Raw Data Cut 1.3'!A30</f>
        <v>0</v>
      </c>
      <c r="J35" s="2">
        <f>'Raw Data Cut 1.3'!B30</f>
        <v>0</v>
      </c>
      <c r="K35" s="2">
        <f>'Raw Data Cut 1.3'!C30</f>
        <v>0</v>
      </c>
      <c r="L35" s="2">
        <f>'Raw Data Cut 1.3'!D30</f>
        <v>0</v>
      </c>
      <c r="M35" s="2">
        <f>'Raw Data Cut 1.3'!E30</f>
        <v>0</v>
      </c>
      <c r="N35" s="2">
        <f>'Raw Data Cut 1.3'!G30</f>
        <v>0</v>
      </c>
      <c r="O35" s="2">
        <f>'Raw Data Cut 1.3'!H30</f>
        <v>0</v>
      </c>
      <c r="P35" s="2">
        <f>'Raw Data Cut 1.3'!I30</f>
        <v>0</v>
      </c>
      <c r="Q35" s="2">
        <f>'Raw Data Cut 1.3'!J30</f>
        <v>0</v>
      </c>
      <c r="R35" s="2">
        <f>'Raw Data Cut 1.3'!K30</f>
        <v>0</v>
      </c>
      <c r="S35" s="2">
        <f>'Raw Data Cut 1.3'!N30</f>
        <v>0</v>
      </c>
      <c r="T35" s="2">
        <f t="shared" si="0"/>
        <v>0</v>
      </c>
      <c r="U35" s="10" t="str">
        <f>IF($S35=0, "", IF(COUNTIF(Table1[Amino Acid Change], $S35)=0, "Missing", "Y"))</f>
        <v/>
      </c>
      <c r="V35" s="10">
        <f t="shared" si="1"/>
        <v>0</v>
      </c>
    </row>
    <row r="36" spans="1:22" x14ac:dyDescent="0.25">
      <c r="A36" s="21" t="s">
        <v>120</v>
      </c>
      <c r="B36" s="22" t="s">
        <v>85</v>
      </c>
      <c r="C36" s="23">
        <v>1.3</v>
      </c>
      <c r="D36" s="24" t="str">
        <f>IFERROR(VLOOKUP(Table1[[#This Row],[Amino Acid Change]],$S$7:$T$1000,2,0),"0.00")</f>
        <v>0.00</v>
      </c>
      <c r="E3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23">
        <v>5073770</v>
      </c>
      <c r="G36" s="12"/>
      <c r="H36" s="12"/>
      <c r="I36" s="2">
        <f>'Raw Data Cut 1.3'!A31</f>
        <v>0</v>
      </c>
      <c r="J36" s="2">
        <f>'Raw Data Cut 1.3'!B31</f>
        <v>0</v>
      </c>
      <c r="K36" s="2">
        <f>'Raw Data Cut 1.3'!C31</f>
        <v>0</v>
      </c>
      <c r="L36" s="2">
        <f>'Raw Data Cut 1.3'!D31</f>
        <v>0</v>
      </c>
      <c r="M36" s="2">
        <f>'Raw Data Cut 1.3'!E31</f>
        <v>0</v>
      </c>
      <c r="N36" s="2">
        <f>'Raw Data Cut 1.3'!G31</f>
        <v>0</v>
      </c>
      <c r="O36" s="2">
        <f>'Raw Data Cut 1.3'!H31</f>
        <v>0</v>
      </c>
      <c r="P36" s="2">
        <f>'Raw Data Cut 1.3'!I31</f>
        <v>0</v>
      </c>
      <c r="Q36" s="2">
        <f>'Raw Data Cut 1.3'!J31</f>
        <v>0</v>
      </c>
      <c r="R36" s="2">
        <f>'Raw Data Cut 1.3'!K31</f>
        <v>0</v>
      </c>
      <c r="S36" s="2">
        <f>'Raw Data Cut 1.3'!N31</f>
        <v>0</v>
      </c>
      <c r="T36" s="2">
        <f t="shared" si="0"/>
        <v>0</v>
      </c>
      <c r="U36" s="10" t="str">
        <f>IF($S36=0, "", IF(COUNTIF(Table1[Amino Acid Change], $S36)=0, "Missing", "Y"))</f>
        <v/>
      </c>
      <c r="V36" s="10">
        <f t="shared" si="1"/>
        <v>0</v>
      </c>
    </row>
    <row r="37" spans="1:22" x14ac:dyDescent="0.25">
      <c r="A37" s="21" t="s">
        <v>121</v>
      </c>
      <c r="B37" s="22" t="s">
        <v>55</v>
      </c>
      <c r="C37" s="23">
        <v>5</v>
      </c>
      <c r="D37" s="24" t="str">
        <f>IFERROR(VLOOKUP(Table1[[#This Row],[Amino Acid Change]],$S$7:$T$1000,2,0),"0.00")</f>
        <v>0.00</v>
      </c>
      <c r="E3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7" s="23">
        <v>55575673</v>
      </c>
      <c r="G37" s="12"/>
      <c r="H37" s="12"/>
      <c r="I37" s="2">
        <f>'Raw Data Cut 1.3'!A33</f>
        <v>0</v>
      </c>
      <c r="J37" s="2">
        <f>'Raw Data Cut 1.3'!B33</f>
        <v>0</v>
      </c>
      <c r="K37" s="2">
        <f>'Raw Data Cut 1.3'!C33</f>
        <v>0</v>
      </c>
      <c r="L37" s="2">
        <f>'Raw Data Cut 1.3'!D33</f>
        <v>0</v>
      </c>
      <c r="M37" s="2">
        <f>'Raw Data Cut 1.3'!E33</f>
        <v>0</v>
      </c>
      <c r="N37" s="2">
        <f>'Raw Data Cut 1.3'!G33</f>
        <v>0</v>
      </c>
      <c r="O37" s="2">
        <f>'Raw Data Cut 1.3'!H33</f>
        <v>0</v>
      </c>
      <c r="P37" s="2">
        <f>'Raw Data Cut 1.3'!I33</f>
        <v>0</v>
      </c>
      <c r="Q37" s="2">
        <f>'Raw Data Cut 1.3'!J33</f>
        <v>0</v>
      </c>
      <c r="R37" s="2">
        <f>'Raw Data Cut 1.3'!K33</f>
        <v>0</v>
      </c>
      <c r="S37" s="2">
        <f>'Raw Data Cut 1.3'!N33</f>
        <v>0</v>
      </c>
      <c r="T37" s="2">
        <f t="shared" si="0"/>
        <v>0</v>
      </c>
      <c r="U37" s="10" t="str">
        <f>IF($S37=0, "", IF(COUNTIF(Table1[Amino Acid Change], $S37)=0, "Missing", "Y"))</f>
        <v/>
      </c>
      <c r="V37" s="10">
        <f t="shared" si="1"/>
        <v>0</v>
      </c>
    </row>
    <row r="38" spans="1:22" x14ac:dyDescent="0.25">
      <c r="A38" s="21" t="s">
        <v>9</v>
      </c>
      <c r="B38" s="22" t="s">
        <v>56</v>
      </c>
      <c r="C38" s="23">
        <v>1.3</v>
      </c>
      <c r="D38" s="24" t="str">
        <f>IFERROR(VLOOKUP(Table1[[#This Row],[Amino Acid Change]],$S$7:$T$1000,2,0),"0.00")</f>
        <v>0.00</v>
      </c>
      <c r="E3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8" s="23">
        <v>55599321</v>
      </c>
      <c r="G38" s="12"/>
      <c r="H38" s="12"/>
      <c r="I38" s="2">
        <f>'Raw Data Cut 1.3'!A34</f>
        <v>0</v>
      </c>
      <c r="J38" s="2">
        <f>'Raw Data Cut 1.3'!B34</f>
        <v>0</v>
      </c>
      <c r="K38" s="2">
        <f>'Raw Data Cut 1.3'!C34</f>
        <v>0</v>
      </c>
      <c r="L38" s="2">
        <f>'Raw Data Cut 1.3'!D34</f>
        <v>0</v>
      </c>
      <c r="M38" s="2">
        <f>'Raw Data Cut 1.3'!E34</f>
        <v>0</v>
      </c>
      <c r="N38" s="2">
        <f>'Raw Data Cut 1.3'!G34</f>
        <v>0</v>
      </c>
      <c r="O38" s="2">
        <f>'Raw Data Cut 1.3'!H34</f>
        <v>0</v>
      </c>
      <c r="P38" s="2">
        <f>'Raw Data Cut 1.3'!I34</f>
        <v>0</v>
      </c>
      <c r="Q38" s="2">
        <f>'Raw Data Cut 1.3'!J34</f>
        <v>0</v>
      </c>
      <c r="R38" s="2">
        <f>'Raw Data Cut 1.3'!K34</f>
        <v>0</v>
      </c>
      <c r="S38" s="2">
        <f>'Raw Data Cut 1.3'!N34</f>
        <v>0</v>
      </c>
      <c r="T38" s="2">
        <f t="shared" si="0"/>
        <v>0</v>
      </c>
      <c r="U38" s="10" t="str">
        <f>IF($S38=0, "", IF(COUNTIF(Table1[Amino Acid Change], $S38)=0, "Missing", "Y"))</f>
        <v/>
      </c>
      <c r="V38" s="10">
        <f t="shared" si="1"/>
        <v>0</v>
      </c>
    </row>
    <row r="39" spans="1:22" x14ac:dyDescent="0.25">
      <c r="A39" s="21" t="s">
        <v>122</v>
      </c>
      <c r="B39" s="22" t="s">
        <v>57</v>
      </c>
      <c r="C39" s="23">
        <v>1.3</v>
      </c>
      <c r="D39" s="24" t="str">
        <f>IFERROR(VLOOKUP(Table1[[#This Row],[Amino Acid Change]],$S$7:$T$1000,2,0),"0.00")</f>
        <v>0.00</v>
      </c>
      <c r="E3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9" s="23">
        <v>25380275</v>
      </c>
      <c r="G39" s="12"/>
      <c r="H39" s="12"/>
      <c r="I39" s="2">
        <f>'Raw Data Cut 1.3'!A35</f>
        <v>0</v>
      </c>
      <c r="J39" s="2">
        <f>'Raw Data Cut 1.3'!B35</f>
        <v>0</v>
      </c>
      <c r="K39" s="2">
        <f>'Raw Data Cut 1.3'!C35</f>
        <v>0</v>
      </c>
      <c r="L39" s="2">
        <f>'Raw Data Cut 1.3'!D35</f>
        <v>0</v>
      </c>
      <c r="M39" s="2">
        <f>'Raw Data Cut 1.3'!E35</f>
        <v>0</v>
      </c>
      <c r="N39" s="2">
        <f>'Raw Data Cut 1.3'!G35</f>
        <v>0</v>
      </c>
      <c r="O39" s="2">
        <f>'Raw Data Cut 1.3'!H35</f>
        <v>0</v>
      </c>
      <c r="P39" s="2">
        <f>'Raw Data Cut 1.3'!I35</f>
        <v>0</v>
      </c>
      <c r="Q39" s="2">
        <f>'Raw Data Cut 1.3'!J35</f>
        <v>0</v>
      </c>
      <c r="R39" s="2">
        <f>'Raw Data Cut 1.3'!K35</f>
        <v>0</v>
      </c>
      <c r="S39" s="2">
        <f>'Raw Data Cut 1.3'!N35</f>
        <v>0</v>
      </c>
      <c r="T39" s="2">
        <f t="shared" si="0"/>
        <v>0</v>
      </c>
      <c r="U39" s="10" t="str">
        <f>IF($S39=0, "", IF(COUNTIF(Table1[Amino Acid Change], $S39)=0, "Missing", "Y"))</f>
        <v/>
      </c>
      <c r="V39" s="10">
        <f t="shared" si="1"/>
        <v>0</v>
      </c>
    </row>
    <row r="40" spans="1:22" x14ac:dyDescent="0.25">
      <c r="A40" s="21" t="s">
        <v>123</v>
      </c>
      <c r="B40" s="22" t="s">
        <v>58</v>
      </c>
      <c r="C40" s="23">
        <v>1.3</v>
      </c>
      <c r="D40" s="24" t="str">
        <f>IFERROR(VLOOKUP(Table1[[#This Row],[Amino Acid Change]],$S$7:$T$1000,2,0),"0.00")</f>
        <v>0.00</v>
      </c>
      <c r="E4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0" s="23">
        <v>25380276</v>
      </c>
      <c r="G40" s="12"/>
      <c r="H40" s="12"/>
      <c r="I40" s="2">
        <f>'Raw Data Cut 1.3'!A36</f>
        <v>0</v>
      </c>
      <c r="J40" s="2">
        <f>'Raw Data Cut 1.3'!B36</f>
        <v>0</v>
      </c>
      <c r="K40" s="2">
        <f>'Raw Data Cut 1.3'!C36</f>
        <v>0</v>
      </c>
      <c r="L40" s="2">
        <f>'Raw Data Cut 1.3'!D36</f>
        <v>0</v>
      </c>
      <c r="M40" s="2">
        <f>'Raw Data Cut 1.3'!E36</f>
        <v>0</v>
      </c>
      <c r="N40" s="2">
        <f>'Raw Data Cut 1.3'!G36</f>
        <v>0</v>
      </c>
      <c r="O40" s="2">
        <f>'Raw Data Cut 1.3'!H36</f>
        <v>0</v>
      </c>
      <c r="P40" s="2">
        <f>'Raw Data Cut 1.3'!I36</f>
        <v>0</v>
      </c>
      <c r="Q40" s="2">
        <f>'Raw Data Cut 1.3'!J36</f>
        <v>0</v>
      </c>
      <c r="R40" s="2">
        <f>'Raw Data Cut 1.3'!K36</f>
        <v>0</v>
      </c>
      <c r="S40" s="2">
        <f>'Raw Data Cut 1.3'!N36</f>
        <v>0</v>
      </c>
      <c r="T40" s="2">
        <f t="shared" si="0"/>
        <v>0</v>
      </c>
      <c r="U40" s="10" t="str">
        <f>IF($S40=0, "", IF(COUNTIF(Table1[Amino Acid Change], $S40)=0, "Missing", "Y"))</f>
        <v/>
      </c>
      <c r="V40" s="10">
        <f t="shared" si="1"/>
        <v>0</v>
      </c>
    </row>
    <row r="41" spans="1:22" x14ac:dyDescent="0.25">
      <c r="A41" s="21" t="s">
        <v>124</v>
      </c>
      <c r="B41" s="22" t="s">
        <v>59</v>
      </c>
      <c r="C41" s="23">
        <v>25</v>
      </c>
      <c r="D41" s="24" t="str">
        <f>IFERROR(VLOOKUP(Table1[[#This Row],[Amino Acid Change]],$S$7:$T$1000,2,0),"0.00")</f>
        <v>0.00</v>
      </c>
      <c r="E4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1" s="23">
        <v>25398281</v>
      </c>
      <c r="G41" s="12"/>
      <c r="H41" s="12"/>
      <c r="I41" s="2">
        <f>'Raw Data Cut 1.3'!A37</f>
        <v>0</v>
      </c>
      <c r="J41" s="2">
        <f>'Raw Data Cut 1.3'!B37</f>
        <v>0</v>
      </c>
      <c r="K41" s="2">
        <f>'Raw Data Cut 1.3'!C37</f>
        <v>0</v>
      </c>
      <c r="L41" s="2">
        <f>'Raw Data Cut 1.3'!D37</f>
        <v>0</v>
      </c>
      <c r="M41" s="2">
        <f>'Raw Data Cut 1.3'!E37</f>
        <v>0</v>
      </c>
      <c r="N41" s="2">
        <f>'Raw Data Cut 1.3'!G37</f>
        <v>0</v>
      </c>
      <c r="O41" s="2">
        <f>'Raw Data Cut 1.3'!H37</f>
        <v>0</v>
      </c>
      <c r="P41" s="2">
        <f>'Raw Data Cut 1.3'!I37</f>
        <v>0</v>
      </c>
      <c r="Q41" s="2">
        <f>'Raw Data Cut 1.3'!J37</f>
        <v>0</v>
      </c>
      <c r="R41" s="2">
        <f>'Raw Data Cut 1.3'!K37</f>
        <v>0</v>
      </c>
      <c r="S41" s="2">
        <f>'Raw Data Cut 1.3'!N37</f>
        <v>0</v>
      </c>
      <c r="T41" s="2">
        <f t="shared" si="0"/>
        <v>0</v>
      </c>
      <c r="U41" s="10" t="str">
        <f>IF($S41=0, "", IF(COUNTIF(Table1[Amino Acid Change], $S41)=0, "Missing", "Y"))</f>
        <v/>
      </c>
      <c r="V41" s="10">
        <f t="shared" si="1"/>
        <v>0</v>
      </c>
    </row>
    <row r="42" spans="1:22" x14ac:dyDescent="0.25">
      <c r="A42" s="21" t="s">
        <v>125</v>
      </c>
      <c r="B42" s="25" t="s">
        <v>80</v>
      </c>
      <c r="C42" s="23">
        <v>1.3</v>
      </c>
      <c r="D42" s="24" t="str">
        <f>IFERROR(VLOOKUP(Table1[[#This Row],[Amino Acid Change]],$S$7:$T$1000,2,0),"0.00")</f>
        <v>0.00</v>
      </c>
      <c r="E4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2" s="23">
        <v>25398284</v>
      </c>
      <c r="G42" s="12"/>
      <c r="H42" s="12"/>
      <c r="I42" s="2">
        <f>'Raw Data Cut 1.3'!A38</f>
        <v>0</v>
      </c>
      <c r="J42" s="2">
        <f>'Raw Data Cut 1.3'!B38</f>
        <v>0</v>
      </c>
      <c r="K42" s="2">
        <f>'Raw Data Cut 1.3'!C38</f>
        <v>0</v>
      </c>
      <c r="L42" s="2">
        <f>'Raw Data Cut 1.3'!D38</f>
        <v>0</v>
      </c>
      <c r="M42" s="2">
        <f>'Raw Data Cut 1.3'!E38</f>
        <v>0</v>
      </c>
      <c r="N42" s="2">
        <f>'Raw Data Cut 1.3'!G38</f>
        <v>0</v>
      </c>
      <c r="O42" s="2">
        <f>'Raw Data Cut 1.3'!H38</f>
        <v>0</v>
      </c>
      <c r="P42" s="2">
        <f>'Raw Data Cut 1.3'!I38</f>
        <v>0</v>
      </c>
      <c r="Q42" s="2">
        <f>'Raw Data Cut 1.3'!J38</f>
        <v>0</v>
      </c>
      <c r="R42" s="2">
        <f>'Raw Data Cut 1.3'!K38</f>
        <v>0</v>
      </c>
      <c r="S42" s="2">
        <f>'Raw Data Cut 1.3'!N38</f>
        <v>0</v>
      </c>
      <c r="T42" s="2">
        <f t="shared" si="0"/>
        <v>0</v>
      </c>
      <c r="U42" s="10" t="str">
        <f>IF($S42=0, "", IF(COUNTIF(Table1[Amino Acid Change], $S42)=0, "Missing", "Y"))</f>
        <v/>
      </c>
      <c r="V42" s="10">
        <f t="shared" si="1"/>
        <v>0</v>
      </c>
    </row>
    <row r="43" spans="1:22" x14ac:dyDescent="0.25">
      <c r="A43" s="21" t="s">
        <v>126</v>
      </c>
      <c r="B43" s="22" t="s">
        <v>60</v>
      </c>
      <c r="C43" s="23">
        <v>1.3</v>
      </c>
      <c r="D43" s="24" t="str">
        <f>IFERROR(VLOOKUP(Table1[[#This Row],[Amino Acid Change]],$S$7:$T$1000,2,0),"0.00")</f>
        <v>0.00</v>
      </c>
      <c r="E4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3" s="23">
        <v>25398284</v>
      </c>
      <c r="G43" s="12"/>
      <c r="H43" s="12"/>
      <c r="I43" s="2">
        <f>'Raw Data Cut 1.3'!A39</f>
        <v>0</v>
      </c>
      <c r="J43" s="2">
        <f>'Raw Data Cut 1.3'!B39</f>
        <v>0</v>
      </c>
      <c r="K43" s="2">
        <f>'Raw Data Cut 1.3'!C39</f>
        <v>0</v>
      </c>
      <c r="L43" s="2">
        <f>'Raw Data Cut 1.3'!D39</f>
        <v>0</v>
      </c>
      <c r="M43" s="2">
        <f>'Raw Data Cut 1.3'!E39</f>
        <v>0</v>
      </c>
      <c r="N43" s="2">
        <f>'Raw Data Cut 1.3'!G39</f>
        <v>0</v>
      </c>
      <c r="O43" s="2">
        <f>'Raw Data Cut 1.3'!H39</f>
        <v>0</v>
      </c>
      <c r="P43" s="2">
        <f>'Raw Data Cut 1.3'!I39</f>
        <v>0</v>
      </c>
      <c r="Q43" s="2">
        <f>'Raw Data Cut 1.3'!J39</f>
        <v>0</v>
      </c>
      <c r="R43" s="2">
        <f>'Raw Data Cut 1.3'!K39</f>
        <v>0</v>
      </c>
      <c r="S43" s="2">
        <f>'Raw Data Cut 1.3'!N39</f>
        <v>0</v>
      </c>
      <c r="T43" s="2">
        <f>P43</f>
        <v>0</v>
      </c>
      <c r="U43" s="10" t="str">
        <f>IF($S43=0, "", IF(COUNTIF(Table1[Amino Acid Change], $S43)=0, "Missing", "Y"))</f>
        <v/>
      </c>
      <c r="V43" s="10">
        <f t="shared" si="1"/>
        <v>0</v>
      </c>
    </row>
    <row r="44" spans="1:22" x14ac:dyDescent="0.25">
      <c r="A44" s="21" t="s">
        <v>127</v>
      </c>
      <c r="B44" s="22" t="s">
        <v>61</v>
      </c>
      <c r="C44" s="23">
        <v>1.3</v>
      </c>
      <c r="D44" s="24" t="str">
        <f>IFERROR(VLOOKUP(Table1[[#This Row],[Amino Acid Change]],$S$7:$T$1000,2,0),"0.00")</f>
        <v>0.00</v>
      </c>
      <c r="E4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4" s="23">
        <v>25398285</v>
      </c>
      <c r="G44" s="12"/>
      <c r="H44" s="12"/>
      <c r="I44" s="2">
        <f>'Raw Data Cut 1.3'!A40</f>
        <v>0</v>
      </c>
      <c r="J44" s="2">
        <f>'Raw Data Cut 1.3'!B40</f>
        <v>0</v>
      </c>
      <c r="K44" s="2">
        <f>'Raw Data Cut 1.3'!C40</f>
        <v>0</v>
      </c>
      <c r="L44" s="2">
        <f>'Raw Data Cut 1.3'!D40</f>
        <v>0</v>
      </c>
      <c r="M44" s="2">
        <f>'Raw Data Cut 1.3'!E40</f>
        <v>0</v>
      </c>
      <c r="N44" s="2">
        <f>'Raw Data Cut 1.3'!G40</f>
        <v>0</v>
      </c>
      <c r="O44" s="2">
        <f>'Raw Data Cut 1.3'!H40</f>
        <v>0</v>
      </c>
      <c r="P44" s="2">
        <f>'Raw Data Cut 1.3'!I40</f>
        <v>0</v>
      </c>
      <c r="Q44" s="2">
        <f>'Raw Data Cut 1.3'!J40</f>
        <v>0</v>
      </c>
      <c r="R44" s="2">
        <f>'Raw Data Cut 1.3'!K40</f>
        <v>0</v>
      </c>
      <c r="S44" s="2">
        <f>'Raw Data Cut 1.3'!N40</f>
        <v>0</v>
      </c>
      <c r="T44" s="2">
        <f t="shared" si="0"/>
        <v>0</v>
      </c>
      <c r="U44" s="10" t="str">
        <f>IF($S44=0, "", IF(COUNTIF(Table1[Amino Acid Change], $S44)=0, "Missing", "Y"))</f>
        <v/>
      </c>
      <c r="V44" s="10">
        <f t="shared" si="1"/>
        <v>0</v>
      </c>
    </row>
    <row r="45" spans="1:22" x14ac:dyDescent="0.25">
      <c r="A45" s="21" t="s">
        <v>128</v>
      </c>
      <c r="B45" s="22" t="s">
        <v>86</v>
      </c>
      <c r="C45" s="23">
        <v>1.3</v>
      </c>
      <c r="D45" s="24" t="str">
        <f>IFERROR(VLOOKUP(Table1[[#This Row],[Amino Acid Change]],$S$7:$T$1000,2,0),"0.00")</f>
        <v>0.00</v>
      </c>
      <c r="E4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5" s="23">
        <v>25398285</v>
      </c>
      <c r="G45" s="12"/>
      <c r="H45" s="12"/>
      <c r="I45" s="2">
        <f>'Raw Data Cut 1.3'!A41</f>
        <v>0</v>
      </c>
      <c r="J45" s="2">
        <f>'Raw Data Cut 1.3'!B41</f>
        <v>0</v>
      </c>
      <c r="K45" s="2">
        <f>'Raw Data Cut 1.3'!C41</f>
        <v>0</v>
      </c>
      <c r="L45" s="2">
        <f>'Raw Data Cut 1.3'!D41</f>
        <v>0</v>
      </c>
      <c r="M45" s="2">
        <f>'Raw Data Cut 1.3'!E41</f>
        <v>0</v>
      </c>
      <c r="N45" s="2">
        <f>'Raw Data Cut 1.3'!G41</f>
        <v>0</v>
      </c>
      <c r="O45" s="2">
        <f>'Raw Data Cut 1.3'!H41</f>
        <v>0</v>
      </c>
      <c r="P45" s="2">
        <f>'Raw Data Cut 1.3'!I41</f>
        <v>0</v>
      </c>
      <c r="Q45" s="2">
        <f>'Raw Data Cut 1.3'!J41</f>
        <v>0</v>
      </c>
      <c r="R45" s="2">
        <f>'Raw Data Cut 1.3'!K41</f>
        <v>0</v>
      </c>
      <c r="S45" s="2">
        <f>'Raw Data Cut 1.3'!N41</f>
        <v>0</v>
      </c>
      <c r="T45" s="2">
        <f t="shared" si="0"/>
        <v>0</v>
      </c>
      <c r="U45" s="10" t="str">
        <f>IF($S45=0, "", IF(COUNTIF(Table1[Amino Acid Change], $S45)=0, "Missing", "Y"))</f>
        <v/>
      </c>
      <c r="V45" s="10">
        <f t="shared" si="1"/>
        <v>0</v>
      </c>
    </row>
    <row r="46" spans="1:22" x14ac:dyDescent="0.25">
      <c r="A46" s="21" t="s">
        <v>129</v>
      </c>
      <c r="B46" s="25" t="s">
        <v>81</v>
      </c>
      <c r="C46" s="23">
        <v>1.3</v>
      </c>
      <c r="D46" s="24" t="str">
        <f>IFERROR(VLOOKUP(Table1[[#This Row],[Amino Acid Change]],$S$7:$T$1000,2,0),"0.00")</f>
        <v>0.00</v>
      </c>
      <c r="E4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6" s="23">
        <v>25398285</v>
      </c>
      <c r="G46" s="12"/>
      <c r="H46" s="12"/>
      <c r="I46" s="2">
        <f>'Raw Data Cut 1.3'!A42</f>
        <v>0</v>
      </c>
      <c r="J46" s="2">
        <f>'Raw Data Cut 1.3'!B42</f>
        <v>0</v>
      </c>
      <c r="K46" s="2">
        <f>'Raw Data Cut 1.3'!C42</f>
        <v>0</v>
      </c>
      <c r="L46" s="2">
        <f>'Raw Data Cut 1.3'!D42</f>
        <v>0</v>
      </c>
      <c r="M46" s="2">
        <f>'Raw Data Cut 1.3'!E42</f>
        <v>0</v>
      </c>
      <c r="N46" s="2">
        <f>'Raw Data Cut 1.3'!G42</f>
        <v>0</v>
      </c>
      <c r="O46" s="2">
        <f>'Raw Data Cut 1.3'!H42</f>
        <v>0</v>
      </c>
      <c r="P46" s="2">
        <f>'Raw Data Cut 1.3'!I42</f>
        <v>0</v>
      </c>
      <c r="Q46" s="2">
        <f>'Raw Data Cut 1.3'!J42</f>
        <v>0</v>
      </c>
      <c r="R46" s="2">
        <f>'Raw Data Cut 1.3'!K42</f>
        <v>0</v>
      </c>
      <c r="S46" s="2">
        <f>'Raw Data Cut 1.3'!N42</f>
        <v>0</v>
      </c>
      <c r="T46" s="2">
        <f t="shared" si="0"/>
        <v>0</v>
      </c>
      <c r="U46" s="10" t="str">
        <f>IF($S46=0, "", IF(COUNTIF(Table1[Amino Acid Change], $S46)=0, "Missing", "Y"))</f>
        <v/>
      </c>
      <c r="V46" s="10">
        <f t="shared" si="1"/>
        <v>0</v>
      </c>
    </row>
    <row r="47" spans="1:22" x14ac:dyDescent="0.25">
      <c r="A47" s="21" t="s">
        <v>130</v>
      </c>
      <c r="B47" s="22" t="s">
        <v>87</v>
      </c>
      <c r="C47" s="23">
        <v>1.3</v>
      </c>
      <c r="D47" s="24" t="str">
        <f>IFERROR(VLOOKUP(Table1[[#This Row],[Amino Acid Change]],$S$7:$T$1000,2,0),"0.00")</f>
        <v>0.00</v>
      </c>
      <c r="E4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7" s="23">
        <v>25398284</v>
      </c>
      <c r="G47" s="12"/>
      <c r="H47" s="12"/>
      <c r="I47" s="2">
        <f>'Raw Data Cut 1.3'!A43</f>
        <v>0</v>
      </c>
      <c r="J47" s="2">
        <f>'Raw Data Cut 1.3'!B43</f>
        <v>0</v>
      </c>
      <c r="K47" s="2">
        <f>'Raw Data Cut 1.3'!C43</f>
        <v>0</v>
      </c>
      <c r="L47" s="2">
        <f>'Raw Data Cut 1.3'!D43</f>
        <v>0</v>
      </c>
      <c r="M47" s="2">
        <f>'Raw Data Cut 1.3'!E43</f>
        <v>0</v>
      </c>
      <c r="N47" s="2">
        <f>'Raw Data Cut 1.3'!G43</f>
        <v>0</v>
      </c>
      <c r="O47" s="2">
        <f>'Raw Data Cut 1.3'!H43</f>
        <v>0</v>
      </c>
      <c r="P47" s="2">
        <f>'Raw Data Cut 1.3'!I43</f>
        <v>0</v>
      </c>
      <c r="Q47" s="2">
        <f>'Raw Data Cut 1.3'!J43</f>
        <v>0</v>
      </c>
      <c r="R47" s="2">
        <f>'Raw Data Cut 1.3'!K43</f>
        <v>0</v>
      </c>
      <c r="S47" s="2">
        <f>'Raw Data Cut 1.3'!N43</f>
        <v>0</v>
      </c>
      <c r="T47" s="2">
        <f t="shared" si="0"/>
        <v>0</v>
      </c>
      <c r="U47" s="10" t="str">
        <f>IF($S47=0, "", IF(COUNTIF(Table1[Amino Acid Change], $S47)=0, "Missing", "Y"))</f>
        <v/>
      </c>
      <c r="V47" s="10">
        <f t="shared" si="1"/>
        <v>0</v>
      </c>
    </row>
    <row r="48" spans="1:22" x14ac:dyDescent="0.25">
      <c r="A48" s="21" t="s">
        <v>131</v>
      </c>
      <c r="B48" s="22" t="s">
        <v>62</v>
      </c>
      <c r="C48" s="23">
        <v>20</v>
      </c>
      <c r="D48" s="24" t="str">
        <f>IFERROR(VLOOKUP(Table1[[#This Row],[Amino Acid Change]],$S$7:$T$1000,2,0),"0.00")</f>
        <v>0.00</v>
      </c>
      <c r="E4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8" s="23">
        <v>139396746</v>
      </c>
      <c r="G48" s="12"/>
      <c r="H48" s="12"/>
      <c r="I48" s="2">
        <f>'Raw Data Cut 1.3'!A44</f>
        <v>0</v>
      </c>
      <c r="J48" s="2">
        <f>'Raw Data Cut 1.3'!B44</f>
        <v>0</v>
      </c>
      <c r="K48" s="2">
        <f>'Raw Data Cut 1.3'!C44</f>
        <v>0</v>
      </c>
      <c r="L48" s="2">
        <f>'Raw Data Cut 1.3'!D44</f>
        <v>0</v>
      </c>
      <c r="M48" s="2">
        <f>'Raw Data Cut 1.3'!E44</f>
        <v>0</v>
      </c>
      <c r="N48" s="2">
        <f>'Raw Data Cut 1.3'!G44</f>
        <v>0</v>
      </c>
      <c r="O48" s="2">
        <f>'Raw Data Cut 1.3'!H44</f>
        <v>0</v>
      </c>
      <c r="P48" s="2">
        <f>'Raw Data Cut 1.3'!I44</f>
        <v>0</v>
      </c>
      <c r="Q48" s="2">
        <f>'Raw Data Cut 1.3'!J44</f>
        <v>0</v>
      </c>
      <c r="R48" s="2">
        <f>'Raw Data Cut 1.3'!K44</f>
        <v>0</v>
      </c>
      <c r="S48" s="2">
        <f>'Raw Data Cut 1.3'!N44</f>
        <v>0</v>
      </c>
      <c r="T48" s="2">
        <f t="shared" si="0"/>
        <v>0</v>
      </c>
      <c r="U48" s="10" t="str">
        <f>IF($S48=0, "", IF(COUNTIF(Table1[Amino Acid Change], $S48)=0, "Missing", "Y"))</f>
        <v/>
      </c>
      <c r="V48" s="10">
        <f t="shared" si="1"/>
        <v>0</v>
      </c>
    </row>
    <row r="49" spans="1:22" x14ac:dyDescent="0.25">
      <c r="A49" s="21" t="s">
        <v>132</v>
      </c>
      <c r="B49" s="22" t="s">
        <v>63</v>
      </c>
      <c r="C49" s="23">
        <v>1.3</v>
      </c>
      <c r="D49" s="24" t="str">
        <f>IFERROR(VLOOKUP(Table1[[#This Row],[Amino Acid Change]],$S$7:$T$1000,2,0),"0.00")</f>
        <v>0.00</v>
      </c>
      <c r="E4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9" s="23">
        <v>139399344</v>
      </c>
      <c r="G49" s="12"/>
      <c r="H49" s="12"/>
      <c r="I49" s="2">
        <f>'Raw Data Cut 1.3'!A45</f>
        <v>0</v>
      </c>
      <c r="J49" s="2">
        <f>'Raw Data Cut 1.3'!B45</f>
        <v>0</v>
      </c>
      <c r="K49" s="2">
        <f>'Raw Data Cut 1.3'!C45</f>
        <v>0</v>
      </c>
      <c r="L49" s="2">
        <f>'Raw Data Cut 1.3'!D45</f>
        <v>0</v>
      </c>
      <c r="M49" s="2">
        <f>'Raw Data Cut 1.3'!E45</f>
        <v>0</v>
      </c>
      <c r="N49" s="2">
        <f>'Raw Data Cut 1.3'!G45</f>
        <v>0</v>
      </c>
      <c r="O49" s="2">
        <f>'Raw Data Cut 1.3'!H45</f>
        <v>0</v>
      </c>
      <c r="P49" s="2">
        <f>'Raw Data Cut 1.3'!I45</f>
        <v>0</v>
      </c>
      <c r="Q49" s="2">
        <f>'Raw Data Cut 1.3'!J45</f>
        <v>0</v>
      </c>
      <c r="R49" s="2">
        <f>'Raw Data Cut 1.3'!K45</f>
        <v>0</v>
      </c>
      <c r="S49" s="2">
        <f>'Raw Data Cut 1.3'!N45</f>
        <v>0</v>
      </c>
      <c r="T49" s="2">
        <f t="shared" si="0"/>
        <v>0</v>
      </c>
      <c r="U49" s="10" t="str">
        <f>IF($S49=0, "", IF(COUNTIF(Table1[Amino Acid Change], $S49)=0, "Missing", "Y"))</f>
        <v/>
      </c>
      <c r="V49" s="10">
        <f t="shared" si="1"/>
        <v>0</v>
      </c>
    </row>
    <row r="50" spans="1:22" x14ac:dyDescent="0.25">
      <c r="A50" s="21" t="s">
        <v>133</v>
      </c>
      <c r="B50" s="22" t="s">
        <v>64</v>
      </c>
      <c r="C50" s="23">
        <v>2</v>
      </c>
      <c r="D50" s="24" t="str">
        <f>IFERROR(VLOOKUP(Table1[[#This Row],[Amino Acid Change]],$S$7:$T$1000,2,0),"0.00")</f>
        <v>0.00</v>
      </c>
      <c r="E5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0" s="23">
        <v>139407521</v>
      </c>
      <c r="G50" s="12"/>
      <c r="H50" s="12"/>
      <c r="I50" s="2">
        <f>'Raw Data Cut 1.3'!A46</f>
        <v>0</v>
      </c>
      <c r="J50" s="2">
        <f>'Raw Data Cut 1.3'!B46</f>
        <v>0</v>
      </c>
      <c r="K50" s="2">
        <f>'Raw Data Cut 1.3'!C46</f>
        <v>0</v>
      </c>
      <c r="L50" s="2">
        <f>'Raw Data Cut 1.3'!D46</f>
        <v>0</v>
      </c>
      <c r="M50" s="2">
        <f>'Raw Data Cut 1.3'!E46</f>
        <v>0</v>
      </c>
      <c r="N50" s="2">
        <f>'Raw Data Cut 1.3'!G46</f>
        <v>0</v>
      </c>
      <c r="O50" s="2">
        <f>'Raw Data Cut 1.3'!H46</f>
        <v>0</v>
      </c>
      <c r="P50" s="2">
        <f>'Raw Data Cut 1.3'!I46</f>
        <v>0</v>
      </c>
      <c r="Q50" s="2">
        <f>'Raw Data Cut 1.3'!J46</f>
        <v>0</v>
      </c>
      <c r="R50" s="2">
        <f>'Raw Data Cut 1.3'!K46</f>
        <v>0</v>
      </c>
      <c r="S50" s="2">
        <f>'Raw Data Cut 1.3'!N46</f>
        <v>0</v>
      </c>
      <c r="T50" s="2">
        <f t="shared" si="0"/>
        <v>0</v>
      </c>
      <c r="U50" s="10" t="str">
        <f>IF($S50=0, "", IF(COUNTIF(Table1[Amino Acid Change], $S50)=0, "Missing", "Y"))</f>
        <v/>
      </c>
      <c r="V50" s="10">
        <f t="shared" si="1"/>
        <v>0</v>
      </c>
    </row>
    <row r="51" spans="1:22" x14ac:dyDescent="0.25">
      <c r="A51" s="21" t="s">
        <v>134</v>
      </c>
      <c r="B51" s="22" t="s">
        <v>65</v>
      </c>
      <c r="C51" s="23">
        <v>19</v>
      </c>
      <c r="D51" s="24" t="str">
        <f>IFERROR(VLOOKUP(Table1[[#This Row],[Amino Acid Change]],$S$7:$T$1000,2,0),"0.00")</f>
        <v>0.00</v>
      </c>
      <c r="E5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1" s="23">
        <v>139409754</v>
      </c>
      <c r="G51" s="12"/>
      <c r="H51" s="12"/>
      <c r="I51" s="2">
        <f>'Raw Data Cut 1.3'!A47</f>
        <v>0</v>
      </c>
      <c r="J51" s="2">
        <f>'Raw Data Cut 1.3'!B47</f>
        <v>0</v>
      </c>
      <c r="K51" s="2">
        <f>'Raw Data Cut 1.3'!C47</f>
        <v>0</v>
      </c>
      <c r="L51" s="2">
        <f>'Raw Data Cut 1.3'!D47</f>
        <v>0</v>
      </c>
      <c r="M51" s="2">
        <f>'Raw Data Cut 1.3'!E47</f>
        <v>0</v>
      </c>
      <c r="N51" s="2">
        <f>'Raw Data Cut 1.3'!G47</f>
        <v>0</v>
      </c>
      <c r="O51" s="2">
        <f>'Raw Data Cut 1.3'!H47</f>
        <v>0</v>
      </c>
      <c r="P51" s="2">
        <f>'Raw Data Cut 1.3'!I47</f>
        <v>0</v>
      </c>
      <c r="Q51" s="2">
        <f>'Raw Data Cut 1.3'!J47</f>
        <v>0</v>
      </c>
      <c r="R51" s="2">
        <f>'Raw Data Cut 1.3'!K47</f>
        <v>0</v>
      </c>
      <c r="S51" s="2">
        <f>'Raw Data Cut 1.3'!N47</f>
        <v>0</v>
      </c>
      <c r="T51" s="2">
        <f t="shared" si="0"/>
        <v>0</v>
      </c>
      <c r="U51" s="10" t="str">
        <f>IF($S51=0, "", IF(COUNTIF(Table1[Amino Acid Change], $S51)=0, "Missing", "Y"))</f>
        <v/>
      </c>
      <c r="V51" s="10">
        <f t="shared" si="1"/>
        <v>0</v>
      </c>
    </row>
    <row r="52" spans="1:22" x14ac:dyDescent="0.25">
      <c r="A52" s="21" t="s">
        <v>135</v>
      </c>
      <c r="B52" s="22" t="s">
        <v>66</v>
      </c>
      <c r="C52" s="23">
        <v>1</v>
      </c>
      <c r="D52" s="24" t="str">
        <f>IFERROR(VLOOKUP(Table1[[#This Row],[Amino Acid Change]],$S$7:$T$1000,2,0),"0.00")</f>
        <v>0.00</v>
      </c>
      <c r="E5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2" s="23">
        <v>170818372</v>
      </c>
      <c r="G52" s="12"/>
      <c r="H52" s="12"/>
      <c r="I52" s="2">
        <f>'Raw Data Cut 1.3'!A48</f>
        <v>0</v>
      </c>
      <c r="J52" s="2">
        <f>'Raw Data Cut 1.3'!B48</f>
        <v>0</v>
      </c>
      <c r="K52" s="2">
        <f>'Raw Data Cut 1.3'!C48</f>
        <v>0</v>
      </c>
      <c r="L52" s="2">
        <f>'Raw Data Cut 1.3'!D48</f>
        <v>0</v>
      </c>
      <c r="M52" s="2">
        <f>'Raw Data Cut 1.3'!E48</f>
        <v>0</v>
      </c>
      <c r="N52" s="2">
        <f>'Raw Data Cut 1.3'!G48</f>
        <v>0</v>
      </c>
      <c r="O52" s="2">
        <f>'Raw Data Cut 1.3'!H48</f>
        <v>0</v>
      </c>
      <c r="P52" s="2">
        <f>'Raw Data Cut 1.3'!I48</f>
        <v>0</v>
      </c>
      <c r="Q52" s="2">
        <f>'Raw Data Cut 1.3'!J48</f>
        <v>0</v>
      </c>
      <c r="R52" s="2">
        <f>'Raw Data Cut 1.3'!K48</f>
        <v>0</v>
      </c>
      <c r="S52" s="2">
        <f>'Raw Data Cut 1.3'!N48</f>
        <v>0</v>
      </c>
      <c r="T52" s="2">
        <f t="shared" si="0"/>
        <v>0</v>
      </c>
      <c r="U52" s="10" t="str">
        <f>IF($S52=0, "", IF(COUNTIF(Table1[Amino Acid Change], $S52)=0, "Missing", "Y"))</f>
        <v/>
      </c>
      <c r="V52" s="10">
        <f t="shared" si="1"/>
        <v>0</v>
      </c>
    </row>
    <row r="53" spans="1:22" x14ac:dyDescent="0.25">
      <c r="A53" s="21" t="s">
        <v>136</v>
      </c>
      <c r="B53" s="22" t="s">
        <v>68</v>
      </c>
      <c r="C53" s="23">
        <v>2</v>
      </c>
      <c r="D53" s="24" t="str">
        <f>IFERROR(VLOOKUP(Table1[[#This Row],[Amino Acid Change]],$S$7:$T$1000,2,0),"0.00")</f>
        <v>0.00</v>
      </c>
      <c r="E5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3" s="23" t="s">
        <v>67</v>
      </c>
      <c r="G53" s="12"/>
      <c r="H53" s="12"/>
      <c r="I53" s="2">
        <f>'Raw Data Cut 1.3'!A49</f>
        <v>0</v>
      </c>
      <c r="J53" s="2">
        <f>'Raw Data Cut 1.3'!B49</f>
        <v>0</v>
      </c>
      <c r="K53" s="2">
        <f>'Raw Data Cut 1.3'!C49</f>
        <v>0</v>
      </c>
      <c r="L53" s="2">
        <f>'Raw Data Cut 1.3'!D49</f>
        <v>0</v>
      </c>
      <c r="M53" s="2">
        <f>'Raw Data Cut 1.3'!E49</f>
        <v>0</v>
      </c>
      <c r="N53" s="2">
        <f>'Raw Data Cut 1.3'!G49</f>
        <v>0</v>
      </c>
      <c r="O53" s="2">
        <f>'Raw Data Cut 1.3'!H49</f>
        <v>0</v>
      </c>
      <c r="P53" s="2">
        <f>'Raw Data Cut 1.3'!I49</f>
        <v>0</v>
      </c>
      <c r="Q53" s="2">
        <f>'Raw Data Cut 1.3'!J49</f>
        <v>0</v>
      </c>
      <c r="R53" s="2">
        <f>'Raw Data Cut 1.3'!K49</f>
        <v>0</v>
      </c>
      <c r="S53" s="2">
        <f>'Raw Data Cut 1.3'!N49</f>
        <v>0</v>
      </c>
      <c r="T53" s="2">
        <f t="shared" si="0"/>
        <v>0</v>
      </c>
      <c r="U53" s="10" t="str">
        <f>IF($S53=0, "", IF(COUNTIF(Table1[Amino Acid Change], $S53)=0, "Missing", "Y"))</f>
        <v/>
      </c>
      <c r="V53" s="10">
        <f t="shared" si="1"/>
        <v>0</v>
      </c>
    </row>
    <row r="54" spans="1:22" x14ac:dyDescent="0.25">
      <c r="A54" s="21" t="s">
        <v>137</v>
      </c>
      <c r="B54" s="22" t="s">
        <v>69</v>
      </c>
      <c r="C54" s="23">
        <v>1.3</v>
      </c>
      <c r="D54" s="24" t="str">
        <f>IFERROR(VLOOKUP(Table1[[#This Row],[Amino Acid Change]],$S$7:$T$1000,2,0),"0.00")</f>
        <v>0.00</v>
      </c>
      <c r="E5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4" s="23">
        <v>115256528</v>
      </c>
      <c r="G54" s="12"/>
      <c r="H54" s="12"/>
      <c r="I54" s="2">
        <f>'Raw Data Cut 1.3'!A50</f>
        <v>0</v>
      </c>
      <c r="J54" s="2">
        <f>'Raw Data Cut 1.3'!B50</f>
        <v>0</v>
      </c>
      <c r="K54" s="2">
        <f>'Raw Data Cut 1.3'!C50</f>
        <v>0</v>
      </c>
      <c r="L54" s="2">
        <f>'Raw Data Cut 1.3'!D50</f>
        <v>0</v>
      </c>
      <c r="M54" s="2">
        <f>'Raw Data Cut 1.3'!E50</f>
        <v>0</v>
      </c>
      <c r="N54" s="2">
        <f>'Raw Data Cut 1.3'!G50</f>
        <v>0</v>
      </c>
      <c r="O54" s="2">
        <f>'Raw Data Cut 1.3'!H50</f>
        <v>0</v>
      </c>
      <c r="P54" s="2">
        <f>'Raw Data Cut 1.3'!I50</f>
        <v>0</v>
      </c>
      <c r="Q54" s="2">
        <f>'Raw Data Cut 1.3'!J50</f>
        <v>0</v>
      </c>
      <c r="R54" s="2">
        <f>'Raw Data Cut 1.3'!K50</f>
        <v>0</v>
      </c>
      <c r="S54" s="2">
        <f>'Raw Data Cut 1.3'!N50</f>
        <v>0</v>
      </c>
      <c r="T54" s="2">
        <f t="shared" si="0"/>
        <v>0</v>
      </c>
      <c r="U54" s="10" t="str">
        <f>IF($S54=0, "", IF(COUNTIF(Table1[Amino Acid Change], $S54)=0, "Missing", "Y"))</f>
        <v/>
      </c>
      <c r="V54" s="10">
        <f t="shared" si="1"/>
        <v>0</v>
      </c>
    </row>
    <row r="55" spans="1:22" x14ac:dyDescent="0.25">
      <c r="A55" s="21" t="s">
        <v>138</v>
      </c>
      <c r="B55" s="22" t="s">
        <v>70</v>
      </c>
      <c r="C55" s="23">
        <v>1.3</v>
      </c>
      <c r="D55" s="24" t="str">
        <f>IFERROR(VLOOKUP(Table1[[#This Row],[Amino Acid Change]],$S$7:$T$1000,2,0),"0.00")</f>
        <v>0.00</v>
      </c>
      <c r="E5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5" s="23">
        <v>115256529</v>
      </c>
      <c r="G55" s="12"/>
      <c r="H55" s="12"/>
      <c r="I55" s="2">
        <f>'Raw Data Cut 1.3'!A51</f>
        <v>0</v>
      </c>
      <c r="J55" s="2">
        <f>'Raw Data Cut 1.3'!B51</f>
        <v>0</v>
      </c>
      <c r="K55" s="2">
        <f>'Raw Data Cut 1.3'!C51</f>
        <v>0</v>
      </c>
      <c r="L55" s="2">
        <f>'Raw Data Cut 1.3'!D51</f>
        <v>0</v>
      </c>
      <c r="M55" s="2">
        <f>'Raw Data Cut 1.3'!E51</f>
        <v>0</v>
      </c>
      <c r="N55" s="2">
        <f>'Raw Data Cut 1.3'!G51</f>
        <v>0</v>
      </c>
      <c r="O55" s="2">
        <f>'Raw Data Cut 1.3'!H51</f>
        <v>0</v>
      </c>
      <c r="P55" s="2">
        <f>'Raw Data Cut 1.3'!I51</f>
        <v>0</v>
      </c>
      <c r="Q55" s="2">
        <f>'Raw Data Cut 1.3'!J51</f>
        <v>0</v>
      </c>
      <c r="R55" s="2">
        <f>'Raw Data Cut 1.3'!K51</f>
        <v>0</v>
      </c>
      <c r="S55" s="2">
        <f>'Raw Data Cut 1.3'!N51</f>
        <v>0</v>
      </c>
      <c r="T55" s="2">
        <f t="shared" si="0"/>
        <v>0</v>
      </c>
      <c r="U55" s="10" t="str">
        <f>IF($S55=0, "", IF(COUNTIF(Table1[Amino Acid Change], $S55)=0, "Missing", "Y"))</f>
        <v/>
      </c>
      <c r="V55" s="10">
        <f t="shared" si="1"/>
        <v>0</v>
      </c>
    </row>
    <row r="56" spans="1:22" x14ac:dyDescent="0.25">
      <c r="A56" s="21" t="s">
        <v>139</v>
      </c>
      <c r="B56" s="22" t="s">
        <v>71</v>
      </c>
      <c r="C56" s="23">
        <v>1.3</v>
      </c>
      <c r="D56" s="24" t="str">
        <f>IFERROR(VLOOKUP(Table1[[#This Row],[Amino Acid Change]],$S$7:$T$1000,2,0),"0.00")</f>
        <v>0.00</v>
      </c>
      <c r="E5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6" s="23">
        <v>115256529</v>
      </c>
      <c r="G56" s="12"/>
      <c r="H56" s="12"/>
      <c r="I56" s="2">
        <f>'Raw Data Cut 1.3'!A52</f>
        <v>0</v>
      </c>
      <c r="J56" s="2">
        <f>'Raw Data Cut 1.3'!B52</f>
        <v>0</v>
      </c>
      <c r="K56" s="2">
        <f>'Raw Data Cut 1.3'!C52</f>
        <v>0</v>
      </c>
      <c r="L56" s="2">
        <f>'Raw Data Cut 1.3'!D52</f>
        <v>0</v>
      </c>
      <c r="M56" s="2">
        <f>'Raw Data Cut 1.3'!E52</f>
        <v>0</v>
      </c>
      <c r="N56" s="2">
        <f>'Raw Data Cut 1.3'!G52</f>
        <v>0</v>
      </c>
      <c r="O56" s="2">
        <f>'Raw Data Cut 1.3'!H52</f>
        <v>0</v>
      </c>
      <c r="P56" s="2">
        <f>'Raw Data Cut 1.3'!I52</f>
        <v>0</v>
      </c>
      <c r="Q56" s="2">
        <f>'Raw Data Cut 1.3'!J52</f>
        <v>0</v>
      </c>
      <c r="R56" s="2">
        <f>'Raw Data Cut 1.3'!K52</f>
        <v>0</v>
      </c>
      <c r="S56" s="2">
        <f>'Raw Data Cut 1.3'!N52</f>
        <v>0</v>
      </c>
      <c r="T56" s="2">
        <f t="shared" si="0"/>
        <v>0</v>
      </c>
      <c r="U56" s="10" t="str">
        <f>IF($S56=0, "", IF(COUNTIF(Table1[Amino Acid Change], $S56)=0, "Missing", "Y"))</f>
        <v/>
      </c>
      <c r="V56" s="10">
        <f t="shared" si="1"/>
        <v>0</v>
      </c>
    </row>
    <row r="57" spans="1:22" x14ac:dyDescent="0.25">
      <c r="A57" s="21" t="s">
        <v>140</v>
      </c>
      <c r="B57" s="22" t="s">
        <v>72</v>
      </c>
      <c r="C57" s="23">
        <v>1.3</v>
      </c>
      <c r="D57" s="24" t="str">
        <f>IFERROR(VLOOKUP(Table1[[#This Row],[Amino Acid Change]],$S$7:$T$1000,2,0),"0.00")</f>
        <v>0.00</v>
      </c>
      <c r="E5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7" s="23">
        <v>115256530</v>
      </c>
      <c r="G57" s="12"/>
      <c r="H57" s="12"/>
      <c r="I57" s="2">
        <f>'Raw Data Cut 1.3'!A53</f>
        <v>0</v>
      </c>
      <c r="J57" s="2">
        <f>'Raw Data Cut 1.3'!B53</f>
        <v>0</v>
      </c>
      <c r="K57" s="2">
        <f>'Raw Data Cut 1.3'!C53</f>
        <v>0</v>
      </c>
      <c r="L57" s="2">
        <f>'Raw Data Cut 1.3'!D53</f>
        <v>0</v>
      </c>
      <c r="M57" s="2">
        <f>'Raw Data Cut 1.3'!E53</f>
        <v>0</v>
      </c>
      <c r="N57" s="2">
        <f>'Raw Data Cut 1.3'!G53</f>
        <v>0</v>
      </c>
      <c r="O57" s="2">
        <f>'Raw Data Cut 1.3'!H53</f>
        <v>0</v>
      </c>
      <c r="P57" s="2">
        <f>'Raw Data Cut 1.3'!I53</f>
        <v>0</v>
      </c>
      <c r="Q57" s="2">
        <f>'Raw Data Cut 1.3'!J53</f>
        <v>0</v>
      </c>
      <c r="R57" s="2">
        <f>'Raw Data Cut 1.3'!K53</f>
        <v>0</v>
      </c>
      <c r="S57" s="2">
        <f>'Raw Data Cut 1.3'!N53</f>
        <v>0</v>
      </c>
      <c r="T57" s="2">
        <f t="shared" si="0"/>
        <v>0</v>
      </c>
      <c r="U57" s="10" t="str">
        <f>IF($S57=0, "", IF(COUNTIF(Table1[Amino Acid Change], $S57)=0, "Missing", "Y"))</f>
        <v/>
      </c>
      <c r="V57" s="10">
        <f t="shared" si="1"/>
        <v>0</v>
      </c>
    </row>
    <row r="58" spans="1:22" x14ac:dyDescent="0.25">
      <c r="A58" s="21" t="s">
        <v>141</v>
      </c>
      <c r="B58" s="22" t="s">
        <v>73</v>
      </c>
      <c r="C58" s="23">
        <v>1.3</v>
      </c>
      <c r="D58" s="24" t="str">
        <f>IFERROR(VLOOKUP(Table1[[#This Row],[Amino Acid Change]],$S$7:$T$1000,2,0),"0.00")</f>
        <v>0.00</v>
      </c>
      <c r="E5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8" s="23">
        <v>178936082</v>
      </c>
      <c r="G58" s="12"/>
      <c r="H58" s="12"/>
      <c r="I58" s="2">
        <f>'Raw Data Cut 1.3'!A54</f>
        <v>0</v>
      </c>
      <c r="J58" s="2">
        <f>'Raw Data Cut 1.3'!B54</f>
        <v>0</v>
      </c>
      <c r="K58" s="2">
        <f>'Raw Data Cut 1.3'!C54</f>
        <v>0</v>
      </c>
      <c r="L58" s="2">
        <f>'Raw Data Cut 1.3'!D54</f>
        <v>0</v>
      </c>
      <c r="M58" s="2">
        <f>'Raw Data Cut 1.3'!E54</f>
        <v>0</v>
      </c>
      <c r="N58" s="2">
        <f>'Raw Data Cut 1.3'!G54</f>
        <v>0</v>
      </c>
      <c r="O58" s="2">
        <f>'Raw Data Cut 1.3'!H54</f>
        <v>0</v>
      </c>
      <c r="P58" s="2">
        <f>'Raw Data Cut 1.3'!I54</f>
        <v>0</v>
      </c>
      <c r="Q58" s="2">
        <f>'Raw Data Cut 1.3'!J54</f>
        <v>0</v>
      </c>
      <c r="R58" s="2">
        <f>'Raw Data Cut 1.3'!K54</f>
        <v>0</v>
      </c>
      <c r="S58" s="2">
        <f>'Raw Data Cut 1.3'!N54</f>
        <v>0</v>
      </c>
      <c r="T58" s="2">
        <f t="shared" si="0"/>
        <v>0</v>
      </c>
      <c r="U58" s="10" t="str">
        <f>IF($S58=0, "", IF(COUNTIF(Table1[Amino Acid Change], $S58)=0, "Missing", "Y"))</f>
        <v/>
      </c>
      <c r="V58" s="10">
        <f t="shared" si="1"/>
        <v>0</v>
      </c>
    </row>
    <row r="59" spans="1:22" x14ac:dyDescent="0.25">
      <c r="A59" s="21" t="s">
        <v>142</v>
      </c>
      <c r="B59" s="22" t="s">
        <v>74</v>
      </c>
      <c r="C59" s="23">
        <v>1.3</v>
      </c>
      <c r="D59" s="24" t="str">
        <f>IFERROR(VLOOKUP(Table1[[#This Row],[Amino Acid Change]],$S$7:$T$1000,2,0),"0.00")</f>
        <v>0.00</v>
      </c>
      <c r="E5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9" s="23">
        <v>178936091</v>
      </c>
      <c r="G59" s="12"/>
      <c r="H59" s="12"/>
      <c r="I59" s="2">
        <f>'Raw Data Cut 1.3'!A55</f>
        <v>0</v>
      </c>
      <c r="J59" s="2">
        <f>'Raw Data Cut 1.3'!B55</f>
        <v>0</v>
      </c>
      <c r="K59" s="2">
        <f>'Raw Data Cut 1.3'!C55</f>
        <v>0</v>
      </c>
      <c r="L59" s="2">
        <f>'Raw Data Cut 1.3'!D55</f>
        <v>0</v>
      </c>
      <c r="M59" s="2">
        <f>'Raw Data Cut 1.3'!E55</f>
        <v>0</v>
      </c>
      <c r="N59" s="2">
        <f>'Raw Data Cut 1.3'!G55</f>
        <v>0</v>
      </c>
      <c r="O59" s="2">
        <f>'Raw Data Cut 1.3'!H55</f>
        <v>0</v>
      </c>
      <c r="P59" s="2">
        <f>'Raw Data Cut 1.3'!I55</f>
        <v>0</v>
      </c>
      <c r="Q59" s="2">
        <f>'Raw Data Cut 1.3'!J55</f>
        <v>0</v>
      </c>
      <c r="R59" s="2">
        <f>'Raw Data Cut 1.3'!K55</f>
        <v>0</v>
      </c>
      <c r="S59" s="2">
        <f>'Raw Data Cut 1.3'!N55</f>
        <v>0</v>
      </c>
      <c r="T59" s="2">
        <f t="shared" si="0"/>
        <v>0</v>
      </c>
      <c r="U59" s="10" t="str">
        <f>IF($S59=0, "", IF(COUNTIF(Table1[Amino Acid Change], $S59)=0, "Missing", "Y"))</f>
        <v/>
      </c>
      <c r="V59" s="10">
        <f t="shared" si="1"/>
        <v>0</v>
      </c>
    </row>
    <row r="60" spans="1:22" x14ac:dyDescent="0.25">
      <c r="A60" s="21" t="s">
        <v>143</v>
      </c>
      <c r="B60" s="22" t="s">
        <v>75</v>
      </c>
      <c r="C60" s="23">
        <v>20</v>
      </c>
      <c r="D60" s="24" t="str">
        <f>IFERROR(VLOOKUP(Table1[[#This Row],[Amino Acid Change]],$S$7:$T$1000,2,0),"0.00")</f>
        <v>0.00</v>
      </c>
      <c r="E6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60" s="23">
        <v>178947865</v>
      </c>
      <c r="G60" s="12"/>
      <c r="H60" s="12"/>
      <c r="I60" s="2">
        <f>'Raw Data Cut 1.3'!A56</f>
        <v>0</v>
      </c>
      <c r="J60" s="2">
        <f>'Raw Data Cut 1.3'!B56</f>
        <v>0</v>
      </c>
      <c r="K60" s="2">
        <f>'Raw Data Cut 1.3'!C56</f>
        <v>0</v>
      </c>
      <c r="L60" s="2">
        <f>'Raw Data Cut 1.3'!D56</f>
        <v>0</v>
      </c>
      <c r="M60" s="2">
        <f>'Raw Data Cut 1.3'!E56</f>
        <v>0</v>
      </c>
      <c r="N60" s="2">
        <f>'Raw Data Cut 1.3'!G56</f>
        <v>0</v>
      </c>
      <c r="O60" s="2">
        <f>'Raw Data Cut 1.3'!H56</f>
        <v>0</v>
      </c>
      <c r="P60" s="2">
        <f>'Raw Data Cut 1.3'!I56</f>
        <v>0</v>
      </c>
      <c r="Q60" s="2">
        <f>'Raw Data Cut 1.3'!J56</f>
        <v>0</v>
      </c>
      <c r="R60" s="2">
        <f>'Raw Data Cut 1.3'!K56</f>
        <v>0</v>
      </c>
      <c r="S60" s="2">
        <f>'Raw Data Cut 1.3'!N56</f>
        <v>0</v>
      </c>
      <c r="T60" s="2">
        <f t="shared" si="0"/>
        <v>0</v>
      </c>
      <c r="U60" s="10" t="str">
        <f>IF($S60=0, "", IF(COUNTIF(Table1[Amino Acid Change], $S60)=0, "Missing", "Y"))</f>
        <v/>
      </c>
      <c r="V60" s="10">
        <f t="shared" si="1"/>
        <v>0</v>
      </c>
    </row>
    <row r="61" spans="1:22" x14ac:dyDescent="0.25">
      <c r="A61" s="25" t="s">
        <v>144</v>
      </c>
      <c r="B61" s="22" t="s">
        <v>76</v>
      </c>
      <c r="C61" s="23">
        <v>30</v>
      </c>
      <c r="D61" s="24" t="str">
        <f>IFERROR(VLOOKUP(Table1[[#This Row],[Amino Acid Change]],$S$7:$T$1000,2,0),"0.00")</f>
        <v>0.00</v>
      </c>
      <c r="E6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61" s="23">
        <v>178952085</v>
      </c>
      <c r="G61" s="12"/>
      <c r="H61" s="12"/>
      <c r="I61" s="2">
        <f>'Raw Data Cut 1.3'!A57</f>
        <v>0</v>
      </c>
      <c r="J61" s="2">
        <f>'Raw Data Cut 1.3'!B57</f>
        <v>0</v>
      </c>
      <c r="K61" s="2">
        <f>'Raw Data Cut 1.3'!C57</f>
        <v>0</v>
      </c>
      <c r="L61" s="2">
        <f>'Raw Data Cut 1.3'!D57</f>
        <v>0</v>
      </c>
      <c r="M61" s="2">
        <f>'Raw Data Cut 1.3'!E57</f>
        <v>0</v>
      </c>
      <c r="N61" s="2">
        <f>'Raw Data Cut 1.3'!G57</f>
        <v>0</v>
      </c>
      <c r="O61" s="2">
        <f>'Raw Data Cut 1.3'!H57</f>
        <v>0</v>
      </c>
      <c r="P61" s="2">
        <f>'Raw Data Cut 1.3'!I57</f>
        <v>0</v>
      </c>
      <c r="Q61" s="2">
        <f>'Raw Data Cut 1.3'!J57</f>
        <v>0</v>
      </c>
      <c r="R61" s="2">
        <f>'Raw Data Cut 1.3'!K57</f>
        <v>0</v>
      </c>
      <c r="S61" s="2">
        <f>'Raw Data Cut 1.3'!N57</f>
        <v>0</v>
      </c>
      <c r="T61" s="2">
        <f t="shared" si="0"/>
        <v>0</v>
      </c>
      <c r="U61" s="10" t="str">
        <f>IF($S61=0, "", IF(COUNTIF(Table1[Amino Acid Change], $S61)=0, "Missing", "Y"))</f>
        <v/>
      </c>
      <c r="V61" s="10">
        <f t="shared" si="1"/>
        <v>0</v>
      </c>
    </row>
    <row r="62" spans="1:22" x14ac:dyDescent="0.25">
      <c r="E62" s="29" t="str">
        <f>TEXT(COUNTIF(E7:E61,"Pass"),0)&amp;" of 55 passed"</f>
        <v>0 of 55 passed</v>
      </c>
      <c r="I62" s="2">
        <f>'Raw Data Cut 1.3'!A57</f>
        <v>0</v>
      </c>
      <c r="J62" s="2">
        <f>'Raw Data Cut 1.3'!B57</f>
        <v>0</v>
      </c>
      <c r="K62" s="2">
        <f>'Raw Data Cut 1.3'!C57</f>
        <v>0</v>
      </c>
      <c r="L62" s="2">
        <f>'Raw Data Cut 1.3'!D57</f>
        <v>0</v>
      </c>
      <c r="M62" s="2">
        <f>'Raw Data Cut 1.3'!E57</f>
        <v>0</v>
      </c>
      <c r="N62" s="2">
        <f>'Raw Data Cut 1.3'!G57</f>
        <v>0</v>
      </c>
      <c r="O62" s="2">
        <f>'Raw Data Cut 1.3'!H57</f>
        <v>0</v>
      </c>
      <c r="P62" s="2">
        <f>'Raw Data Cut 1.3'!I57</f>
        <v>0</v>
      </c>
      <c r="Q62" s="2">
        <f>'Raw Data Cut 1.3'!J57</f>
        <v>0</v>
      </c>
      <c r="R62" s="2">
        <f>'Raw Data Cut 1.3'!K57</f>
        <v>0</v>
      </c>
      <c r="S62" s="2">
        <f>'Raw Data Cut 1.3'!N57</f>
        <v>0</v>
      </c>
      <c r="T62" s="2">
        <f t="shared" ref="T62:T125" si="2">P62</f>
        <v>0</v>
      </c>
      <c r="U62" s="10" t="str">
        <f>IF($S62=0, "", IF(COUNTIF(Table1[Amino Acid Change], $S62)=0, "Missing", "Y"))</f>
        <v/>
      </c>
      <c r="V62" s="10">
        <f t="shared" si="1"/>
        <v>0</v>
      </c>
    </row>
    <row r="63" spans="1:22" x14ac:dyDescent="0.25">
      <c r="E63" s="30"/>
      <c r="I63" s="2">
        <f>'Raw Data Cut 1.3'!A58</f>
        <v>0</v>
      </c>
      <c r="J63" s="2">
        <f>'Raw Data Cut 1.3'!B58</f>
        <v>0</v>
      </c>
      <c r="K63" s="2">
        <f>'Raw Data Cut 1.3'!C58</f>
        <v>0</v>
      </c>
      <c r="L63" s="2">
        <f>'Raw Data Cut 1.3'!D58</f>
        <v>0</v>
      </c>
      <c r="M63" s="2">
        <f>'Raw Data Cut 1.3'!E58</f>
        <v>0</v>
      </c>
      <c r="N63" s="2">
        <f>'Raw Data Cut 1.3'!G58</f>
        <v>0</v>
      </c>
      <c r="O63" s="2">
        <f>'Raw Data Cut 1.3'!H58</f>
        <v>0</v>
      </c>
      <c r="P63" s="2">
        <f>'Raw Data Cut 1.3'!I58</f>
        <v>0</v>
      </c>
      <c r="Q63" s="2">
        <f>'Raw Data Cut 1.3'!J58</f>
        <v>0</v>
      </c>
      <c r="R63" s="2">
        <f>'Raw Data Cut 1.3'!K58</f>
        <v>0</v>
      </c>
      <c r="S63" s="2">
        <f>'Raw Data Cut 1.3'!N58</f>
        <v>0</v>
      </c>
      <c r="T63" s="2">
        <f t="shared" si="2"/>
        <v>0</v>
      </c>
      <c r="U63" s="10" t="str">
        <f>IF($S63=0, "", IF(COUNTIF(Table1[Amino Acid Change], $S63)=0, "Missing", "Y"))</f>
        <v/>
      </c>
      <c r="V63" s="10">
        <f t="shared" ref="V63:V126" si="3">J63</f>
        <v>0</v>
      </c>
    </row>
    <row r="64" spans="1:22" x14ac:dyDescent="0.25">
      <c r="E64" s="31"/>
      <c r="I64" s="2">
        <f>'Raw Data Cut 1.3'!A59</f>
        <v>0</v>
      </c>
      <c r="J64" s="2">
        <f>'Raw Data Cut 1.3'!B59</f>
        <v>0</v>
      </c>
      <c r="K64" s="2">
        <f>'Raw Data Cut 1.3'!C59</f>
        <v>0</v>
      </c>
      <c r="L64" s="2">
        <f>'Raw Data Cut 1.3'!D59</f>
        <v>0</v>
      </c>
      <c r="M64" s="2">
        <f>'Raw Data Cut 1.3'!E59</f>
        <v>0</v>
      </c>
      <c r="N64" s="2">
        <f>'Raw Data Cut 1.3'!G59</f>
        <v>0</v>
      </c>
      <c r="O64" s="2">
        <f>'Raw Data Cut 1.3'!H59</f>
        <v>0</v>
      </c>
      <c r="P64" s="2">
        <f>'Raw Data Cut 1.3'!I59</f>
        <v>0</v>
      </c>
      <c r="Q64" s="2">
        <f>'Raw Data Cut 1.3'!J59</f>
        <v>0</v>
      </c>
      <c r="R64" s="2">
        <f>'Raw Data Cut 1.3'!K59</f>
        <v>0</v>
      </c>
      <c r="S64" s="2">
        <f>'Raw Data Cut 1.3'!N59</f>
        <v>0</v>
      </c>
      <c r="T64" s="2">
        <f t="shared" si="2"/>
        <v>0</v>
      </c>
      <c r="U64" s="10" t="str">
        <f>IF($S64=0, "", IF(COUNTIF(Table1[Amino Acid Change], $S64)=0, "Missing", "Y"))</f>
        <v/>
      </c>
      <c r="V64" s="10">
        <f t="shared" si="3"/>
        <v>0</v>
      </c>
    </row>
    <row r="65" spans="9:22" x14ac:dyDescent="0.25">
      <c r="I65" s="2">
        <f>'Raw Data Cut 1.3'!A60</f>
        <v>0</v>
      </c>
      <c r="J65" s="2">
        <f>'Raw Data Cut 1.3'!B60</f>
        <v>0</v>
      </c>
      <c r="K65" s="2">
        <f>'Raw Data Cut 1.3'!C60</f>
        <v>0</v>
      </c>
      <c r="L65" s="2">
        <f>'Raw Data Cut 1.3'!D60</f>
        <v>0</v>
      </c>
      <c r="M65" s="2">
        <f>'Raw Data Cut 1.3'!E60</f>
        <v>0</v>
      </c>
      <c r="N65" s="2">
        <f>'Raw Data Cut 1.3'!G60</f>
        <v>0</v>
      </c>
      <c r="O65" s="2">
        <f>'Raw Data Cut 1.3'!H60</f>
        <v>0</v>
      </c>
      <c r="P65" s="2">
        <f>'Raw Data Cut 1.3'!I60</f>
        <v>0</v>
      </c>
      <c r="Q65" s="2">
        <f>'Raw Data Cut 1.3'!J60</f>
        <v>0</v>
      </c>
      <c r="R65" s="2">
        <f>'Raw Data Cut 1.3'!K60</f>
        <v>0</v>
      </c>
      <c r="S65" s="2">
        <f>'Raw Data Cut 1.3'!N60</f>
        <v>0</v>
      </c>
      <c r="T65" s="2">
        <f t="shared" si="2"/>
        <v>0</v>
      </c>
      <c r="U65" s="10" t="str">
        <f>IF($S65=0, "", IF(COUNTIF(Table1[Amino Acid Change], $S65)=0, "Missing", "Y"))</f>
        <v/>
      </c>
      <c r="V65" s="10">
        <f t="shared" si="3"/>
        <v>0</v>
      </c>
    </row>
    <row r="66" spans="9:22" x14ac:dyDescent="0.25">
      <c r="I66" s="2">
        <f>'Raw Data Cut 1.3'!A61</f>
        <v>0</v>
      </c>
      <c r="J66" s="2">
        <f>'Raw Data Cut 1.3'!B61</f>
        <v>0</v>
      </c>
      <c r="K66" s="2">
        <f>'Raw Data Cut 1.3'!C61</f>
        <v>0</v>
      </c>
      <c r="L66" s="2">
        <f>'Raw Data Cut 1.3'!D61</f>
        <v>0</v>
      </c>
      <c r="M66" s="2">
        <f>'Raw Data Cut 1.3'!E61</f>
        <v>0</v>
      </c>
      <c r="N66" s="2">
        <f>'Raw Data Cut 1.3'!G61</f>
        <v>0</v>
      </c>
      <c r="O66" s="2">
        <f>'Raw Data Cut 1.3'!H61</f>
        <v>0</v>
      </c>
      <c r="P66" s="2">
        <f>'Raw Data Cut 1.3'!I61</f>
        <v>0</v>
      </c>
      <c r="Q66" s="2">
        <f>'Raw Data Cut 1.3'!J61</f>
        <v>0</v>
      </c>
      <c r="R66" s="2">
        <f>'Raw Data Cut 1.3'!K61</f>
        <v>0</v>
      </c>
      <c r="S66" s="2">
        <f>'Raw Data Cut 1.3'!N61</f>
        <v>0</v>
      </c>
      <c r="T66" s="2">
        <f t="shared" si="2"/>
        <v>0</v>
      </c>
      <c r="U66" s="10" t="str">
        <f>IF($S66=0, "", IF(COUNTIF(Table1[Amino Acid Change], $S66)=0, "Missing", "Y"))</f>
        <v/>
      </c>
      <c r="V66" s="10">
        <f t="shared" si="3"/>
        <v>0</v>
      </c>
    </row>
    <row r="67" spans="9:22" x14ac:dyDescent="0.25">
      <c r="I67" s="2">
        <f>'Raw Data Cut 1.3'!A62</f>
        <v>0</v>
      </c>
      <c r="J67" s="2">
        <f>'Raw Data Cut 1.3'!B62</f>
        <v>0</v>
      </c>
      <c r="K67" s="2">
        <f>'Raw Data Cut 1.3'!C62</f>
        <v>0</v>
      </c>
      <c r="L67" s="2">
        <f>'Raw Data Cut 1.3'!D62</f>
        <v>0</v>
      </c>
      <c r="M67" s="2">
        <f>'Raw Data Cut 1.3'!E62</f>
        <v>0</v>
      </c>
      <c r="N67" s="2">
        <f>'Raw Data Cut 1.3'!G62</f>
        <v>0</v>
      </c>
      <c r="O67" s="2">
        <f>'Raw Data Cut 1.3'!H62</f>
        <v>0</v>
      </c>
      <c r="P67" s="2">
        <f>'Raw Data Cut 1.3'!I62</f>
        <v>0</v>
      </c>
      <c r="Q67" s="2">
        <f>'Raw Data Cut 1.3'!J62</f>
        <v>0</v>
      </c>
      <c r="R67" s="2">
        <f>'Raw Data Cut 1.3'!K62</f>
        <v>0</v>
      </c>
      <c r="S67" s="2">
        <f>'Raw Data Cut 1.3'!N62</f>
        <v>0</v>
      </c>
      <c r="T67" s="2">
        <f t="shared" si="2"/>
        <v>0</v>
      </c>
      <c r="U67" s="10" t="str">
        <f>IF($S67=0, "", IF(COUNTIF(Table1[Amino Acid Change], $S67)=0, "Missing", "Y"))</f>
        <v/>
      </c>
      <c r="V67" s="10">
        <f t="shared" si="3"/>
        <v>0</v>
      </c>
    </row>
    <row r="68" spans="9:22" x14ac:dyDescent="0.25">
      <c r="I68" s="2">
        <f>'Raw Data Cut 1.3'!A63</f>
        <v>0</v>
      </c>
      <c r="J68" s="2">
        <f>'Raw Data Cut 1.3'!B63</f>
        <v>0</v>
      </c>
      <c r="K68" s="2">
        <f>'Raw Data Cut 1.3'!C63</f>
        <v>0</v>
      </c>
      <c r="L68" s="2">
        <f>'Raw Data Cut 1.3'!D63</f>
        <v>0</v>
      </c>
      <c r="M68" s="2">
        <f>'Raw Data Cut 1.3'!E63</f>
        <v>0</v>
      </c>
      <c r="N68" s="2">
        <f>'Raw Data Cut 1.3'!G63</f>
        <v>0</v>
      </c>
      <c r="O68" s="2">
        <f>'Raw Data Cut 1.3'!H63</f>
        <v>0</v>
      </c>
      <c r="P68" s="2">
        <f>'Raw Data Cut 1.3'!I63</f>
        <v>0</v>
      </c>
      <c r="Q68" s="2">
        <f>'Raw Data Cut 1.3'!J63</f>
        <v>0</v>
      </c>
      <c r="R68" s="2">
        <f>'Raw Data Cut 1.3'!K63</f>
        <v>0</v>
      </c>
      <c r="S68" s="2">
        <f>'Raw Data Cut 1.3'!N63</f>
        <v>0</v>
      </c>
      <c r="T68" s="2">
        <f t="shared" si="2"/>
        <v>0</v>
      </c>
      <c r="U68" s="10" t="str">
        <f>IF($S68=0, "", IF(COUNTIF(Table1[Amino Acid Change], $S68)=0, "Missing", "Y"))</f>
        <v/>
      </c>
      <c r="V68" s="10">
        <f t="shared" si="3"/>
        <v>0</v>
      </c>
    </row>
    <row r="69" spans="9:22" x14ac:dyDescent="0.25">
      <c r="I69" s="2">
        <f>'Raw Data Cut 1.3'!A64</f>
        <v>0</v>
      </c>
      <c r="J69" s="2">
        <f>'Raw Data Cut 1.3'!B64</f>
        <v>0</v>
      </c>
      <c r="K69" s="2">
        <f>'Raw Data Cut 1.3'!C64</f>
        <v>0</v>
      </c>
      <c r="L69" s="2">
        <f>'Raw Data Cut 1.3'!D64</f>
        <v>0</v>
      </c>
      <c r="M69" s="2">
        <f>'Raw Data Cut 1.3'!E64</f>
        <v>0</v>
      </c>
      <c r="N69" s="2">
        <f>'Raw Data Cut 1.3'!G64</f>
        <v>0</v>
      </c>
      <c r="O69" s="2">
        <f>'Raw Data Cut 1.3'!H64</f>
        <v>0</v>
      </c>
      <c r="P69" s="2">
        <f>'Raw Data Cut 1.3'!I64</f>
        <v>0</v>
      </c>
      <c r="Q69" s="2">
        <f>'Raw Data Cut 1.3'!J64</f>
        <v>0</v>
      </c>
      <c r="R69" s="2">
        <f>'Raw Data Cut 1.3'!K64</f>
        <v>0</v>
      </c>
      <c r="S69" s="2">
        <f>'Raw Data Cut 1.3'!N64</f>
        <v>0</v>
      </c>
      <c r="T69" s="2">
        <f t="shared" si="2"/>
        <v>0</v>
      </c>
      <c r="U69" s="10" t="str">
        <f>IF($S69=0, "", IF(COUNTIF(Table1[Amino Acid Change], $S69)=0, "Missing", "Y"))</f>
        <v/>
      </c>
      <c r="V69" s="10">
        <f t="shared" si="3"/>
        <v>0</v>
      </c>
    </row>
    <row r="70" spans="9:22" x14ac:dyDescent="0.25">
      <c r="I70" s="2">
        <f>'Raw Data Cut 1.3'!A65</f>
        <v>0</v>
      </c>
      <c r="J70" s="2">
        <f>'Raw Data Cut 1.3'!B65</f>
        <v>0</v>
      </c>
      <c r="K70" s="2">
        <f>'Raw Data Cut 1.3'!C65</f>
        <v>0</v>
      </c>
      <c r="L70" s="2">
        <f>'Raw Data Cut 1.3'!D65</f>
        <v>0</v>
      </c>
      <c r="M70" s="2">
        <f>'Raw Data Cut 1.3'!E65</f>
        <v>0</v>
      </c>
      <c r="N70" s="2">
        <f>'Raw Data Cut 1.3'!G65</f>
        <v>0</v>
      </c>
      <c r="O70" s="2">
        <f>'Raw Data Cut 1.3'!H65</f>
        <v>0</v>
      </c>
      <c r="P70" s="2">
        <f>'Raw Data Cut 1.3'!I65</f>
        <v>0</v>
      </c>
      <c r="Q70" s="2">
        <f>'Raw Data Cut 1.3'!J65</f>
        <v>0</v>
      </c>
      <c r="R70" s="2">
        <f>'Raw Data Cut 1.3'!K65</f>
        <v>0</v>
      </c>
      <c r="S70" s="2">
        <f>'Raw Data Cut 1.3'!N65</f>
        <v>0</v>
      </c>
      <c r="T70" s="2">
        <f t="shared" si="2"/>
        <v>0</v>
      </c>
      <c r="U70" s="10" t="str">
        <f>IF($S70=0, "", IF(COUNTIF(Table1[Amino Acid Change], $S70)=0, "Missing", "Y"))</f>
        <v/>
      </c>
      <c r="V70" s="10">
        <f t="shared" si="3"/>
        <v>0</v>
      </c>
    </row>
    <row r="71" spans="9:22" x14ac:dyDescent="0.25">
      <c r="I71" s="2">
        <f>'Raw Data Cut 1.3'!A66</f>
        <v>0</v>
      </c>
      <c r="J71" s="2">
        <f>'Raw Data Cut 1.3'!B66</f>
        <v>0</v>
      </c>
      <c r="K71" s="2">
        <f>'Raw Data Cut 1.3'!C66</f>
        <v>0</v>
      </c>
      <c r="L71" s="2">
        <f>'Raw Data Cut 1.3'!D66</f>
        <v>0</v>
      </c>
      <c r="M71" s="2">
        <f>'Raw Data Cut 1.3'!E66</f>
        <v>0</v>
      </c>
      <c r="N71" s="2">
        <f>'Raw Data Cut 1.3'!G66</f>
        <v>0</v>
      </c>
      <c r="O71" s="2">
        <f>'Raw Data Cut 1.3'!H66</f>
        <v>0</v>
      </c>
      <c r="P71" s="2">
        <f>'Raw Data Cut 1.3'!I66</f>
        <v>0</v>
      </c>
      <c r="Q71" s="2">
        <f>'Raw Data Cut 1.3'!J66</f>
        <v>0</v>
      </c>
      <c r="R71" s="2">
        <f>'Raw Data Cut 1.3'!K66</f>
        <v>0</v>
      </c>
      <c r="S71" s="2">
        <f>'Raw Data Cut 1.3'!N66</f>
        <v>0</v>
      </c>
      <c r="T71" s="2">
        <f t="shared" si="2"/>
        <v>0</v>
      </c>
      <c r="U71" s="10" t="str">
        <f>IF($S71=0, "", IF(COUNTIF(Table1[Amino Acid Change], $S71)=0, "Missing", "Y"))</f>
        <v/>
      </c>
      <c r="V71" s="10">
        <f t="shared" si="3"/>
        <v>0</v>
      </c>
    </row>
    <row r="72" spans="9:22" x14ac:dyDescent="0.25">
      <c r="I72" s="2">
        <f>'Raw Data Cut 1.3'!A67</f>
        <v>0</v>
      </c>
      <c r="J72" s="2">
        <f>'Raw Data Cut 1.3'!B67</f>
        <v>0</v>
      </c>
      <c r="K72" s="2">
        <f>'Raw Data Cut 1.3'!C67</f>
        <v>0</v>
      </c>
      <c r="L72" s="2">
        <f>'Raw Data Cut 1.3'!D67</f>
        <v>0</v>
      </c>
      <c r="M72" s="2">
        <f>'Raw Data Cut 1.3'!E67</f>
        <v>0</v>
      </c>
      <c r="N72" s="2">
        <f>'Raw Data Cut 1.3'!G67</f>
        <v>0</v>
      </c>
      <c r="O72" s="2">
        <f>'Raw Data Cut 1.3'!H67</f>
        <v>0</v>
      </c>
      <c r="P72" s="2">
        <f>'Raw Data Cut 1.3'!I67</f>
        <v>0</v>
      </c>
      <c r="Q72" s="2">
        <f>'Raw Data Cut 1.3'!J67</f>
        <v>0</v>
      </c>
      <c r="R72" s="2">
        <f>'Raw Data Cut 1.3'!K67</f>
        <v>0</v>
      </c>
      <c r="S72" s="2">
        <f>'Raw Data Cut 1.3'!N67</f>
        <v>0</v>
      </c>
      <c r="T72" s="2">
        <f t="shared" si="2"/>
        <v>0</v>
      </c>
      <c r="U72" s="10" t="str">
        <f>IF($S72=0, "", IF(COUNTIF(Table1[Amino Acid Change], $S72)=0, "Missing", "Y"))</f>
        <v/>
      </c>
      <c r="V72" s="10">
        <f t="shared" si="3"/>
        <v>0</v>
      </c>
    </row>
    <row r="73" spans="9:22" x14ac:dyDescent="0.25">
      <c r="I73" s="2">
        <f>'Raw Data Cut 1.3'!A68</f>
        <v>0</v>
      </c>
      <c r="J73" s="2">
        <f>'Raw Data Cut 1.3'!B68</f>
        <v>0</v>
      </c>
      <c r="K73" s="2">
        <f>'Raw Data Cut 1.3'!C68</f>
        <v>0</v>
      </c>
      <c r="L73" s="2">
        <f>'Raw Data Cut 1.3'!D68</f>
        <v>0</v>
      </c>
      <c r="M73" s="2">
        <f>'Raw Data Cut 1.3'!E68</f>
        <v>0</v>
      </c>
      <c r="N73" s="2">
        <f>'Raw Data Cut 1.3'!G68</f>
        <v>0</v>
      </c>
      <c r="O73" s="2">
        <f>'Raw Data Cut 1.3'!H68</f>
        <v>0</v>
      </c>
      <c r="P73" s="2">
        <f>'Raw Data Cut 1.3'!I68</f>
        <v>0</v>
      </c>
      <c r="Q73" s="2">
        <f>'Raw Data Cut 1.3'!J68</f>
        <v>0</v>
      </c>
      <c r="R73" s="2">
        <f>'Raw Data Cut 1.3'!K68</f>
        <v>0</v>
      </c>
      <c r="S73" s="2">
        <f>'Raw Data Cut 1.3'!N68</f>
        <v>0</v>
      </c>
      <c r="T73" s="2">
        <f t="shared" si="2"/>
        <v>0</v>
      </c>
      <c r="U73" s="10" t="str">
        <f>IF($S73=0, "", IF(COUNTIF(Table1[Amino Acid Change], $S73)=0, "Missing", "Y"))</f>
        <v/>
      </c>
      <c r="V73" s="10">
        <f t="shared" si="3"/>
        <v>0</v>
      </c>
    </row>
    <row r="74" spans="9:22" x14ac:dyDescent="0.25">
      <c r="I74" s="2">
        <f>'Raw Data Cut 1.3'!A69</f>
        <v>0</v>
      </c>
      <c r="J74" s="2">
        <f>'Raw Data Cut 1.3'!B69</f>
        <v>0</v>
      </c>
      <c r="K74" s="2">
        <f>'Raw Data Cut 1.3'!C69</f>
        <v>0</v>
      </c>
      <c r="L74" s="2">
        <f>'Raw Data Cut 1.3'!D69</f>
        <v>0</v>
      </c>
      <c r="M74" s="2">
        <f>'Raw Data Cut 1.3'!E69</f>
        <v>0</v>
      </c>
      <c r="N74" s="2">
        <f>'Raw Data Cut 1.3'!G69</f>
        <v>0</v>
      </c>
      <c r="O74" s="2">
        <f>'Raw Data Cut 1.3'!H69</f>
        <v>0</v>
      </c>
      <c r="P74" s="2">
        <f>'Raw Data Cut 1.3'!I69</f>
        <v>0</v>
      </c>
      <c r="Q74" s="2">
        <f>'Raw Data Cut 1.3'!J69</f>
        <v>0</v>
      </c>
      <c r="R74" s="2">
        <f>'Raw Data Cut 1.3'!K69</f>
        <v>0</v>
      </c>
      <c r="S74" s="2">
        <f>'Raw Data Cut 1.3'!N69</f>
        <v>0</v>
      </c>
      <c r="T74" s="2">
        <f t="shared" si="2"/>
        <v>0</v>
      </c>
      <c r="U74" s="10" t="str">
        <f>IF($S74=0, "", IF(COUNTIF(Table1[Amino Acid Change], $S74)=0, "Missing", "Y"))</f>
        <v/>
      </c>
      <c r="V74" s="10">
        <f t="shared" si="3"/>
        <v>0</v>
      </c>
    </row>
    <row r="75" spans="9:22" x14ac:dyDescent="0.25">
      <c r="I75" s="2">
        <f>'Raw Data Cut 1.3'!A70</f>
        <v>0</v>
      </c>
      <c r="J75" s="2">
        <f>'Raw Data Cut 1.3'!B70</f>
        <v>0</v>
      </c>
      <c r="K75" s="2">
        <f>'Raw Data Cut 1.3'!C70</f>
        <v>0</v>
      </c>
      <c r="L75" s="2">
        <f>'Raw Data Cut 1.3'!D70</f>
        <v>0</v>
      </c>
      <c r="M75" s="2">
        <f>'Raw Data Cut 1.3'!E70</f>
        <v>0</v>
      </c>
      <c r="N75" s="2">
        <f>'Raw Data Cut 1.3'!G70</f>
        <v>0</v>
      </c>
      <c r="O75" s="2">
        <f>'Raw Data Cut 1.3'!H70</f>
        <v>0</v>
      </c>
      <c r="P75" s="2">
        <f>'Raw Data Cut 1.3'!I70</f>
        <v>0</v>
      </c>
      <c r="Q75" s="2">
        <f>'Raw Data Cut 1.3'!J70</f>
        <v>0</v>
      </c>
      <c r="R75" s="2">
        <f>'Raw Data Cut 1.3'!K70</f>
        <v>0</v>
      </c>
      <c r="S75" s="2">
        <f>'Raw Data Cut 1.3'!N70</f>
        <v>0</v>
      </c>
      <c r="T75" s="2">
        <f t="shared" si="2"/>
        <v>0</v>
      </c>
      <c r="U75" s="10" t="str">
        <f>IF($S75=0, "", IF(COUNTIF(Table1[Amino Acid Change], $S75)=0, "Missing", "Y"))</f>
        <v/>
      </c>
      <c r="V75" s="10">
        <f t="shared" si="3"/>
        <v>0</v>
      </c>
    </row>
    <row r="76" spans="9:22" x14ac:dyDescent="0.25">
      <c r="I76" s="2">
        <f>'Raw Data Cut 1.3'!A71</f>
        <v>0</v>
      </c>
      <c r="J76" s="2">
        <f>'Raw Data Cut 1.3'!B71</f>
        <v>0</v>
      </c>
      <c r="K76" s="2">
        <f>'Raw Data Cut 1.3'!C71</f>
        <v>0</v>
      </c>
      <c r="L76" s="2">
        <f>'Raw Data Cut 1.3'!D71</f>
        <v>0</v>
      </c>
      <c r="M76" s="2">
        <f>'Raw Data Cut 1.3'!E71</f>
        <v>0</v>
      </c>
      <c r="N76" s="2">
        <f>'Raw Data Cut 1.3'!G71</f>
        <v>0</v>
      </c>
      <c r="O76" s="2">
        <f>'Raw Data Cut 1.3'!H71</f>
        <v>0</v>
      </c>
      <c r="P76" s="2">
        <f>'Raw Data Cut 1.3'!I71</f>
        <v>0</v>
      </c>
      <c r="Q76" s="2">
        <f>'Raw Data Cut 1.3'!J71</f>
        <v>0</v>
      </c>
      <c r="R76" s="2">
        <f>'Raw Data Cut 1.3'!K71</f>
        <v>0</v>
      </c>
      <c r="S76" s="2">
        <f>'Raw Data Cut 1.3'!N71</f>
        <v>0</v>
      </c>
      <c r="T76" s="2">
        <f t="shared" si="2"/>
        <v>0</v>
      </c>
      <c r="U76" s="10" t="str">
        <f>IF($S76=0, "", IF(COUNTIF(Table1[Amino Acid Change], $S76)=0, "Missing", "Y"))</f>
        <v/>
      </c>
      <c r="V76" s="10">
        <f t="shared" si="3"/>
        <v>0</v>
      </c>
    </row>
    <row r="77" spans="9:22" x14ac:dyDescent="0.25">
      <c r="I77" s="2">
        <f>'Raw Data Cut 1.3'!A72</f>
        <v>0</v>
      </c>
      <c r="J77" s="2">
        <f>'Raw Data Cut 1.3'!B72</f>
        <v>0</v>
      </c>
      <c r="K77" s="2">
        <f>'Raw Data Cut 1.3'!C72</f>
        <v>0</v>
      </c>
      <c r="L77" s="2">
        <f>'Raw Data Cut 1.3'!D72</f>
        <v>0</v>
      </c>
      <c r="M77" s="2">
        <f>'Raw Data Cut 1.3'!E72</f>
        <v>0</v>
      </c>
      <c r="N77" s="2">
        <f>'Raw Data Cut 1.3'!G72</f>
        <v>0</v>
      </c>
      <c r="O77" s="2">
        <f>'Raw Data Cut 1.3'!H72</f>
        <v>0</v>
      </c>
      <c r="P77" s="2">
        <f>'Raw Data Cut 1.3'!I72</f>
        <v>0</v>
      </c>
      <c r="Q77" s="2">
        <f>'Raw Data Cut 1.3'!J72</f>
        <v>0</v>
      </c>
      <c r="R77" s="2">
        <f>'Raw Data Cut 1.3'!K72</f>
        <v>0</v>
      </c>
      <c r="S77" s="2">
        <f>'Raw Data Cut 1.3'!N72</f>
        <v>0</v>
      </c>
      <c r="T77" s="2">
        <f t="shared" si="2"/>
        <v>0</v>
      </c>
      <c r="U77" s="10" t="str">
        <f>IF($S77=0, "", IF(COUNTIF(Table1[Amino Acid Change], $S77)=0, "Missing", "Y"))</f>
        <v/>
      </c>
      <c r="V77" s="10">
        <f t="shared" si="3"/>
        <v>0</v>
      </c>
    </row>
    <row r="78" spans="9:22" x14ac:dyDescent="0.25">
      <c r="I78" s="2">
        <f>'Raw Data Cut 1.3'!A73</f>
        <v>0</v>
      </c>
      <c r="J78" s="2">
        <f>'Raw Data Cut 1.3'!B73</f>
        <v>0</v>
      </c>
      <c r="K78" s="2">
        <f>'Raw Data Cut 1.3'!C73</f>
        <v>0</v>
      </c>
      <c r="L78" s="2">
        <f>'Raw Data Cut 1.3'!D73</f>
        <v>0</v>
      </c>
      <c r="M78" s="2">
        <f>'Raw Data Cut 1.3'!E73</f>
        <v>0</v>
      </c>
      <c r="N78" s="2">
        <f>'Raw Data Cut 1.3'!G73</f>
        <v>0</v>
      </c>
      <c r="O78" s="2">
        <f>'Raw Data Cut 1.3'!H73</f>
        <v>0</v>
      </c>
      <c r="P78" s="2">
        <f>'Raw Data Cut 1.3'!I73</f>
        <v>0</v>
      </c>
      <c r="Q78" s="2">
        <f>'Raw Data Cut 1.3'!J73</f>
        <v>0</v>
      </c>
      <c r="R78" s="2">
        <f>'Raw Data Cut 1.3'!K73</f>
        <v>0</v>
      </c>
      <c r="S78" s="2">
        <f>'Raw Data Cut 1.3'!N73</f>
        <v>0</v>
      </c>
      <c r="T78" s="2">
        <f t="shared" si="2"/>
        <v>0</v>
      </c>
      <c r="U78" s="10" t="str">
        <f>IF($S78=0, "", IF(COUNTIF(Table1[Amino Acid Change], $S78)=0, "Missing", "Y"))</f>
        <v/>
      </c>
      <c r="V78" s="10">
        <f t="shared" si="3"/>
        <v>0</v>
      </c>
    </row>
    <row r="79" spans="9:22" x14ac:dyDescent="0.25">
      <c r="I79" s="2">
        <f>'Raw Data Cut 1.3'!A74</f>
        <v>0</v>
      </c>
      <c r="J79" s="2">
        <f>'Raw Data Cut 1.3'!B74</f>
        <v>0</v>
      </c>
      <c r="K79" s="2">
        <f>'Raw Data Cut 1.3'!C74</f>
        <v>0</v>
      </c>
      <c r="L79" s="2">
        <f>'Raw Data Cut 1.3'!D74</f>
        <v>0</v>
      </c>
      <c r="M79" s="2">
        <f>'Raw Data Cut 1.3'!E74</f>
        <v>0</v>
      </c>
      <c r="N79" s="2">
        <f>'Raw Data Cut 1.3'!G74</f>
        <v>0</v>
      </c>
      <c r="O79" s="2">
        <f>'Raw Data Cut 1.3'!H74</f>
        <v>0</v>
      </c>
      <c r="P79" s="2">
        <f>'Raw Data Cut 1.3'!I74</f>
        <v>0</v>
      </c>
      <c r="Q79" s="2">
        <f>'Raw Data Cut 1.3'!J74</f>
        <v>0</v>
      </c>
      <c r="R79" s="2">
        <f>'Raw Data Cut 1.3'!K74</f>
        <v>0</v>
      </c>
      <c r="S79" s="2">
        <f>'Raw Data Cut 1.3'!N74</f>
        <v>0</v>
      </c>
      <c r="T79" s="2">
        <f t="shared" si="2"/>
        <v>0</v>
      </c>
      <c r="U79" s="10" t="str">
        <f>IF($S79=0, "", IF(COUNTIF(Table1[Amino Acid Change], $S79)=0, "Missing", "Y"))</f>
        <v/>
      </c>
      <c r="V79" s="10">
        <f t="shared" si="3"/>
        <v>0</v>
      </c>
    </row>
    <row r="80" spans="9:22" x14ac:dyDescent="0.25">
      <c r="I80" s="2">
        <f>'Raw Data Cut 1.3'!A75</f>
        <v>0</v>
      </c>
      <c r="J80" s="2">
        <f>'Raw Data Cut 1.3'!B75</f>
        <v>0</v>
      </c>
      <c r="K80" s="2">
        <f>'Raw Data Cut 1.3'!C75</f>
        <v>0</v>
      </c>
      <c r="L80" s="2">
        <f>'Raw Data Cut 1.3'!D75</f>
        <v>0</v>
      </c>
      <c r="M80" s="2">
        <f>'Raw Data Cut 1.3'!E75</f>
        <v>0</v>
      </c>
      <c r="N80" s="2">
        <f>'Raw Data Cut 1.3'!G75</f>
        <v>0</v>
      </c>
      <c r="O80" s="2">
        <f>'Raw Data Cut 1.3'!H75</f>
        <v>0</v>
      </c>
      <c r="P80" s="2">
        <f>'Raw Data Cut 1.3'!I75</f>
        <v>0</v>
      </c>
      <c r="Q80" s="2">
        <f>'Raw Data Cut 1.3'!J75</f>
        <v>0</v>
      </c>
      <c r="R80" s="2">
        <f>'Raw Data Cut 1.3'!K75</f>
        <v>0</v>
      </c>
      <c r="S80" s="2">
        <f>'Raw Data Cut 1.3'!N75</f>
        <v>0</v>
      </c>
      <c r="T80" s="2">
        <f t="shared" si="2"/>
        <v>0</v>
      </c>
      <c r="U80" s="10" t="str">
        <f>IF($S80=0, "", IF(COUNTIF(Table1[Amino Acid Change], $S80)=0, "Missing", "Y"))</f>
        <v/>
      </c>
      <c r="V80" s="10">
        <f t="shared" si="3"/>
        <v>0</v>
      </c>
    </row>
    <row r="81" spans="9:22" x14ac:dyDescent="0.25">
      <c r="I81" s="2">
        <f>'Raw Data Cut 1.3'!A76</f>
        <v>0</v>
      </c>
      <c r="J81" s="2">
        <f>'Raw Data Cut 1.3'!B76</f>
        <v>0</v>
      </c>
      <c r="K81" s="2">
        <f>'Raw Data Cut 1.3'!C76</f>
        <v>0</v>
      </c>
      <c r="L81" s="2">
        <f>'Raw Data Cut 1.3'!D76</f>
        <v>0</v>
      </c>
      <c r="M81" s="2">
        <f>'Raw Data Cut 1.3'!E76</f>
        <v>0</v>
      </c>
      <c r="N81" s="2">
        <f>'Raw Data Cut 1.3'!G76</f>
        <v>0</v>
      </c>
      <c r="O81" s="2">
        <f>'Raw Data Cut 1.3'!H76</f>
        <v>0</v>
      </c>
      <c r="P81" s="2">
        <f>'Raw Data Cut 1.3'!I76</f>
        <v>0</v>
      </c>
      <c r="Q81" s="2">
        <f>'Raw Data Cut 1.3'!J76</f>
        <v>0</v>
      </c>
      <c r="R81" s="2">
        <f>'Raw Data Cut 1.3'!K76</f>
        <v>0</v>
      </c>
      <c r="S81" s="2">
        <f>'Raw Data Cut 1.3'!N76</f>
        <v>0</v>
      </c>
      <c r="T81" s="2">
        <f t="shared" si="2"/>
        <v>0</v>
      </c>
      <c r="U81" s="10" t="str">
        <f>IF($S81=0, "", IF(COUNTIF(Table1[Amino Acid Change], $S81)=0, "Missing", "Y"))</f>
        <v/>
      </c>
      <c r="V81" s="10">
        <f t="shared" si="3"/>
        <v>0</v>
      </c>
    </row>
    <row r="82" spans="9:22" x14ac:dyDescent="0.25">
      <c r="I82" s="2">
        <f>'Raw Data Cut 1.3'!A77</f>
        <v>0</v>
      </c>
      <c r="J82" s="2">
        <f>'Raw Data Cut 1.3'!B77</f>
        <v>0</v>
      </c>
      <c r="K82" s="2">
        <f>'Raw Data Cut 1.3'!C77</f>
        <v>0</v>
      </c>
      <c r="L82" s="2">
        <f>'Raw Data Cut 1.3'!D77</f>
        <v>0</v>
      </c>
      <c r="M82" s="2">
        <f>'Raw Data Cut 1.3'!E77</f>
        <v>0</v>
      </c>
      <c r="N82" s="2">
        <f>'Raw Data Cut 1.3'!G77</f>
        <v>0</v>
      </c>
      <c r="O82" s="2">
        <f>'Raw Data Cut 1.3'!H77</f>
        <v>0</v>
      </c>
      <c r="P82" s="2">
        <f>'Raw Data Cut 1.3'!I77</f>
        <v>0</v>
      </c>
      <c r="Q82" s="2">
        <f>'Raw Data Cut 1.3'!J77</f>
        <v>0</v>
      </c>
      <c r="R82" s="2">
        <f>'Raw Data Cut 1.3'!K77</f>
        <v>0</v>
      </c>
      <c r="S82" s="2">
        <f>'Raw Data Cut 1.3'!N77</f>
        <v>0</v>
      </c>
      <c r="T82" s="2">
        <f t="shared" si="2"/>
        <v>0</v>
      </c>
      <c r="U82" s="10" t="str">
        <f>IF($S82=0, "", IF(COUNTIF(Table1[Amino Acid Change], $S82)=0, "Missing", "Y"))</f>
        <v/>
      </c>
      <c r="V82" s="10">
        <f t="shared" si="3"/>
        <v>0</v>
      </c>
    </row>
    <row r="83" spans="9:22" x14ac:dyDescent="0.25">
      <c r="I83" s="2">
        <f>'Raw Data Cut 1.3'!A78</f>
        <v>0</v>
      </c>
      <c r="J83" s="2">
        <f>'Raw Data Cut 1.3'!B78</f>
        <v>0</v>
      </c>
      <c r="K83" s="2">
        <f>'Raw Data Cut 1.3'!C78</f>
        <v>0</v>
      </c>
      <c r="L83" s="2">
        <f>'Raw Data Cut 1.3'!D78</f>
        <v>0</v>
      </c>
      <c r="M83" s="2">
        <f>'Raw Data Cut 1.3'!E78</f>
        <v>0</v>
      </c>
      <c r="N83" s="2">
        <f>'Raw Data Cut 1.3'!G78</f>
        <v>0</v>
      </c>
      <c r="O83" s="2">
        <f>'Raw Data Cut 1.3'!H78</f>
        <v>0</v>
      </c>
      <c r="P83" s="2">
        <f>'Raw Data Cut 1.3'!I78</f>
        <v>0</v>
      </c>
      <c r="Q83" s="2">
        <f>'Raw Data Cut 1.3'!J78</f>
        <v>0</v>
      </c>
      <c r="R83" s="2">
        <f>'Raw Data Cut 1.3'!K78</f>
        <v>0</v>
      </c>
      <c r="S83" s="2">
        <f>'Raw Data Cut 1.3'!N78</f>
        <v>0</v>
      </c>
      <c r="T83" s="2">
        <f t="shared" si="2"/>
        <v>0</v>
      </c>
      <c r="U83" s="10" t="str">
        <f>IF($S83=0, "", IF(COUNTIF(Table1[Amino Acid Change], $S83)=0, "Missing", "Y"))</f>
        <v/>
      </c>
      <c r="V83" s="10">
        <f t="shared" si="3"/>
        <v>0</v>
      </c>
    </row>
    <row r="84" spans="9:22" x14ac:dyDescent="0.25">
      <c r="I84" s="2">
        <f>'Raw Data Cut 1.3'!A79</f>
        <v>0</v>
      </c>
      <c r="J84" s="2">
        <f>'Raw Data Cut 1.3'!B79</f>
        <v>0</v>
      </c>
      <c r="K84" s="2">
        <f>'Raw Data Cut 1.3'!C79</f>
        <v>0</v>
      </c>
      <c r="L84" s="2">
        <f>'Raw Data Cut 1.3'!D79</f>
        <v>0</v>
      </c>
      <c r="M84" s="2">
        <f>'Raw Data Cut 1.3'!E79</f>
        <v>0</v>
      </c>
      <c r="N84" s="2">
        <f>'Raw Data Cut 1.3'!G79</f>
        <v>0</v>
      </c>
      <c r="O84" s="2">
        <f>'Raw Data Cut 1.3'!H79</f>
        <v>0</v>
      </c>
      <c r="P84" s="2">
        <f>'Raw Data Cut 1.3'!I79</f>
        <v>0</v>
      </c>
      <c r="Q84" s="2">
        <f>'Raw Data Cut 1.3'!J79</f>
        <v>0</v>
      </c>
      <c r="R84" s="2">
        <f>'Raw Data Cut 1.3'!K79</f>
        <v>0</v>
      </c>
      <c r="S84" s="2">
        <f>'Raw Data Cut 1.3'!N79</f>
        <v>0</v>
      </c>
      <c r="T84" s="2">
        <f t="shared" si="2"/>
        <v>0</v>
      </c>
      <c r="U84" s="10" t="str">
        <f>IF($S84=0, "", IF(COUNTIF(Table1[Amino Acid Change], $S84)=0, "Missing", "Y"))</f>
        <v/>
      </c>
      <c r="V84" s="10">
        <f t="shared" si="3"/>
        <v>0</v>
      </c>
    </row>
    <row r="85" spans="9:22" x14ac:dyDescent="0.25">
      <c r="I85" s="2">
        <f>'Raw Data Cut 1.3'!A80</f>
        <v>0</v>
      </c>
      <c r="J85" s="2">
        <f>'Raw Data Cut 1.3'!B80</f>
        <v>0</v>
      </c>
      <c r="K85" s="2">
        <f>'Raw Data Cut 1.3'!C80</f>
        <v>0</v>
      </c>
      <c r="L85" s="2">
        <f>'Raw Data Cut 1.3'!D80</f>
        <v>0</v>
      </c>
      <c r="M85" s="2">
        <f>'Raw Data Cut 1.3'!E80</f>
        <v>0</v>
      </c>
      <c r="N85" s="2">
        <f>'Raw Data Cut 1.3'!G80</f>
        <v>0</v>
      </c>
      <c r="O85" s="2">
        <f>'Raw Data Cut 1.3'!H80</f>
        <v>0</v>
      </c>
      <c r="P85" s="2">
        <f>'Raw Data Cut 1.3'!I80</f>
        <v>0</v>
      </c>
      <c r="Q85" s="2">
        <f>'Raw Data Cut 1.3'!J80</f>
        <v>0</v>
      </c>
      <c r="R85" s="2">
        <f>'Raw Data Cut 1.3'!K80</f>
        <v>0</v>
      </c>
      <c r="S85" s="2">
        <f>'Raw Data Cut 1.3'!N80</f>
        <v>0</v>
      </c>
      <c r="T85" s="2">
        <f t="shared" si="2"/>
        <v>0</v>
      </c>
      <c r="U85" s="10" t="str">
        <f>IF($S85=0, "", IF(COUNTIF(Table1[Amino Acid Change], $S85)=0, "Missing", "Y"))</f>
        <v/>
      </c>
      <c r="V85" s="10">
        <f t="shared" si="3"/>
        <v>0</v>
      </c>
    </row>
    <row r="86" spans="9:22" x14ac:dyDescent="0.25">
      <c r="I86" s="2">
        <f>'Raw Data Cut 1.3'!A81</f>
        <v>0</v>
      </c>
      <c r="J86" s="2">
        <f>'Raw Data Cut 1.3'!B81</f>
        <v>0</v>
      </c>
      <c r="K86" s="2">
        <f>'Raw Data Cut 1.3'!C81</f>
        <v>0</v>
      </c>
      <c r="L86" s="2">
        <f>'Raw Data Cut 1.3'!D81</f>
        <v>0</v>
      </c>
      <c r="M86" s="2">
        <f>'Raw Data Cut 1.3'!E81</f>
        <v>0</v>
      </c>
      <c r="N86" s="2">
        <f>'Raw Data Cut 1.3'!G81</f>
        <v>0</v>
      </c>
      <c r="O86" s="2">
        <f>'Raw Data Cut 1.3'!H81</f>
        <v>0</v>
      </c>
      <c r="P86" s="2">
        <f>'Raw Data Cut 1.3'!I81</f>
        <v>0</v>
      </c>
      <c r="Q86" s="2">
        <f>'Raw Data Cut 1.3'!J81</f>
        <v>0</v>
      </c>
      <c r="R86" s="2">
        <f>'Raw Data Cut 1.3'!K81</f>
        <v>0</v>
      </c>
      <c r="S86" s="2">
        <f>'Raw Data Cut 1.3'!N81</f>
        <v>0</v>
      </c>
      <c r="T86" s="2">
        <f t="shared" si="2"/>
        <v>0</v>
      </c>
      <c r="U86" s="10" t="str">
        <f>IF($S86=0, "", IF(COUNTIF(Table1[Amino Acid Change], $S86)=0, "Missing", "Y"))</f>
        <v/>
      </c>
      <c r="V86" s="10">
        <f t="shared" si="3"/>
        <v>0</v>
      </c>
    </row>
    <row r="87" spans="9:22" x14ac:dyDescent="0.25">
      <c r="I87" s="2">
        <f>'Raw Data Cut 1.3'!A82</f>
        <v>0</v>
      </c>
      <c r="J87" s="2">
        <f>'Raw Data Cut 1.3'!B82</f>
        <v>0</v>
      </c>
      <c r="K87" s="2">
        <f>'Raw Data Cut 1.3'!C82</f>
        <v>0</v>
      </c>
      <c r="L87" s="2">
        <f>'Raw Data Cut 1.3'!D82</f>
        <v>0</v>
      </c>
      <c r="M87" s="2">
        <f>'Raw Data Cut 1.3'!E82</f>
        <v>0</v>
      </c>
      <c r="N87" s="2">
        <f>'Raw Data Cut 1.3'!G82</f>
        <v>0</v>
      </c>
      <c r="O87" s="2">
        <f>'Raw Data Cut 1.3'!H82</f>
        <v>0</v>
      </c>
      <c r="P87" s="2">
        <f>'Raw Data Cut 1.3'!I82</f>
        <v>0</v>
      </c>
      <c r="Q87" s="2">
        <f>'Raw Data Cut 1.3'!J82</f>
        <v>0</v>
      </c>
      <c r="R87" s="2">
        <f>'Raw Data Cut 1.3'!K82</f>
        <v>0</v>
      </c>
      <c r="S87" s="2">
        <f>'Raw Data Cut 1.3'!N82</f>
        <v>0</v>
      </c>
      <c r="T87" s="2">
        <f t="shared" si="2"/>
        <v>0</v>
      </c>
      <c r="U87" s="10" t="str">
        <f>IF($S87=0, "", IF(COUNTIF(Table1[Amino Acid Change], $S87)=0, "Missing", "Y"))</f>
        <v/>
      </c>
      <c r="V87" s="10">
        <f t="shared" si="3"/>
        <v>0</v>
      </c>
    </row>
    <row r="88" spans="9:22" x14ac:dyDescent="0.25">
      <c r="I88" s="2">
        <f>'Raw Data Cut 1.3'!A83</f>
        <v>0</v>
      </c>
      <c r="J88" s="2">
        <f>'Raw Data Cut 1.3'!B83</f>
        <v>0</v>
      </c>
      <c r="K88" s="2">
        <f>'Raw Data Cut 1.3'!C83</f>
        <v>0</v>
      </c>
      <c r="L88" s="2">
        <f>'Raw Data Cut 1.3'!D83</f>
        <v>0</v>
      </c>
      <c r="M88" s="2">
        <f>'Raw Data Cut 1.3'!E83</f>
        <v>0</v>
      </c>
      <c r="N88" s="2">
        <f>'Raw Data Cut 1.3'!G83</f>
        <v>0</v>
      </c>
      <c r="O88" s="2">
        <f>'Raw Data Cut 1.3'!H83</f>
        <v>0</v>
      </c>
      <c r="P88" s="2">
        <f>'Raw Data Cut 1.3'!I83</f>
        <v>0</v>
      </c>
      <c r="Q88" s="2">
        <f>'Raw Data Cut 1.3'!J83</f>
        <v>0</v>
      </c>
      <c r="R88" s="2">
        <f>'Raw Data Cut 1.3'!K83</f>
        <v>0</v>
      </c>
      <c r="S88" s="2">
        <f>'Raw Data Cut 1.3'!N83</f>
        <v>0</v>
      </c>
      <c r="T88" s="2">
        <f t="shared" si="2"/>
        <v>0</v>
      </c>
      <c r="U88" s="10" t="str">
        <f>IF($S88=0, "", IF(COUNTIF(Table1[Amino Acid Change], $S88)=0, "Missing", "Y"))</f>
        <v/>
      </c>
      <c r="V88" s="10">
        <f t="shared" si="3"/>
        <v>0</v>
      </c>
    </row>
    <row r="89" spans="9:22" x14ac:dyDescent="0.25">
      <c r="I89" s="2">
        <f>'Raw Data Cut 1.3'!A84</f>
        <v>0</v>
      </c>
      <c r="J89" s="2">
        <f>'Raw Data Cut 1.3'!B84</f>
        <v>0</v>
      </c>
      <c r="K89" s="2">
        <f>'Raw Data Cut 1.3'!C84</f>
        <v>0</v>
      </c>
      <c r="L89" s="2">
        <f>'Raw Data Cut 1.3'!D84</f>
        <v>0</v>
      </c>
      <c r="M89" s="2">
        <f>'Raw Data Cut 1.3'!E84</f>
        <v>0</v>
      </c>
      <c r="N89" s="2">
        <f>'Raw Data Cut 1.3'!G84</f>
        <v>0</v>
      </c>
      <c r="O89" s="2">
        <f>'Raw Data Cut 1.3'!H84</f>
        <v>0</v>
      </c>
      <c r="P89" s="2">
        <f>'Raw Data Cut 1.3'!I84</f>
        <v>0</v>
      </c>
      <c r="Q89" s="2">
        <f>'Raw Data Cut 1.3'!J84</f>
        <v>0</v>
      </c>
      <c r="R89" s="2">
        <f>'Raw Data Cut 1.3'!K84</f>
        <v>0</v>
      </c>
      <c r="S89" s="2">
        <f>'Raw Data Cut 1.3'!N84</f>
        <v>0</v>
      </c>
      <c r="T89" s="2">
        <f t="shared" si="2"/>
        <v>0</v>
      </c>
      <c r="U89" s="10" t="str">
        <f>IF($S89=0, "", IF(COUNTIF(Table1[Amino Acid Change], $S89)=0, "Missing", "Y"))</f>
        <v/>
      </c>
      <c r="V89" s="10">
        <f t="shared" si="3"/>
        <v>0</v>
      </c>
    </row>
    <row r="90" spans="9:22" x14ac:dyDescent="0.25">
      <c r="I90" s="2">
        <f>'Raw Data Cut 1.3'!A85</f>
        <v>0</v>
      </c>
      <c r="J90" s="2">
        <f>'Raw Data Cut 1.3'!B85</f>
        <v>0</v>
      </c>
      <c r="K90" s="2">
        <f>'Raw Data Cut 1.3'!C85</f>
        <v>0</v>
      </c>
      <c r="L90" s="2">
        <f>'Raw Data Cut 1.3'!D85</f>
        <v>0</v>
      </c>
      <c r="M90" s="2">
        <f>'Raw Data Cut 1.3'!E85</f>
        <v>0</v>
      </c>
      <c r="N90" s="2">
        <f>'Raw Data Cut 1.3'!G85</f>
        <v>0</v>
      </c>
      <c r="O90" s="2">
        <f>'Raw Data Cut 1.3'!H85</f>
        <v>0</v>
      </c>
      <c r="P90" s="2">
        <f>'Raw Data Cut 1.3'!I85</f>
        <v>0</v>
      </c>
      <c r="Q90" s="2">
        <f>'Raw Data Cut 1.3'!J85</f>
        <v>0</v>
      </c>
      <c r="R90" s="2">
        <f>'Raw Data Cut 1.3'!K85</f>
        <v>0</v>
      </c>
      <c r="S90" s="2">
        <f>'Raw Data Cut 1.3'!N85</f>
        <v>0</v>
      </c>
      <c r="T90" s="2">
        <f t="shared" si="2"/>
        <v>0</v>
      </c>
      <c r="U90" s="10" t="str">
        <f>IF($S90=0, "", IF(COUNTIF(Table1[Amino Acid Change], $S90)=0, "Missing", "Y"))</f>
        <v/>
      </c>
      <c r="V90" s="10">
        <f t="shared" si="3"/>
        <v>0</v>
      </c>
    </row>
    <row r="91" spans="9:22" x14ac:dyDescent="0.25">
      <c r="I91" s="2">
        <f>'Raw Data Cut 1.3'!A86</f>
        <v>0</v>
      </c>
      <c r="J91" s="2">
        <f>'Raw Data Cut 1.3'!B86</f>
        <v>0</v>
      </c>
      <c r="K91" s="2">
        <f>'Raw Data Cut 1.3'!C86</f>
        <v>0</v>
      </c>
      <c r="L91" s="2">
        <f>'Raw Data Cut 1.3'!D86</f>
        <v>0</v>
      </c>
      <c r="M91" s="2">
        <f>'Raw Data Cut 1.3'!E86</f>
        <v>0</v>
      </c>
      <c r="N91" s="2">
        <f>'Raw Data Cut 1.3'!G86</f>
        <v>0</v>
      </c>
      <c r="O91" s="2">
        <f>'Raw Data Cut 1.3'!H86</f>
        <v>0</v>
      </c>
      <c r="P91" s="2">
        <f>'Raw Data Cut 1.3'!I86</f>
        <v>0</v>
      </c>
      <c r="Q91" s="2">
        <f>'Raw Data Cut 1.3'!J86</f>
        <v>0</v>
      </c>
      <c r="R91" s="2">
        <f>'Raw Data Cut 1.3'!K86</f>
        <v>0</v>
      </c>
      <c r="S91" s="2">
        <f>'Raw Data Cut 1.3'!N86</f>
        <v>0</v>
      </c>
      <c r="T91" s="2">
        <f t="shared" si="2"/>
        <v>0</v>
      </c>
      <c r="U91" s="10" t="str">
        <f>IF($S91=0, "", IF(COUNTIF(Table1[Amino Acid Change], $S91)=0, "Missing", "Y"))</f>
        <v/>
      </c>
      <c r="V91" s="10">
        <f t="shared" si="3"/>
        <v>0</v>
      </c>
    </row>
    <row r="92" spans="9:22" x14ac:dyDescent="0.25">
      <c r="I92" s="2">
        <f>'Raw Data Cut 1.3'!A88</f>
        <v>0</v>
      </c>
      <c r="J92" s="2">
        <f>'Raw Data Cut 1.3'!B88</f>
        <v>0</v>
      </c>
      <c r="K92" s="2">
        <f>'Raw Data Cut 1.3'!C88</f>
        <v>0</v>
      </c>
      <c r="L92" s="2">
        <f>'Raw Data Cut 1.3'!D88</f>
        <v>0</v>
      </c>
      <c r="M92" s="2">
        <f>'Raw Data Cut 1.3'!E88</f>
        <v>0</v>
      </c>
      <c r="N92" s="2">
        <f>'Raw Data Cut 1.3'!G88</f>
        <v>0</v>
      </c>
      <c r="O92" s="2">
        <f>'Raw Data Cut 1.3'!H88</f>
        <v>0</v>
      </c>
      <c r="P92" s="2">
        <f>'Raw Data Cut 1.3'!I88</f>
        <v>0</v>
      </c>
      <c r="Q92" s="2">
        <f>'Raw Data Cut 1.3'!J88</f>
        <v>0</v>
      </c>
      <c r="R92" s="2">
        <f>'Raw Data Cut 1.3'!K88</f>
        <v>0</v>
      </c>
      <c r="S92" s="2">
        <f>'Raw Data Cut 1.3'!N88</f>
        <v>0</v>
      </c>
      <c r="T92" s="2">
        <f t="shared" si="2"/>
        <v>0</v>
      </c>
      <c r="U92" s="10" t="str">
        <f>IF($S92=0, "", IF(COUNTIF(Table1[Amino Acid Change], $S92)=0, "Missing", "Y"))</f>
        <v/>
      </c>
      <c r="V92" s="10">
        <f t="shared" si="3"/>
        <v>0</v>
      </c>
    </row>
    <row r="93" spans="9:22" x14ac:dyDescent="0.25">
      <c r="I93" s="2">
        <f>'Raw Data Cut 1.3'!A89</f>
        <v>0</v>
      </c>
      <c r="J93" s="2">
        <f>'Raw Data Cut 1.3'!B89</f>
        <v>0</v>
      </c>
      <c r="K93" s="2">
        <f>'Raw Data Cut 1.3'!C89</f>
        <v>0</v>
      </c>
      <c r="L93" s="2">
        <f>'Raw Data Cut 1.3'!D89</f>
        <v>0</v>
      </c>
      <c r="M93" s="2">
        <f>'Raw Data Cut 1.3'!E89</f>
        <v>0</v>
      </c>
      <c r="N93" s="2">
        <f>'Raw Data Cut 1.3'!G89</f>
        <v>0</v>
      </c>
      <c r="O93" s="2">
        <f>'Raw Data Cut 1.3'!H89</f>
        <v>0</v>
      </c>
      <c r="P93" s="2">
        <f>'Raw Data Cut 1.3'!I89</f>
        <v>0</v>
      </c>
      <c r="Q93" s="2">
        <f>'Raw Data Cut 1.3'!J89</f>
        <v>0</v>
      </c>
      <c r="R93" s="2">
        <f>'Raw Data Cut 1.3'!K89</f>
        <v>0</v>
      </c>
      <c r="S93" s="2">
        <f>'Raw Data Cut 1.3'!N89</f>
        <v>0</v>
      </c>
      <c r="T93" s="2">
        <f t="shared" si="2"/>
        <v>0</v>
      </c>
      <c r="U93" s="10" t="str">
        <f>IF($S93=0, "", IF(COUNTIF(Table1[Amino Acid Change], $S93)=0, "Missing", "Y"))</f>
        <v/>
      </c>
      <c r="V93" s="10">
        <f t="shared" si="3"/>
        <v>0</v>
      </c>
    </row>
    <row r="94" spans="9:22" x14ac:dyDescent="0.25">
      <c r="I94" s="2">
        <f>'Raw Data Cut 1.3'!A90</f>
        <v>0</v>
      </c>
      <c r="J94" s="2">
        <f>'Raw Data Cut 1.3'!B90</f>
        <v>0</v>
      </c>
      <c r="K94" s="2">
        <f>'Raw Data Cut 1.3'!C90</f>
        <v>0</v>
      </c>
      <c r="L94" s="2">
        <f>'Raw Data Cut 1.3'!D90</f>
        <v>0</v>
      </c>
      <c r="M94" s="2">
        <f>'Raw Data Cut 1.3'!E90</f>
        <v>0</v>
      </c>
      <c r="N94" s="2">
        <f>'Raw Data Cut 1.3'!G90</f>
        <v>0</v>
      </c>
      <c r="O94" s="2">
        <f>'Raw Data Cut 1.3'!H90</f>
        <v>0</v>
      </c>
      <c r="P94" s="2">
        <f>'Raw Data Cut 1.3'!I90</f>
        <v>0</v>
      </c>
      <c r="Q94" s="2">
        <f>'Raw Data Cut 1.3'!J90</f>
        <v>0</v>
      </c>
      <c r="R94" s="2">
        <f>'Raw Data Cut 1.3'!K90</f>
        <v>0</v>
      </c>
      <c r="S94" s="2">
        <f>'Raw Data Cut 1.3'!N90</f>
        <v>0</v>
      </c>
      <c r="T94" s="2">
        <f t="shared" si="2"/>
        <v>0</v>
      </c>
      <c r="U94" s="10" t="str">
        <f>IF($S94=0, "", IF(COUNTIF(Table1[Amino Acid Change], $S94)=0, "Missing", "Y"))</f>
        <v/>
      </c>
      <c r="V94" s="10">
        <f t="shared" si="3"/>
        <v>0</v>
      </c>
    </row>
    <row r="95" spans="9:22" x14ac:dyDescent="0.25">
      <c r="I95" s="2">
        <f>'Raw Data Cut 1.3'!A91</f>
        <v>0</v>
      </c>
      <c r="J95" s="2">
        <f>'Raw Data Cut 1.3'!B91</f>
        <v>0</v>
      </c>
      <c r="K95" s="2">
        <f>'Raw Data Cut 1.3'!C91</f>
        <v>0</v>
      </c>
      <c r="L95" s="2">
        <f>'Raw Data Cut 1.3'!D91</f>
        <v>0</v>
      </c>
      <c r="M95" s="2">
        <f>'Raw Data Cut 1.3'!E91</f>
        <v>0</v>
      </c>
      <c r="N95" s="2">
        <f>'Raw Data Cut 1.3'!G91</f>
        <v>0</v>
      </c>
      <c r="O95" s="2">
        <f>'Raw Data Cut 1.3'!H91</f>
        <v>0</v>
      </c>
      <c r="P95" s="2">
        <f>'Raw Data Cut 1.3'!I91</f>
        <v>0</v>
      </c>
      <c r="Q95" s="2">
        <f>'Raw Data Cut 1.3'!J91</f>
        <v>0</v>
      </c>
      <c r="R95" s="2">
        <f>'Raw Data Cut 1.3'!K91</f>
        <v>0</v>
      </c>
      <c r="S95" s="2">
        <f>'Raw Data Cut 1.3'!N91</f>
        <v>0</v>
      </c>
      <c r="T95" s="2">
        <f t="shared" si="2"/>
        <v>0</v>
      </c>
      <c r="U95" s="10" t="str">
        <f>IF($S95=0, "", IF(COUNTIF(Table1[Amino Acid Change], $S95)=0, "Missing", "Y"))</f>
        <v/>
      </c>
      <c r="V95" s="10">
        <f t="shared" si="3"/>
        <v>0</v>
      </c>
    </row>
    <row r="96" spans="9:22" x14ac:dyDescent="0.25">
      <c r="I96" s="2">
        <f>'Raw Data Cut 1.3'!A92</f>
        <v>0</v>
      </c>
      <c r="J96" s="2">
        <f>'Raw Data Cut 1.3'!B92</f>
        <v>0</v>
      </c>
      <c r="K96" s="2">
        <f>'Raw Data Cut 1.3'!C92</f>
        <v>0</v>
      </c>
      <c r="L96" s="2">
        <f>'Raw Data Cut 1.3'!D92</f>
        <v>0</v>
      </c>
      <c r="M96" s="2">
        <f>'Raw Data Cut 1.3'!E92</f>
        <v>0</v>
      </c>
      <c r="N96" s="2">
        <f>'Raw Data Cut 1.3'!G92</f>
        <v>0</v>
      </c>
      <c r="O96" s="2">
        <f>'Raw Data Cut 1.3'!H92</f>
        <v>0</v>
      </c>
      <c r="P96" s="2">
        <f>'Raw Data Cut 1.3'!I92</f>
        <v>0</v>
      </c>
      <c r="Q96" s="2">
        <f>'Raw Data Cut 1.3'!J92</f>
        <v>0</v>
      </c>
      <c r="R96" s="2">
        <f>'Raw Data Cut 1.3'!K92</f>
        <v>0</v>
      </c>
      <c r="S96" s="2">
        <f>'Raw Data Cut 1.3'!N92</f>
        <v>0</v>
      </c>
      <c r="T96" s="2">
        <f t="shared" si="2"/>
        <v>0</v>
      </c>
      <c r="U96" s="10" t="str">
        <f>IF($S96=0, "", IF(COUNTIF(Table1[Amino Acid Change], $S96)=0, "Missing", "Y"))</f>
        <v/>
      </c>
      <c r="V96" s="10">
        <f t="shared" si="3"/>
        <v>0</v>
      </c>
    </row>
    <row r="97" spans="9:22" x14ac:dyDescent="0.25">
      <c r="I97" s="2">
        <f>'Raw Data Cut 1.3'!A93</f>
        <v>0</v>
      </c>
      <c r="J97" s="2">
        <f>'Raw Data Cut 1.3'!B93</f>
        <v>0</v>
      </c>
      <c r="K97" s="2">
        <f>'Raw Data Cut 1.3'!C93</f>
        <v>0</v>
      </c>
      <c r="L97" s="2">
        <f>'Raw Data Cut 1.3'!D93</f>
        <v>0</v>
      </c>
      <c r="M97" s="2">
        <f>'Raw Data Cut 1.3'!E93</f>
        <v>0</v>
      </c>
      <c r="N97" s="2">
        <f>'Raw Data Cut 1.3'!G93</f>
        <v>0</v>
      </c>
      <c r="O97" s="2">
        <f>'Raw Data Cut 1.3'!H93</f>
        <v>0</v>
      </c>
      <c r="P97" s="2">
        <f>'Raw Data Cut 1.3'!I93</f>
        <v>0</v>
      </c>
      <c r="Q97" s="2">
        <f>'Raw Data Cut 1.3'!J93</f>
        <v>0</v>
      </c>
      <c r="R97" s="2">
        <f>'Raw Data Cut 1.3'!K93</f>
        <v>0</v>
      </c>
      <c r="S97" s="2">
        <f>'Raw Data Cut 1.3'!N93</f>
        <v>0</v>
      </c>
      <c r="T97" s="2">
        <f t="shared" si="2"/>
        <v>0</v>
      </c>
      <c r="U97" s="10" t="str">
        <f>IF($S97=0, "", IF(COUNTIF(Table1[Amino Acid Change], $S97)=0, "Missing", "Y"))</f>
        <v/>
      </c>
      <c r="V97" s="10">
        <f t="shared" si="3"/>
        <v>0</v>
      </c>
    </row>
    <row r="98" spans="9:22" x14ac:dyDescent="0.25">
      <c r="I98" s="2">
        <f>'Raw Data Cut 1.3'!A94</f>
        <v>0</v>
      </c>
      <c r="J98" s="2">
        <f>'Raw Data Cut 1.3'!B94</f>
        <v>0</v>
      </c>
      <c r="K98" s="2">
        <f>'Raw Data Cut 1.3'!C94</f>
        <v>0</v>
      </c>
      <c r="L98" s="2">
        <f>'Raw Data Cut 1.3'!D94</f>
        <v>0</v>
      </c>
      <c r="M98" s="2">
        <f>'Raw Data Cut 1.3'!E94</f>
        <v>0</v>
      </c>
      <c r="N98" s="2">
        <f>'Raw Data Cut 1.3'!G94</f>
        <v>0</v>
      </c>
      <c r="O98" s="2">
        <f>'Raw Data Cut 1.3'!H94</f>
        <v>0</v>
      </c>
      <c r="P98" s="2">
        <f>'Raw Data Cut 1.3'!I94</f>
        <v>0</v>
      </c>
      <c r="Q98" s="2">
        <f>'Raw Data Cut 1.3'!J94</f>
        <v>0</v>
      </c>
      <c r="R98" s="2">
        <f>'Raw Data Cut 1.3'!K94</f>
        <v>0</v>
      </c>
      <c r="S98" s="2">
        <f>'Raw Data Cut 1.3'!N94</f>
        <v>0</v>
      </c>
      <c r="T98" s="2">
        <f t="shared" si="2"/>
        <v>0</v>
      </c>
      <c r="U98" s="10" t="str">
        <f>IF($S98=0, "", IF(COUNTIF(Table1[Amino Acid Change], $S98)=0, "Missing", "Y"))</f>
        <v/>
      </c>
      <c r="V98" s="10">
        <f t="shared" si="3"/>
        <v>0</v>
      </c>
    </row>
    <row r="99" spans="9:22" x14ac:dyDescent="0.25">
      <c r="I99" s="2">
        <f>'Raw Data Cut 1.3'!A95</f>
        <v>0</v>
      </c>
      <c r="J99" s="2">
        <f>'Raw Data Cut 1.3'!B95</f>
        <v>0</v>
      </c>
      <c r="K99" s="2">
        <f>'Raw Data Cut 1.3'!C95</f>
        <v>0</v>
      </c>
      <c r="L99" s="2">
        <f>'Raw Data Cut 1.3'!D95</f>
        <v>0</v>
      </c>
      <c r="M99" s="2">
        <f>'Raw Data Cut 1.3'!E95</f>
        <v>0</v>
      </c>
      <c r="N99" s="2">
        <f>'Raw Data Cut 1.3'!G95</f>
        <v>0</v>
      </c>
      <c r="O99" s="2">
        <f>'Raw Data Cut 1.3'!H95</f>
        <v>0</v>
      </c>
      <c r="P99" s="2">
        <f>'Raw Data Cut 1.3'!I95</f>
        <v>0</v>
      </c>
      <c r="Q99" s="2">
        <f>'Raw Data Cut 1.3'!J95</f>
        <v>0</v>
      </c>
      <c r="R99" s="2">
        <f>'Raw Data Cut 1.3'!K95</f>
        <v>0</v>
      </c>
      <c r="S99" s="2">
        <f>'Raw Data Cut 1.3'!N95</f>
        <v>0</v>
      </c>
      <c r="T99" s="2">
        <f t="shared" si="2"/>
        <v>0</v>
      </c>
      <c r="U99" s="10" t="str">
        <f>IF($S99=0, "", IF(COUNTIF(Table1[Amino Acid Change], $S99)=0, "Missing", "Y"))</f>
        <v/>
      </c>
      <c r="V99" s="10">
        <f t="shared" si="3"/>
        <v>0</v>
      </c>
    </row>
    <row r="100" spans="9:22" x14ac:dyDescent="0.25">
      <c r="I100" s="2">
        <f>'Raw Data Cut 1.3'!A96</f>
        <v>0</v>
      </c>
      <c r="J100" s="2">
        <f>'Raw Data Cut 1.3'!B96</f>
        <v>0</v>
      </c>
      <c r="K100" s="2">
        <f>'Raw Data Cut 1.3'!C96</f>
        <v>0</v>
      </c>
      <c r="L100" s="2">
        <f>'Raw Data Cut 1.3'!D96</f>
        <v>0</v>
      </c>
      <c r="M100" s="2">
        <f>'Raw Data Cut 1.3'!E96</f>
        <v>0</v>
      </c>
      <c r="N100" s="2">
        <f>'Raw Data Cut 1.3'!G96</f>
        <v>0</v>
      </c>
      <c r="O100" s="2">
        <f>'Raw Data Cut 1.3'!H96</f>
        <v>0</v>
      </c>
      <c r="P100" s="2">
        <f>'Raw Data Cut 1.3'!I96</f>
        <v>0</v>
      </c>
      <c r="Q100" s="2">
        <f>'Raw Data Cut 1.3'!J96</f>
        <v>0</v>
      </c>
      <c r="R100" s="2">
        <f>'Raw Data Cut 1.3'!K96</f>
        <v>0</v>
      </c>
      <c r="S100" s="2">
        <f>'Raw Data Cut 1.3'!N96</f>
        <v>0</v>
      </c>
      <c r="T100" s="2">
        <f t="shared" si="2"/>
        <v>0</v>
      </c>
      <c r="U100" s="10" t="str">
        <f>IF($S100=0, "", IF(COUNTIF(Table1[Amino Acid Change], $S100)=0, "Missing", "Y"))</f>
        <v/>
      </c>
      <c r="V100" s="10">
        <f t="shared" si="3"/>
        <v>0</v>
      </c>
    </row>
    <row r="101" spans="9:22" x14ac:dyDescent="0.25">
      <c r="I101" s="2">
        <f>'Raw Data Cut 1.3'!A97</f>
        <v>0</v>
      </c>
      <c r="J101" s="2">
        <f>'Raw Data Cut 1.3'!B97</f>
        <v>0</v>
      </c>
      <c r="K101" s="2">
        <f>'Raw Data Cut 1.3'!C97</f>
        <v>0</v>
      </c>
      <c r="L101" s="2">
        <f>'Raw Data Cut 1.3'!D97</f>
        <v>0</v>
      </c>
      <c r="M101" s="2">
        <f>'Raw Data Cut 1.3'!E97</f>
        <v>0</v>
      </c>
      <c r="N101" s="2">
        <f>'Raw Data Cut 1.3'!G97</f>
        <v>0</v>
      </c>
      <c r="O101" s="2">
        <f>'Raw Data Cut 1.3'!H97</f>
        <v>0</v>
      </c>
      <c r="P101" s="2">
        <f>'Raw Data Cut 1.3'!I97</f>
        <v>0</v>
      </c>
      <c r="Q101" s="2">
        <f>'Raw Data Cut 1.3'!J97</f>
        <v>0</v>
      </c>
      <c r="R101" s="2">
        <f>'Raw Data Cut 1.3'!K97</f>
        <v>0</v>
      </c>
      <c r="S101" s="2">
        <f>'Raw Data Cut 1.3'!N97</f>
        <v>0</v>
      </c>
      <c r="T101" s="2">
        <f t="shared" si="2"/>
        <v>0</v>
      </c>
      <c r="U101" s="10" t="str">
        <f>IF($S101=0, "", IF(COUNTIF(Table1[Amino Acid Change], $S101)=0, "Missing", "Y"))</f>
        <v/>
      </c>
      <c r="V101" s="10">
        <f t="shared" si="3"/>
        <v>0</v>
      </c>
    </row>
    <row r="102" spans="9:22" x14ac:dyDescent="0.25">
      <c r="I102" s="2">
        <f>'Raw Data Cut 1.3'!A98</f>
        <v>0</v>
      </c>
      <c r="J102" s="2">
        <f>'Raw Data Cut 1.3'!B98</f>
        <v>0</v>
      </c>
      <c r="K102" s="2">
        <f>'Raw Data Cut 1.3'!C98</f>
        <v>0</v>
      </c>
      <c r="L102" s="2">
        <f>'Raw Data Cut 1.3'!D98</f>
        <v>0</v>
      </c>
      <c r="M102" s="2">
        <f>'Raw Data Cut 1.3'!E98</f>
        <v>0</v>
      </c>
      <c r="N102" s="2">
        <f>'Raw Data Cut 1.3'!G98</f>
        <v>0</v>
      </c>
      <c r="O102" s="2">
        <f>'Raw Data Cut 1.3'!H98</f>
        <v>0</v>
      </c>
      <c r="P102" s="2">
        <f>'Raw Data Cut 1.3'!I98</f>
        <v>0</v>
      </c>
      <c r="Q102" s="2">
        <f>'Raw Data Cut 1.3'!J98</f>
        <v>0</v>
      </c>
      <c r="R102" s="2">
        <f>'Raw Data Cut 1.3'!K98</f>
        <v>0</v>
      </c>
      <c r="S102" s="2">
        <f>'Raw Data Cut 1.3'!N98</f>
        <v>0</v>
      </c>
      <c r="T102" s="2">
        <f t="shared" si="2"/>
        <v>0</v>
      </c>
      <c r="U102" s="10" t="str">
        <f>IF($S102=0, "", IF(COUNTIF(Table1[Amino Acid Change], $S102)=0, "Missing", "Y"))</f>
        <v/>
      </c>
      <c r="V102" s="10">
        <f t="shared" si="3"/>
        <v>0</v>
      </c>
    </row>
    <row r="103" spans="9:22" x14ac:dyDescent="0.25">
      <c r="I103" s="2">
        <f>'Raw Data Cut 1.3'!A99</f>
        <v>0</v>
      </c>
      <c r="J103" s="2">
        <f>'Raw Data Cut 1.3'!B99</f>
        <v>0</v>
      </c>
      <c r="K103" s="2">
        <f>'Raw Data Cut 1.3'!C99</f>
        <v>0</v>
      </c>
      <c r="L103" s="2">
        <f>'Raw Data Cut 1.3'!D99</f>
        <v>0</v>
      </c>
      <c r="M103" s="2">
        <f>'Raw Data Cut 1.3'!E99</f>
        <v>0</v>
      </c>
      <c r="N103" s="2">
        <f>'Raw Data Cut 1.3'!G99</f>
        <v>0</v>
      </c>
      <c r="O103" s="2">
        <f>'Raw Data Cut 1.3'!H99</f>
        <v>0</v>
      </c>
      <c r="P103" s="2">
        <f>'Raw Data Cut 1.3'!I99</f>
        <v>0</v>
      </c>
      <c r="Q103" s="2">
        <f>'Raw Data Cut 1.3'!J99</f>
        <v>0</v>
      </c>
      <c r="R103" s="2">
        <f>'Raw Data Cut 1.3'!K99</f>
        <v>0</v>
      </c>
      <c r="S103" s="2">
        <f>'Raw Data Cut 1.3'!N99</f>
        <v>0</v>
      </c>
      <c r="T103" s="2">
        <f t="shared" si="2"/>
        <v>0</v>
      </c>
      <c r="U103" s="10" t="str">
        <f>IF($S103=0, "", IF(COUNTIF(Table1[Amino Acid Change], $S103)=0, "Missing", "Y"))</f>
        <v/>
      </c>
      <c r="V103" s="10">
        <f t="shared" si="3"/>
        <v>0</v>
      </c>
    </row>
    <row r="104" spans="9:22" x14ac:dyDescent="0.25">
      <c r="I104" s="2">
        <f>'Raw Data Cut 1.3'!A100</f>
        <v>0</v>
      </c>
      <c r="J104" s="2">
        <f>'Raw Data Cut 1.3'!B100</f>
        <v>0</v>
      </c>
      <c r="K104" s="2">
        <f>'Raw Data Cut 1.3'!C100</f>
        <v>0</v>
      </c>
      <c r="L104" s="2">
        <f>'Raw Data Cut 1.3'!D100</f>
        <v>0</v>
      </c>
      <c r="M104" s="2">
        <f>'Raw Data Cut 1.3'!E100</f>
        <v>0</v>
      </c>
      <c r="N104" s="2">
        <f>'Raw Data Cut 1.3'!G100</f>
        <v>0</v>
      </c>
      <c r="O104" s="2">
        <f>'Raw Data Cut 1.3'!H100</f>
        <v>0</v>
      </c>
      <c r="P104" s="2">
        <f>'Raw Data Cut 1.3'!I100</f>
        <v>0</v>
      </c>
      <c r="Q104" s="2">
        <f>'Raw Data Cut 1.3'!J100</f>
        <v>0</v>
      </c>
      <c r="R104" s="2">
        <f>'Raw Data Cut 1.3'!K100</f>
        <v>0</v>
      </c>
      <c r="S104" s="2">
        <f>'Raw Data Cut 1.3'!N100</f>
        <v>0</v>
      </c>
      <c r="T104" s="2">
        <f t="shared" si="2"/>
        <v>0</v>
      </c>
      <c r="U104" s="10" t="str">
        <f>IF($S104=0, "", IF(COUNTIF(Table1[Amino Acid Change], $S104)=0, "Missing", "Y"))</f>
        <v/>
      </c>
      <c r="V104" s="10">
        <f t="shared" si="3"/>
        <v>0</v>
      </c>
    </row>
    <row r="105" spans="9:22" x14ac:dyDescent="0.25">
      <c r="I105" s="2">
        <f>'Raw Data Cut 1.3'!A101</f>
        <v>0</v>
      </c>
      <c r="J105" s="2">
        <f>'Raw Data Cut 1.3'!B101</f>
        <v>0</v>
      </c>
      <c r="K105" s="2">
        <f>'Raw Data Cut 1.3'!C101</f>
        <v>0</v>
      </c>
      <c r="L105" s="2">
        <f>'Raw Data Cut 1.3'!D101</f>
        <v>0</v>
      </c>
      <c r="M105" s="2">
        <f>'Raw Data Cut 1.3'!E101</f>
        <v>0</v>
      </c>
      <c r="N105" s="2">
        <f>'Raw Data Cut 1.3'!G101</f>
        <v>0</v>
      </c>
      <c r="O105" s="2">
        <f>'Raw Data Cut 1.3'!H101</f>
        <v>0</v>
      </c>
      <c r="P105" s="2">
        <f>'Raw Data Cut 1.3'!I101</f>
        <v>0</v>
      </c>
      <c r="Q105" s="2">
        <f>'Raw Data Cut 1.3'!J101</f>
        <v>0</v>
      </c>
      <c r="R105" s="2">
        <f>'Raw Data Cut 1.3'!K101</f>
        <v>0</v>
      </c>
      <c r="S105" s="2">
        <f>'Raw Data Cut 1.3'!N101</f>
        <v>0</v>
      </c>
      <c r="T105" s="2">
        <f t="shared" si="2"/>
        <v>0</v>
      </c>
      <c r="U105" s="10" t="str">
        <f>IF($S105=0, "", IF(COUNTIF(Table1[Amino Acid Change], $S105)=0, "Missing", "Y"))</f>
        <v/>
      </c>
      <c r="V105" s="10">
        <f t="shared" si="3"/>
        <v>0</v>
      </c>
    </row>
    <row r="106" spans="9:22" x14ac:dyDescent="0.25">
      <c r="I106" s="2">
        <f>'Raw Data Cut 1.3'!A102</f>
        <v>0</v>
      </c>
      <c r="J106" s="2">
        <f>'Raw Data Cut 1.3'!B102</f>
        <v>0</v>
      </c>
      <c r="K106" s="2">
        <f>'Raw Data Cut 1.3'!C102</f>
        <v>0</v>
      </c>
      <c r="L106" s="2">
        <f>'Raw Data Cut 1.3'!D102</f>
        <v>0</v>
      </c>
      <c r="M106" s="2">
        <f>'Raw Data Cut 1.3'!E102</f>
        <v>0</v>
      </c>
      <c r="N106" s="2">
        <f>'Raw Data Cut 1.3'!G102</f>
        <v>0</v>
      </c>
      <c r="O106" s="2">
        <f>'Raw Data Cut 1.3'!H102</f>
        <v>0</v>
      </c>
      <c r="P106" s="2">
        <f>'Raw Data Cut 1.3'!I102</f>
        <v>0</v>
      </c>
      <c r="Q106" s="2">
        <f>'Raw Data Cut 1.3'!J102</f>
        <v>0</v>
      </c>
      <c r="R106" s="2">
        <f>'Raw Data Cut 1.3'!K102</f>
        <v>0</v>
      </c>
      <c r="S106" s="2">
        <f>'Raw Data Cut 1.3'!N102</f>
        <v>0</v>
      </c>
      <c r="T106" s="2">
        <f t="shared" si="2"/>
        <v>0</v>
      </c>
      <c r="U106" s="10" t="str">
        <f>IF($S106=0, "", IF(COUNTIF(Table1[Amino Acid Change], $S106)=0, "Missing", "Y"))</f>
        <v/>
      </c>
      <c r="V106" s="10">
        <f t="shared" si="3"/>
        <v>0</v>
      </c>
    </row>
    <row r="107" spans="9:22" x14ac:dyDescent="0.25">
      <c r="I107" s="2">
        <f>'Raw Data Cut 1.3'!A103</f>
        <v>0</v>
      </c>
      <c r="J107" s="2">
        <f>'Raw Data Cut 1.3'!B103</f>
        <v>0</v>
      </c>
      <c r="K107" s="2">
        <f>'Raw Data Cut 1.3'!C103</f>
        <v>0</v>
      </c>
      <c r="L107" s="2">
        <f>'Raw Data Cut 1.3'!D103</f>
        <v>0</v>
      </c>
      <c r="M107" s="2">
        <f>'Raw Data Cut 1.3'!E103</f>
        <v>0</v>
      </c>
      <c r="N107" s="2">
        <f>'Raw Data Cut 1.3'!G103</f>
        <v>0</v>
      </c>
      <c r="O107" s="2">
        <f>'Raw Data Cut 1.3'!H103</f>
        <v>0</v>
      </c>
      <c r="P107" s="2">
        <f>'Raw Data Cut 1.3'!I103</f>
        <v>0</v>
      </c>
      <c r="Q107" s="2">
        <f>'Raw Data Cut 1.3'!J103</f>
        <v>0</v>
      </c>
      <c r="R107" s="2">
        <f>'Raw Data Cut 1.3'!K103</f>
        <v>0</v>
      </c>
      <c r="S107" s="2">
        <f>'Raw Data Cut 1.3'!N103</f>
        <v>0</v>
      </c>
      <c r="T107" s="2">
        <f t="shared" si="2"/>
        <v>0</v>
      </c>
      <c r="U107" s="10" t="str">
        <f>IF($S107=0, "", IF(COUNTIF(Table1[Amino Acid Change], $S107)=0, "Missing", "Y"))</f>
        <v/>
      </c>
      <c r="V107" s="10">
        <f t="shared" si="3"/>
        <v>0</v>
      </c>
    </row>
    <row r="108" spans="9:22" x14ac:dyDescent="0.25">
      <c r="I108" s="2">
        <f>'Raw Data Cut 1.3'!A104</f>
        <v>0</v>
      </c>
      <c r="J108" s="2">
        <f>'Raw Data Cut 1.3'!B104</f>
        <v>0</v>
      </c>
      <c r="K108" s="2">
        <f>'Raw Data Cut 1.3'!C104</f>
        <v>0</v>
      </c>
      <c r="L108" s="2">
        <f>'Raw Data Cut 1.3'!D104</f>
        <v>0</v>
      </c>
      <c r="M108" s="2">
        <f>'Raw Data Cut 1.3'!E104</f>
        <v>0</v>
      </c>
      <c r="N108" s="2">
        <f>'Raw Data Cut 1.3'!G104</f>
        <v>0</v>
      </c>
      <c r="O108" s="2">
        <f>'Raw Data Cut 1.3'!H104</f>
        <v>0</v>
      </c>
      <c r="P108" s="2">
        <f>'Raw Data Cut 1.3'!I104</f>
        <v>0</v>
      </c>
      <c r="Q108" s="2">
        <f>'Raw Data Cut 1.3'!J104</f>
        <v>0</v>
      </c>
      <c r="R108" s="2">
        <f>'Raw Data Cut 1.3'!K104</f>
        <v>0</v>
      </c>
      <c r="S108" s="2">
        <f>'Raw Data Cut 1.3'!N104</f>
        <v>0</v>
      </c>
      <c r="T108" s="2">
        <f t="shared" si="2"/>
        <v>0</v>
      </c>
      <c r="U108" s="10" t="str">
        <f>IF($S108=0, "", IF(COUNTIF(Table1[Amino Acid Change], $S108)=0, "Missing", "Y"))</f>
        <v/>
      </c>
      <c r="V108" s="10">
        <f t="shared" si="3"/>
        <v>0</v>
      </c>
    </row>
    <row r="109" spans="9:22" x14ac:dyDescent="0.25">
      <c r="I109" s="2">
        <f>'Raw Data Cut 1.3'!A105</f>
        <v>0</v>
      </c>
      <c r="J109" s="2">
        <f>'Raw Data Cut 1.3'!B105</f>
        <v>0</v>
      </c>
      <c r="K109" s="2">
        <f>'Raw Data Cut 1.3'!C105</f>
        <v>0</v>
      </c>
      <c r="L109" s="2">
        <f>'Raw Data Cut 1.3'!D105</f>
        <v>0</v>
      </c>
      <c r="M109" s="2">
        <f>'Raw Data Cut 1.3'!E105</f>
        <v>0</v>
      </c>
      <c r="N109" s="2">
        <f>'Raw Data Cut 1.3'!G105</f>
        <v>0</v>
      </c>
      <c r="O109" s="2">
        <f>'Raw Data Cut 1.3'!H105</f>
        <v>0</v>
      </c>
      <c r="P109" s="2">
        <f>'Raw Data Cut 1.3'!I105</f>
        <v>0</v>
      </c>
      <c r="Q109" s="2">
        <f>'Raw Data Cut 1.3'!J105</f>
        <v>0</v>
      </c>
      <c r="R109" s="2">
        <f>'Raw Data Cut 1.3'!K105</f>
        <v>0</v>
      </c>
      <c r="S109" s="2">
        <f>'Raw Data Cut 1.3'!N105</f>
        <v>0</v>
      </c>
      <c r="T109" s="2">
        <f t="shared" si="2"/>
        <v>0</v>
      </c>
      <c r="U109" s="10" t="str">
        <f>IF($S109=0, "", IF(COUNTIF(Table1[Amino Acid Change], $S109)=0, "Missing", "Y"))</f>
        <v/>
      </c>
      <c r="V109" s="10">
        <f t="shared" si="3"/>
        <v>0</v>
      </c>
    </row>
    <row r="110" spans="9:22" x14ac:dyDescent="0.25">
      <c r="I110" s="2">
        <f>'Raw Data Cut 1.3'!A106</f>
        <v>0</v>
      </c>
      <c r="J110" s="2">
        <f>'Raw Data Cut 1.3'!B106</f>
        <v>0</v>
      </c>
      <c r="K110" s="2">
        <f>'Raw Data Cut 1.3'!C106</f>
        <v>0</v>
      </c>
      <c r="L110" s="2">
        <f>'Raw Data Cut 1.3'!D106</f>
        <v>0</v>
      </c>
      <c r="M110" s="2">
        <f>'Raw Data Cut 1.3'!E106</f>
        <v>0</v>
      </c>
      <c r="N110" s="2">
        <f>'Raw Data Cut 1.3'!G106</f>
        <v>0</v>
      </c>
      <c r="O110" s="2">
        <f>'Raw Data Cut 1.3'!H106</f>
        <v>0</v>
      </c>
      <c r="P110" s="2">
        <f>'Raw Data Cut 1.3'!I106</f>
        <v>0</v>
      </c>
      <c r="Q110" s="2">
        <f>'Raw Data Cut 1.3'!J106</f>
        <v>0</v>
      </c>
      <c r="R110" s="2">
        <f>'Raw Data Cut 1.3'!K106</f>
        <v>0</v>
      </c>
      <c r="S110" s="2">
        <f>'Raw Data Cut 1.3'!N106</f>
        <v>0</v>
      </c>
      <c r="T110" s="2">
        <f t="shared" si="2"/>
        <v>0</v>
      </c>
      <c r="U110" s="10" t="str">
        <f>IF($S110=0, "", IF(COUNTIF(Table1[Amino Acid Change], $S110)=0, "Missing", "Y"))</f>
        <v/>
      </c>
      <c r="V110" s="10">
        <f t="shared" si="3"/>
        <v>0</v>
      </c>
    </row>
    <row r="111" spans="9:22" x14ac:dyDescent="0.25">
      <c r="I111" s="2">
        <f>'Raw Data Cut 1.3'!A107</f>
        <v>0</v>
      </c>
      <c r="J111" s="2">
        <f>'Raw Data Cut 1.3'!B107</f>
        <v>0</v>
      </c>
      <c r="K111" s="2">
        <f>'Raw Data Cut 1.3'!C107</f>
        <v>0</v>
      </c>
      <c r="L111" s="2">
        <f>'Raw Data Cut 1.3'!D107</f>
        <v>0</v>
      </c>
      <c r="M111" s="2">
        <f>'Raw Data Cut 1.3'!E107</f>
        <v>0</v>
      </c>
      <c r="N111" s="2">
        <f>'Raw Data Cut 1.3'!G107</f>
        <v>0</v>
      </c>
      <c r="O111" s="2">
        <f>'Raw Data Cut 1.3'!H107</f>
        <v>0</v>
      </c>
      <c r="P111" s="2">
        <f>'Raw Data Cut 1.3'!I107</f>
        <v>0</v>
      </c>
      <c r="Q111" s="2">
        <f>'Raw Data Cut 1.3'!J107</f>
        <v>0</v>
      </c>
      <c r="R111" s="2">
        <f>'Raw Data Cut 1.3'!K107</f>
        <v>0</v>
      </c>
      <c r="S111" s="2">
        <f>'Raw Data Cut 1.3'!N107</f>
        <v>0</v>
      </c>
      <c r="T111" s="2">
        <f t="shared" si="2"/>
        <v>0</v>
      </c>
      <c r="U111" s="10" t="str">
        <f>IF($S111=0, "", IF(COUNTIF(Table1[Amino Acid Change], $S111)=0, "Missing", "Y"))</f>
        <v/>
      </c>
      <c r="V111" s="10">
        <f t="shared" si="3"/>
        <v>0</v>
      </c>
    </row>
    <row r="112" spans="9:22" x14ac:dyDescent="0.25">
      <c r="I112" s="2">
        <f>'Raw Data Cut 1.3'!A108</f>
        <v>0</v>
      </c>
      <c r="J112" s="2">
        <f>'Raw Data Cut 1.3'!B108</f>
        <v>0</v>
      </c>
      <c r="K112" s="2">
        <f>'Raw Data Cut 1.3'!C108</f>
        <v>0</v>
      </c>
      <c r="L112" s="2">
        <f>'Raw Data Cut 1.3'!D108</f>
        <v>0</v>
      </c>
      <c r="M112" s="2">
        <f>'Raw Data Cut 1.3'!E108</f>
        <v>0</v>
      </c>
      <c r="N112" s="2">
        <f>'Raw Data Cut 1.3'!G108</f>
        <v>0</v>
      </c>
      <c r="O112" s="2">
        <f>'Raw Data Cut 1.3'!H108</f>
        <v>0</v>
      </c>
      <c r="P112" s="2">
        <f>'Raw Data Cut 1.3'!I108</f>
        <v>0</v>
      </c>
      <c r="Q112" s="2">
        <f>'Raw Data Cut 1.3'!J108</f>
        <v>0</v>
      </c>
      <c r="R112" s="2">
        <f>'Raw Data Cut 1.3'!K108</f>
        <v>0</v>
      </c>
      <c r="S112" s="2">
        <f>'Raw Data Cut 1.3'!N108</f>
        <v>0</v>
      </c>
      <c r="T112" s="2">
        <f t="shared" si="2"/>
        <v>0</v>
      </c>
      <c r="U112" s="10" t="str">
        <f>IF($S112=0, "", IF(COUNTIF(Table1[Amino Acid Change], $S112)=0, "Missing", "Y"))</f>
        <v/>
      </c>
      <c r="V112" s="10">
        <f t="shared" si="3"/>
        <v>0</v>
      </c>
    </row>
    <row r="113" spans="9:22" x14ac:dyDescent="0.25">
      <c r="I113" s="2">
        <f>'Raw Data Cut 1.3'!A109</f>
        <v>0</v>
      </c>
      <c r="J113" s="2">
        <f>'Raw Data Cut 1.3'!B109</f>
        <v>0</v>
      </c>
      <c r="K113" s="2">
        <f>'Raw Data Cut 1.3'!C109</f>
        <v>0</v>
      </c>
      <c r="L113" s="2">
        <f>'Raw Data Cut 1.3'!D109</f>
        <v>0</v>
      </c>
      <c r="M113" s="2">
        <f>'Raw Data Cut 1.3'!E109</f>
        <v>0</v>
      </c>
      <c r="N113" s="2">
        <f>'Raw Data Cut 1.3'!G109</f>
        <v>0</v>
      </c>
      <c r="O113" s="2">
        <f>'Raw Data Cut 1.3'!H109</f>
        <v>0</v>
      </c>
      <c r="P113" s="2">
        <f>'Raw Data Cut 1.3'!I109</f>
        <v>0</v>
      </c>
      <c r="Q113" s="2">
        <f>'Raw Data Cut 1.3'!J109</f>
        <v>0</v>
      </c>
      <c r="R113" s="2">
        <f>'Raw Data Cut 1.3'!K109</f>
        <v>0</v>
      </c>
      <c r="S113" s="2">
        <f>'Raw Data Cut 1.3'!N109</f>
        <v>0</v>
      </c>
      <c r="T113" s="2">
        <f t="shared" si="2"/>
        <v>0</v>
      </c>
      <c r="U113" s="10" t="str">
        <f>IF($S113=0, "", IF(COUNTIF(Table1[Amino Acid Change], $S113)=0, "Missing", "Y"))</f>
        <v/>
      </c>
      <c r="V113" s="10">
        <f t="shared" si="3"/>
        <v>0</v>
      </c>
    </row>
    <row r="114" spans="9:22" x14ac:dyDescent="0.25">
      <c r="I114" s="2">
        <f>'Raw Data Cut 1.3'!A110</f>
        <v>0</v>
      </c>
      <c r="J114" s="2">
        <f>'Raw Data Cut 1.3'!B110</f>
        <v>0</v>
      </c>
      <c r="K114" s="2">
        <f>'Raw Data Cut 1.3'!C110</f>
        <v>0</v>
      </c>
      <c r="L114" s="2">
        <f>'Raw Data Cut 1.3'!D110</f>
        <v>0</v>
      </c>
      <c r="M114" s="2">
        <f>'Raw Data Cut 1.3'!E110</f>
        <v>0</v>
      </c>
      <c r="N114" s="2">
        <f>'Raw Data Cut 1.3'!G110</f>
        <v>0</v>
      </c>
      <c r="O114" s="2">
        <f>'Raw Data Cut 1.3'!H110</f>
        <v>0</v>
      </c>
      <c r="P114" s="2">
        <f>'Raw Data Cut 1.3'!I110</f>
        <v>0</v>
      </c>
      <c r="Q114" s="2">
        <f>'Raw Data Cut 1.3'!J110</f>
        <v>0</v>
      </c>
      <c r="R114" s="2">
        <f>'Raw Data Cut 1.3'!K110</f>
        <v>0</v>
      </c>
      <c r="S114" s="2">
        <f>'Raw Data Cut 1.3'!N110</f>
        <v>0</v>
      </c>
      <c r="T114" s="2">
        <f t="shared" si="2"/>
        <v>0</v>
      </c>
      <c r="U114" s="10" t="str">
        <f>IF($S114=0, "", IF(COUNTIF(Table1[Amino Acid Change], $S114)=0, "Missing", "Y"))</f>
        <v/>
      </c>
      <c r="V114" s="10">
        <f t="shared" si="3"/>
        <v>0</v>
      </c>
    </row>
    <row r="115" spans="9:22" x14ac:dyDescent="0.25">
      <c r="I115" s="2">
        <f>'Raw Data Cut 1.3'!A111</f>
        <v>0</v>
      </c>
      <c r="J115" s="2">
        <f>'Raw Data Cut 1.3'!B111</f>
        <v>0</v>
      </c>
      <c r="K115" s="2">
        <f>'Raw Data Cut 1.3'!C111</f>
        <v>0</v>
      </c>
      <c r="L115" s="2">
        <f>'Raw Data Cut 1.3'!D111</f>
        <v>0</v>
      </c>
      <c r="M115" s="2">
        <f>'Raw Data Cut 1.3'!E111</f>
        <v>0</v>
      </c>
      <c r="N115" s="2">
        <f>'Raw Data Cut 1.3'!G111</f>
        <v>0</v>
      </c>
      <c r="O115" s="2">
        <f>'Raw Data Cut 1.3'!H111</f>
        <v>0</v>
      </c>
      <c r="P115" s="2">
        <f>'Raw Data Cut 1.3'!I111</f>
        <v>0</v>
      </c>
      <c r="Q115" s="2">
        <f>'Raw Data Cut 1.3'!J111</f>
        <v>0</v>
      </c>
      <c r="R115" s="2">
        <f>'Raw Data Cut 1.3'!K111</f>
        <v>0</v>
      </c>
      <c r="S115" s="2">
        <f>'Raw Data Cut 1.3'!N111</f>
        <v>0</v>
      </c>
      <c r="T115" s="2">
        <f t="shared" si="2"/>
        <v>0</v>
      </c>
      <c r="U115" s="10" t="str">
        <f>IF($S115=0, "", IF(COUNTIF(Table1[Amino Acid Change], $S115)=0, "Missing", "Y"))</f>
        <v/>
      </c>
      <c r="V115" s="10">
        <f t="shared" si="3"/>
        <v>0</v>
      </c>
    </row>
    <row r="116" spans="9:22" x14ac:dyDescent="0.25">
      <c r="I116" s="2">
        <f>'Raw Data Cut 1.3'!A112</f>
        <v>0</v>
      </c>
      <c r="J116" s="2">
        <f>'Raw Data Cut 1.3'!B112</f>
        <v>0</v>
      </c>
      <c r="K116" s="2">
        <f>'Raw Data Cut 1.3'!C112</f>
        <v>0</v>
      </c>
      <c r="L116" s="2">
        <f>'Raw Data Cut 1.3'!D112</f>
        <v>0</v>
      </c>
      <c r="M116" s="2">
        <f>'Raw Data Cut 1.3'!E112</f>
        <v>0</v>
      </c>
      <c r="N116" s="2">
        <f>'Raw Data Cut 1.3'!G112</f>
        <v>0</v>
      </c>
      <c r="O116" s="2">
        <f>'Raw Data Cut 1.3'!H112</f>
        <v>0</v>
      </c>
      <c r="P116" s="2">
        <f>'Raw Data Cut 1.3'!I112</f>
        <v>0</v>
      </c>
      <c r="Q116" s="2">
        <f>'Raw Data Cut 1.3'!J112</f>
        <v>0</v>
      </c>
      <c r="R116" s="2">
        <f>'Raw Data Cut 1.3'!K112</f>
        <v>0</v>
      </c>
      <c r="S116" s="2">
        <f>'Raw Data Cut 1.3'!N112</f>
        <v>0</v>
      </c>
      <c r="T116" s="2">
        <f t="shared" si="2"/>
        <v>0</v>
      </c>
      <c r="U116" s="10" t="str">
        <f>IF($S116=0, "", IF(COUNTIF(Table1[Amino Acid Change], $S116)=0, "Missing", "Y"))</f>
        <v/>
      </c>
      <c r="V116" s="10">
        <f t="shared" si="3"/>
        <v>0</v>
      </c>
    </row>
    <row r="117" spans="9:22" x14ac:dyDescent="0.25">
      <c r="I117" s="2">
        <f>'Raw Data Cut 1.3'!A112</f>
        <v>0</v>
      </c>
      <c r="J117" s="2">
        <f>'Raw Data Cut 1.3'!B112</f>
        <v>0</v>
      </c>
      <c r="K117" s="2">
        <f>'Raw Data Cut 1.3'!C112</f>
        <v>0</v>
      </c>
      <c r="L117" s="2">
        <f>'Raw Data Cut 1.3'!D112</f>
        <v>0</v>
      </c>
      <c r="M117" s="2">
        <f>'Raw Data Cut 1.3'!E112</f>
        <v>0</v>
      </c>
      <c r="N117" s="2">
        <f>'Raw Data Cut 1.3'!G112</f>
        <v>0</v>
      </c>
      <c r="O117" s="2">
        <f>'Raw Data Cut 1.3'!H112</f>
        <v>0</v>
      </c>
      <c r="P117" s="2">
        <f>'Raw Data Cut 1.3'!I112</f>
        <v>0</v>
      </c>
      <c r="Q117" s="2">
        <f>'Raw Data Cut 1.3'!J112</f>
        <v>0</v>
      </c>
      <c r="R117" s="2">
        <f>'Raw Data Cut 1.3'!K112</f>
        <v>0</v>
      </c>
      <c r="S117" s="2">
        <f>'Raw Data Cut 1.3'!N112</f>
        <v>0</v>
      </c>
      <c r="T117" s="2">
        <f t="shared" si="2"/>
        <v>0</v>
      </c>
      <c r="U117" s="10" t="str">
        <f>IF($S117=0, "", IF(COUNTIF(Table1[Amino Acid Change], $S117)=0, "Missing", "Y"))</f>
        <v/>
      </c>
      <c r="V117" s="10">
        <f t="shared" si="3"/>
        <v>0</v>
      </c>
    </row>
    <row r="118" spans="9:22" x14ac:dyDescent="0.25">
      <c r="I118" s="2">
        <f>'Raw Data Cut 1.3'!A113</f>
        <v>0</v>
      </c>
      <c r="J118" s="2">
        <f>'Raw Data Cut 1.3'!B113</f>
        <v>0</v>
      </c>
      <c r="K118" s="2">
        <f>'Raw Data Cut 1.3'!C113</f>
        <v>0</v>
      </c>
      <c r="L118" s="2">
        <f>'Raw Data Cut 1.3'!D113</f>
        <v>0</v>
      </c>
      <c r="M118" s="2">
        <f>'Raw Data Cut 1.3'!E113</f>
        <v>0</v>
      </c>
      <c r="N118" s="2">
        <f>'Raw Data Cut 1.3'!G113</f>
        <v>0</v>
      </c>
      <c r="O118" s="2">
        <f>'Raw Data Cut 1.3'!H113</f>
        <v>0</v>
      </c>
      <c r="P118" s="2">
        <f>'Raw Data Cut 1.3'!I113</f>
        <v>0</v>
      </c>
      <c r="Q118" s="2">
        <f>'Raw Data Cut 1.3'!J113</f>
        <v>0</v>
      </c>
      <c r="R118" s="2">
        <f>'Raw Data Cut 1.3'!K113</f>
        <v>0</v>
      </c>
      <c r="S118" s="2">
        <f>'Raw Data Cut 1.3'!N113</f>
        <v>0</v>
      </c>
      <c r="T118" s="2">
        <f t="shared" si="2"/>
        <v>0</v>
      </c>
      <c r="U118" s="10" t="str">
        <f>IF($S118=0, "", IF(COUNTIF(Table1[Amino Acid Change], $S118)=0, "Missing", "Y"))</f>
        <v/>
      </c>
      <c r="V118" s="10">
        <f t="shared" si="3"/>
        <v>0</v>
      </c>
    </row>
    <row r="119" spans="9:22" x14ac:dyDescent="0.25">
      <c r="I119" s="2">
        <f>'Raw Data Cut 1.3'!A114</f>
        <v>0</v>
      </c>
      <c r="J119" s="2">
        <f>'Raw Data Cut 1.3'!B114</f>
        <v>0</v>
      </c>
      <c r="K119" s="2">
        <f>'Raw Data Cut 1.3'!C114</f>
        <v>0</v>
      </c>
      <c r="L119" s="2">
        <f>'Raw Data Cut 1.3'!D114</f>
        <v>0</v>
      </c>
      <c r="M119" s="2">
        <f>'Raw Data Cut 1.3'!E114</f>
        <v>0</v>
      </c>
      <c r="N119" s="2">
        <f>'Raw Data Cut 1.3'!G114</f>
        <v>0</v>
      </c>
      <c r="O119" s="2">
        <f>'Raw Data Cut 1.3'!H114</f>
        <v>0</v>
      </c>
      <c r="P119" s="2">
        <f>'Raw Data Cut 1.3'!I114</f>
        <v>0</v>
      </c>
      <c r="Q119" s="2">
        <f>'Raw Data Cut 1.3'!J114</f>
        <v>0</v>
      </c>
      <c r="R119" s="2">
        <f>'Raw Data Cut 1.3'!K114</f>
        <v>0</v>
      </c>
      <c r="S119" s="2">
        <f>'Raw Data Cut 1.3'!N114</f>
        <v>0</v>
      </c>
      <c r="T119" s="2">
        <f t="shared" si="2"/>
        <v>0</v>
      </c>
      <c r="U119" s="10" t="str">
        <f>IF($S119=0, "", IF(COUNTIF(Table1[Amino Acid Change], $S119)=0, "Missing", "Y"))</f>
        <v/>
      </c>
      <c r="V119" s="10">
        <f t="shared" si="3"/>
        <v>0</v>
      </c>
    </row>
    <row r="120" spans="9:22" x14ac:dyDescent="0.25">
      <c r="I120" s="2">
        <f>'Raw Data Cut 1.3'!A115</f>
        <v>0</v>
      </c>
      <c r="J120" s="2">
        <f>'Raw Data Cut 1.3'!B115</f>
        <v>0</v>
      </c>
      <c r="K120" s="2">
        <f>'Raw Data Cut 1.3'!C115</f>
        <v>0</v>
      </c>
      <c r="L120" s="2">
        <f>'Raw Data Cut 1.3'!D115</f>
        <v>0</v>
      </c>
      <c r="M120" s="2">
        <f>'Raw Data Cut 1.3'!E115</f>
        <v>0</v>
      </c>
      <c r="N120" s="2">
        <f>'Raw Data Cut 1.3'!G115</f>
        <v>0</v>
      </c>
      <c r="O120" s="2">
        <f>'Raw Data Cut 1.3'!H115</f>
        <v>0</v>
      </c>
      <c r="P120" s="2">
        <f>'Raw Data Cut 1.3'!I115</f>
        <v>0</v>
      </c>
      <c r="Q120" s="2">
        <f>'Raw Data Cut 1.3'!J115</f>
        <v>0</v>
      </c>
      <c r="R120" s="2">
        <f>'Raw Data Cut 1.3'!K115</f>
        <v>0</v>
      </c>
      <c r="S120" s="2">
        <f>'Raw Data Cut 1.3'!N115</f>
        <v>0</v>
      </c>
      <c r="T120" s="2">
        <f t="shared" si="2"/>
        <v>0</v>
      </c>
      <c r="U120" s="10" t="str">
        <f>IF($S120=0, "", IF(COUNTIF(Table1[Amino Acid Change], $S120)=0, "Missing", "Y"))</f>
        <v/>
      </c>
      <c r="V120" s="10">
        <f t="shared" si="3"/>
        <v>0</v>
      </c>
    </row>
    <row r="121" spans="9:22" x14ac:dyDescent="0.25">
      <c r="I121" s="2">
        <f>'Raw Data Cut 1.3'!A116</f>
        <v>0</v>
      </c>
      <c r="J121" s="2">
        <f>'Raw Data Cut 1.3'!B116</f>
        <v>0</v>
      </c>
      <c r="K121" s="2">
        <f>'Raw Data Cut 1.3'!C116</f>
        <v>0</v>
      </c>
      <c r="L121" s="2">
        <f>'Raw Data Cut 1.3'!D116</f>
        <v>0</v>
      </c>
      <c r="M121" s="2">
        <f>'Raw Data Cut 1.3'!E116</f>
        <v>0</v>
      </c>
      <c r="N121" s="2">
        <f>'Raw Data Cut 1.3'!G116</f>
        <v>0</v>
      </c>
      <c r="O121" s="2">
        <f>'Raw Data Cut 1.3'!H116</f>
        <v>0</v>
      </c>
      <c r="P121" s="2">
        <f>'Raw Data Cut 1.3'!I116</f>
        <v>0</v>
      </c>
      <c r="Q121" s="2">
        <f>'Raw Data Cut 1.3'!J116</f>
        <v>0</v>
      </c>
      <c r="R121" s="2">
        <f>'Raw Data Cut 1.3'!K116</f>
        <v>0</v>
      </c>
      <c r="S121" s="2">
        <f>'Raw Data Cut 1.3'!N116</f>
        <v>0</v>
      </c>
      <c r="T121" s="2">
        <f t="shared" si="2"/>
        <v>0</v>
      </c>
      <c r="U121" s="10" t="str">
        <f>IF($S121=0, "", IF(COUNTIF(Table1[Amino Acid Change], $S121)=0, "Missing", "Y"))</f>
        <v/>
      </c>
      <c r="V121" s="10">
        <f t="shared" si="3"/>
        <v>0</v>
      </c>
    </row>
    <row r="122" spans="9:22" x14ac:dyDescent="0.25">
      <c r="I122" s="2">
        <f>'Raw Data Cut 1.3'!A117</f>
        <v>0</v>
      </c>
      <c r="J122" s="2">
        <f>'Raw Data Cut 1.3'!B117</f>
        <v>0</v>
      </c>
      <c r="K122" s="2">
        <f>'Raw Data Cut 1.3'!C117</f>
        <v>0</v>
      </c>
      <c r="L122" s="2">
        <f>'Raw Data Cut 1.3'!D117</f>
        <v>0</v>
      </c>
      <c r="M122" s="2">
        <f>'Raw Data Cut 1.3'!E117</f>
        <v>0</v>
      </c>
      <c r="N122" s="2">
        <f>'Raw Data Cut 1.3'!G117</f>
        <v>0</v>
      </c>
      <c r="O122" s="2">
        <f>'Raw Data Cut 1.3'!H117</f>
        <v>0</v>
      </c>
      <c r="P122" s="2">
        <f>'Raw Data Cut 1.3'!I117</f>
        <v>0</v>
      </c>
      <c r="Q122" s="2">
        <f>'Raw Data Cut 1.3'!J117</f>
        <v>0</v>
      </c>
      <c r="R122" s="2">
        <f>'Raw Data Cut 1.3'!K117</f>
        <v>0</v>
      </c>
      <c r="S122" s="2">
        <f>'Raw Data Cut 1.3'!N117</f>
        <v>0</v>
      </c>
      <c r="T122" s="2">
        <f t="shared" si="2"/>
        <v>0</v>
      </c>
      <c r="U122" s="10" t="str">
        <f>IF($S122=0, "", IF(COUNTIF(Table1[Amino Acid Change], $S122)=0, "Missing", "Y"))</f>
        <v/>
      </c>
      <c r="V122" s="10">
        <f t="shared" si="3"/>
        <v>0</v>
      </c>
    </row>
    <row r="123" spans="9:22" x14ac:dyDescent="0.25">
      <c r="I123" s="2">
        <f>'Raw Data Cut 1.3'!A118</f>
        <v>0</v>
      </c>
      <c r="J123" s="2">
        <f>'Raw Data Cut 1.3'!B118</f>
        <v>0</v>
      </c>
      <c r="K123" s="2">
        <f>'Raw Data Cut 1.3'!C118</f>
        <v>0</v>
      </c>
      <c r="L123" s="2">
        <f>'Raw Data Cut 1.3'!D118</f>
        <v>0</v>
      </c>
      <c r="M123" s="2">
        <f>'Raw Data Cut 1.3'!E118</f>
        <v>0</v>
      </c>
      <c r="N123" s="2">
        <f>'Raw Data Cut 1.3'!G118</f>
        <v>0</v>
      </c>
      <c r="O123" s="2">
        <f>'Raw Data Cut 1.3'!H118</f>
        <v>0</v>
      </c>
      <c r="P123" s="2">
        <f>'Raw Data Cut 1.3'!I118</f>
        <v>0</v>
      </c>
      <c r="Q123" s="2">
        <f>'Raw Data Cut 1.3'!J118</f>
        <v>0</v>
      </c>
      <c r="R123" s="2">
        <f>'Raw Data Cut 1.3'!K118</f>
        <v>0</v>
      </c>
      <c r="S123" s="2">
        <f>'Raw Data Cut 1.3'!N118</f>
        <v>0</v>
      </c>
      <c r="T123" s="2">
        <f t="shared" si="2"/>
        <v>0</v>
      </c>
      <c r="U123" s="10" t="str">
        <f>IF($S123=0, "", IF(COUNTIF(Table1[Amino Acid Change], $S123)=0, "Missing", "Y"))</f>
        <v/>
      </c>
      <c r="V123" s="10">
        <f t="shared" si="3"/>
        <v>0</v>
      </c>
    </row>
    <row r="124" spans="9:22" x14ac:dyDescent="0.25">
      <c r="I124" s="2">
        <f>'Raw Data Cut 1.3'!A119</f>
        <v>0</v>
      </c>
      <c r="J124" s="2">
        <f>'Raw Data Cut 1.3'!B119</f>
        <v>0</v>
      </c>
      <c r="K124" s="2">
        <f>'Raw Data Cut 1.3'!C119</f>
        <v>0</v>
      </c>
      <c r="L124" s="2">
        <f>'Raw Data Cut 1.3'!D119</f>
        <v>0</v>
      </c>
      <c r="M124" s="2">
        <f>'Raw Data Cut 1.3'!E119</f>
        <v>0</v>
      </c>
      <c r="N124" s="2">
        <f>'Raw Data Cut 1.3'!G119</f>
        <v>0</v>
      </c>
      <c r="O124" s="2">
        <f>'Raw Data Cut 1.3'!H119</f>
        <v>0</v>
      </c>
      <c r="P124" s="2">
        <f>'Raw Data Cut 1.3'!I119</f>
        <v>0</v>
      </c>
      <c r="Q124" s="2">
        <f>'Raw Data Cut 1.3'!J119</f>
        <v>0</v>
      </c>
      <c r="R124" s="2">
        <f>'Raw Data Cut 1.3'!K119</f>
        <v>0</v>
      </c>
      <c r="S124" s="2">
        <f>'Raw Data Cut 1.3'!N119</f>
        <v>0</v>
      </c>
      <c r="T124" s="2">
        <f t="shared" si="2"/>
        <v>0</v>
      </c>
      <c r="U124" s="10" t="str">
        <f>IF($S124=0, "", IF(COUNTIF(Table1[Amino Acid Change], $S124)=0, "Missing", "Y"))</f>
        <v/>
      </c>
      <c r="V124" s="10">
        <f t="shared" si="3"/>
        <v>0</v>
      </c>
    </row>
    <row r="125" spans="9:22" x14ac:dyDescent="0.25">
      <c r="I125" s="2">
        <f>'Raw Data Cut 1.3'!A120</f>
        <v>0</v>
      </c>
      <c r="J125" s="2">
        <f>'Raw Data Cut 1.3'!B120</f>
        <v>0</v>
      </c>
      <c r="K125" s="2">
        <f>'Raw Data Cut 1.3'!C120</f>
        <v>0</v>
      </c>
      <c r="L125" s="2">
        <f>'Raw Data Cut 1.3'!D120</f>
        <v>0</v>
      </c>
      <c r="M125" s="2">
        <f>'Raw Data Cut 1.3'!E120</f>
        <v>0</v>
      </c>
      <c r="N125" s="2">
        <f>'Raw Data Cut 1.3'!G120</f>
        <v>0</v>
      </c>
      <c r="O125" s="2">
        <f>'Raw Data Cut 1.3'!H120</f>
        <v>0</v>
      </c>
      <c r="P125" s="2">
        <f>'Raw Data Cut 1.3'!I120</f>
        <v>0</v>
      </c>
      <c r="Q125" s="2">
        <f>'Raw Data Cut 1.3'!J120</f>
        <v>0</v>
      </c>
      <c r="R125" s="2">
        <f>'Raw Data Cut 1.3'!K120</f>
        <v>0</v>
      </c>
      <c r="S125" s="2">
        <f>'Raw Data Cut 1.3'!N120</f>
        <v>0</v>
      </c>
      <c r="T125" s="2">
        <f t="shared" si="2"/>
        <v>0</v>
      </c>
      <c r="U125" s="10" t="str">
        <f>IF($S125=0, "", IF(COUNTIF(Table1[Amino Acid Change], $S125)=0, "Missing", "Y"))</f>
        <v/>
      </c>
      <c r="V125" s="10">
        <f t="shared" si="3"/>
        <v>0</v>
      </c>
    </row>
    <row r="126" spans="9:22" x14ac:dyDescent="0.25">
      <c r="I126" s="2">
        <f>'Raw Data Cut 1.3'!A121</f>
        <v>0</v>
      </c>
      <c r="J126" s="2">
        <f>'Raw Data Cut 1.3'!B121</f>
        <v>0</v>
      </c>
      <c r="K126" s="2">
        <f>'Raw Data Cut 1.3'!C121</f>
        <v>0</v>
      </c>
      <c r="L126" s="2">
        <f>'Raw Data Cut 1.3'!D121</f>
        <v>0</v>
      </c>
      <c r="M126" s="2">
        <f>'Raw Data Cut 1.3'!E121</f>
        <v>0</v>
      </c>
      <c r="N126" s="2">
        <f>'Raw Data Cut 1.3'!G121</f>
        <v>0</v>
      </c>
      <c r="O126" s="2">
        <f>'Raw Data Cut 1.3'!H121</f>
        <v>0</v>
      </c>
      <c r="P126" s="2">
        <f>'Raw Data Cut 1.3'!I121</f>
        <v>0</v>
      </c>
      <c r="Q126" s="2">
        <f>'Raw Data Cut 1.3'!J121</f>
        <v>0</v>
      </c>
      <c r="R126" s="2">
        <f>'Raw Data Cut 1.3'!K121</f>
        <v>0</v>
      </c>
      <c r="S126" s="2">
        <f>'Raw Data Cut 1.3'!N121</f>
        <v>0</v>
      </c>
      <c r="T126" s="2">
        <f t="shared" ref="T126:T189" si="4">P126</f>
        <v>0</v>
      </c>
      <c r="U126" s="10" t="str">
        <f>IF($S126=0, "", IF(COUNTIF(Table1[Amino Acid Change], $S126)=0, "Missing", "Y"))</f>
        <v/>
      </c>
      <c r="V126" s="10">
        <f t="shared" si="3"/>
        <v>0</v>
      </c>
    </row>
    <row r="127" spans="9:22" x14ac:dyDescent="0.25">
      <c r="I127" s="2">
        <f>'Raw Data Cut 1.3'!A122</f>
        <v>0</v>
      </c>
      <c r="J127" s="2">
        <f>'Raw Data Cut 1.3'!B122</f>
        <v>0</v>
      </c>
      <c r="K127" s="2">
        <f>'Raw Data Cut 1.3'!C122</f>
        <v>0</v>
      </c>
      <c r="L127" s="2">
        <f>'Raw Data Cut 1.3'!D122</f>
        <v>0</v>
      </c>
      <c r="M127" s="2">
        <f>'Raw Data Cut 1.3'!E122</f>
        <v>0</v>
      </c>
      <c r="N127" s="2">
        <f>'Raw Data Cut 1.3'!G122</f>
        <v>0</v>
      </c>
      <c r="O127" s="2">
        <f>'Raw Data Cut 1.3'!H122</f>
        <v>0</v>
      </c>
      <c r="P127" s="2">
        <f>'Raw Data Cut 1.3'!I122</f>
        <v>0</v>
      </c>
      <c r="Q127" s="2">
        <f>'Raw Data Cut 1.3'!J122</f>
        <v>0</v>
      </c>
      <c r="R127" s="2">
        <f>'Raw Data Cut 1.3'!K122</f>
        <v>0</v>
      </c>
      <c r="S127" s="2">
        <f>'Raw Data Cut 1.3'!N122</f>
        <v>0</v>
      </c>
      <c r="T127" s="2">
        <f t="shared" si="4"/>
        <v>0</v>
      </c>
      <c r="U127" s="10" t="str">
        <f>IF($S127=0, "", IF(COUNTIF(Table1[Amino Acid Change], $S127)=0, "Missing", "Y"))</f>
        <v/>
      </c>
      <c r="V127" s="10">
        <f t="shared" ref="V127:V190" si="5">J127</f>
        <v>0</v>
      </c>
    </row>
    <row r="128" spans="9:22" x14ac:dyDescent="0.25">
      <c r="I128" s="2">
        <f>'Raw Data Cut 1.3'!A123</f>
        <v>0</v>
      </c>
      <c r="J128" s="2">
        <f>'Raw Data Cut 1.3'!B123</f>
        <v>0</v>
      </c>
      <c r="K128" s="2">
        <f>'Raw Data Cut 1.3'!C123</f>
        <v>0</v>
      </c>
      <c r="L128" s="2">
        <f>'Raw Data Cut 1.3'!D123</f>
        <v>0</v>
      </c>
      <c r="M128" s="2">
        <f>'Raw Data Cut 1.3'!E123</f>
        <v>0</v>
      </c>
      <c r="N128" s="2">
        <f>'Raw Data Cut 1.3'!G123</f>
        <v>0</v>
      </c>
      <c r="O128" s="2">
        <f>'Raw Data Cut 1.3'!H123</f>
        <v>0</v>
      </c>
      <c r="P128" s="2">
        <f>'Raw Data Cut 1.3'!I123</f>
        <v>0</v>
      </c>
      <c r="Q128" s="2">
        <f>'Raw Data Cut 1.3'!J123</f>
        <v>0</v>
      </c>
      <c r="R128" s="2">
        <f>'Raw Data Cut 1.3'!K123</f>
        <v>0</v>
      </c>
      <c r="S128" s="2">
        <f>'Raw Data Cut 1.3'!N123</f>
        <v>0</v>
      </c>
      <c r="T128" s="2">
        <f t="shared" si="4"/>
        <v>0</v>
      </c>
      <c r="U128" s="10" t="str">
        <f>IF($S128=0, "", IF(COUNTIF(Table1[Amino Acid Change], $S128)=0, "Missing", "Y"))</f>
        <v/>
      </c>
      <c r="V128" s="10">
        <f t="shared" si="5"/>
        <v>0</v>
      </c>
    </row>
    <row r="129" spans="9:22" x14ac:dyDescent="0.25">
      <c r="I129" s="2">
        <f>'Raw Data Cut 1.3'!A124</f>
        <v>0</v>
      </c>
      <c r="J129" s="2">
        <f>'Raw Data Cut 1.3'!B124</f>
        <v>0</v>
      </c>
      <c r="K129" s="2">
        <f>'Raw Data Cut 1.3'!C124</f>
        <v>0</v>
      </c>
      <c r="L129" s="2">
        <f>'Raw Data Cut 1.3'!D124</f>
        <v>0</v>
      </c>
      <c r="M129" s="2">
        <f>'Raw Data Cut 1.3'!E124</f>
        <v>0</v>
      </c>
      <c r="N129" s="2">
        <f>'Raw Data Cut 1.3'!G124</f>
        <v>0</v>
      </c>
      <c r="O129" s="2">
        <f>'Raw Data Cut 1.3'!H124</f>
        <v>0</v>
      </c>
      <c r="P129" s="2">
        <f>'Raw Data Cut 1.3'!I124</f>
        <v>0</v>
      </c>
      <c r="Q129" s="2">
        <f>'Raw Data Cut 1.3'!J124</f>
        <v>0</v>
      </c>
      <c r="R129" s="2">
        <f>'Raw Data Cut 1.3'!K124</f>
        <v>0</v>
      </c>
      <c r="S129" s="2">
        <f>'Raw Data Cut 1.3'!N124</f>
        <v>0</v>
      </c>
      <c r="T129" s="2">
        <f t="shared" si="4"/>
        <v>0</v>
      </c>
      <c r="U129" s="10" t="str">
        <f>IF($S129=0, "", IF(COUNTIF(Table1[Amino Acid Change], $S129)=0, "Missing", "Y"))</f>
        <v/>
      </c>
      <c r="V129" s="10">
        <f t="shared" si="5"/>
        <v>0</v>
      </c>
    </row>
    <row r="130" spans="9:22" x14ac:dyDescent="0.25">
      <c r="I130" s="2">
        <f>'Raw Data Cut 1.3'!A125</f>
        <v>0</v>
      </c>
      <c r="J130" s="2">
        <f>'Raw Data Cut 1.3'!B125</f>
        <v>0</v>
      </c>
      <c r="K130" s="2">
        <f>'Raw Data Cut 1.3'!C125</f>
        <v>0</v>
      </c>
      <c r="L130" s="2">
        <f>'Raw Data Cut 1.3'!D125</f>
        <v>0</v>
      </c>
      <c r="M130" s="2">
        <f>'Raw Data Cut 1.3'!E125</f>
        <v>0</v>
      </c>
      <c r="N130" s="2">
        <f>'Raw Data Cut 1.3'!G125</f>
        <v>0</v>
      </c>
      <c r="O130" s="2">
        <f>'Raw Data Cut 1.3'!H125</f>
        <v>0</v>
      </c>
      <c r="P130" s="2">
        <f>'Raw Data Cut 1.3'!I125</f>
        <v>0</v>
      </c>
      <c r="Q130" s="2">
        <f>'Raw Data Cut 1.3'!J125</f>
        <v>0</v>
      </c>
      <c r="R130" s="2">
        <f>'Raw Data Cut 1.3'!K125</f>
        <v>0</v>
      </c>
      <c r="S130" s="2">
        <f>'Raw Data Cut 1.3'!N125</f>
        <v>0</v>
      </c>
      <c r="T130" s="2">
        <f t="shared" si="4"/>
        <v>0</v>
      </c>
      <c r="U130" s="10" t="str">
        <f>IF($S130=0, "", IF(COUNTIF(Table1[Amino Acid Change], $S130)=0, "Missing", "Y"))</f>
        <v/>
      </c>
      <c r="V130" s="10">
        <f t="shared" si="5"/>
        <v>0</v>
      </c>
    </row>
    <row r="131" spans="9:22" x14ac:dyDescent="0.25">
      <c r="I131" s="2">
        <f>'Raw Data Cut 1.3'!A126</f>
        <v>0</v>
      </c>
      <c r="J131" s="2">
        <f>'Raw Data Cut 1.3'!B126</f>
        <v>0</v>
      </c>
      <c r="K131" s="2">
        <f>'Raw Data Cut 1.3'!C126</f>
        <v>0</v>
      </c>
      <c r="L131" s="2">
        <f>'Raw Data Cut 1.3'!D126</f>
        <v>0</v>
      </c>
      <c r="M131" s="2">
        <f>'Raw Data Cut 1.3'!E126</f>
        <v>0</v>
      </c>
      <c r="N131" s="2">
        <f>'Raw Data Cut 1.3'!G126</f>
        <v>0</v>
      </c>
      <c r="O131" s="2">
        <f>'Raw Data Cut 1.3'!H126</f>
        <v>0</v>
      </c>
      <c r="P131" s="2">
        <f>'Raw Data Cut 1.3'!I126</f>
        <v>0</v>
      </c>
      <c r="Q131" s="2">
        <f>'Raw Data Cut 1.3'!J126</f>
        <v>0</v>
      </c>
      <c r="R131" s="2">
        <f>'Raw Data Cut 1.3'!K126</f>
        <v>0</v>
      </c>
      <c r="S131" s="2">
        <f>'Raw Data Cut 1.3'!N126</f>
        <v>0</v>
      </c>
      <c r="T131" s="2">
        <f t="shared" si="4"/>
        <v>0</v>
      </c>
      <c r="U131" s="10" t="str">
        <f>IF($S131=0, "", IF(COUNTIF(Table1[Amino Acid Change], $S131)=0, "Missing", "Y"))</f>
        <v/>
      </c>
      <c r="V131" s="10">
        <f t="shared" si="5"/>
        <v>0</v>
      </c>
    </row>
    <row r="132" spans="9:22" x14ac:dyDescent="0.25">
      <c r="I132" s="2">
        <f>'Raw Data Cut 1.3'!A127</f>
        <v>0</v>
      </c>
      <c r="J132" s="2">
        <f>'Raw Data Cut 1.3'!B127</f>
        <v>0</v>
      </c>
      <c r="K132" s="2">
        <f>'Raw Data Cut 1.3'!C127</f>
        <v>0</v>
      </c>
      <c r="L132" s="2">
        <f>'Raw Data Cut 1.3'!D127</f>
        <v>0</v>
      </c>
      <c r="M132" s="2">
        <f>'Raw Data Cut 1.3'!E127</f>
        <v>0</v>
      </c>
      <c r="N132" s="2">
        <f>'Raw Data Cut 1.3'!G127</f>
        <v>0</v>
      </c>
      <c r="O132" s="2">
        <f>'Raw Data Cut 1.3'!H127</f>
        <v>0</v>
      </c>
      <c r="P132" s="2">
        <f>'Raw Data Cut 1.3'!I127</f>
        <v>0</v>
      </c>
      <c r="Q132" s="2">
        <f>'Raw Data Cut 1.3'!J127</f>
        <v>0</v>
      </c>
      <c r="R132" s="2">
        <f>'Raw Data Cut 1.3'!K127</f>
        <v>0</v>
      </c>
      <c r="S132" s="2">
        <f>'Raw Data Cut 1.3'!N127</f>
        <v>0</v>
      </c>
      <c r="T132" s="2">
        <f t="shared" si="4"/>
        <v>0</v>
      </c>
      <c r="U132" s="10" t="str">
        <f>IF($S132=0, "", IF(COUNTIF(Table1[Amino Acid Change], $S132)=0, "Missing", "Y"))</f>
        <v/>
      </c>
      <c r="V132" s="10">
        <f t="shared" si="5"/>
        <v>0</v>
      </c>
    </row>
    <row r="133" spans="9:22" x14ac:dyDescent="0.25">
      <c r="I133" s="2">
        <f>'Raw Data Cut 1.3'!A128</f>
        <v>0</v>
      </c>
      <c r="J133" s="2">
        <f>'Raw Data Cut 1.3'!B128</f>
        <v>0</v>
      </c>
      <c r="K133" s="2">
        <f>'Raw Data Cut 1.3'!C128</f>
        <v>0</v>
      </c>
      <c r="L133" s="2">
        <f>'Raw Data Cut 1.3'!D128</f>
        <v>0</v>
      </c>
      <c r="M133" s="2">
        <f>'Raw Data Cut 1.3'!E128</f>
        <v>0</v>
      </c>
      <c r="N133" s="2">
        <f>'Raw Data Cut 1.3'!G128</f>
        <v>0</v>
      </c>
      <c r="O133" s="2">
        <f>'Raw Data Cut 1.3'!H128</f>
        <v>0</v>
      </c>
      <c r="P133" s="2">
        <f>'Raw Data Cut 1.3'!I128</f>
        <v>0</v>
      </c>
      <c r="Q133" s="2">
        <f>'Raw Data Cut 1.3'!J128</f>
        <v>0</v>
      </c>
      <c r="R133" s="2">
        <f>'Raw Data Cut 1.3'!K128</f>
        <v>0</v>
      </c>
      <c r="S133" s="2">
        <f>'Raw Data Cut 1.3'!N128</f>
        <v>0</v>
      </c>
      <c r="T133" s="2">
        <f t="shared" si="4"/>
        <v>0</v>
      </c>
      <c r="U133" s="10" t="str">
        <f>IF($S133=0, "", IF(COUNTIF(Table1[Amino Acid Change], $S133)=0, "Missing", "Y"))</f>
        <v/>
      </c>
      <c r="V133" s="10">
        <f t="shared" si="5"/>
        <v>0</v>
      </c>
    </row>
    <row r="134" spans="9:22" x14ac:dyDescent="0.25">
      <c r="I134" s="2">
        <f>'Raw Data Cut 1.3'!A129</f>
        <v>0</v>
      </c>
      <c r="J134" s="2">
        <f>'Raw Data Cut 1.3'!B129</f>
        <v>0</v>
      </c>
      <c r="K134" s="2">
        <f>'Raw Data Cut 1.3'!C129</f>
        <v>0</v>
      </c>
      <c r="L134" s="2">
        <f>'Raw Data Cut 1.3'!D129</f>
        <v>0</v>
      </c>
      <c r="M134" s="2">
        <f>'Raw Data Cut 1.3'!E129</f>
        <v>0</v>
      </c>
      <c r="N134" s="2">
        <f>'Raw Data Cut 1.3'!G129</f>
        <v>0</v>
      </c>
      <c r="O134" s="2">
        <f>'Raw Data Cut 1.3'!H129</f>
        <v>0</v>
      </c>
      <c r="P134" s="2">
        <f>'Raw Data Cut 1.3'!I129</f>
        <v>0</v>
      </c>
      <c r="Q134" s="2">
        <f>'Raw Data Cut 1.3'!J129</f>
        <v>0</v>
      </c>
      <c r="R134" s="2">
        <f>'Raw Data Cut 1.3'!K129</f>
        <v>0</v>
      </c>
      <c r="S134" s="2">
        <f>'Raw Data Cut 1.3'!N129</f>
        <v>0</v>
      </c>
      <c r="T134" s="2">
        <f t="shared" si="4"/>
        <v>0</v>
      </c>
      <c r="U134" s="10" t="str">
        <f>IF($S134=0, "", IF(COUNTIF(Table1[Amino Acid Change], $S134)=0, "Missing", "Y"))</f>
        <v/>
      </c>
      <c r="V134" s="10">
        <f t="shared" si="5"/>
        <v>0</v>
      </c>
    </row>
    <row r="135" spans="9:22" x14ac:dyDescent="0.25">
      <c r="I135" s="2">
        <f>'Raw Data Cut 1.3'!A130</f>
        <v>0</v>
      </c>
      <c r="J135" s="2">
        <f>'Raw Data Cut 1.3'!B130</f>
        <v>0</v>
      </c>
      <c r="K135" s="2">
        <f>'Raw Data Cut 1.3'!C130</f>
        <v>0</v>
      </c>
      <c r="L135" s="2">
        <f>'Raw Data Cut 1.3'!D130</f>
        <v>0</v>
      </c>
      <c r="M135" s="2">
        <f>'Raw Data Cut 1.3'!E130</f>
        <v>0</v>
      </c>
      <c r="N135" s="2">
        <f>'Raw Data Cut 1.3'!G130</f>
        <v>0</v>
      </c>
      <c r="O135" s="2">
        <f>'Raw Data Cut 1.3'!H130</f>
        <v>0</v>
      </c>
      <c r="P135" s="2">
        <f>'Raw Data Cut 1.3'!I130</f>
        <v>0</v>
      </c>
      <c r="Q135" s="2">
        <f>'Raw Data Cut 1.3'!J130</f>
        <v>0</v>
      </c>
      <c r="R135" s="2">
        <f>'Raw Data Cut 1.3'!K130</f>
        <v>0</v>
      </c>
      <c r="S135" s="2">
        <f>'Raw Data Cut 1.3'!N130</f>
        <v>0</v>
      </c>
      <c r="T135" s="2">
        <f t="shared" si="4"/>
        <v>0</v>
      </c>
      <c r="U135" s="10" t="str">
        <f>IF($S135=0, "", IF(COUNTIF(Table1[Amino Acid Change], $S135)=0, "Missing", "Y"))</f>
        <v/>
      </c>
      <c r="V135" s="10">
        <f t="shared" si="5"/>
        <v>0</v>
      </c>
    </row>
    <row r="136" spans="9:22" x14ac:dyDescent="0.25">
      <c r="I136" s="2">
        <f>'Raw Data Cut 1.3'!A131</f>
        <v>0</v>
      </c>
      <c r="J136" s="2">
        <f>'Raw Data Cut 1.3'!B131</f>
        <v>0</v>
      </c>
      <c r="K136" s="2">
        <f>'Raw Data Cut 1.3'!C131</f>
        <v>0</v>
      </c>
      <c r="L136" s="2">
        <f>'Raw Data Cut 1.3'!D131</f>
        <v>0</v>
      </c>
      <c r="M136" s="2">
        <f>'Raw Data Cut 1.3'!E131</f>
        <v>0</v>
      </c>
      <c r="N136" s="2">
        <f>'Raw Data Cut 1.3'!G131</f>
        <v>0</v>
      </c>
      <c r="O136" s="2">
        <f>'Raw Data Cut 1.3'!H131</f>
        <v>0</v>
      </c>
      <c r="P136" s="2">
        <f>'Raw Data Cut 1.3'!I131</f>
        <v>0</v>
      </c>
      <c r="Q136" s="2">
        <f>'Raw Data Cut 1.3'!J131</f>
        <v>0</v>
      </c>
      <c r="R136" s="2">
        <f>'Raw Data Cut 1.3'!K131</f>
        <v>0</v>
      </c>
      <c r="S136" s="2">
        <f>'Raw Data Cut 1.3'!N131</f>
        <v>0</v>
      </c>
      <c r="T136" s="2">
        <f t="shared" si="4"/>
        <v>0</v>
      </c>
      <c r="U136" s="10" t="str">
        <f>IF($S136=0, "", IF(COUNTIF(Table1[Amino Acid Change], $S136)=0, "Missing", "Y"))</f>
        <v/>
      </c>
      <c r="V136" s="10">
        <f t="shared" si="5"/>
        <v>0</v>
      </c>
    </row>
    <row r="137" spans="9:22" x14ac:dyDescent="0.25">
      <c r="I137" s="2">
        <f>'Raw Data Cut 1.3'!A132</f>
        <v>0</v>
      </c>
      <c r="J137" s="2">
        <f>'Raw Data Cut 1.3'!B132</f>
        <v>0</v>
      </c>
      <c r="K137" s="2">
        <f>'Raw Data Cut 1.3'!C132</f>
        <v>0</v>
      </c>
      <c r="L137" s="2">
        <f>'Raw Data Cut 1.3'!D132</f>
        <v>0</v>
      </c>
      <c r="M137" s="2">
        <f>'Raw Data Cut 1.3'!E132</f>
        <v>0</v>
      </c>
      <c r="N137" s="2">
        <f>'Raw Data Cut 1.3'!G132</f>
        <v>0</v>
      </c>
      <c r="O137" s="2">
        <f>'Raw Data Cut 1.3'!H132</f>
        <v>0</v>
      </c>
      <c r="P137" s="2">
        <f>'Raw Data Cut 1.3'!I132</f>
        <v>0</v>
      </c>
      <c r="Q137" s="2">
        <f>'Raw Data Cut 1.3'!J132</f>
        <v>0</v>
      </c>
      <c r="R137" s="2">
        <f>'Raw Data Cut 1.3'!K132</f>
        <v>0</v>
      </c>
      <c r="S137" s="2">
        <f>'Raw Data Cut 1.3'!N132</f>
        <v>0</v>
      </c>
      <c r="T137" s="2">
        <f t="shared" si="4"/>
        <v>0</v>
      </c>
      <c r="U137" s="10" t="str">
        <f>IF($S137=0, "", IF(COUNTIF(Table1[Amino Acid Change], $S137)=0, "Missing", "Y"))</f>
        <v/>
      </c>
      <c r="V137" s="10">
        <f t="shared" si="5"/>
        <v>0</v>
      </c>
    </row>
    <row r="138" spans="9:22" x14ac:dyDescent="0.25">
      <c r="I138" s="2">
        <f>'Raw Data Cut 1.3'!A133</f>
        <v>0</v>
      </c>
      <c r="J138" s="2">
        <f>'Raw Data Cut 1.3'!B133</f>
        <v>0</v>
      </c>
      <c r="K138" s="2">
        <f>'Raw Data Cut 1.3'!C133</f>
        <v>0</v>
      </c>
      <c r="L138" s="2">
        <f>'Raw Data Cut 1.3'!D133</f>
        <v>0</v>
      </c>
      <c r="M138" s="2">
        <f>'Raw Data Cut 1.3'!E133</f>
        <v>0</v>
      </c>
      <c r="N138" s="2">
        <f>'Raw Data Cut 1.3'!G133</f>
        <v>0</v>
      </c>
      <c r="O138" s="2">
        <f>'Raw Data Cut 1.3'!H133</f>
        <v>0</v>
      </c>
      <c r="P138" s="2">
        <f>'Raw Data Cut 1.3'!I133</f>
        <v>0</v>
      </c>
      <c r="Q138" s="2">
        <f>'Raw Data Cut 1.3'!J133</f>
        <v>0</v>
      </c>
      <c r="R138" s="2">
        <f>'Raw Data Cut 1.3'!K133</f>
        <v>0</v>
      </c>
      <c r="S138" s="2">
        <f>'Raw Data Cut 1.3'!N133</f>
        <v>0</v>
      </c>
      <c r="T138" s="2">
        <f t="shared" si="4"/>
        <v>0</v>
      </c>
      <c r="U138" s="10" t="str">
        <f>IF($S138=0, "", IF(COUNTIF(Table1[Amino Acid Change], $S138)=0, "Missing", "Y"))</f>
        <v/>
      </c>
      <c r="V138" s="10">
        <f t="shared" si="5"/>
        <v>0</v>
      </c>
    </row>
    <row r="139" spans="9:22" x14ac:dyDescent="0.25">
      <c r="I139" s="2">
        <f>'Raw Data Cut 1.3'!A134</f>
        <v>0</v>
      </c>
      <c r="J139" s="2">
        <f>'Raw Data Cut 1.3'!B134</f>
        <v>0</v>
      </c>
      <c r="K139" s="2">
        <f>'Raw Data Cut 1.3'!C134</f>
        <v>0</v>
      </c>
      <c r="L139" s="2">
        <f>'Raw Data Cut 1.3'!D134</f>
        <v>0</v>
      </c>
      <c r="M139" s="2">
        <f>'Raw Data Cut 1.3'!E134</f>
        <v>0</v>
      </c>
      <c r="N139" s="2">
        <f>'Raw Data Cut 1.3'!G134</f>
        <v>0</v>
      </c>
      <c r="O139" s="2">
        <f>'Raw Data Cut 1.3'!H134</f>
        <v>0</v>
      </c>
      <c r="P139" s="2">
        <f>'Raw Data Cut 1.3'!I134</f>
        <v>0</v>
      </c>
      <c r="Q139" s="2">
        <f>'Raw Data Cut 1.3'!J134</f>
        <v>0</v>
      </c>
      <c r="R139" s="2">
        <f>'Raw Data Cut 1.3'!K134</f>
        <v>0</v>
      </c>
      <c r="S139" s="2">
        <f>'Raw Data Cut 1.3'!N134</f>
        <v>0</v>
      </c>
      <c r="T139" s="2">
        <f t="shared" si="4"/>
        <v>0</v>
      </c>
      <c r="U139" s="10" t="str">
        <f>IF($S139=0, "", IF(COUNTIF(Table1[Amino Acid Change], $S139)=0, "Missing", "Y"))</f>
        <v/>
      </c>
      <c r="V139" s="10">
        <f t="shared" si="5"/>
        <v>0</v>
      </c>
    </row>
    <row r="140" spans="9:22" x14ac:dyDescent="0.25">
      <c r="I140" s="2">
        <f>'Raw Data Cut 1.3'!A135</f>
        <v>0</v>
      </c>
      <c r="J140" s="2">
        <f>'Raw Data Cut 1.3'!B135</f>
        <v>0</v>
      </c>
      <c r="K140" s="2">
        <f>'Raw Data Cut 1.3'!C135</f>
        <v>0</v>
      </c>
      <c r="L140" s="2">
        <f>'Raw Data Cut 1.3'!D135</f>
        <v>0</v>
      </c>
      <c r="M140" s="2">
        <f>'Raw Data Cut 1.3'!E135</f>
        <v>0</v>
      </c>
      <c r="N140" s="2">
        <f>'Raw Data Cut 1.3'!G135</f>
        <v>0</v>
      </c>
      <c r="O140" s="2">
        <f>'Raw Data Cut 1.3'!H135</f>
        <v>0</v>
      </c>
      <c r="P140" s="2">
        <f>'Raw Data Cut 1.3'!I135</f>
        <v>0</v>
      </c>
      <c r="Q140" s="2">
        <f>'Raw Data Cut 1.3'!J135</f>
        <v>0</v>
      </c>
      <c r="R140" s="2">
        <f>'Raw Data Cut 1.3'!K135</f>
        <v>0</v>
      </c>
      <c r="S140" s="2">
        <f>'Raw Data Cut 1.3'!N135</f>
        <v>0</v>
      </c>
      <c r="T140" s="2">
        <f t="shared" si="4"/>
        <v>0</v>
      </c>
      <c r="U140" s="10" t="str">
        <f>IF($S140=0, "", IF(COUNTIF(Table1[Amino Acid Change], $S140)=0, "Missing", "Y"))</f>
        <v/>
      </c>
      <c r="V140" s="10">
        <f t="shared" si="5"/>
        <v>0</v>
      </c>
    </row>
    <row r="141" spans="9:22" x14ac:dyDescent="0.25">
      <c r="I141" s="2">
        <f>'Raw Data Cut 1.3'!A136</f>
        <v>0</v>
      </c>
      <c r="J141" s="2">
        <f>'Raw Data Cut 1.3'!B136</f>
        <v>0</v>
      </c>
      <c r="K141" s="2">
        <f>'Raw Data Cut 1.3'!C136</f>
        <v>0</v>
      </c>
      <c r="L141" s="2">
        <f>'Raw Data Cut 1.3'!D136</f>
        <v>0</v>
      </c>
      <c r="M141" s="2">
        <f>'Raw Data Cut 1.3'!E136</f>
        <v>0</v>
      </c>
      <c r="N141" s="2">
        <f>'Raw Data Cut 1.3'!G136</f>
        <v>0</v>
      </c>
      <c r="O141" s="2">
        <f>'Raw Data Cut 1.3'!H136</f>
        <v>0</v>
      </c>
      <c r="P141" s="2">
        <f>'Raw Data Cut 1.3'!I136</f>
        <v>0</v>
      </c>
      <c r="Q141" s="2">
        <f>'Raw Data Cut 1.3'!J136</f>
        <v>0</v>
      </c>
      <c r="R141" s="2">
        <f>'Raw Data Cut 1.3'!K136</f>
        <v>0</v>
      </c>
      <c r="S141" s="2">
        <f>'Raw Data Cut 1.3'!N136</f>
        <v>0</v>
      </c>
      <c r="T141" s="2">
        <f t="shared" si="4"/>
        <v>0</v>
      </c>
      <c r="U141" s="10" t="str">
        <f>IF($S141=0, "", IF(COUNTIF(Table1[Amino Acid Change], $S141)=0, "Missing", "Y"))</f>
        <v/>
      </c>
      <c r="V141" s="10">
        <f t="shared" si="5"/>
        <v>0</v>
      </c>
    </row>
    <row r="142" spans="9:22" x14ac:dyDescent="0.25">
      <c r="I142" s="2">
        <f>'Raw Data Cut 1.3'!A137</f>
        <v>0</v>
      </c>
      <c r="J142" s="2">
        <f>'Raw Data Cut 1.3'!B137</f>
        <v>0</v>
      </c>
      <c r="K142" s="2">
        <f>'Raw Data Cut 1.3'!C137</f>
        <v>0</v>
      </c>
      <c r="L142" s="2">
        <f>'Raw Data Cut 1.3'!D137</f>
        <v>0</v>
      </c>
      <c r="M142" s="2">
        <f>'Raw Data Cut 1.3'!E137</f>
        <v>0</v>
      </c>
      <c r="N142" s="2">
        <f>'Raw Data Cut 1.3'!G137</f>
        <v>0</v>
      </c>
      <c r="O142" s="2">
        <f>'Raw Data Cut 1.3'!H137</f>
        <v>0</v>
      </c>
      <c r="P142" s="2">
        <f>'Raw Data Cut 1.3'!I137</f>
        <v>0</v>
      </c>
      <c r="Q142" s="2">
        <f>'Raw Data Cut 1.3'!J137</f>
        <v>0</v>
      </c>
      <c r="R142" s="2">
        <f>'Raw Data Cut 1.3'!K137</f>
        <v>0</v>
      </c>
      <c r="S142" s="2">
        <f>'Raw Data Cut 1.3'!N137</f>
        <v>0</v>
      </c>
      <c r="T142" s="2">
        <f t="shared" si="4"/>
        <v>0</v>
      </c>
      <c r="U142" s="10" t="str">
        <f>IF($S142=0, "", IF(COUNTIF(Table1[Amino Acid Change], $S142)=0, "Missing", "Y"))</f>
        <v/>
      </c>
      <c r="V142" s="10">
        <f t="shared" si="5"/>
        <v>0</v>
      </c>
    </row>
    <row r="143" spans="9:22" x14ac:dyDescent="0.25">
      <c r="I143" s="2">
        <f>'Raw Data Cut 1.3'!A138</f>
        <v>0</v>
      </c>
      <c r="J143" s="2">
        <f>'Raw Data Cut 1.3'!B138</f>
        <v>0</v>
      </c>
      <c r="K143" s="2">
        <f>'Raw Data Cut 1.3'!C138</f>
        <v>0</v>
      </c>
      <c r="L143" s="2">
        <f>'Raw Data Cut 1.3'!D138</f>
        <v>0</v>
      </c>
      <c r="M143" s="2">
        <f>'Raw Data Cut 1.3'!E138</f>
        <v>0</v>
      </c>
      <c r="N143" s="2">
        <f>'Raw Data Cut 1.3'!G138</f>
        <v>0</v>
      </c>
      <c r="O143" s="2">
        <f>'Raw Data Cut 1.3'!H138</f>
        <v>0</v>
      </c>
      <c r="P143" s="2">
        <f>'Raw Data Cut 1.3'!I138</f>
        <v>0</v>
      </c>
      <c r="Q143" s="2">
        <f>'Raw Data Cut 1.3'!J138</f>
        <v>0</v>
      </c>
      <c r="R143" s="2">
        <f>'Raw Data Cut 1.3'!K138</f>
        <v>0</v>
      </c>
      <c r="S143" s="2">
        <f>'Raw Data Cut 1.3'!N138</f>
        <v>0</v>
      </c>
      <c r="T143" s="2">
        <f t="shared" si="4"/>
        <v>0</v>
      </c>
      <c r="U143" s="10" t="str">
        <f>IF($S143=0, "", IF(COUNTIF(Table1[Amino Acid Change], $S143)=0, "Missing", "Y"))</f>
        <v/>
      </c>
      <c r="V143" s="10">
        <f t="shared" si="5"/>
        <v>0</v>
      </c>
    </row>
    <row r="144" spans="9:22" x14ac:dyDescent="0.25">
      <c r="I144" s="2">
        <f>'Raw Data Cut 1.3'!A139</f>
        <v>0</v>
      </c>
      <c r="J144" s="2">
        <f>'Raw Data Cut 1.3'!B139</f>
        <v>0</v>
      </c>
      <c r="K144" s="2">
        <f>'Raw Data Cut 1.3'!C139</f>
        <v>0</v>
      </c>
      <c r="L144" s="2">
        <f>'Raw Data Cut 1.3'!D139</f>
        <v>0</v>
      </c>
      <c r="M144" s="2">
        <f>'Raw Data Cut 1.3'!E139</f>
        <v>0</v>
      </c>
      <c r="N144" s="2">
        <f>'Raw Data Cut 1.3'!G139</f>
        <v>0</v>
      </c>
      <c r="O144" s="2">
        <f>'Raw Data Cut 1.3'!H139</f>
        <v>0</v>
      </c>
      <c r="P144" s="2">
        <f>'Raw Data Cut 1.3'!I139</f>
        <v>0</v>
      </c>
      <c r="Q144" s="2">
        <f>'Raw Data Cut 1.3'!J139</f>
        <v>0</v>
      </c>
      <c r="R144" s="2">
        <f>'Raw Data Cut 1.3'!K139</f>
        <v>0</v>
      </c>
      <c r="S144" s="2">
        <f>'Raw Data Cut 1.3'!N139</f>
        <v>0</v>
      </c>
      <c r="T144" s="2">
        <f t="shared" si="4"/>
        <v>0</v>
      </c>
      <c r="U144" s="10" t="str">
        <f>IF($S144=0, "", IF(COUNTIF(Table1[Amino Acid Change], $S144)=0, "Missing", "Y"))</f>
        <v/>
      </c>
      <c r="V144" s="10">
        <f t="shared" si="5"/>
        <v>0</v>
      </c>
    </row>
    <row r="145" spans="9:22" x14ac:dyDescent="0.25">
      <c r="I145" s="2">
        <f>'Raw Data Cut 1.3'!A140</f>
        <v>0</v>
      </c>
      <c r="J145" s="2">
        <f>'Raw Data Cut 1.3'!B140</f>
        <v>0</v>
      </c>
      <c r="K145" s="2">
        <f>'Raw Data Cut 1.3'!C140</f>
        <v>0</v>
      </c>
      <c r="L145" s="2">
        <f>'Raw Data Cut 1.3'!D140</f>
        <v>0</v>
      </c>
      <c r="M145" s="2">
        <f>'Raw Data Cut 1.3'!E140</f>
        <v>0</v>
      </c>
      <c r="N145" s="2">
        <f>'Raw Data Cut 1.3'!G140</f>
        <v>0</v>
      </c>
      <c r="O145" s="2">
        <f>'Raw Data Cut 1.3'!H140</f>
        <v>0</v>
      </c>
      <c r="P145" s="2">
        <f>'Raw Data Cut 1.3'!I140</f>
        <v>0</v>
      </c>
      <c r="Q145" s="2">
        <f>'Raw Data Cut 1.3'!J140</f>
        <v>0</v>
      </c>
      <c r="R145" s="2">
        <f>'Raw Data Cut 1.3'!K140</f>
        <v>0</v>
      </c>
      <c r="S145" s="2">
        <f>'Raw Data Cut 1.3'!N140</f>
        <v>0</v>
      </c>
      <c r="T145" s="2">
        <f t="shared" si="4"/>
        <v>0</v>
      </c>
      <c r="U145" s="10" t="str">
        <f>IF($S145=0, "", IF(COUNTIF(Table1[Amino Acid Change], $S145)=0, "Missing", "Y"))</f>
        <v/>
      </c>
      <c r="V145" s="10">
        <f t="shared" si="5"/>
        <v>0</v>
      </c>
    </row>
    <row r="146" spans="9:22" x14ac:dyDescent="0.25">
      <c r="I146" s="2">
        <f>'Raw Data Cut 1.3'!A141</f>
        <v>0</v>
      </c>
      <c r="J146" s="2">
        <f>'Raw Data Cut 1.3'!B141</f>
        <v>0</v>
      </c>
      <c r="K146" s="2">
        <f>'Raw Data Cut 1.3'!C141</f>
        <v>0</v>
      </c>
      <c r="L146" s="2">
        <f>'Raw Data Cut 1.3'!D141</f>
        <v>0</v>
      </c>
      <c r="M146" s="2">
        <f>'Raw Data Cut 1.3'!E141</f>
        <v>0</v>
      </c>
      <c r="N146" s="2">
        <f>'Raw Data Cut 1.3'!G141</f>
        <v>0</v>
      </c>
      <c r="O146" s="2">
        <f>'Raw Data Cut 1.3'!H141</f>
        <v>0</v>
      </c>
      <c r="P146" s="2">
        <f>'Raw Data Cut 1.3'!I141</f>
        <v>0</v>
      </c>
      <c r="Q146" s="2">
        <f>'Raw Data Cut 1.3'!J141</f>
        <v>0</v>
      </c>
      <c r="R146" s="2">
        <f>'Raw Data Cut 1.3'!K141</f>
        <v>0</v>
      </c>
      <c r="S146" s="2">
        <f>'Raw Data Cut 1.3'!N141</f>
        <v>0</v>
      </c>
      <c r="T146" s="2">
        <f t="shared" si="4"/>
        <v>0</v>
      </c>
      <c r="U146" s="10" t="str">
        <f>IF($S146=0, "", IF(COUNTIF(Table1[Amino Acid Change], $S146)=0, "Missing", "Y"))</f>
        <v/>
      </c>
      <c r="V146" s="10">
        <f t="shared" si="5"/>
        <v>0</v>
      </c>
    </row>
    <row r="147" spans="9:22" x14ac:dyDescent="0.25">
      <c r="I147" s="2">
        <f>'Raw Data Cut 1.3'!A143</f>
        <v>0</v>
      </c>
      <c r="J147" s="2">
        <f>'Raw Data Cut 1.3'!B143</f>
        <v>0</v>
      </c>
      <c r="K147" s="2">
        <f>'Raw Data Cut 1.3'!C143</f>
        <v>0</v>
      </c>
      <c r="L147" s="2">
        <f>'Raw Data Cut 1.3'!D143</f>
        <v>0</v>
      </c>
      <c r="M147" s="2">
        <f>'Raw Data Cut 1.3'!E143</f>
        <v>0</v>
      </c>
      <c r="N147" s="2">
        <f>'Raw Data Cut 1.3'!G143</f>
        <v>0</v>
      </c>
      <c r="O147" s="2">
        <f>'Raw Data Cut 1.3'!H143</f>
        <v>0</v>
      </c>
      <c r="P147" s="2">
        <f>'Raw Data Cut 1.3'!I143</f>
        <v>0</v>
      </c>
      <c r="Q147" s="2">
        <f>'Raw Data Cut 1.3'!J143</f>
        <v>0</v>
      </c>
      <c r="R147" s="2">
        <f>'Raw Data Cut 1.3'!K143</f>
        <v>0</v>
      </c>
      <c r="S147" s="2">
        <f>'Raw Data Cut 1.3'!N143</f>
        <v>0</v>
      </c>
      <c r="T147" s="2">
        <f t="shared" si="4"/>
        <v>0</v>
      </c>
      <c r="U147" s="10" t="str">
        <f>IF($S147=0, "", IF(COUNTIF(Table1[Amino Acid Change], $S147)=0, "Missing", "Y"))</f>
        <v/>
      </c>
      <c r="V147" s="10">
        <f t="shared" si="5"/>
        <v>0</v>
      </c>
    </row>
    <row r="148" spans="9:22" x14ac:dyDescent="0.25">
      <c r="I148" s="2">
        <f>'Raw Data Cut 1.3'!A144</f>
        <v>0</v>
      </c>
      <c r="J148" s="2">
        <f>'Raw Data Cut 1.3'!B144</f>
        <v>0</v>
      </c>
      <c r="K148" s="2">
        <f>'Raw Data Cut 1.3'!C144</f>
        <v>0</v>
      </c>
      <c r="L148" s="2">
        <f>'Raw Data Cut 1.3'!D144</f>
        <v>0</v>
      </c>
      <c r="M148" s="2">
        <f>'Raw Data Cut 1.3'!E144</f>
        <v>0</v>
      </c>
      <c r="N148" s="2">
        <f>'Raw Data Cut 1.3'!G144</f>
        <v>0</v>
      </c>
      <c r="O148" s="2">
        <f>'Raw Data Cut 1.3'!H144</f>
        <v>0</v>
      </c>
      <c r="P148" s="2">
        <f>'Raw Data Cut 1.3'!I144</f>
        <v>0</v>
      </c>
      <c r="Q148" s="2">
        <f>'Raw Data Cut 1.3'!J144</f>
        <v>0</v>
      </c>
      <c r="R148" s="2">
        <f>'Raw Data Cut 1.3'!K144</f>
        <v>0</v>
      </c>
      <c r="S148" s="2">
        <f>'Raw Data Cut 1.3'!N144</f>
        <v>0</v>
      </c>
      <c r="T148" s="2">
        <f t="shared" si="4"/>
        <v>0</v>
      </c>
      <c r="U148" s="10" t="str">
        <f>IF($S148=0, "", IF(COUNTIF(Table1[Amino Acid Change], $S148)=0, "Missing", "Y"))</f>
        <v/>
      </c>
      <c r="V148" s="10">
        <f t="shared" si="5"/>
        <v>0</v>
      </c>
    </row>
    <row r="149" spans="9:22" x14ac:dyDescent="0.25">
      <c r="I149" s="2">
        <f>'Raw Data Cut 1.3'!A145</f>
        <v>0</v>
      </c>
      <c r="J149" s="2">
        <f>'Raw Data Cut 1.3'!B145</f>
        <v>0</v>
      </c>
      <c r="K149" s="2">
        <f>'Raw Data Cut 1.3'!C145</f>
        <v>0</v>
      </c>
      <c r="L149" s="2">
        <f>'Raw Data Cut 1.3'!D145</f>
        <v>0</v>
      </c>
      <c r="M149" s="2">
        <f>'Raw Data Cut 1.3'!E145</f>
        <v>0</v>
      </c>
      <c r="N149" s="2">
        <f>'Raw Data Cut 1.3'!G145</f>
        <v>0</v>
      </c>
      <c r="O149" s="2">
        <f>'Raw Data Cut 1.3'!H145</f>
        <v>0</v>
      </c>
      <c r="P149" s="2">
        <f>'Raw Data Cut 1.3'!I145</f>
        <v>0</v>
      </c>
      <c r="Q149" s="2">
        <f>'Raw Data Cut 1.3'!J145</f>
        <v>0</v>
      </c>
      <c r="R149" s="2">
        <f>'Raw Data Cut 1.3'!K145</f>
        <v>0</v>
      </c>
      <c r="S149" s="2">
        <f>'Raw Data Cut 1.3'!N145</f>
        <v>0</v>
      </c>
      <c r="T149" s="2">
        <f t="shared" si="4"/>
        <v>0</v>
      </c>
      <c r="U149" s="10" t="str">
        <f>IF($S149=0, "", IF(COUNTIF(Table1[Amino Acid Change], $S149)=0, "Missing", "Y"))</f>
        <v/>
      </c>
      <c r="V149" s="10">
        <f t="shared" si="5"/>
        <v>0</v>
      </c>
    </row>
    <row r="150" spans="9:22" x14ac:dyDescent="0.25">
      <c r="I150" s="2">
        <f>'Raw Data Cut 1.3'!A146</f>
        <v>0</v>
      </c>
      <c r="J150" s="2">
        <f>'Raw Data Cut 1.3'!B146</f>
        <v>0</v>
      </c>
      <c r="K150" s="2">
        <f>'Raw Data Cut 1.3'!C146</f>
        <v>0</v>
      </c>
      <c r="L150" s="2">
        <f>'Raw Data Cut 1.3'!D146</f>
        <v>0</v>
      </c>
      <c r="M150" s="2">
        <f>'Raw Data Cut 1.3'!E146</f>
        <v>0</v>
      </c>
      <c r="N150" s="2">
        <f>'Raw Data Cut 1.3'!G146</f>
        <v>0</v>
      </c>
      <c r="O150" s="2">
        <f>'Raw Data Cut 1.3'!H146</f>
        <v>0</v>
      </c>
      <c r="P150" s="2">
        <f>'Raw Data Cut 1.3'!I146</f>
        <v>0</v>
      </c>
      <c r="Q150" s="2">
        <f>'Raw Data Cut 1.3'!J146</f>
        <v>0</v>
      </c>
      <c r="R150" s="2">
        <f>'Raw Data Cut 1.3'!K146</f>
        <v>0</v>
      </c>
      <c r="S150" s="2">
        <f>'Raw Data Cut 1.3'!N146</f>
        <v>0</v>
      </c>
      <c r="T150" s="2">
        <f t="shared" si="4"/>
        <v>0</v>
      </c>
      <c r="U150" s="10" t="str">
        <f>IF($S150=0, "", IF(COUNTIF(Table1[Amino Acid Change], $S150)=0, "Missing", "Y"))</f>
        <v/>
      </c>
      <c r="V150" s="10">
        <f t="shared" si="5"/>
        <v>0</v>
      </c>
    </row>
    <row r="151" spans="9:22" x14ac:dyDescent="0.25">
      <c r="I151" s="2">
        <f>'Raw Data Cut 1.3'!A147</f>
        <v>0</v>
      </c>
      <c r="J151" s="2">
        <f>'Raw Data Cut 1.3'!B147</f>
        <v>0</v>
      </c>
      <c r="K151" s="2">
        <f>'Raw Data Cut 1.3'!C147</f>
        <v>0</v>
      </c>
      <c r="L151" s="2">
        <f>'Raw Data Cut 1.3'!D147</f>
        <v>0</v>
      </c>
      <c r="M151" s="2">
        <f>'Raw Data Cut 1.3'!E147</f>
        <v>0</v>
      </c>
      <c r="N151" s="2">
        <f>'Raw Data Cut 1.3'!G147</f>
        <v>0</v>
      </c>
      <c r="O151" s="2">
        <f>'Raw Data Cut 1.3'!H147</f>
        <v>0</v>
      </c>
      <c r="P151" s="2">
        <f>'Raw Data Cut 1.3'!I147</f>
        <v>0</v>
      </c>
      <c r="Q151" s="2">
        <f>'Raw Data Cut 1.3'!J147</f>
        <v>0</v>
      </c>
      <c r="R151" s="2">
        <f>'Raw Data Cut 1.3'!K147</f>
        <v>0</v>
      </c>
      <c r="S151" s="2">
        <f>'Raw Data Cut 1.3'!N147</f>
        <v>0</v>
      </c>
      <c r="T151" s="2">
        <f t="shared" si="4"/>
        <v>0</v>
      </c>
      <c r="U151" s="10" t="str">
        <f>IF($S151=0, "", IF(COUNTIF(Table1[Amino Acid Change], $S151)=0, "Missing", "Y"))</f>
        <v/>
      </c>
      <c r="V151" s="10">
        <f t="shared" si="5"/>
        <v>0</v>
      </c>
    </row>
    <row r="152" spans="9:22" x14ac:dyDescent="0.25">
      <c r="I152" s="2">
        <f>'Raw Data Cut 1.3'!A148</f>
        <v>0</v>
      </c>
      <c r="J152" s="2">
        <f>'Raw Data Cut 1.3'!B148</f>
        <v>0</v>
      </c>
      <c r="K152" s="2">
        <f>'Raw Data Cut 1.3'!C148</f>
        <v>0</v>
      </c>
      <c r="L152" s="2">
        <f>'Raw Data Cut 1.3'!D148</f>
        <v>0</v>
      </c>
      <c r="M152" s="2">
        <f>'Raw Data Cut 1.3'!E148</f>
        <v>0</v>
      </c>
      <c r="N152" s="2">
        <f>'Raw Data Cut 1.3'!G148</f>
        <v>0</v>
      </c>
      <c r="O152" s="2">
        <f>'Raw Data Cut 1.3'!H148</f>
        <v>0</v>
      </c>
      <c r="P152" s="2">
        <f>'Raw Data Cut 1.3'!I148</f>
        <v>0</v>
      </c>
      <c r="Q152" s="2">
        <f>'Raw Data Cut 1.3'!J148</f>
        <v>0</v>
      </c>
      <c r="R152" s="2">
        <f>'Raw Data Cut 1.3'!K148</f>
        <v>0</v>
      </c>
      <c r="S152" s="2">
        <f>'Raw Data Cut 1.3'!N148</f>
        <v>0</v>
      </c>
      <c r="T152" s="2">
        <f t="shared" si="4"/>
        <v>0</v>
      </c>
      <c r="U152" s="10" t="str">
        <f>IF($S152=0, "", IF(COUNTIF(Table1[Amino Acid Change], $S152)=0, "Missing", "Y"))</f>
        <v/>
      </c>
      <c r="V152" s="10">
        <f t="shared" si="5"/>
        <v>0</v>
      </c>
    </row>
    <row r="153" spans="9:22" x14ac:dyDescent="0.25">
      <c r="I153" s="2">
        <f>'Raw Data Cut 1.3'!A149</f>
        <v>0</v>
      </c>
      <c r="J153" s="2">
        <f>'Raw Data Cut 1.3'!B149</f>
        <v>0</v>
      </c>
      <c r="K153" s="2">
        <f>'Raw Data Cut 1.3'!C149</f>
        <v>0</v>
      </c>
      <c r="L153" s="2">
        <f>'Raw Data Cut 1.3'!D149</f>
        <v>0</v>
      </c>
      <c r="M153" s="2">
        <f>'Raw Data Cut 1.3'!E149</f>
        <v>0</v>
      </c>
      <c r="N153" s="2">
        <f>'Raw Data Cut 1.3'!G149</f>
        <v>0</v>
      </c>
      <c r="O153" s="2">
        <f>'Raw Data Cut 1.3'!H149</f>
        <v>0</v>
      </c>
      <c r="P153" s="2">
        <f>'Raw Data Cut 1.3'!I149</f>
        <v>0</v>
      </c>
      <c r="Q153" s="2">
        <f>'Raw Data Cut 1.3'!J149</f>
        <v>0</v>
      </c>
      <c r="R153" s="2">
        <f>'Raw Data Cut 1.3'!K149</f>
        <v>0</v>
      </c>
      <c r="S153" s="2">
        <f>'Raw Data Cut 1.3'!N149</f>
        <v>0</v>
      </c>
      <c r="T153" s="2">
        <f t="shared" si="4"/>
        <v>0</v>
      </c>
      <c r="U153" s="10" t="str">
        <f>IF($S153=0, "", IF(COUNTIF(Table1[Amino Acid Change], $S153)=0, "Missing", "Y"))</f>
        <v/>
      </c>
      <c r="V153" s="10">
        <f t="shared" si="5"/>
        <v>0</v>
      </c>
    </row>
    <row r="154" spans="9:22" x14ac:dyDescent="0.25">
      <c r="I154" s="2">
        <f>'Raw Data Cut 1.3'!A150</f>
        <v>0</v>
      </c>
      <c r="J154" s="2">
        <f>'Raw Data Cut 1.3'!B150</f>
        <v>0</v>
      </c>
      <c r="K154" s="2">
        <f>'Raw Data Cut 1.3'!C150</f>
        <v>0</v>
      </c>
      <c r="L154" s="2">
        <f>'Raw Data Cut 1.3'!D150</f>
        <v>0</v>
      </c>
      <c r="M154" s="2">
        <f>'Raw Data Cut 1.3'!E150</f>
        <v>0</v>
      </c>
      <c r="N154" s="2">
        <f>'Raw Data Cut 1.3'!G150</f>
        <v>0</v>
      </c>
      <c r="O154" s="2">
        <f>'Raw Data Cut 1.3'!H150</f>
        <v>0</v>
      </c>
      <c r="P154" s="2">
        <f>'Raw Data Cut 1.3'!I150</f>
        <v>0</v>
      </c>
      <c r="Q154" s="2">
        <f>'Raw Data Cut 1.3'!J150</f>
        <v>0</v>
      </c>
      <c r="R154" s="2">
        <f>'Raw Data Cut 1.3'!K150</f>
        <v>0</v>
      </c>
      <c r="S154" s="2">
        <f>'Raw Data Cut 1.3'!N150</f>
        <v>0</v>
      </c>
      <c r="T154" s="2">
        <f t="shared" si="4"/>
        <v>0</v>
      </c>
      <c r="U154" s="10" t="str">
        <f>IF($S154=0, "", IF(COUNTIF(Table1[Amino Acid Change], $S154)=0, "Missing", "Y"))</f>
        <v/>
      </c>
      <c r="V154" s="10">
        <f t="shared" si="5"/>
        <v>0</v>
      </c>
    </row>
    <row r="155" spans="9:22" x14ac:dyDescent="0.25">
      <c r="I155" s="2">
        <f>'Raw Data Cut 1.3'!A151</f>
        <v>0</v>
      </c>
      <c r="J155" s="2">
        <f>'Raw Data Cut 1.3'!B151</f>
        <v>0</v>
      </c>
      <c r="K155" s="2">
        <f>'Raw Data Cut 1.3'!C151</f>
        <v>0</v>
      </c>
      <c r="L155" s="2">
        <f>'Raw Data Cut 1.3'!D151</f>
        <v>0</v>
      </c>
      <c r="M155" s="2">
        <f>'Raw Data Cut 1.3'!E151</f>
        <v>0</v>
      </c>
      <c r="N155" s="2">
        <f>'Raw Data Cut 1.3'!G151</f>
        <v>0</v>
      </c>
      <c r="O155" s="2">
        <f>'Raw Data Cut 1.3'!H151</f>
        <v>0</v>
      </c>
      <c r="P155" s="2">
        <f>'Raw Data Cut 1.3'!I151</f>
        <v>0</v>
      </c>
      <c r="Q155" s="2">
        <f>'Raw Data Cut 1.3'!J151</f>
        <v>0</v>
      </c>
      <c r="R155" s="2">
        <f>'Raw Data Cut 1.3'!K151</f>
        <v>0</v>
      </c>
      <c r="S155" s="2">
        <f>'Raw Data Cut 1.3'!N151</f>
        <v>0</v>
      </c>
      <c r="T155" s="2">
        <f t="shared" si="4"/>
        <v>0</v>
      </c>
      <c r="U155" s="10" t="str">
        <f>IF($S155=0, "", IF(COUNTIF(Table1[Amino Acid Change], $S155)=0, "Missing", "Y"))</f>
        <v/>
      </c>
      <c r="V155" s="10">
        <f t="shared" si="5"/>
        <v>0</v>
      </c>
    </row>
    <row r="156" spans="9:22" x14ac:dyDescent="0.25">
      <c r="I156" s="2">
        <f>'Raw Data Cut 1.3'!A152</f>
        <v>0</v>
      </c>
      <c r="J156" s="2">
        <f>'Raw Data Cut 1.3'!B152</f>
        <v>0</v>
      </c>
      <c r="K156" s="2">
        <f>'Raw Data Cut 1.3'!C152</f>
        <v>0</v>
      </c>
      <c r="L156" s="2">
        <f>'Raw Data Cut 1.3'!D152</f>
        <v>0</v>
      </c>
      <c r="M156" s="2">
        <f>'Raw Data Cut 1.3'!E152</f>
        <v>0</v>
      </c>
      <c r="N156" s="2">
        <f>'Raw Data Cut 1.3'!G152</f>
        <v>0</v>
      </c>
      <c r="O156" s="2">
        <f>'Raw Data Cut 1.3'!H152</f>
        <v>0</v>
      </c>
      <c r="P156" s="2">
        <f>'Raw Data Cut 1.3'!I152</f>
        <v>0</v>
      </c>
      <c r="Q156" s="2">
        <f>'Raw Data Cut 1.3'!J152</f>
        <v>0</v>
      </c>
      <c r="R156" s="2">
        <f>'Raw Data Cut 1.3'!K152</f>
        <v>0</v>
      </c>
      <c r="S156" s="2">
        <f>'Raw Data Cut 1.3'!N152</f>
        <v>0</v>
      </c>
      <c r="T156" s="2">
        <f t="shared" si="4"/>
        <v>0</v>
      </c>
      <c r="U156" s="10" t="str">
        <f>IF($S156=0, "", IF(COUNTIF(Table1[Amino Acid Change], $S156)=0, "Missing", "Y"))</f>
        <v/>
      </c>
      <c r="V156" s="10">
        <f t="shared" si="5"/>
        <v>0</v>
      </c>
    </row>
    <row r="157" spans="9:22" x14ac:dyDescent="0.25">
      <c r="I157" s="2">
        <f>'Raw Data Cut 1.3'!A153</f>
        <v>0</v>
      </c>
      <c r="J157" s="2">
        <f>'Raw Data Cut 1.3'!B153</f>
        <v>0</v>
      </c>
      <c r="K157" s="2">
        <f>'Raw Data Cut 1.3'!C153</f>
        <v>0</v>
      </c>
      <c r="L157" s="2">
        <f>'Raw Data Cut 1.3'!D153</f>
        <v>0</v>
      </c>
      <c r="M157" s="2">
        <f>'Raw Data Cut 1.3'!E153</f>
        <v>0</v>
      </c>
      <c r="N157" s="2">
        <f>'Raw Data Cut 1.3'!G153</f>
        <v>0</v>
      </c>
      <c r="O157" s="2">
        <f>'Raw Data Cut 1.3'!H153</f>
        <v>0</v>
      </c>
      <c r="P157" s="2">
        <f>'Raw Data Cut 1.3'!I153</f>
        <v>0</v>
      </c>
      <c r="Q157" s="2">
        <f>'Raw Data Cut 1.3'!J153</f>
        <v>0</v>
      </c>
      <c r="R157" s="2">
        <f>'Raw Data Cut 1.3'!K153</f>
        <v>0</v>
      </c>
      <c r="S157" s="2">
        <f>'Raw Data Cut 1.3'!N153</f>
        <v>0</v>
      </c>
      <c r="T157" s="2">
        <f t="shared" si="4"/>
        <v>0</v>
      </c>
      <c r="U157" s="10" t="str">
        <f>IF($S157=0, "", IF(COUNTIF(Table1[Amino Acid Change], $S157)=0, "Missing", "Y"))</f>
        <v/>
      </c>
      <c r="V157" s="10">
        <f t="shared" si="5"/>
        <v>0</v>
      </c>
    </row>
    <row r="158" spans="9:22" x14ac:dyDescent="0.25">
      <c r="I158" s="2">
        <f>'Raw Data Cut 1.3'!A154</f>
        <v>0</v>
      </c>
      <c r="J158" s="2">
        <f>'Raw Data Cut 1.3'!B154</f>
        <v>0</v>
      </c>
      <c r="K158" s="2">
        <f>'Raw Data Cut 1.3'!C154</f>
        <v>0</v>
      </c>
      <c r="L158" s="2">
        <f>'Raw Data Cut 1.3'!D154</f>
        <v>0</v>
      </c>
      <c r="M158" s="2">
        <f>'Raw Data Cut 1.3'!E154</f>
        <v>0</v>
      </c>
      <c r="N158" s="2">
        <f>'Raw Data Cut 1.3'!G154</f>
        <v>0</v>
      </c>
      <c r="O158" s="2">
        <f>'Raw Data Cut 1.3'!H154</f>
        <v>0</v>
      </c>
      <c r="P158" s="2">
        <f>'Raw Data Cut 1.3'!I154</f>
        <v>0</v>
      </c>
      <c r="Q158" s="2">
        <f>'Raw Data Cut 1.3'!J154</f>
        <v>0</v>
      </c>
      <c r="R158" s="2">
        <f>'Raw Data Cut 1.3'!K154</f>
        <v>0</v>
      </c>
      <c r="S158" s="2">
        <f>'Raw Data Cut 1.3'!N154</f>
        <v>0</v>
      </c>
      <c r="T158" s="2">
        <f t="shared" si="4"/>
        <v>0</v>
      </c>
      <c r="U158" s="10" t="str">
        <f>IF($S158=0, "", IF(COUNTIF(Table1[Amino Acid Change], $S158)=0, "Missing", "Y"))</f>
        <v/>
      </c>
      <c r="V158" s="10">
        <f t="shared" si="5"/>
        <v>0</v>
      </c>
    </row>
    <row r="159" spans="9:22" x14ac:dyDescent="0.25">
      <c r="I159" s="2">
        <f>'Raw Data Cut 1.3'!A155</f>
        <v>0</v>
      </c>
      <c r="J159" s="2">
        <f>'Raw Data Cut 1.3'!B155</f>
        <v>0</v>
      </c>
      <c r="K159" s="2">
        <f>'Raw Data Cut 1.3'!C155</f>
        <v>0</v>
      </c>
      <c r="L159" s="2">
        <f>'Raw Data Cut 1.3'!D155</f>
        <v>0</v>
      </c>
      <c r="M159" s="2">
        <f>'Raw Data Cut 1.3'!E155</f>
        <v>0</v>
      </c>
      <c r="N159" s="2">
        <f>'Raw Data Cut 1.3'!G155</f>
        <v>0</v>
      </c>
      <c r="O159" s="2">
        <f>'Raw Data Cut 1.3'!H155</f>
        <v>0</v>
      </c>
      <c r="P159" s="2">
        <f>'Raw Data Cut 1.3'!I155</f>
        <v>0</v>
      </c>
      <c r="Q159" s="2">
        <f>'Raw Data Cut 1.3'!J155</f>
        <v>0</v>
      </c>
      <c r="R159" s="2">
        <f>'Raw Data Cut 1.3'!K155</f>
        <v>0</v>
      </c>
      <c r="S159" s="2">
        <f>'Raw Data Cut 1.3'!N155</f>
        <v>0</v>
      </c>
      <c r="T159" s="2">
        <f t="shared" si="4"/>
        <v>0</v>
      </c>
      <c r="U159" s="10" t="str">
        <f>IF($S159=0, "", IF(COUNTIF(Table1[Amino Acid Change], $S159)=0, "Missing", "Y"))</f>
        <v/>
      </c>
      <c r="V159" s="10">
        <f t="shared" si="5"/>
        <v>0</v>
      </c>
    </row>
    <row r="160" spans="9:22" x14ac:dyDescent="0.25">
      <c r="I160" s="2">
        <f>'Raw Data Cut 1.3'!A156</f>
        <v>0</v>
      </c>
      <c r="J160" s="2">
        <f>'Raw Data Cut 1.3'!B156</f>
        <v>0</v>
      </c>
      <c r="K160" s="2">
        <f>'Raw Data Cut 1.3'!C156</f>
        <v>0</v>
      </c>
      <c r="L160" s="2">
        <f>'Raw Data Cut 1.3'!D156</f>
        <v>0</v>
      </c>
      <c r="M160" s="2">
        <f>'Raw Data Cut 1.3'!E156</f>
        <v>0</v>
      </c>
      <c r="N160" s="2">
        <f>'Raw Data Cut 1.3'!G156</f>
        <v>0</v>
      </c>
      <c r="O160" s="2">
        <f>'Raw Data Cut 1.3'!H156</f>
        <v>0</v>
      </c>
      <c r="P160" s="2">
        <f>'Raw Data Cut 1.3'!I156</f>
        <v>0</v>
      </c>
      <c r="Q160" s="2">
        <f>'Raw Data Cut 1.3'!J156</f>
        <v>0</v>
      </c>
      <c r="R160" s="2">
        <f>'Raw Data Cut 1.3'!K156</f>
        <v>0</v>
      </c>
      <c r="S160" s="2">
        <f>'Raw Data Cut 1.3'!N156</f>
        <v>0</v>
      </c>
      <c r="T160" s="2">
        <f t="shared" si="4"/>
        <v>0</v>
      </c>
      <c r="U160" s="10" t="str">
        <f>IF($S160=0, "", IF(COUNTIF(Table1[Amino Acid Change], $S160)=0, "Missing", "Y"))</f>
        <v/>
      </c>
      <c r="V160" s="10">
        <f t="shared" si="5"/>
        <v>0</v>
      </c>
    </row>
    <row r="161" spans="9:22" x14ac:dyDescent="0.25">
      <c r="I161" s="2">
        <f>'Raw Data Cut 1.3'!A157</f>
        <v>0</v>
      </c>
      <c r="J161" s="2">
        <f>'Raw Data Cut 1.3'!B157</f>
        <v>0</v>
      </c>
      <c r="K161" s="2">
        <f>'Raw Data Cut 1.3'!C157</f>
        <v>0</v>
      </c>
      <c r="L161" s="2">
        <f>'Raw Data Cut 1.3'!D157</f>
        <v>0</v>
      </c>
      <c r="M161" s="2">
        <f>'Raw Data Cut 1.3'!E157</f>
        <v>0</v>
      </c>
      <c r="N161" s="2">
        <f>'Raw Data Cut 1.3'!G157</f>
        <v>0</v>
      </c>
      <c r="O161" s="2">
        <f>'Raw Data Cut 1.3'!H157</f>
        <v>0</v>
      </c>
      <c r="P161" s="2">
        <f>'Raw Data Cut 1.3'!I157</f>
        <v>0</v>
      </c>
      <c r="Q161" s="2">
        <f>'Raw Data Cut 1.3'!J157</f>
        <v>0</v>
      </c>
      <c r="R161" s="2">
        <f>'Raw Data Cut 1.3'!K157</f>
        <v>0</v>
      </c>
      <c r="S161" s="2">
        <f>'Raw Data Cut 1.3'!N157</f>
        <v>0</v>
      </c>
      <c r="T161" s="2">
        <f t="shared" si="4"/>
        <v>0</v>
      </c>
      <c r="U161" s="10" t="str">
        <f>IF($S161=0, "", IF(COUNTIF(Table1[Amino Acid Change], $S161)=0, "Missing", "Y"))</f>
        <v/>
      </c>
      <c r="V161" s="10">
        <f t="shared" si="5"/>
        <v>0</v>
      </c>
    </row>
    <row r="162" spans="9:22" x14ac:dyDescent="0.25">
      <c r="I162" s="2">
        <f>'Raw Data Cut 1.3'!A158</f>
        <v>0</v>
      </c>
      <c r="J162" s="2">
        <f>'Raw Data Cut 1.3'!B158</f>
        <v>0</v>
      </c>
      <c r="K162" s="2">
        <f>'Raw Data Cut 1.3'!C158</f>
        <v>0</v>
      </c>
      <c r="L162" s="2">
        <f>'Raw Data Cut 1.3'!D158</f>
        <v>0</v>
      </c>
      <c r="M162" s="2">
        <f>'Raw Data Cut 1.3'!E158</f>
        <v>0</v>
      </c>
      <c r="N162" s="2">
        <f>'Raw Data Cut 1.3'!G158</f>
        <v>0</v>
      </c>
      <c r="O162" s="2">
        <f>'Raw Data Cut 1.3'!H158</f>
        <v>0</v>
      </c>
      <c r="P162" s="2">
        <f>'Raw Data Cut 1.3'!I158</f>
        <v>0</v>
      </c>
      <c r="Q162" s="2">
        <f>'Raw Data Cut 1.3'!J158</f>
        <v>0</v>
      </c>
      <c r="R162" s="2">
        <f>'Raw Data Cut 1.3'!K158</f>
        <v>0</v>
      </c>
      <c r="S162" s="2">
        <f>'Raw Data Cut 1.3'!N158</f>
        <v>0</v>
      </c>
      <c r="T162" s="2">
        <f t="shared" si="4"/>
        <v>0</v>
      </c>
      <c r="U162" s="10" t="str">
        <f>IF($S162=0, "", IF(COUNTIF(Table1[Amino Acid Change], $S162)=0, "Missing", "Y"))</f>
        <v/>
      </c>
      <c r="V162" s="10">
        <f t="shared" si="5"/>
        <v>0</v>
      </c>
    </row>
    <row r="163" spans="9:22" x14ac:dyDescent="0.25">
      <c r="I163" s="2">
        <f>'Raw Data Cut 1.3'!A159</f>
        <v>0</v>
      </c>
      <c r="J163" s="2">
        <f>'Raw Data Cut 1.3'!B159</f>
        <v>0</v>
      </c>
      <c r="K163" s="2">
        <f>'Raw Data Cut 1.3'!C159</f>
        <v>0</v>
      </c>
      <c r="L163" s="2">
        <f>'Raw Data Cut 1.3'!D159</f>
        <v>0</v>
      </c>
      <c r="M163" s="2">
        <f>'Raw Data Cut 1.3'!E159</f>
        <v>0</v>
      </c>
      <c r="N163" s="2">
        <f>'Raw Data Cut 1.3'!G159</f>
        <v>0</v>
      </c>
      <c r="O163" s="2">
        <f>'Raw Data Cut 1.3'!H159</f>
        <v>0</v>
      </c>
      <c r="P163" s="2">
        <f>'Raw Data Cut 1.3'!I159</f>
        <v>0</v>
      </c>
      <c r="Q163" s="2">
        <f>'Raw Data Cut 1.3'!J159</f>
        <v>0</v>
      </c>
      <c r="R163" s="2">
        <f>'Raw Data Cut 1.3'!K159</f>
        <v>0</v>
      </c>
      <c r="S163" s="2">
        <f>'Raw Data Cut 1.3'!N159</f>
        <v>0</v>
      </c>
      <c r="T163" s="2">
        <f t="shared" si="4"/>
        <v>0</v>
      </c>
      <c r="U163" s="10" t="str">
        <f>IF($S163=0, "", IF(COUNTIF(Table1[Amino Acid Change], $S163)=0, "Missing", "Y"))</f>
        <v/>
      </c>
      <c r="V163" s="10">
        <f t="shared" si="5"/>
        <v>0</v>
      </c>
    </row>
    <row r="164" spans="9:22" x14ac:dyDescent="0.25">
      <c r="I164" s="2">
        <f>'Raw Data Cut 1.3'!A160</f>
        <v>0</v>
      </c>
      <c r="J164" s="2">
        <f>'Raw Data Cut 1.3'!B160</f>
        <v>0</v>
      </c>
      <c r="K164" s="2">
        <f>'Raw Data Cut 1.3'!C160</f>
        <v>0</v>
      </c>
      <c r="L164" s="2">
        <f>'Raw Data Cut 1.3'!D160</f>
        <v>0</v>
      </c>
      <c r="M164" s="2">
        <f>'Raw Data Cut 1.3'!E160</f>
        <v>0</v>
      </c>
      <c r="N164" s="2">
        <f>'Raw Data Cut 1.3'!G160</f>
        <v>0</v>
      </c>
      <c r="O164" s="2">
        <f>'Raw Data Cut 1.3'!H160</f>
        <v>0</v>
      </c>
      <c r="P164" s="2">
        <f>'Raw Data Cut 1.3'!I160</f>
        <v>0</v>
      </c>
      <c r="Q164" s="2">
        <f>'Raw Data Cut 1.3'!J160</f>
        <v>0</v>
      </c>
      <c r="R164" s="2">
        <f>'Raw Data Cut 1.3'!K160</f>
        <v>0</v>
      </c>
      <c r="S164" s="2">
        <f>'Raw Data Cut 1.3'!N160</f>
        <v>0</v>
      </c>
      <c r="T164" s="2">
        <f t="shared" si="4"/>
        <v>0</v>
      </c>
      <c r="U164" s="10" t="str">
        <f>IF($S164=0, "", IF(COUNTIF(Table1[Amino Acid Change], $S164)=0, "Missing", "Y"))</f>
        <v/>
      </c>
      <c r="V164" s="10">
        <f t="shared" si="5"/>
        <v>0</v>
      </c>
    </row>
    <row r="165" spans="9:22" x14ac:dyDescent="0.25">
      <c r="I165" s="2">
        <f>'Raw Data Cut 1.3'!A161</f>
        <v>0</v>
      </c>
      <c r="J165" s="2">
        <f>'Raw Data Cut 1.3'!B161</f>
        <v>0</v>
      </c>
      <c r="K165" s="2">
        <f>'Raw Data Cut 1.3'!C161</f>
        <v>0</v>
      </c>
      <c r="L165" s="2">
        <f>'Raw Data Cut 1.3'!D161</f>
        <v>0</v>
      </c>
      <c r="M165" s="2">
        <f>'Raw Data Cut 1.3'!E161</f>
        <v>0</v>
      </c>
      <c r="N165" s="2">
        <f>'Raw Data Cut 1.3'!G161</f>
        <v>0</v>
      </c>
      <c r="O165" s="2">
        <f>'Raw Data Cut 1.3'!H161</f>
        <v>0</v>
      </c>
      <c r="P165" s="2">
        <f>'Raw Data Cut 1.3'!I161</f>
        <v>0</v>
      </c>
      <c r="Q165" s="2">
        <f>'Raw Data Cut 1.3'!J161</f>
        <v>0</v>
      </c>
      <c r="R165" s="2">
        <f>'Raw Data Cut 1.3'!K161</f>
        <v>0</v>
      </c>
      <c r="S165" s="2">
        <f>'Raw Data Cut 1.3'!N161</f>
        <v>0</v>
      </c>
      <c r="T165" s="2">
        <f t="shared" si="4"/>
        <v>0</v>
      </c>
      <c r="U165" s="10" t="str">
        <f>IF($S165=0, "", IF(COUNTIF(Table1[Amino Acid Change], $S165)=0, "Missing", "Y"))</f>
        <v/>
      </c>
      <c r="V165" s="10">
        <f t="shared" si="5"/>
        <v>0</v>
      </c>
    </row>
    <row r="166" spans="9:22" x14ac:dyDescent="0.25">
      <c r="I166" s="2">
        <f>'Raw Data Cut 1.3'!A162</f>
        <v>0</v>
      </c>
      <c r="J166" s="2">
        <f>'Raw Data Cut 1.3'!B162</f>
        <v>0</v>
      </c>
      <c r="K166" s="2">
        <f>'Raw Data Cut 1.3'!C162</f>
        <v>0</v>
      </c>
      <c r="L166" s="2">
        <f>'Raw Data Cut 1.3'!D162</f>
        <v>0</v>
      </c>
      <c r="M166" s="2">
        <f>'Raw Data Cut 1.3'!E162</f>
        <v>0</v>
      </c>
      <c r="N166" s="2">
        <f>'Raw Data Cut 1.3'!G162</f>
        <v>0</v>
      </c>
      <c r="O166" s="2">
        <f>'Raw Data Cut 1.3'!H162</f>
        <v>0</v>
      </c>
      <c r="P166" s="2">
        <f>'Raw Data Cut 1.3'!I162</f>
        <v>0</v>
      </c>
      <c r="Q166" s="2">
        <f>'Raw Data Cut 1.3'!J162</f>
        <v>0</v>
      </c>
      <c r="R166" s="2">
        <f>'Raw Data Cut 1.3'!K162</f>
        <v>0</v>
      </c>
      <c r="S166" s="2">
        <f>'Raw Data Cut 1.3'!N162</f>
        <v>0</v>
      </c>
      <c r="T166" s="2">
        <f t="shared" si="4"/>
        <v>0</v>
      </c>
      <c r="U166" s="10" t="str">
        <f>IF($S166=0, "", IF(COUNTIF(Table1[Amino Acid Change], $S166)=0, "Missing", "Y"))</f>
        <v/>
      </c>
      <c r="V166" s="10">
        <f t="shared" si="5"/>
        <v>0</v>
      </c>
    </row>
    <row r="167" spans="9:22" x14ac:dyDescent="0.25">
      <c r="I167" s="2">
        <f>'Raw Data Cut 1.3'!A163</f>
        <v>0</v>
      </c>
      <c r="J167" s="2">
        <f>'Raw Data Cut 1.3'!B163</f>
        <v>0</v>
      </c>
      <c r="K167" s="2">
        <f>'Raw Data Cut 1.3'!C163</f>
        <v>0</v>
      </c>
      <c r="L167" s="2">
        <f>'Raw Data Cut 1.3'!D163</f>
        <v>0</v>
      </c>
      <c r="M167" s="2">
        <f>'Raw Data Cut 1.3'!E163</f>
        <v>0</v>
      </c>
      <c r="N167" s="2">
        <f>'Raw Data Cut 1.3'!G163</f>
        <v>0</v>
      </c>
      <c r="O167" s="2">
        <f>'Raw Data Cut 1.3'!H163</f>
        <v>0</v>
      </c>
      <c r="P167" s="2">
        <f>'Raw Data Cut 1.3'!I163</f>
        <v>0</v>
      </c>
      <c r="Q167" s="2">
        <f>'Raw Data Cut 1.3'!J163</f>
        <v>0</v>
      </c>
      <c r="R167" s="2">
        <f>'Raw Data Cut 1.3'!K163</f>
        <v>0</v>
      </c>
      <c r="S167" s="2">
        <f>'Raw Data Cut 1.3'!N163</f>
        <v>0</v>
      </c>
      <c r="T167" s="2">
        <f t="shared" si="4"/>
        <v>0</v>
      </c>
      <c r="U167" s="10" t="str">
        <f>IF($S167=0, "", IF(COUNTIF(Table1[Amino Acid Change], $S167)=0, "Missing", "Y"))</f>
        <v/>
      </c>
      <c r="V167" s="10">
        <f t="shared" si="5"/>
        <v>0</v>
      </c>
    </row>
    <row r="168" spans="9:22" x14ac:dyDescent="0.25">
      <c r="I168" s="2">
        <f>'Raw Data Cut 1.3'!A164</f>
        <v>0</v>
      </c>
      <c r="J168" s="2">
        <f>'Raw Data Cut 1.3'!B164</f>
        <v>0</v>
      </c>
      <c r="K168" s="2">
        <f>'Raw Data Cut 1.3'!C164</f>
        <v>0</v>
      </c>
      <c r="L168" s="2">
        <f>'Raw Data Cut 1.3'!D164</f>
        <v>0</v>
      </c>
      <c r="M168" s="2">
        <f>'Raw Data Cut 1.3'!E164</f>
        <v>0</v>
      </c>
      <c r="N168" s="2">
        <f>'Raw Data Cut 1.3'!G164</f>
        <v>0</v>
      </c>
      <c r="O168" s="2">
        <f>'Raw Data Cut 1.3'!H164</f>
        <v>0</v>
      </c>
      <c r="P168" s="2">
        <f>'Raw Data Cut 1.3'!I164</f>
        <v>0</v>
      </c>
      <c r="Q168" s="2">
        <f>'Raw Data Cut 1.3'!J164</f>
        <v>0</v>
      </c>
      <c r="R168" s="2">
        <f>'Raw Data Cut 1.3'!K164</f>
        <v>0</v>
      </c>
      <c r="S168" s="2">
        <f>'Raw Data Cut 1.3'!N164</f>
        <v>0</v>
      </c>
      <c r="T168" s="2">
        <f t="shared" si="4"/>
        <v>0</v>
      </c>
      <c r="U168" s="10" t="str">
        <f>IF($S168=0, "", IF(COUNTIF(Table1[Amino Acid Change], $S168)=0, "Missing", "Y"))</f>
        <v/>
      </c>
      <c r="V168" s="10">
        <f t="shared" si="5"/>
        <v>0</v>
      </c>
    </row>
    <row r="169" spans="9:22" x14ac:dyDescent="0.25">
      <c r="I169" s="2">
        <f>'Raw Data Cut 1.3'!A165</f>
        <v>0</v>
      </c>
      <c r="J169" s="2">
        <f>'Raw Data Cut 1.3'!B165</f>
        <v>0</v>
      </c>
      <c r="K169" s="2">
        <f>'Raw Data Cut 1.3'!C165</f>
        <v>0</v>
      </c>
      <c r="L169" s="2">
        <f>'Raw Data Cut 1.3'!D165</f>
        <v>0</v>
      </c>
      <c r="M169" s="2">
        <f>'Raw Data Cut 1.3'!E165</f>
        <v>0</v>
      </c>
      <c r="N169" s="2">
        <f>'Raw Data Cut 1.3'!G165</f>
        <v>0</v>
      </c>
      <c r="O169" s="2">
        <f>'Raw Data Cut 1.3'!H165</f>
        <v>0</v>
      </c>
      <c r="P169" s="2">
        <f>'Raw Data Cut 1.3'!I165</f>
        <v>0</v>
      </c>
      <c r="Q169" s="2">
        <f>'Raw Data Cut 1.3'!J165</f>
        <v>0</v>
      </c>
      <c r="R169" s="2">
        <f>'Raw Data Cut 1.3'!K165</f>
        <v>0</v>
      </c>
      <c r="S169" s="2">
        <f>'Raw Data Cut 1.3'!N165</f>
        <v>0</v>
      </c>
      <c r="T169" s="2">
        <f t="shared" si="4"/>
        <v>0</v>
      </c>
      <c r="U169" s="10" t="str">
        <f>IF($S169=0, "", IF(COUNTIF(Table1[Amino Acid Change], $S169)=0, "Missing", "Y"))</f>
        <v/>
      </c>
      <c r="V169" s="10">
        <f t="shared" si="5"/>
        <v>0</v>
      </c>
    </row>
    <row r="170" spans="9:22" x14ac:dyDescent="0.25">
      <c r="I170" s="2">
        <f>'Raw Data Cut 1.3'!A166</f>
        <v>0</v>
      </c>
      <c r="J170" s="2">
        <f>'Raw Data Cut 1.3'!B166</f>
        <v>0</v>
      </c>
      <c r="K170" s="2">
        <f>'Raw Data Cut 1.3'!C166</f>
        <v>0</v>
      </c>
      <c r="L170" s="2">
        <f>'Raw Data Cut 1.3'!D166</f>
        <v>0</v>
      </c>
      <c r="M170" s="2">
        <f>'Raw Data Cut 1.3'!E166</f>
        <v>0</v>
      </c>
      <c r="N170" s="2">
        <f>'Raw Data Cut 1.3'!G166</f>
        <v>0</v>
      </c>
      <c r="O170" s="2">
        <f>'Raw Data Cut 1.3'!H166</f>
        <v>0</v>
      </c>
      <c r="P170" s="2">
        <f>'Raw Data Cut 1.3'!I166</f>
        <v>0</v>
      </c>
      <c r="Q170" s="2">
        <f>'Raw Data Cut 1.3'!J166</f>
        <v>0</v>
      </c>
      <c r="R170" s="2">
        <f>'Raw Data Cut 1.3'!K166</f>
        <v>0</v>
      </c>
      <c r="S170" s="2">
        <f>'Raw Data Cut 1.3'!N166</f>
        <v>0</v>
      </c>
      <c r="T170" s="2">
        <f t="shared" si="4"/>
        <v>0</v>
      </c>
      <c r="U170" s="10" t="str">
        <f>IF($S170=0, "", IF(COUNTIF(Table1[Amino Acid Change], $S170)=0, "Missing", "Y"))</f>
        <v/>
      </c>
      <c r="V170" s="10">
        <f t="shared" si="5"/>
        <v>0</v>
      </c>
    </row>
    <row r="171" spans="9:22" x14ac:dyDescent="0.25">
      <c r="I171" s="2">
        <f>'Raw Data Cut 1.3'!A167</f>
        <v>0</v>
      </c>
      <c r="J171" s="2">
        <f>'Raw Data Cut 1.3'!B167</f>
        <v>0</v>
      </c>
      <c r="K171" s="2">
        <f>'Raw Data Cut 1.3'!C167</f>
        <v>0</v>
      </c>
      <c r="L171" s="2">
        <f>'Raw Data Cut 1.3'!D167</f>
        <v>0</v>
      </c>
      <c r="M171" s="2">
        <f>'Raw Data Cut 1.3'!E167</f>
        <v>0</v>
      </c>
      <c r="N171" s="2">
        <f>'Raw Data Cut 1.3'!G167</f>
        <v>0</v>
      </c>
      <c r="O171" s="2">
        <f>'Raw Data Cut 1.3'!H167</f>
        <v>0</v>
      </c>
      <c r="P171" s="2">
        <f>'Raw Data Cut 1.3'!I167</f>
        <v>0</v>
      </c>
      <c r="Q171" s="2">
        <f>'Raw Data Cut 1.3'!J167</f>
        <v>0</v>
      </c>
      <c r="R171" s="2">
        <f>'Raw Data Cut 1.3'!K167</f>
        <v>0</v>
      </c>
      <c r="S171" s="2">
        <f>'Raw Data Cut 1.3'!N167</f>
        <v>0</v>
      </c>
      <c r="T171" s="2">
        <f t="shared" si="4"/>
        <v>0</v>
      </c>
      <c r="U171" s="10" t="str">
        <f>IF($S171=0, "", IF(COUNTIF(Table1[Amino Acid Change], $S171)=0, "Missing", "Y"))</f>
        <v/>
      </c>
      <c r="V171" s="10">
        <f t="shared" si="5"/>
        <v>0</v>
      </c>
    </row>
    <row r="172" spans="9:22" x14ac:dyDescent="0.25">
      <c r="I172" s="2">
        <f>'Raw Data Cut 1.3'!A167</f>
        <v>0</v>
      </c>
      <c r="J172" s="2">
        <f>'Raw Data Cut 1.3'!B167</f>
        <v>0</v>
      </c>
      <c r="K172" s="2">
        <f>'Raw Data Cut 1.3'!C167</f>
        <v>0</v>
      </c>
      <c r="L172" s="2">
        <f>'Raw Data Cut 1.3'!D167</f>
        <v>0</v>
      </c>
      <c r="M172" s="2">
        <f>'Raw Data Cut 1.3'!E167</f>
        <v>0</v>
      </c>
      <c r="N172" s="2">
        <f>'Raw Data Cut 1.3'!G167</f>
        <v>0</v>
      </c>
      <c r="O172" s="2">
        <f>'Raw Data Cut 1.3'!H167</f>
        <v>0</v>
      </c>
      <c r="P172" s="2">
        <f>'Raw Data Cut 1.3'!I167</f>
        <v>0</v>
      </c>
      <c r="Q172" s="2">
        <f>'Raw Data Cut 1.3'!J167</f>
        <v>0</v>
      </c>
      <c r="R172" s="2">
        <f>'Raw Data Cut 1.3'!K167</f>
        <v>0</v>
      </c>
      <c r="S172" s="2">
        <f>'Raw Data Cut 1.3'!N167</f>
        <v>0</v>
      </c>
      <c r="T172" s="2">
        <f t="shared" si="4"/>
        <v>0</v>
      </c>
      <c r="U172" s="10" t="str">
        <f>IF($S172=0, "", IF(COUNTIF(Table1[Amino Acid Change], $S172)=0, "Missing", "Y"))</f>
        <v/>
      </c>
      <c r="V172" s="10">
        <f t="shared" si="5"/>
        <v>0</v>
      </c>
    </row>
    <row r="173" spans="9:22" x14ac:dyDescent="0.25">
      <c r="I173" s="2">
        <f>'Raw Data Cut 1.3'!A168</f>
        <v>0</v>
      </c>
      <c r="J173" s="2">
        <f>'Raw Data Cut 1.3'!B168</f>
        <v>0</v>
      </c>
      <c r="K173" s="2">
        <f>'Raw Data Cut 1.3'!C168</f>
        <v>0</v>
      </c>
      <c r="L173" s="2">
        <f>'Raw Data Cut 1.3'!D168</f>
        <v>0</v>
      </c>
      <c r="M173" s="2">
        <f>'Raw Data Cut 1.3'!E168</f>
        <v>0</v>
      </c>
      <c r="N173" s="2">
        <f>'Raw Data Cut 1.3'!G168</f>
        <v>0</v>
      </c>
      <c r="O173" s="2">
        <f>'Raw Data Cut 1.3'!H168</f>
        <v>0</v>
      </c>
      <c r="P173" s="2">
        <f>'Raw Data Cut 1.3'!I168</f>
        <v>0</v>
      </c>
      <c r="Q173" s="2">
        <f>'Raw Data Cut 1.3'!J168</f>
        <v>0</v>
      </c>
      <c r="R173" s="2">
        <f>'Raw Data Cut 1.3'!K168</f>
        <v>0</v>
      </c>
      <c r="S173" s="2">
        <f>'Raw Data Cut 1.3'!N168</f>
        <v>0</v>
      </c>
      <c r="T173" s="2">
        <f t="shared" si="4"/>
        <v>0</v>
      </c>
      <c r="U173" s="10" t="str">
        <f>IF($S173=0, "", IF(COUNTIF(Table1[Amino Acid Change], $S173)=0, "Missing", "Y"))</f>
        <v/>
      </c>
      <c r="V173" s="10">
        <f t="shared" si="5"/>
        <v>0</v>
      </c>
    </row>
    <row r="174" spans="9:22" x14ac:dyDescent="0.25">
      <c r="I174" s="2">
        <f>'Raw Data Cut 1.3'!A169</f>
        <v>0</v>
      </c>
      <c r="J174" s="2">
        <f>'Raw Data Cut 1.3'!B169</f>
        <v>0</v>
      </c>
      <c r="K174" s="2">
        <f>'Raw Data Cut 1.3'!C169</f>
        <v>0</v>
      </c>
      <c r="L174" s="2">
        <f>'Raw Data Cut 1.3'!D169</f>
        <v>0</v>
      </c>
      <c r="M174" s="2">
        <f>'Raw Data Cut 1.3'!E169</f>
        <v>0</v>
      </c>
      <c r="N174" s="2">
        <f>'Raw Data Cut 1.3'!G169</f>
        <v>0</v>
      </c>
      <c r="O174" s="2">
        <f>'Raw Data Cut 1.3'!H169</f>
        <v>0</v>
      </c>
      <c r="P174" s="2">
        <f>'Raw Data Cut 1.3'!I169</f>
        <v>0</v>
      </c>
      <c r="Q174" s="2">
        <f>'Raw Data Cut 1.3'!J169</f>
        <v>0</v>
      </c>
      <c r="R174" s="2">
        <f>'Raw Data Cut 1.3'!K169</f>
        <v>0</v>
      </c>
      <c r="S174" s="2">
        <f>'Raw Data Cut 1.3'!N169</f>
        <v>0</v>
      </c>
      <c r="T174" s="2">
        <f t="shared" si="4"/>
        <v>0</v>
      </c>
      <c r="U174" s="10" t="str">
        <f>IF($S174=0, "", IF(COUNTIF(Table1[Amino Acid Change], $S174)=0, "Missing", "Y"))</f>
        <v/>
      </c>
      <c r="V174" s="10">
        <f t="shared" si="5"/>
        <v>0</v>
      </c>
    </row>
    <row r="175" spans="9:22" x14ac:dyDescent="0.25">
      <c r="I175" s="2">
        <f>'Raw Data Cut 1.3'!A170</f>
        <v>0</v>
      </c>
      <c r="J175" s="2">
        <f>'Raw Data Cut 1.3'!B170</f>
        <v>0</v>
      </c>
      <c r="K175" s="2">
        <f>'Raw Data Cut 1.3'!C170</f>
        <v>0</v>
      </c>
      <c r="L175" s="2">
        <f>'Raw Data Cut 1.3'!D170</f>
        <v>0</v>
      </c>
      <c r="M175" s="2">
        <f>'Raw Data Cut 1.3'!E170</f>
        <v>0</v>
      </c>
      <c r="N175" s="2">
        <f>'Raw Data Cut 1.3'!G170</f>
        <v>0</v>
      </c>
      <c r="O175" s="2">
        <f>'Raw Data Cut 1.3'!H170</f>
        <v>0</v>
      </c>
      <c r="P175" s="2">
        <f>'Raw Data Cut 1.3'!I170</f>
        <v>0</v>
      </c>
      <c r="Q175" s="2">
        <f>'Raw Data Cut 1.3'!J170</f>
        <v>0</v>
      </c>
      <c r="R175" s="2">
        <f>'Raw Data Cut 1.3'!K170</f>
        <v>0</v>
      </c>
      <c r="S175" s="2">
        <f>'Raw Data Cut 1.3'!N170</f>
        <v>0</v>
      </c>
      <c r="T175" s="2">
        <f t="shared" si="4"/>
        <v>0</v>
      </c>
      <c r="U175" s="10" t="str">
        <f>IF($S175=0, "", IF(COUNTIF(Table1[Amino Acid Change], $S175)=0, "Missing", "Y"))</f>
        <v/>
      </c>
      <c r="V175" s="10">
        <f t="shared" si="5"/>
        <v>0</v>
      </c>
    </row>
    <row r="176" spans="9:22" x14ac:dyDescent="0.25">
      <c r="I176" s="2">
        <f>'Raw Data Cut 1.3'!A171</f>
        <v>0</v>
      </c>
      <c r="J176" s="2">
        <f>'Raw Data Cut 1.3'!B171</f>
        <v>0</v>
      </c>
      <c r="K176" s="2">
        <f>'Raw Data Cut 1.3'!C171</f>
        <v>0</v>
      </c>
      <c r="L176" s="2">
        <f>'Raw Data Cut 1.3'!D171</f>
        <v>0</v>
      </c>
      <c r="M176" s="2">
        <f>'Raw Data Cut 1.3'!E171</f>
        <v>0</v>
      </c>
      <c r="N176" s="2">
        <f>'Raw Data Cut 1.3'!G171</f>
        <v>0</v>
      </c>
      <c r="O176" s="2">
        <f>'Raw Data Cut 1.3'!H171</f>
        <v>0</v>
      </c>
      <c r="P176" s="2">
        <f>'Raw Data Cut 1.3'!I171</f>
        <v>0</v>
      </c>
      <c r="Q176" s="2">
        <f>'Raw Data Cut 1.3'!J171</f>
        <v>0</v>
      </c>
      <c r="R176" s="2">
        <f>'Raw Data Cut 1.3'!K171</f>
        <v>0</v>
      </c>
      <c r="S176" s="2">
        <f>'Raw Data Cut 1.3'!N171</f>
        <v>0</v>
      </c>
      <c r="T176" s="2">
        <f t="shared" si="4"/>
        <v>0</v>
      </c>
      <c r="U176" s="10" t="str">
        <f>IF($S176=0, "", IF(COUNTIF(Table1[Amino Acid Change], $S176)=0, "Missing", "Y"))</f>
        <v/>
      </c>
      <c r="V176" s="10">
        <f t="shared" si="5"/>
        <v>0</v>
      </c>
    </row>
    <row r="177" spans="9:22" x14ac:dyDescent="0.25">
      <c r="I177" s="2">
        <f>'Raw Data Cut 1.3'!A172</f>
        <v>0</v>
      </c>
      <c r="J177" s="2">
        <f>'Raw Data Cut 1.3'!B172</f>
        <v>0</v>
      </c>
      <c r="K177" s="2">
        <f>'Raw Data Cut 1.3'!C172</f>
        <v>0</v>
      </c>
      <c r="L177" s="2">
        <f>'Raw Data Cut 1.3'!D172</f>
        <v>0</v>
      </c>
      <c r="M177" s="2">
        <f>'Raw Data Cut 1.3'!E172</f>
        <v>0</v>
      </c>
      <c r="N177" s="2">
        <f>'Raw Data Cut 1.3'!G172</f>
        <v>0</v>
      </c>
      <c r="O177" s="2">
        <f>'Raw Data Cut 1.3'!H172</f>
        <v>0</v>
      </c>
      <c r="P177" s="2">
        <f>'Raw Data Cut 1.3'!I172</f>
        <v>0</v>
      </c>
      <c r="Q177" s="2">
        <f>'Raw Data Cut 1.3'!J172</f>
        <v>0</v>
      </c>
      <c r="R177" s="2">
        <f>'Raw Data Cut 1.3'!K172</f>
        <v>0</v>
      </c>
      <c r="S177" s="2">
        <f>'Raw Data Cut 1.3'!N172</f>
        <v>0</v>
      </c>
      <c r="T177" s="2">
        <f t="shared" si="4"/>
        <v>0</v>
      </c>
      <c r="U177" s="10" t="str">
        <f>IF($S177=0, "", IF(COUNTIF(Table1[Amino Acid Change], $S177)=0, "Missing", "Y"))</f>
        <v/>
      </c>
      <c r="V177" s="10">
        <f t="shared" si="5"/>
        <v>0</v>
      </c>
    </row>
    <row r="178" spans="9:22" x14ac:dyDescent="0.25">
      <c r="I178" s="2">
        <f>'Raw Data Cut 1.3'!A173</f>
        <v>0</v>
      </c>
      <c r="J178" s="2">
        <f>'Raw Data Cut 1.3'!B173</f>
        <v>0</v>
      </c>
      <c r="K178" s="2">
        <f>'Raw Data Cut 1.3'!C173</f>
        <v>0</v>
      </c>
      <c r="L178" s="2">
        <f>'Raw Data Cut 1.3'!D173</f>
        <v>0</v>
      </c>
      <c r="M178" s="2">
        <f>'Raw Data Cut 1.3'!E173</f>
        <v>0</v>
      </c>
      <c r="N178" s="2">
        <f>'Raw Data Cut 1.3'!G173</f>
        <v>0</v>
      </c>
      <c r="O178" s="2">
        <f>'Raw Data Cut 1.3'!H173</f>
        <v>0</v>
      </c>
      <c r="P178" s="2">
        <f>'Raw Data Cut 1.3'!I173</f>
        <v>0</v>
      </c>
      <c r="Q178" s="2">
        <f>'Raw Data Cut 1.3'!J173</f>
        <v>0</v>
      </c>
      <c r="R178" s="2">
        <f>'Raw Data Cut 1.3'!K173</f>
        <v>0</v>
      </c>
      <c r="S178" s="2">
        <f>'Raw Data Cut 1.3'!N173</f>
        <v>0</v>
      </c>
      <c r="T178" s="2">
        <f t="shared" si="4"/>
        <v>0</v>
      </c>
      <c r="U178" s="10" t="str">
        <f>IF($S178=0, "", IF(COUNTIF(Table1[Amino Acid Change], $S178)=0, "Missing", "Y"))</f>
        <v/>
      </c>
      <c r="V178" s="10">
        <f t="shared" si="5"/>
        <v>0</v>
      </c>
    </row>
    <row r="179" spans="9:22" x14ac:dyDescent="0.25">
      <c r="I179" s="2">
        <f>'Raw Data Cut 1.3'!A174</f>
        <v>0</v>
      </c>
      <c r="J179" s="2">
        <f>'Raw Data Cut 1.3'!B174</f>
        <v>0</v>
      </c>
      <c r="K179" s="2">
        <f>'Raw Data Cut 1.3'!C174</f>
        <v>0</v>
      </c>
      <c r="L179" s="2">
        <f>'Raw Data Cut 1.3'!D174</f>
        <v>0</v>
      </c>
      <c r="M179" s="2">
        <f>'Raw Data Cut 1.3'!E174</f>
        <v>0</v>
      </c>
      <c r="N179" s="2">
        <f>'Raw Data Cut 1.3'!G174</f>
        <v>0</v>
      </c>
      <c r="O179" s="2">
        <f>'Raw Data Cut 1.3'!H174</f>
        <v>0</v>
      </c>
      <c r="P179" s="2">
        <f>'Raw Data Cut 1.3'!I174</f>
        <v>0</v>
      </c>
      <c r="Q179" s="2">
        <f>'Raw Data Cut 1.3'!J174</f>
        <v>0</v>
      </c>
      <c r="R179" s="2">
        <f>'Raw Data Cut 1.3'!K174</f>
        <v>0</v>
      </c>
      <c r="S179" s="2">
        <f>'Raw Data Cut 1.3'!N174</f>
        <v>0</v>
      </c>
      <c r="T179" s="2">
        <f t="shared" si="4"/>
        <v>0</v>
      </c>
      <c r="U179" s="10" t="str">
        <f>IF($S179=0, "", IF(COUNTIF(Table1[Amino Acid Change], $S179)=0, "Missing", "Y"))</f>
        <v/>
      </c>
      <c r="V179" s="10">
        <f t="shared" si="5"/>
        <v>0</v>
      </c>
    </row>
    <row r="180" spans="9:22" x14ac:dyDescent="0.25">
      <c r="I180" s="2">
        <f>'Raw Data Cut 1.3'!A175</f>
        <v>0</v>
      </c>
      <c r="J180" s="2">
        <f>'Raw Data Cut 1.3'!B175</f>
        <v>0</v>
      </c>
      <c r="K180" s="2">
        <f>'Raw Data Cut 1.3'!C175</f>
        <v>0</v>
      </c>
      <c r="L180" s="2">
        <f>'Raw Data Cut 1.3'!D175</f>
        <v>0</v>
      </c>
      <c r="M180" s="2">
        <f>'Raw Data Cut 1.3'!E175</f>
        <v>0</v>
      </c>
      <c r="N180" s="2">
        <f>'Raw Data Cut 1.3'!G175</f>
        <v>0</v>
      </c>
      <c r="O180" s="2">
        <f>'Raw Data Cut 1.3'!H175</f>
        <v>0</v>
      </c>
      <c r="P180" s="2">
        <f>'Raw Data Cut 1.3'!I175</f>
        <v>0</v>
      </c>
      <c r="Q180" s="2">
        <f>'Raw Data Cut 1.3'!J175</f>
        <v>0</v>
      </c>
      <c r="R180" s="2">
        <f>'Raw Data Cut 1.3'!K175</f>
        <v>0</v>
      </c>
      <c r="S180" s="2">
        <f>'Raw Data Cut 1.3'!N175</f>
        <v>0</v>
      </c>
      <c r="T180" s="2">
        <f t="shared" si="4"/>
        <v>0</v>
      </c>
      <c r="U180" s="10" t="str">
        <f>IF($S180=0, "", IF(COUNTIF(Table1[Amino Acid Change], $S180)=0, "Missing", "Y"))</f>
        <v/>
      </c>
      <c r="V180" s="10">
        <f t="shared" si="5"/>
        <v>0</v>
      </c>
    </row>
    <row r="181" spans="9:22" x14ac:dyDescent="0.25">
      <c r="I181" s="2">
        <f>'Raw Data Cut 1.3'!A176</f>
        <v>0</v>
      </c>
      <c r="J181" s="2">
        <f>'Raw Data Cut 1.3'!B176</f>
        <v>0</v>
      </c>
      <c r="K181" s="2">
        <f>'Raw Data Cut 1.3'!C176</f>
        <v>0</v>
      </c>
      <c r="L181" s="2">
        <f>'Raw Data Cut 1.3'!D176</f>
        <v>0</v>
      </c>
      <c r="M181" s="2">
        <f>'Raw Data Cut 1.3'!E176</f>
        <v>0</v>
      </c>
      <c r="N181" s="2">
        <f>'Raw Data Cut 1.3'!G176</f>
        <v>0</v>
      </c>
      <c r="O181" s="2">
        <f>'Raw Data Cut 1.3'!H176</f>
        <v>0</v>
      </c>
      <c r="P181" s="2">
        <f>'Raw Data Cut 1.3'!I176</f>
        <v>0</v>
      </c>
      <c r="Q181" s="2">
        <f>'Raw Data Cut 1.3'!J176</f>
        <v>0</v>
      </c>
      <c r="R181" s="2">
        <f>'Raw Data Cut 1.3'!K176</f>
        <v>0</v>
      </c>
      <c r="S181" s="2">
        <f>'Raw Data Cut 1.3'!N176</f>
        <v>0</v>
      </c>
      <c r="T181" s="2">
        <f t="shared" si="4"/>
        <v>0</v>
      </c>
      <c r="U181" s="10" t="str">
        <f>IF($S181=0, "", IF(COUNTIF(Table1[Amino Acid Change], $S181)=0, "Missing", "Y"))</f>
        <v/>
      </c>
      <c r="V181" s="10">
        <f t="shared" si="5"/>
        <v>0</v>
      </c>
    </row>
    <row r="182" spans="9:22" x14ac:dyDescent="0.25">
      <c r="I182" s="2">
        <f>'Raw Data Cut 1.3'!A177</f>
        <v>0</v>
      </c>
      <c r="J182" s="2">
        <f>'Raw Data Cut 1.3'!B177</f>
        <v>0</v>
      </c>
      <c r="K182" s="2">
        <f>'Raw Data Cut 1.3'!C177</f>
        <v>0</v>
      </c>
      <c r="L182" s="2">
        <f>'Raw Data Cut 1.3'!D177</f>
        <v>0</v>
      </c>
      <c r="M182" s="2">
        <f>'Raw Data Cut 1.3'!E177</f>
        <v>0</v>
      </c>
      <c r="N182" s="2">
        <f>'Raw Data Cut 1.3'!G177</f>
        <v>0</v>
      </c>
      <c r="O182" s="2">
        <f>'Raw Data Cut 1.3'!H177</f>
        <v>0</v>
      </c>
      <c r="P182" s="2">
        <f>'Raw Data Cut 1.3'!I177</f>
        <v>0</v>
      </c>
      <c r="Q182" s="2">
        <f>'Raw Data Cut 1.3'!J177</f>
        <v>0</v>
      </c>
      <c r="R182" s="2">
        <f>'Raw Data Cut 1.3'!K177</f>
        <v>0</v>
      </c>
      <c r="S182" s="2">
        <f>'Raw Data Cut 1.3'!N177</f>
        <v>0</v>
      </c>
      <c r="T182" s="2">
        <f t="shared" si="4"/>
        <v>0</v>
      </c>
      <c r="U182" s="10" t="str">
        <f>IF($S182=0, "", IF(COUNTIF(Table1[Amino Acid Change], $S182)=0, "Missing", "Y"))</f>
        <v/>
      </c>
      <c r="V182" s="10">
        <f t="shared" si="5"/>
        <v>0</v>
      </c>
    </row>
    <row r="183" spans="9:22" x14ac:dyDescent="0.25">
      <c r="I183" s="2">
        <f>'Raw Data Cut 1.3'!A178</f>
        <v>0</v>
      </c>
      <c r="J183" s="2">
        <f>'Raw Data Cut 1.3'!B178</f>
        <v>0</v>
      </c>
      <c r="K183" s="2">
        <f>'Raw Data Cut 1.3'!C178</f>
        <v>0</v>
      </c>
      <c r="L183" s="2">
        <f>'Raw Data Cut 1.3'!D178</f>
        <v>0</v>
      </c>
      <c r="M183" s="2">
        <f>'Raw Data Cut 1.3'!E178</f>
        <v>0</v>
      </c>
      <c r="N183" s="2">
        <f>'Raw Data Cut 1.3'!G178</f>
        <v>0</v>
      </c>
      <c r="O183" s="2">
        <f>'Raw Data Cut 1.3'!H178</f>
        <v>0</v>
      </c>
      <c r="P183" s="2">
        <f>'Raw Data Cut 1.3'!I178</f>
        <v>0</v>
      </c>
      <c r="Q183" s="2">
        <f>'Raw Data Cut 1.3'!J178</f>
        <v>0</v>
      </c>
      <c r="R183" s="2">
        <f>'Raw Data Cut 1.3'!K178</f>
        <v>0</v>
      </c>
      <c r="S183" s="2">
        <f>'Raw Data Cut 1.3'!N178</f>
        <v>0</v>
      </c>
      <c r="T183" s="2">
        <f t="shared" si="4"/>
        <v>0</v>
      </c>
      <c r="U183" s="10" t="str">
        <f>IF($S183=0, "", IF(COUNTIF(Table1[Amino Acid Change], $S183)=0, "Missing", "Y"))</f>
        <v/>
      </c>
      <c r="V183" s="10">
        <f t="shared" si="5"/>
        <v>0</v>
      </c>
    </row>
    <row r="184" spans="9:22" x14ac:dyDescent="0.25">
      <c r="I184" s="2">
        <f>'Raw Data Cut 1.3'!A179</f>
        <v>0</v>
      </c>
      <c r="J184" s="2">
        <f>'Raw Data Cut 1.3'!B179</f>
        <v>0</v>
      </c>
      <c r="K184" s="2">
        <f>'Raw Data Cut 1.3'!C179</f>
        <v>0</v>
      </c>
      <c r="L184" s="2">
        <f>'Raw Data Cut 1.3'!D179</f>
        <v>0</v>
      </c>
      <c r="M184" s="2">
        <f>'Raw Data Cut 1.3'!E179</f>
        <v>0</v>
      </c>
      <c r="N184" s="2">
        <f>'Raw Data Cut 1.3'!G179</f>
        <v>0</v>
      </c>
      <c r="O184" s="2">
        <f>'Raw Data Cut 1.3'!H179</f>
        <v>0</v>
      </c>
      <c r="P184" s="2">
        <f>'Raw Data Cut 1.3'!I179</f>
        <v>0</v>
      </c>
      <c r="Q184" s="2">
        <f>'Raw Data Cut 1.3'!J179</f>
        <v>0</v>
      </c>
      <c r="R184" s="2">
        <f>'Raw Data Cut 1.3'!K179</f>
        <v>0</v>
      </c>
      <c r="S184" s="2">
        <f>'Raw Data Cut 1.3'!N179</f>
        <v>0</v>
      </c>
      <c r="T184" s="2">
        <f t="shared" si="4"/>
        <v>0</v>
      </c>
      <c r="U184" s="10" t="str">
        <f>IF($S184=0, "", IF(COUNTIF(Table1[Amino Acid Change], $S184)=0, "Missing", "Y"))</f>
        <v/>
      </c>
      <c r="V184" s="10">
        <f t="shared" si="5"/>
        <v>0</v>
      </c>
    </row>
    <row r="185" spans="9:22" x14ac:dyDescent="0.25">
      <c r="I185" s="2">
        <f>'Raw Data Cut 1.3'!A180</f>
        <v>0</v>
      </c>
      <c r="J185" s="2">
        <f>'Raw Data Cut 1.3'!B180</f>
        <v>0</v>
      </c>
      <c r="K185" s="2">
        <f>'Raw Data Cut 1.3'!C180</f>
        <v>0</v>
      </c>
      <c r="L185" s="2">
        <f>'Raw Data Cut 1.3'!D180</f>
        <v>0</v>
      </c>
      <c r="M185" s="2">
        <f>'Raw Data Cut 1.3'!E180</f>
        <v>0</v>
      </c>
      <c r="N185" s="2">
        <f>'Raw Data Cut 1.3'!G180</f>
        <v>0</v>
      </c>
      <c r="O185" s="2">
        <f>'Raw Data Cut 1.3'!H180</f>
        <v>0</v>
      </c>
      <c r="P185" s="2">
        <f>'Raw Data Cut 1.3'!I180</f>
        <v>0</v>
      </c>
      <c r="Q185" s="2">
        <f>'Raw Data Cut 1.3'!J180</f>
        <v>0</v>
      </c>
      <c r="R185" s="2">
        <f>'Raw Data Cut 1.3'!K180</f>
        <v>0</v>
      </c>
      <c r="S185" s="2">
        <f>'Raw Data Cut 1.3'!N180</f>
        <v>0</v>
      </c>
      <c r="T185" s="2">
        <f t="shared" si="4"/>
        <v>0</v>
      </c>
      <c r="U185" s="10" t="str">
        <f>IF($S185=0, "", IF(COUNTIF(Table1[Amino Acid Change], $S185)=0, "Missing", "Y"))</f>
        <v/>
      </c>
      <c r="V185" s="10">
        <f t="shared" si="5"/>
        <v>0</v>
      </c>
    </row>
    <row r="186" spans="9:22" x14ac:dyDescent="0.25">
      <c r="I186" s="2">
        <f>'Raw Data Cut 1.3'!A181</f>
        <v>0</v>
      </c>
      <c r="J186" s="2">
        <f>'Raw Data Cut 1.3'!B181</f>
        <v>0</v>
      </c>
      <c r="K186" s="2">
        <f>'Raw Data Cut 1.3'!C181</f>
        <v>0</v>
      </c>
      <c r="L186" s="2">
        <f>'Raw Data Cut 1.3'!D181</f>
        <v>0</v>
      </c>
      <c r="M186" s="2">
        <f>'Raw Data Cut 1.3'!E181</f>
        <v>0</v>
      </c>
      <c r="N186" s="2">
        <f>'Raw Data Cut 1.3'!G181</f>
        <v>0</v>
      </c>
      <c r="O186" s="2">
        <f>'Raw Data Cut 1.3'!H181</f>
        <v>0</v>
      </c>
      <c r="P186" s="2">
        <f>'Raw Data Cut 1.3'!I181</f>
        <v>0</v>
      </c>
      <c r="Q186" s="2">
        <f>'Raw Data Cut 1.3'!J181</f>
        <v>0</v>
      </c>
      <c r="R186" s="2">
        <f>'Raw Data Cut 1.3'!K181</f>
        <v>0</v>
      </c>
      <c r="S186" s="2">
        <f>'Raw Data Cut 1.3'!N181</f>
        <v>0</v>
      </c>
      <c r="T186" s="2">
        <f t="shared" si="4"/>
        <v>0</v>
      </c>
      <c r="U186" s="10" t="str">
        <f>IF($S186=0, "", IF(COUNTIF(Table1[Amino Acid Change], $S186)=0, "Missing", "Y"))</f>
        <v/>
      </c>
      <c r="V186" s="10">
        <f t="shared" si="5"/>
        <v>0</v>
      </c>
    </row>
    <row r="187" spans="9:22" x14ac:dyDescent="0.25">
      <c r="I187" s="2">
        <f>'Raw Data Cut 1.3'!A182</f>
        <v>0</v>
      </c>
      <c r="J187" s="2">
        <f>'Raw Data Cut 1.3'!B182</f>
        <v>0</v>
      </c>
      <c r="K187" s="2">
        <f>'Raw Data Cut 1.3'!C182</f>
        <v>0</v>
      </c>
      <c r="L187" s="2">
        <f>'Raw Data Cut 1.3'!D182</f>
        <v>0</v>
      </c>
      <c r="M187" s="2">
        <f>'Raw Data Cut 1.3'!E182</f>
        <v>0</v>
      </c>
      <c r="N187" s="2">
        <f>'Raw Data Cut 1.3'!G182</f>
        <v>0</v>
      </c>
      <c r="O187" s="2">
        <f>'Raw Data Cut 1.3'!H182</f>
        <v>0</v>
      </c>
      <c r="P187" s="2">
        <f>'Raw Data Cut 1.3'!I182</f>
        <v>0</v>
      </c>
      <c r="Q187" s="2">
        <f>'Raw Data Cut 1.3'!J182</f>
        <v>0</v>
      </c>
      <c r="R187" s="2">
        <f>'Raw Data Cut 1.3'!K182</f>
        <v>0</v>
      </c>
      <c r="S187" s="2">
        <f>'Raw Data Cut 1.3'!N182</f>
        <v>0</v>
      </c>
      <c r="T187" s="2">
        <f t="shared" si="4"/>
        <v>0</v>
      </c>
      <c r="U187" s="10" t="str">
        <f>IF($S187=0, "", IF(COUNTIF(Table1[Amino Acid Change], $S187)=0, "Missing", "Y"))</f>
        <v/>
      </c>
      <c r="V187" s="10">
        <f t="shared" si="5"/>
        <v>0</v>
      </c>
    </row>
    <row r="188" spans="9:22" x14ac:dyDescent="0.25">
      <c r="I188" s="2">
        <f>'Raw Data Cut 1.3'!A183</f>
        <v>0</v>
      </c>
      <c r="J188" s="2">
        <f>'Raw Data Cut 1.3'!B183</f>
        <v>0</v>
      </c>
      <c r="K188" s="2">
        <f>'Raw Data Cut 1.3'!C183</f>
        <v>0</v>
      </c>
      <c r="L188" s="2">
        <f>'Raw Data Cut 1.3'!D183</f>
        <v>0</v>
      </c>
      <c r="M188" s="2">
        <f>'Raw Data Cut 1.3'!E183</f>
        <v>0</v>
      </c>
      <c r="N188" s="2">
        <f>'Raw Data Cut 1.3'!G183</f>
        <v>0</v>
      </c>
      <c r="O188" s="2">
        <f>'Raw Data Cut 1.3'!H183</f>
        <v>0</v>
      </c>
      <c r="P188" s="2">
        <f>'Raw Data Cut 1.3'!I183</f>
        <v>0</v>
      </c>
      <c r="Q188" s="2">
        <f>'Raw Data Cut 1.3'!J183</f>
        <v>0</v>
      </c>
      <c r="R188" s="2">
        <f>'Raw Data Cut 1.3'!K183</f>
        <v>0</v>
      </c>
      <c r="S188" s="2">
        <f>'Raw Data Cut 1.3'!N183</f>
        <v>0</v>
      </c>
      <c r="T188" s="2">
        <f t="shared" si="4"/>
        <v>0</v>
      </c>
      <c r="U188" s="10" t="str">
        <f>IF($S188=0, "", IF(COUNTIF(Table1[Amino Acid Change], $S188)=0, "Missing", "Y"))</f>
        <v/>
      </c>
      <c r="V188" s="10">
        <f t="shared" si="5"/>
        <v>0</v>
      </c>
    </row>
    <row r="189" spans="9:22" x14ac:dyDescent="0.25">
      <c r="I189" s="2">
        <f>'Raw Data Cut 1.3'!A184</f>
        <v>0</v>
      </c>
      <c r="J189" s="2">
        <f>'Raw Data Cut 1.3'!B184</f>
        <v>0</v>
      </c>
      <c r="K189" s="2">
        <f>'Raw Data Cut 1.3'!C184</f>
        <v>0</v>
      </c>
      <c r="L189" s="2">
        <f>'Raw Data Cut 1.3'!D184</f>
        <v>0</v>
      </c>
      <c r="M189" s="2">
        <f>'Raw Data Cut 1.3'!E184</f>
        <v>0</v>
      </c>
      <c r="N189" s="2">
        <f>'Raw Data Cut 1.3'!G184</f>
        <v>0</v>
      </c>
      <c r="O189" s="2">
        <f>'Raw Data Cut 1.3'!H184</f>
        <v>0</v>
      </c>
      <c r="P189" s="2">
        <f>'Raw Data Cut 1.3'!I184</f>
        <v>0</v>
      </c>
      <c r="Q189" s="2">
        <f>'Raw Data Cut 1.3'!J184</f>
        <v>0</v>
      </c>
      <c r="R189" s="2">
        <f>'Raw Data Cut 1.3'!K184</f>
        <v>0</v>
      </c>
      <c r="S189" s="2">
        <f>'Raw Data Cut 1.3'!N184</f>
        <v>0</v>
      </c>
      <c r="T189" s="2">
        <f t="shared" si="4"/>
        <v>0</v>
      </c>
      <c r="U189" s="10" t="str">
        <f>IF($S189=0, "", IF(COUNTIF(Table1[Amino Acid Change], $S189)=0, "Missing", "Y"))</f>
        <v/>
      </c>
      <c r="V189" s="10">
        <f t="shared" si="5"/>
        <v>0</v>
      </c>
    </row>
    <row r="190" spans="9:22" x14ac:dyDescent="0.25">
      <c r="I190" s="2">
        <f>'Raw Data Cut 1.3'!A185</f>
        <v>0</v>
      </c>
      <c r="J190" s="2">
        <f>'Raw Data Cut 1.3'!B185</f>
        <v>0</v>
      </c>
      <c r="K190" s="2">
        <f>'Raw Data Cut 1.3'!C185</f>
        <v>0</v>
      </c>
      <c r="L190" s="2">
        <f>'Raw Data Cut 1.3'!D185</f>
        <v>0</v>
      </c>
      <c r="M190" s="2">
        <f>'Raw Data Cut 1.3'!E185</f>
        <v>0</v>
      </c>
      <c r="N190" s="2">
        <f>'Raw Data Cut 1.3'!G185</f>
        <v>0</v>
      </c>
      <c r="O190" s="2">
        <f>'Raw Data Cut 1.3'!H185</f>
        <v>0</v>
      </c>
      <c r="P190" s="2">
        <f>'Raw Data Cut 1.3'!I185</f>
        <v>0</v>
      </c>
      <c r="Q190" s="2">
        <f>'Raw Data Cut 1.3'!J185</f>
        <v>0</v>
      </c>
      <c r="R190" s="2">
        <f>'Raw Data Cut 1.3'!K185</f>
        <v>0</v>
      </c>
      <c r="S190" s="2">
        <f>'Raw Data Cut 1.3'!N185</f>
        <v>0</v>
      </c>
      <c r="T190" s="2">
        <f t="shared" ref="T190:T253" si="6">P190</f>
        <v>0</v>
      </c>
      <c r="U190" s="10" t="str">
        <f>IF($S190=0, "", IF(COUNTIF(Table1[Amino Acid Change], $S190)=0, "Missing", "Y"))</f>
        <v/>
      </c>
      <c r="V190" s="10">
        <f t="shared" si="5"/>
        <v>0</v>
      </c>
    </row>
    <row r="191" spans="9:22" x14ac:dyDescent="0.25">
      <c r="I191" s="2">
        <f>'Raw Data Cut 1.3'!A186</f>
        <v>0</v>
      </c>
      <c r="J191" s="2">
        <f>'Raw Data Cut 1.3'!B186</f>
        <v>0</v>
      </c>
      <c r="K191" s="2">
        <f>'Raw Data Cut 1.3'!C186</f>
        <v>0</v>
      </c>
      <c r="L191" s="2">
        <f>'Raw Data Cut 1.3'!D186</f>
        <v>0</v>
      </c>
      <c r="M191" s="2">
        <f>'Raw Data Cut 1.3'!E186</f>
        <v>0</v>
      </c>
      <c r="N191" s="2">
        <f>'Raw Data Cut 1.3'!G186</f>
        <v>0</v>
      </c>
      <c r="O191" s="2">
        <f>'Raw Data Cut 1.3'!H186</f>
        <v>0</v>
      </c>
      <c r="P191" s="2">
        <f>'Raw Data Cut 1.3'!I186</f>
        <v>0</v>
      </c>
      <c r="Q191" s="2">
        <f>'Raw Data Cut 1.3'!J186</f>
        <v>0</v>
      </c>
      <c r="R191" s="2">
        <f>'Raw Data Cut 1.3'!K186</f>
        <v>0</v>
      </c>
      <c r="S191" s="2">
        <f>'Raw Data Cut 1.3'!N186</f>
        <v>0</v>
      </c>
      <c r="T191" s="2">
        <f t="shared" si="6"/>
        <v>0</v>
      </c>
      <c r="U191" s="10" t="str">
        <f>IF($S191=0, "", IF(COUNTIF(Table1[Amino Acid Change], $S191)=0, "Missing", "Y"))</f>
        <v/>
      </c>
      <c r="V191" s="10">
        <f t="shared" ref="V191:V254" si="7">J191</f>
        <v>0</v>
      </c>
    </row>
    <row r="192" spans="9:22" x14ac:dyDescent="0.25">
      <c r="I192" s="2">
        <f>'Raw Data Cut 1.3'!A187</f>
        <v>0</v>
      </c>
      <c r="J192" s="2">
        <f>'Raw Data Cut 1.3'!B187</f>
        <v>0</v>
      </c>
      <c r="K192" s="2">
        <f>'Raw Data Cut 1.3'!C187</f>
        <v>0</v>
      </c>
      <c r="L192" s="2">
        <f>'Raw Data Cut 1.3'!D187</f>
        <v>0</v>
      </c>
      <c r="M192" s="2">
        <f>'Raw Data Cut 1.3'!E187</f>
        <v>0</v>
      </c>
      <c r="N192" s="2">
        <f>'Raw Data Cut 1.3'!G187</f>
        <v>0</v>
      </c>
      <c r="O192" s="2">
        <f>'Raw Data Cut 1.3'!H187</f>
        <v>0</v>
      </c>
      <c r="P192" s="2">
        <f>'Raw Data Cut 1.3'!I187</f>
        <v>0</v>
      </c>
      <c r="Q192" s="2">
        <f>'Raw Data Cut 1.3'!J187</f>
        <v>0</v>
      </c>
      <c r="R192" s="2">
        <f>'Raw Data Cut 1.3'!K187</f>
        <v>0</v>
      </c>
      <c r="S192" s="2">
        <f>'Raw Data Cut 1.3'!N187</f>
        <v>0</v>
      </c>
      <c r="T192" s="2">
        <f t="shared" si="6"/>
        <v>0</v>
      </c>
      <c r="U192" s="10" t="str">
        <f>IF($S192=0, "", IF(COUNTIF(Table1[Amino Acid Change], $S192)=0, "Missing", "Y"))</f>
        <v/>
      </c>
      <c r="V192" s="10">
        <f t="shared" si="7"/>
        <v>0</v>
      </c>
    </row>
    <row r="193" spans="9:22" x14ac:dyDescent="0.25">
      <c r="I193" s="2">
        <f>'Raw Data Cut 1.3'!A188</f>
        <v>0</v>
      </c>
      <c r="J193" s="2">
        <f>'Raw Data Cut 1.3'!B188</f>
        <v>0</v>
      </c>
      <c r="K193" s="2">
        <f>'Raw Data Cut 1.3'!C188</f>
        <v>0</v>
      </c>
      <c r="L193" s="2">
        <f>'Raw Data Cut 1.3'!D188</f>
        <v>0</v>
      </c>
      <c r="M193" s="2">
        <f>'Raw Data Cut 1.3'!E188</f>
        <v>0</v>
      </c>
      <c r="N193" s="2">
        <f>'Raw Data Cut 1.3'!G188</f>
        <v>0</v>
      </c>
      <c r="O193" s="2">
        <f>'Raw Data Cut 1.3'!H188</f>
        <v>0</v>
      </c>
      <c r="P193" s="2">
        <f>'Raw Data Cut 1.3'!I188</f>
        <v>0</v>
      </c>
      <c r="Q193" s="2">
        <f>'Raw Data Cut 1.3'!J188</f>
        <v>0</v>
      </c>
      <c r="R193" s="2">
        <f>'Raw Data Cut 1.3'!K188</f>
        <v>0</v>
      </c>
      <c r="S193" s="2">
        <f>'Raw Data Cut 1.3'!N188</f>
        <v>0</v>
      </c>
      <c r="T193" s="2">
        <f t="shared" si="6"/>
        <v>0</v>
      </c>
      <c r="U193" s="10" t="str">
        <f>IF($S193=0, "", IF(COUNTIF(Table1[Amino Acid Change], $S193)=0, "Missing", "Y"))</f>
        <v/>
      </c>
      <c r="V193" s="10">
        <f t="shared" si="7"/>
        <v>0</v>
      </c>
    </row>
    <row r="194" spans="9:22" x14ac:dyDescent="0.25">
      <c r="I194" s="2">
        <f>'Raw Data Cut 1.3'!A189</f>
        <v>0</v>
      </c>
      <c r="J194" s="2">
        <f>'Raw Data Cut 1.3'!B189</f>
        <v>0</v>
      </c>
      <c r="K194" s="2">
        <f>'Raw Data Cut 1.3'!C189</f>
        <v>0</v>
      </c>
      <c r="L194" s="2">
        <f>'Raw Data Cut 1.3'!D189</f>
        <v>0</v>
      </c>
      <c r="M194" s="2">
        <f>'Raw Data Cut 1.3'!E189</f>
        <v>0</v>
      </c>
      <c r="N194" s="2">
        <f>'Raw Data Cut 1.3'!G189</f>
        <v>0</v>
      </c>
      <c r="O194" s="2">
        <f>'Raw Data Cut 1.3'!H189</f>
        <v>0</v>
      </c>
      <c r="P194" s="2">
        <f>'Raw Data Cut 1.3'!I189</f>
        <v>0</v>
      </c>
      <c r="Q194" s="2">
        <f>'Raw Data Cut 1.3'!J189</f>
        <v>0</v>
      </c>
      <c r="R194" s="2">
        <f>'Raw Data Cut 1.3'!K189</f>
        <v>0</v>
      </c>
      <c r="S194" s="2">
        <f>'Raw Data Cut 1.3'!N189</f>
        <v>0</v>
      </c>
      <c r="T194" s="2">
        <f t="shared" si="6"/>
        <v>0</v>
      </c>
      <c r="U194" s="10" t="str">
        <f>IF($S194=0, "", IF(COUNTIF(Table1[Amino Acid Change], $S194)=0, "Missing", "Y"))</f>
        <v/>
      </c>
      <c r="V194" s="10">
        <f t="shared" si="7"/>
        <v>0</v>
      </c>
    </row>
    <row r="195" spans="9:22" x14ac:dyDescent="0.25">
      <c r="I195" s="2">
        <f>'Raw Data Cut 1.3'!A190</f>
        <v>0</v>
      </c>
      <c r="J195" s="2">
        <f>'Raw Data Cut 1.3'!B190</f>
        <v>0</v>
      </c>
      <c r="K195" s="2">
        <f>'Raw Data Cut 1.3'!C190</f>
        <v>0</v>
      </c>
      <c r="L195" s="2">
        <f>'Raw Data Cut 1.3'!D190</f>
        <v>0</v>
      </c>
      <c r="M195" s="2">
        <f>'Raw Data Cut 1.3'!E190</f>
        <v>0</v>
      </c>
      <c r="N195" s="2">
        <f>'Raw Data Cut 1.3'!G190</f>
        <v>0</v>
      </c>
      <c r="O195" s="2">
        <f>'Raw Data Cut 1.3'!H190</f>
        <v>0</v>
      </c>
      <c r="P195" s="2">
        <f>'Raw Data Cut 1.3'!I190</f>
        <v>0</v>
      </c>
      <c r="Q195" s="2">
        <f>'Raw Data Cut 1.3'!J190</f>
        <v>0</v>
      </c>
      <c r="R195" s="2">
        <f>'Raw Data Cut 1.3'!K190</f>
        <v>0</v>
      </c>
      <c r="S195" s="2">
        <f>'Raw Data Cut 1.3'!N190</f>
        <v>0</v>
      </c>
      <c r="T195" s="2">
        <f t="shared" si="6"/>
        <v>0</v>
      </c>
      <c r="U195" s="10" t="str">
        <f>IF($S195=0, "", IF(COUNTIF(Table1[Amino Acid Change], $S195)=0, "Missing", "Y"))</f>
        <v/>
      </c>
      <c r="V195" s="10">
        <f t="shared" si="7"/>
        <v>0</v>
      </c>
    </row>
    <row r="196" spans="9:22" x14ac:dyDescent="0.25">
      <c r="I196" s="2">
        <f>'Raw Data Cut 1.3'!A191</f>
        <v>0</v>
      </c>
      <c r="J196" s="2">
        <f>'Raw Data Cut 1.3'!B191</f>
        <v>0</v>
      </c>
      <c r="K196" s="2">
        <f>'Raw Data Cut 1.3'!C191</f>
        <v>0</v>
      </c>
      <c r="L196" s="2">
        <f>'Raw Data Cut 1.3'!D191</f>
        <v>0</v>
      </c>
      <c r="M196" s="2">
        <f>'Raw Data Cut 1.3'!E191</f>
        <v>0</v>
      </c>
      <c r="N196" s="2">
        <f>'Raw Data Cut 1.3'!G191</f>
        <v>0</v>
      </c>
      <c r="O196" s="2">
        <f>'Raw Data Cut 1.3'!H191</f>
        <v>0</v>
      </c>
      <c r="P196" s="2">
        <f>'Raw Data Cut 1.3'!I191</f>
        <v>0</v>
      </c>
      <c r="Q196" s="2">
        <f>'Raw Data Cut 1.3'!J191</f>
        <v>0</v>
      </c>
      <c r="R196" s="2">
        <f>'Raw Data Cut 1.3'!K191</f>
        <v>0</v>
      </c>
      <c r="S196" s="2">
        <f>'Raw Data Cut 1.3'!N191</f>
        <v>0</v>
      </c>
      <c r="T196" s="2">
        <f t="shared" si="6"/>
        <v>0</v>
      </c>
      <c r="U196" s="10" t="str">
        <f>IF($S196=0, "", IF(COUNTIF(Table1[Amino Acid Change], $S196)=0, "Missing", "Y"))</f>
        <v/>
      </c>
      <c r="V196" s="10">
        <f t="shared" si="7"/>
        <v>0</v>
      </c>
    </row>
    <row r="197" spans="9:22" x14ac:dyDescent="0.25">
      <c r="I197" s="2">
        <f>'Raw Data Cut 1.3'!A192</f>
        <v>0</v>
      </c>
      <c r="J197" s="2">
        <f>'Raw Data Cut 1.3'!B192</f>
        <v>0</v>
      </c>
      <c r="K197" s="2">
        <f>'Raw Data Cut 1.3'!C192</f>
        <v>0</v>
      </c>
      <c r="L197" s="2">
        <f>'Raw Data Cut 1.3'!D192</f>
        <v>0</v>
      </c>
      <c r="M197" s="2">
        <f>'Raw Data Cut 1.3'!E192</f>
        <v>0</v>
      </c>
      <c r="N197" s="2">
        <f>'Raw Data Cut 1.3'!G192</f>
        <v>0</v>
      </c>
      <c r="O197" s="2">
        <f>'Raw Data Cut 1.3'!H192</f>
        <v>0</v>
      </c>
      <c r="P197" s="2">
        <f>'Raw Data Cut 1.3'!I192</f>
        <v>0</v>
      </c>
      <c r="Q197" s="2">
        <f>'Raw Data Cut 1.3'!J192</f>
        <v>0</v>
      </c>
      <c r="R197" s="2">
        <f>'Raw Data Cut 1.3'!K192</f>
        <v>0</v>
      </c>
      <c r="S197" s="2">
        <f>'Raw Data Cut 1.3'!N192</f>
        <v>0</v>
      </c>
      <c r="T197" s="2">
        <f t="shared" si="6"/>
        <v>0</v>
      </c>
      <c r="U197" s="10" t="str">
        <f>IF($S197=0, "", IF(COUNTIF(Table1[Amino Acid Change], $S197)=0, "Missing", "Y"))</f>
        <v/>
      </c>
      <c r="V197" s="10">
        <f t="shared" si="7"/>
        <v>0</v>
      </c>
    </row>
    <row r="198" spans="9:22" x14ac:dyDescent="0.25">
      <c r="I198" s="2">
        <f>'Raw Data Cut 1.3'!A193</f>
        <v>0</v>
      </c>
      <c r="J198" s="2">
        <f>'Raw Data Cut 1.3'!B193</f>
        <v>0</v>
      </c>
      <c r="K198" s="2">
        <f>'Raw Data Cut 1.3'!C193</f>
        <v>0</v>
      </c>
      <c r="L198" s="2">
        <f>'Raw Data Cut 1.3'!D193</f>
        <v>0</v>
      </c>
      <c r="M198" s="2">
        <f>'Raw Data Cut 1.3'!E193</f>
        <v>0</v>
      </c>
      <c r="N198" s="2">
        <f>'Raw Data Cut 1.3'!G193</f>
        <v>0</v>
      </c>
      <c r="O198" s="2">
        <f>'Raw Data Cut 1.3'!H193</f>
        <v>0</v>
      </c>
      <c r="P198" s="2">
        <f>'Raw Data Cut 1.3'!I193</f>
        <v>0</v>
      </c>
      <c r="Q198" s="2">
        <f>'Raw Data Cut 1.3'!J193</f>
        <v>0</v>
      </c>
      <c r="R198" s="2">
        <f>'Raw Data Cut 1.3'!K193</f>
        <v>0</v>
      </c>
      <c r="S198" s="2">
        <f>'Raw Data Cut 1.3'!N193</f>
        <v>0</v>
      </c>
      <c r="T198" s="2">
        <f t="shared" si="6"/>
        <v>0</v>
      </c>
      <c r="U198" s="10" t="str">
        <f>IF($S198=0, "", IF(COUNTIF(Table1[Amino Acid Change], $S198)=0, "Missing", "Y"))</f>
        <v/>
      </c>
      <c r="V198" s="10">
        <f t="shared" si="7"/>
        <v>0</v>
      </c>
    </row>
    <row r="199" spans="9:22" x14ac:dyDescent="0.25">
      <c r="I199" s="2">
        <f>'Raw Data Cut 1.3'!A194</f>
        <v>0</v>
      </c>
      <c r="J199" s="2">
        <f>'Raw Data Cut 1.3'!B194</f>
        <v>0</v>
      </c>
      <c r="K199" s="2">
        <f>'Raw Data Cut 1.3'!C194</f>
        <v>0</v>
      </c>
      <c r="L199" s="2">
        <f>'Raw Data Cut 1.3'!D194</f>
        <v>0</v>
      </c>
      <c r="M199" s="2">
        <f>'Raw Data Cut 1.3'!E194</f>
        <v>0</v>
      </c>
      <c r="N199" s="2">
        <f>'Raw Data Cut 1.3'!G194</f>
        <v>0</v>
      </c>
      <c r="O199" s="2">
        <f>'Raw Data Cut 1.3'!H194</f>
        <v>0</v>
      </c>
      <c r="P199" s="2">
        <f>'Raw Data Cut 1.3'!I194</f>
        <v>0</v>
      </c>
      <c r="Q199" s="2">
        <f>'Raw Data Cut 1.3'!J194</f>
        <v>0</v>
      </c>
      <c r="R199" s="2">
        <f>'Raw Data Cut 1.3'!K194</f>
        <v>0</v>
      </c>
      <c r="S199" s="2">
        <f>'Raw Data Cut 1.3'!N194</f>
        <v>0</v>
      </c>
      <c r="T199" s="2">
        <f t="shared" si="6"/>
        <v>0</v>
      </c>
      <c r="U199" s="10" t="str">
        <f>IF($S199=0, "", IF(COUNTIF(Table1[Amino Acid Change], $S199)=0, "Missing", "Y"))</f>
        <v/>
      </c>
      <c r="V199" s="10">
        <f t="shared" si="7"/>
        <v>0</v>
      </c>
    </row>
    <row r="200" spans="9:22" x14ac:dyDescent="0.25">
      <c r="I200" s="2">
        <f>'Raw Data Cut 1.3'!A195</f>
        <v>0</v>
      </c>
      <c r="J200" s="2">
        <f>'Raw Data Cut 1.3'!B195</f>
        <v>0</v>
      </c>
      <c r="K200" s="2">
        <f>'Raw Data Cut 1.3'!C195</f>
        <v>0</v>
      </c>
      <c r="L200" s="2">
        <f>'Raw Data Cut 1.3'!D195</f>
        <v>0</v>
      </c>
      <c r="M200" s="2">
        <f>'Raw Data Cut 1.3'!E195</f>
        <v>0</v>
      </c>
      <c r="N200" s="2">
        <f>'Raw Data Cut 1.3'!G195</f>
        <v>0</v>
      </c>
      <c r="O200" s="2">
        <f>'Raw Data Cut 1.3'!H195</f>
        <v>0</v>
      </c>
      <c r="P200" s="2">
        <f>'Raw Data Cut 1.3'!I195</f>
        <v>0</v>
      </c>
      <c r="Q200" s="2">
        <f>'Raw Data Cut 1.3'!J195</f>
        <v>0</v>
      </c>
      <c r="R200" s="2">
        <f>'Raw Data Cut 1.3'!K195</f>
        <v>0</v>
      </c>
      <c r="S200" s="2">
        <f>'Raw Data Cut 1.3'!N195</f>
        <v>0</v>
      </c>
      <c r="T200" s="2">
        <f t="shared" si="6"/>
        <v>0</v>
      </c>
      <c r="U200" s="10" t="str">
        <f>IF($S200=0, "", IF(COUNTIF(Table1[Amino Acid Change], $S200)=0, "Missing", "Y"))</f>
        <v/>
      </c>
      <c r="V200" s="10">
        <f t="shared" si="7"/>
        <v>0</v>
      </c>
    </row>
    <row r="201" spans="9:22" x14ac:dyDescent="0.25">
      <c r="I201" s="2">
        <f>'Raw Data Cut 1.3'!A196</f>
        <v>0</v>
      </c>
      <c r="J201" s="2">
        <f>'Raw Data Cut 1.3'!B196</f>
        <v>0</v>
      </c>
      <c r="K201" s="2">
        <f>'Raw Data Cut 1.3'!C196</f>
        <v>0</v>
      </c>
      <c r="L201" s="2">
        <f>'Raw Data Cut 1.3'!D196</f>
        <v>0</v>
      </c>
      <c r="M201" s="2">
        <f>'Raw Data Cut 1.3'!E196</f>
        <v>0</v>
      </c>
      <c r="N201" s="2">
        <f>'Raw Data Cut 1.3'!G196</f>
        <v>0</v>
      </c>
      <c r="O201" s="2">
        <f>'Raw Data Cut 1.3'!H196</f>
        <v>0</v>
      </c>
      <c r="P201" s="2">
        <f>'Raw Data Cut 1.3'!I196</f>
        <v>0</v>
      </c>
      <c r="Q201" s="2">
        <f>'Raw Data Cut 1.3'!J196</f>
        <v>0</v>
      </c>
      <c r="R201" s="2">
        <f>'Raw Data Cut 1.3'!K196</f>
        <v>0</v>
      </c>
      <c r="S201" s="2">
        <f>'Raw Data Cut 1.3'!N196</f>
        <v>0</v>
      </c>
      <c r="T201" s="2">
        <f t="shared" si="6"/>
        <v>0</v>
      </c>
      <c r="U201" s="10" t="str">
        <f>IF($S201=0, "", IF(COUNTIF(Table1[Amino Acid Change], $S201)=0, "Missing", "Y"))</f>
        <v/>
      </c>
      <c r="V201" s="10">
        <f t="shared" si="7"/>
        <v>0</v>
      </c>
    </row>
    <row r="202" spans="9:22" x14ac:dyDescent="0.25">
      <c r="I202" s="2">
        <f>'Raw Data Cut 1.3'!A198</f>
        <v>0</v>
      </c>
      <c r="J202" s="2">
        <f>'Raw Data Cut 1.3'!B198</f>
        <v>0</v>
      </c>
      <c r="K202" s="2">
        <f>'Raw Data Cut 1.3'!C198</f>
        <v>0</v>
      </c>
      <c r="L202" s="2">
        <f>'Raw Data Cut 1.3'!D198</f>
        <v>0</v>
      </c>
      <c r="M202" s="2">
        <f>'Raw Data Cut 1.3'!E198</f>
        <v>0</v>
      </c>
      <c r="N202" s="2">
        <f>'Raw Data Cut 1.3'!G198</f>
        <v>0</v>
      </c>
      <c r="O202" s="2">
        <f>'Raw Data Cut 1.3'!H198</f>
        <v>0</v>
      </c>
      <c r="P202" s="2">
        <f>'Raw Data Cut 1.3'!I198</f>
        <v>0</v>
      </c>
      <c r="Q202" s="2">
        <f>'Raw Data Cut 1.3'!J198</f>
        <v>0</v>
      </c>
      <c r="R202" s="2">
        <f>'Raw Data Cut 1.3'!K198</f>
        <v>0</v>
      </c>
      <c r="S202" s="2">
        <f>'Raw Data Cut 1.3'!N198</f>
        <v>0</v>
      </c>
      <c r="T202" s="2">
        <f t="shared" si="6"/>
        <v>0</v>
      </c>
      <c r="U202" s="10" t="str">
        <f>IF($S202=0, "", IF(COUNTIF(Table1[Amino Acid Change], $S202)=0, "Missing", "Y"))</f>
        <v/>
      </c>
      <c r="V202" s="10">
        <f t="shared" si="7"/>
        <v>0</v>
      </c>
    </row>
    <row r="203" spans="9:22" x14ac:dyDescent="0.25">
      <c r="I203" s="2">
        <f>'Raw Data Cut 1.3'!A199</f>
        <v>0</v>
      </c>
      <c r="J203" s="2">
        <f>'Raw Data Cut 1.3'!B199</f>
        <v>0</v>
      </c>
      <c r="K203" s="2">
        <f>'Raw Data Cut 1.3'!C199</f>
        <v>0</v>
      </c>
      <c r="L203" s="2">
        <f>'Raw Data Cut 1.3'!D199</f>
        <v>0</v>
      </c>
      <c r="M203" s="2">
        <f>'Raw Data Cut 1.3'!E199</f>
        <v>0</v>
      </c>
      <c r="N203" s="2">
        <f>'Raw Data Cut 1.3'!G199</f>
        <v>0</v>
      </c>
      <c r="O203" s="2">
        <f>'Raw Data Cut 1.3'!H199</f>
        <v>0</v>
      </c>
      <c r="P203" s="2">
        <f>'Raw Data Cut 1.3'!I199</f>
        <v>0</v>
      </c>
      <c r="Q203" s="2">
        <f>'Raw Data Cut 1.3'!J199</f>
        <v>0</v>
      </c>
      <c r="R203" s="2">
        <f>'Raw Data Cut 1.3'!K199</f>
        <v>0</v>
      </c>
      <c r="S203" s="2">
        <f>'Raw Data Cut 1.3'!N199</f>
        <v>0</v>
      </c>
      <c r="T203" s="2">
        <f t="shared" si="6"/>
        <v>0</v>
      </c>
      <c r="U203" s="10" t="str">
        <f>IF($S203=0, "", IF(COUNTIF(Table1[Amino Acid Change], $S203)=0, "Missing", "Y"))</f>
        <v/>
      </c>
      <c r="V203" s="10">
        <f t="shared" si="7"/>
        <v>0</v>
      </c>
    </row>
    <row r="204" spans="9:22" x14ac:dyDescent="0.25">
      <c r="I204" s="2">
        <f>'Raw Data Cut 1.3'!A200</f>
        <v>0</v>
      </c>
      <c r="J204" s="2">
        <f>'Raw Data Cut 1.3'!B200</f>
        <v>0</v>
      </c>
      <c r="K204" s="2">
        <f>'Raw Data Cut 1.3'!C200</f>
        <v>0</v>
      </c>
      <c r="L204" s="2">
        <f>'Raw Data Cut 1.3'!D200</f>
        <v>0</v>
      </c>
      <c r="M204" s="2">
        <f>'Raw Data Cut 1.3'!E200</f>
        <v>0</v>
      </c>
      <c r="N204" s="2">
        <f>'Raw Data Cut 1.3'!G200</f>
        <v>0</v>
      </c>
      <c r="O204" s="2">
        <f>'Raw Data Cut 1.3'!H200</f>
        <v>0</v>
      </c>
      <c r="P204" s="2">
        <f>'Raw Data Cut 1.3'!I200</f>
        <v>0</v>
      </c>
      <c r="Q204" s="2">
        <f>'Raw Data Cut 1.3'!J200</f>
        <v>0</v>
      </c>
      <c r="R204" s="2">
        <f>'Raw Data Cut 1.3'!K200</f>
        <v>0</v>
      </c>
      <c r="S204" s="2">
        <f>'Raw Data Cut 1.3'!N200</f>
        <v>0</v>
      </c>
      <c r="T204" s="2">
        <f t="shared" si="6"/>
        <v>0</v>
      </c>
      <c r="U204" s="10" t="str">
        <f>IF($S204=0, "", IF(COUNTIF(Table1[Amino Acid Change], $S204)=0, "Missing", "Y"))</f>
        <v/>
      </c>
      <c r="V204" s="10">
        <f t="shared" si="7"/>
        <v>0</v>
      </c>
    </row>
    <row r="205" spans="9:22" x14ac:dyDescent="0.25">
      <c r="I205" s="2">
        <f>'Raw Data Cut 1.3'!A201</f>
        <v>0</v>
      </c>
      <c r="J205" s="2">
        <f>'Raw Data Cut 1.3'!B201</f>
        <v>0</v>
      </c>
      <c r="K205" s="2">
        <f>'Raw Data Cut 1.3'!C201</f>
        <v>0</v>
      </c>
      <c r="L205" s="2">
        <f>'Raw Data Cut 1.3'!D201</f>
        <v>0</v>
      </c>
      <c r="M205" s="2">
        <f>'Raw Data Cut 1.3'!E201</f>
        <v>0</v>
      </c>
      <c r="N205" s="2">
        <f>'Raw Data Cut 1.3'!G201</f>
        <v>0</v>
      </c>
      <c r="O205" s="2">
        <f>'Raw Data Cut 1.3'!H201</f>
        <v>0</v>
      </c>
      <c r="P205" s="2">
        <f>'Raw Data Cut 1.3'!I201</f>
        <v>0</v>
      </c>
      <c r="Q205" s="2">
        <f>'Raw Data Cut 1.3'!J201</f>
        <v>0</v>
      </c>
      <c r="R205" s="2">
        <f>'Raw Data Cut 1.3'!K201</f>
        <v>0</v>
      </c>
      <c r="S205" s="2">
        <f>'Raw Data Cut 1.3'!N201</f>
        <v>0</v>
      </c>
      <c r="T205" s="2">
        <f t="shared" si="6"/>
        <v>0</v>
      </c>
      <c r="U205" s="10" t="str">
        <f>IF($S205=0, "", IF(COUNTIF(Table1[Amino Acid Change], $S205)=0, "Missing", "Y"))</f>
        <v/>
      </c>
      <c r="V205" s="10">
        <f t="shared" si="7"/>
        <v>0</v>
      </c>
    </row>
    <row r="206" spans="9:22" x14ac:dyDescent="0.25">
      <c r="I206" s="2">
        <f>'Raw Data Cut 1.3'!A202</f>
        <v>0</v>
      </c>
      <c r="J206" s="2">
        <f>'Raw Data Cut 1.3'!B202</f>
        <v>0</v>
      </c>
      <c r="K206" s="2">
        <f>'Raw Data Cut 1.3'!C202</f>
        <v>0</v>
      </c>
      <c r="L206" s="2">
        <f>'Raw Data Cut 1.3'!D202</f>
        <v>0</v>
      </c>
      <c r="M206" s="2">
        <f>'Raw Data Cut 1.3'!E202</f>
        <v>0</v>
      </c>
      <c r="N206" s="2">
        <f>'Raw Data Cut 1.3'!G202</f>
        <v>0</v>
      </c>
      <c r="O206" s="2">
        <f>'Raw Data Cut 1.3'!H202</f>
        <v>0</v>
      </c>
      <c r="P206" s="2">
        <f>'Raw Data Cut 1.3'!I202</f>
        <v>0</v>
      </c>
      <c r="Q206" s="2">
        <f>'Raw Data Cut 1.3'!J202</f>
        <v>0</v>
      </c>
      <c r="R206" s="2">
        <f>'Raw Data Cut 1.3'!K202</f>
        <v>0</v>
      </c>
      <c r="S206" s="2">
        <f>'Raw Data Cut 1.3'!N202</f>
        <v>0</v>
      </c>
      <c r="T206" s="2">
        <f t="shared" si="6"/>
        <v>0</v>
      </c>
      <c r="U206" s="10" t="str">
        <f>IF($S206=0, "", IF(COUNTIF(Table1[Amino Acid Change], $S206)=0, "Missing", "Y"))</f>
        <v/>
      </c>
      <c r="V206" s="10">
        <f t="shared" si="7"/>
        <v>0</v>
      </c>
    </row>
    <row r="207" spans="9:22" x14ac:dyDescent="0.25">
      <c r="I207" s="2">
        <f>'Raw Data Cut 1.3'!A203</f>
        <v>0</v>
      </c>
      <c r="J207" s="2">
        <f>'Raw Data Cut 1.3'!B203</f>
        <v>0</v>
      </c>
      <c r="K207" s="2">
        <f>'Raw Data Cut 1.3'!C203</f>
        <v>0</v>
      </c>
      <c r="L207" s="2">
        <f>'Raw Data Cut 1.3'!D203</f>
        <v>0</v>
      </c>
      <c r="M207" s="2">
        <f>'Raw Data Cut 1.3'!E203</f>
        <v>0</v>
      </c>
      <c r="N207" s="2">
        <f>'Raw Data Cut 1.3'!G203</f>
        <v>0</v>
      </c>
      <c r="O207" s="2">
        <f>'Raw Data Cut 1.3'!H203</f>
        <v>0</v>
      </c>
      <c r="P207" s="2">
        <f>'Raw Data Cut 1.3'!I203</f>
        <v>0</v>
      </c>
      <c r="Q207" s="2">
        <f>'Raw Data Cut 1.3'!J203</f>
        <v>0</v>
      </c>
      <c r="R207" s="2">
        <f>'Raw Data Cut 1.3'!K203</f>
        <v>0</v>
      </c>
      <c r="S207" s="2">
        <f>'Raw Data Cut 1.3'!N203</f>
        <v>0</v>
      </c>
      <c r="T207" s="2">
        <f t="shared" si="6"/>
        <v>0</v>
      </c>
      <c r="U207" s="10" t="str">
        <f>IF($S207=0, "", IF(COUNTIF(Table1[Amino Acid Change], $S207)=0, "Missing", "Y"))</f>
        <v/>
      </c>
      <c r="V207" s="10">
        <f t="shared" si="7"/>
        <v>0</v>
      </c>
    </row>
    <row r="208" spans="9:22" x14ac:dyDescent="0.25">
      <c r="I208" s="2">
        <f>'Raw Data Cut 1.3'!A204</f>
        <v>0</v>
      </c>
      <c r="J208" s="2">
        <f>'Raw Data Cut 1.3'!B204</f>
        <v>0</v>
      </c>
      <c r="K208" s="2">
        <f>'Raw Data Cut 1.3'!C204</f>
        <v>0</v>
      </c>
      <c r="L208" s="2">
        <f>'Raw Data Cut 1.3'!D204</f>
        <v>0</v>
      </c>
      <c r="M208" s="2">
        <f>'Raw Data Cut 1.3'!E204</f>
        <v>0</v>
      </c>
      <c r="N208" s="2">
        <f>'Raw Data Cut 1.3'!G204</f>
        <v>0</v>
      </c>
      <c r="O208" s="2">
        <f>'Raw Data Cut 1.3'!H204</f>
        <v>0</v>
      </c>
      <c r="P208" s="2">
        <f>'Raw Data Cut 1.3'!I204</f>
        <v>0</v>
      </c>
      <c r="Q208" s="2">
        <f>'Raw Data Cut 1.3'!J204</f>
        <v>0</v>
      </c>
      <c r="R208" s="2">
        <f>'Raw Data Cut 1.3'!K204</f>
        <v>0</v>
      </c>
      <c r="S208" s="2">
        <f>'Raw Data Cut 1.3'!N204</f>
        <v>0</v>
      </c>
      <c r="T208" s="2">
        <f t="shared" si="6"/>
        <v>0</v>
      </c>
      <c r="U208" s="10" t="str">
        <f>IF($S208=0, "", IF(COUNTIF(Table1[Amino Acid Change], $S208)=0, "Missing", "Y"))</f>
        <v/>
      </c>
      <c r="V208" s="10">
        <f t="shared" si="7"/>
        <v>0</v>
      </c>
    </row>
    <row r="209" spans="9:22" x14ac:dyDescent="0.25">
      <c r="I209" s="2">
        <f>'Raw Data Cut 1.3'!A205</f>
        <v>0</v>
      </c>
      <c r="J209" s="2">
        <f>'Raw Data Cut 1.3'!B205</f>
        <v>0</v>
      </c>
      <c r="K209" s="2">
        <f>'Raw Data Cut 1.3'!C205</f>
        <v>0</v>
      </c>
      <c r="L209" s="2">
        <f>'Raw Data Cut 1.3'!D205</f>
        <v>0</v>
      </c>
      <c r="M209" s="2">
        <f>'Raw Data Cut 1.3'!E205</f>
        <v>0</v>
      </c>
      <c r="N209" s="2">
        <f>'Raw Data Cut 1.3'!G205</f>
        <v>0</v>
      </c>
      <c r="O209" s="2">
        <f>'Raw Data Cut 1.3'!H205</f>
        <v>0</v>
      </c>
      <c r="P209" s="2">
        <f>'Raw Data Cut 1.3'!I205</f>
        <v>0</v>
      </c>
      <c r="Q209" s="2">
        <f>'Raw Data Cut 1.3'!J205</f>
        <v>0</v>
      </c>
      <c r="R209" s="2">
        <f>'Raw Data Cut 1.3'!K205</f>
        <v>0</v>
      </c>
      <c r="S209" s="2">
        <f>'Raw Data Cut 1.3'!N205</f>
        <v>0</v>
      </c>
      <c r="T209" s="2">
        <f t="shared" si="6"/>
        <v>0</v>
      </c>
      <c r="U209" s="10" t="str">
        <f>IF($S209=0, "", IF(COUNTIF(Table1[Amino Acid Change], $S209)=0, "Missing", "Y"))</f>
        <v/>
      </c>
      <c r="V209" s="10">
        <f t="shared" si="7"/>
        <v>0</v>
      </c>
    </row>
    <row r="210" spans="9:22" x14ac:dyDescent="0.25">
      <c r="I210" s="2">
        <f>'Raw Data Cut 1.3'!A206</f>
        <v>0</v>
      </c>
      <c r="J210" s="2">
        <f>'Raw Data Cut 1.3'!B206</f>
        <v>0</v>
      </c>
      <c r="K210" s="2">
        <f>'Raw Data Cut 1.3'!C206</f>
        <v>0</v>
      </c>
      <c r="L210" s="2">
        <f>'Raw Data Cut 1.3'!D206</f>
        <v>0</v>
      </c>
      <c r="M210" s="2">
        <f>'Raw Data Cut 1.3'!E206</f>
        <v>0</v>
      </c>
      <c r="N210" s="2">
        <f>'Raw Data Cut 1.3'!G206</f>
        <v>0</v>
      </c>
      <c r="O210" s="2">
        <f>'Raw Data Cut 1.3'!H206</f>
        <v>0</v>
      </c>
      <c r="P210" s="2">
        <f>'Raw Data Cut 1.3'!I206</f>
        <v>0</v>
      </c>
      <c r="Q210" s="2">
        <f>'Raw Data Cut 1.3'!J206</f>
        <v>0</v>
      </c>
      <c r="R210" s="2">
        <f>'Raw Data Cut 1.3'!K206</f>
        <v>0</v>
      </c>
      <c r="S210" s="2">
        <f>'Raw Data Cut 1.3'!N206</f>
        <v>0</v>
      </c>
      <c r="T210" s="2">
        <f t="shared" si="6"/>
        <v>0</v>
      </c>
      <c r="U210" s="10" t="str">
        <f>IF($S210=0, "", IF(COUNTIF(Table1[Amino Acid Change], $S210)=0, "Missing", "Y"))</f>
        <v/>
      </c>
      <c r="V210" s="10">
        <f t="shared" si="7"/>
        <v>0</v>
      </c>
    </row>
    <row r="211" spans="9:22" x14ac:dyDescent="0.25">
      <c r="I211" s="2">
        <f>'Raw Data Cut 1.3'!A207</f>
        <v>0</v>
      </c>
      <c r="J211" s="2">
        <f>'Raw Data Cut 1.3'!B207</f>
        <v>0</v>
      </c>
      <c r="K211" s="2">
        <f>'Raw Data Cut 1.3'!C207</f>
        <v>0</v>
      </c>
      <c r="L211" s="2">
        <f>'Raw Data Cut 1.3'!D207</f>
        <v>0</v>
      </c>
      <c r="M211" s="2">
        <f>'Raw Data Cut 1.3'!E207</f>
        <v>0</v>
      </c>
      <c r="N211" s="2">
        <f>'Raw Data Cut 1.3'!G207</f>
        <v>0</v>
      </c>
      <c r="O211" s="2">
        <f>'Raw Data Cut 1.3'!H207</f>
        <v>0</v>
      </c>
      <c r="P211" s="2">
        <f>'Raw Data Cut 1.3'!I207</f>
        <v>0</v>
      </c>
      <c r="Q211" s="2">
        <f>'Raw Data Cut 1.3'!J207</f>
        <v>0</v>
      </c>
      <c r="R211" s="2">
        <f>'Raw Data Cut 1.3'!K207</f>
        <v>0</v>
      </c>
      <c r="S211" s="2">
        <f>'Raw Data Cut 1.3'!N207</f>
        <v>0</v>
      </c>
      <c r="T211" s="2">
        <f t="shared" si="6"/>
        <v>0</v>
      </c>
      <c r="U211" s="10" t="str">
        <f>IF($S211=0, "", IF(COUNTIF(Table1[Amino Acid Change], $S211)=0, "Missing", "Y"))</f>
        <v/>
      </c>
      <c r="V211" s="10">
        <f t="shared" si="7"/>
        <v>0</v>
      </c>
    </row>
    <row r="212" spans="9:22" x14ac:dyDescent="0.25">
      <c r="I212" s="2">
        <f>'Raw Data Cut 1.3'!A208</f>
        <v>0</v>
      </c>
      <c r="J212" s="2">
        <f>'Raw Data Cut 1.3'!B208</f>
        <v>0</v>
      </c>
      <c r="K212" s="2">
        <f>'Raw Data Cut 1.3'!C208</f>
        <v>0</v>
      </c>
      <c r="L212" s="2">
        <f>'Raw Data Cut 1.3'!D208</f>
        <v>0</v>
      </c>
      <c r="M212" s="2">
        <f>'Raw Data Cut 1.3'!E208</f>
        <v>0</v>
      </c>
      <c r="N212" s="2">
        <f>'Raw Data Cut 1.3'!G208</f>
        <v>0</v>
      </c>
      <c r="O212" s="2">
        <f>'Raw Data Cut 1.3'!H208</f>
        <v>0</v>
      </c>
      <c r="P212" s="2">
        <f>'Raw Data Cut 1.3'!I208</f>
        <v>0</v>
      </c>
      <c r="Q212" s="2">
        <f>'Raw Data Cut 1.3'!J208</f>
        <v>0</v>
      </c>
      <c r="R212" s="2">
        <f>'Raw Data Cut 1.3'!K208</f>
        <v>0</v>
      </c>
      <c r="S212" s="2">
        <f>'Raw Data Cut 1.3'!N208</f>
        <v>0</v>
      </c>
      <c r="T212" s="2">
        <f t="shared" si="6"/>
        <v>0</v>
      </c>
      <c r="U212" s="10" t="str">
        <f>IF($S212=0, "", IF(COUNTIF(Table1[Amino Acid Change], $S212)=0, "Missing", "Y"))</f>
        <v/>
      </c>
      <c r="V212" s="10">
        <f t="shared" si="7"/>
        <v>0</v>
      </c>
    </row>
    <row r="213" spans="9:22" x14ac:dyDescent="0.25">
      <c r="I213" s="2">
        <f>'Raw Data Cut 1.3'!A209</f>
        <v>0</v>
      </c>
      <c r="J213" s="2">
        <f>'Raw Data Cut 1.3'!B209</f>
        <v>0</v>
      </c>
      <c r="K213" s="2">
        <f>'Raw Data Cut 1.3'!C209</f>
        <v>0</v>
      </c>
      <c r="L213" s="2">
        <f>'Raw Data Cut 1.3'!D209</f>
        <v>0</v>
      </c>
      <c r="M213" s="2">
        <f>'Raw Data Cut 1.3'!E209</f>
        <v>0</v>
      </c>
      <c r="N213" s="2">
        <f>'Raw Data Cut 1.3'!G209</f>
        <v>0</v>
      </c>
      <c r="O213" s="2">
        <f>'Raw Data Cut 1.3'!H209</f>
        <v>0</v>
      </c>
      <c r="P213" s="2">
        <f>'Raw Data Cut 1.3'!I209</f>
        <v>0</v>
      </c>
      <c r="Q213" s="2">
        <f>'Raw Data Cut 1.3'!J209</f>
        <v>0</v>
      </c>
      <c r="R213" s="2">
        <f>'Raw Data Cut 1.3'!K209</f>
        <v>0</v>
      </c>
      <c r="S213" s="2">
        <f>'Raw Data Cut 1.3'!N209</f>
        <v>0</v>
      </c>
      <c r="T213" s="2">
        <f t="shared" si="6"/>
        <v>0</v>
      </c>
      <c r="U213" s="10" t="str">
        <f>IF($S213=0, "", IF(COUNTIF(Table1[Amino Acid Change], $S213)=0, "Missing", "Y"))</f>
        <v/>
      </c>
      <c r="V213" s="10">
        <f t="shared" si="7"/>
        <v>0</v>
      </c>
    </row>
    <row r="214" spans="9:22" x14ac:dyDescent="0.25">
      <c r="I214" s="2">
        <f>'Raw Data Cut 1.3'!A210</f>
        <v>0</v>
      </c>
      <c r="J214" s="2">
        <f>'Raw Data Cut 1.3'!B210</f>
        <v>0</v>
      </c>
      <c r="K214" s="2">
        <f>'Raw Data Cut 1.3'!C210</f>
        <v>0</v>
      </c>
      <c r="L214" s="2">
        <f>'Raw Data Cut 1.3'!D210</f>
        <v>0</v>
      </c>
      <c r="M214" s="2">
        <f>'Raw Data Cut 1.3'!E210</f>
        <v>0</v>
      </c>
      <c r="N214" s="2">
        <f>'Raw Data Cut 1.3'!G210</f>
        <v>0</v>
      </c>
      <c r="O214" s="2">
        <f>'Raw Data Cut 1.3'!H210</f>
        <v>0</v>
      </c>
      <c r="P214" s="2">
        <f>'Raw Data Cut 1.3'!I210</f>
        <v>0</v>
      </c>
      <c r="Q214" s="2">
        <f>'Raw Data Cut 1.3'!J210</f>
        <v>0</v>
      </c>
      <c r="R214" s="2">
        <f>'Raw Data Cut 1.3'!K210</f>
        <v>0</v>
      </c>
      <c r="S214" s="2">
        <f>'Raw Data Cut 1.3'!N210</f>
        <v>0</v>
      </c>
      <c r="T214" s="2">
        <f t="shared" si="6"/>
        <v>0</v>
      </c>
      <c r="U214" s="10" t="str">
        <f>IF($S214=0, "", IF(COUNTIF(Table1[Amino Acid Change], $S214)=0, "Missing", "Y"))</f>
        <v/>
      </c>
      <c r="V214" s="10">
        <f t="shared" si="7"/>
        <v>0</v>
      </c>
    </row>
    <row r="215" spans="9:22" x14ac:dyDescent="0.25">
      <c r="I215" s="2">
        <f>'Raw Data Cut 1.3'!A211</f>
        <v>0</v>
      </c>
      <c r="J215" s="2">
        <f>'Raw Data Cut 1.3'!B211</f>
        <v>0</v>
      </c>
      <c r="K215" s="2">
        <f>'Raw Data Cut 1.3'!C211</f>
        <v>0</v>
      </c>
      <c r="L215" s="2">
        <f>'Raw Data Cut 1.3'!D211</f>
        <v>0</v>
      </c>
      <c r="M215" s="2">
        <f>'Raw Data Cut 1.3'!E211</f>
        <v>0</v>
      </c>
      <c r="N215" s="2">
        <f>'Raw Data Cut 1.3'!G211</f>
        <v>0</v>
      </c>
      <c r="O215" s="2">
        <f>'Raw Data Cut 1.3'!H211</f>
        <v>0</v>
      </c>
      <c r="P215" s="2">
        <f>'Raw Data Cut 1.3'!I211</f>
        <v>0</v>
      </c>
      <c r="Q215" s="2">
        <f>'Raw Data Cut 1.3'!J211</f>
        <v>0</v>
      </c>
      <c r="R215" s="2">
        <f>'Raw Data Cut 1.3'!K211</f>
        <v>0</v>
      </c>
      <c r="S215" s="2">
        <f>'Raw Data Cut 1.3'!N211</f>
        <v>0</v>
      </c>
      <c r="T215" s="2">
        <f t="shared" si="6"/>
        <v>0</v>
      </c>
      <c r="U215" s="10" t="str">
        <f>IF($S215=0, "", IF(COUNTIF(Table1[Amino Acid Change], $S215)=0, "Missing", "Y"))</f>
        <v/>
      </c>
      <c r="V215" s="10">
        <f t="shared" si="7"/>
        <v>0</v>
      </c>
    </row>
    <row r="216" spans="9:22" x14ac:dyDescent="0.25">
      <c r="I216" s="2">
        <f>'Raw Data Cut 1.3'!A212</f>
        <v>0</v>
      </c>
      <c r="J216" s="2">
        <f>'Raw Data Cut 1.3'!B212</f>
        <v>0</v>
      </c>
      <c r="K216" s="2">
        <f>'Raw Data Cut 1.3'!C212</f>
        <v>0</v>
      </c>
      <c r="L216" s="2">
        <f>'Raw Data Cut 1.3'!D212</f>
        <v>0</v>
      </c>
      <c r="M216" s="2">
        <f>'Raw Data Cut 1.3'!E212</f>
        <v>0</v>
      </c>
      <c r="N216" s="2">
        <f>'Raw Data Cut 1.3'!G212</f>
        <v>0</v>
      </c>
      <c r="O216" s="2">
        <f>'Raw Data Cut 1.3'!H212</f>
        <v>0</v>
      </c>
      <c r="P216" s="2">
        <f>'Raw Data Cut 1.3'!I212</f>
        <v>0</v>
      </c>
      <c r="Q216" s="2">
        <f>'Raw Data Cut 1.3'!J212</f>
        <v>0</v>
      </c>
      <c r="R216" s="2">
        <f>'Raw Data Cut 1.3'!K212</f>
        <v>0</v>
      </c>
      <c r="S216" s="2">
        <f>'Raw Data Cut 1.3'!N212</f>
        <v>0</v>
      </c>
      <c r="T216" s="2">
        <f t="shared" si="6"/>
        <v>0</v>
      </c>
      <c r="U216" s="10" t="str">
        <f>IF($S216=0, "", IF(COUNTIF(Table1[Amino Acid Change], $S216)=0, "Missing", "Y"))</f>
        <v/>
      </c>
      <c r="V216" s="10">
        <f t="shared" si="7"/>
        <v>0</v>
      </c>
    </row>
    <row r="217" spans="9:22" x14ac:dyDescent="0.25">
      <c r="I217" s="2">
        <f>'Raw Data Cut 1.3'!A213</f>
        <v>0</v>
      </c>
      <c r="J217" s="2">
        <f>'Raw Data Cut 1.3'!B213</f>
        <v>0</v>
      </c>
      <c r="K217" s="2">
        <f>'Raw Data Cut 1.3'!C213</f>
        <v>0</v>
      </c>
      <c r="L217" s="2">
        <f>'Raw Data Cut 1.3'!D213</f>
        <v>0</v>
      </c>
      <c r="M217" s="2">
        <f>'Raw Data Cut 1.3'!E213</f>
        <v>0</v>
      </c>
      <c r="N217" s="2">
        <f>'Raw Data Cut 1.3'!G213</f>
        <v>0</v>
      </c>
      <c r="O217" s="2">
        <f>'Raw Data Cut 1.3'!H213</f>
        <v>0</v>
      </c>
      <c r="P217" s="2">
        <f>'Raw Data Cut 1.3'!I213</f>
        <v>0</v>
      </c>
      <c r="Q217" s="2">
        <f>'Raw Data Cut 1.3'!J213</f>
        <v>0</v>
      </c>
      <c r="R217" s="2">
        <f>'Raw Data Cut 1.3'!K213</f>
        <v>0</v>
      </c>
      <c r="S217" s="2">
        <f>'Raw Data Cut 1.3'!N213</f>
        <v>0</v>
      </c>
      <c r="T217" s="2">
        <f t="shared" si="6"/>
        <v>0</v>
      </c>
      <c r="U217" s="10" t="str">
        <f>IF($S217=0, "", IF(COUNTIF(Table1[Amino Acid Change], $S217)=0, "Missing", "Y"))</f>
        <v/>
      </c>
      <c r="V217" s="10">
        <f t="shared" si="7"/>
        <v>0</v>
      </c>
    </row>
    <row r="218" spans="9:22" x14ac:dyDescent="0.25">
      <c r="I218" s="2">
        <f>'Raw Data Cut 1.3'!A214</f>
        <v>0</v>
      </c>
      <c r="J218" s="2">
        <f>'Raw Data Cut 1.3'!B214</f>
        <v>0</v>
      </c>
      <c r="K218" s="2">
        <f>'Raw Data Cut 1.3'!C214</f>
        <v>0</v>
      </c>
      <c r="L218" s="2">
        <f>'Raw Data Cut 1.3'!D214</f>
        <v>0</v>
      </c>
      <c r="M218" s="2">
        <f>'Raw Data Cut 1.3'!E214</f>
        <v>0</v>
      </c>
      <c r="N218" s="2">
        <f>'Raw Data Cut 1.3'!G214</f>
        <v>0</v>
      </c>
      <c r="O218" s="2">
        <f>'Raw Data Cut 1.3'!H214</f>
        <v>0</v>
      </c>
      <c r="P218" s="2">
        <f>'Raw Data Cut 1.3'!I214</f>
        <v>0</v>
      </c>
      <c r="Q218" s="2">
        <f>'Raw Data Cut 1.3'!J214</f>
        <v>0</v>
      </c>
      <c r="R218" s="2">
        <f>'Raw Data Cut 1.3'!K214</f>
        <v>0</v>
      </c>
      <c r="S218" s="2">
        <f>'Raw Data Cut 1.3'!N214</f>
        <v>0</v>
      </c>
      <c r="T218" s="2">
        <f t="shared" si="6"/>
        <v>0</v>
      </c>
      <c r="U218" s="10" t="str">
        <f>IF($S218=0, "", IF(COUNTIF(Table1[Amino Acid Change], $S218)=0, "Missing", "Y"))</f>
        <v/>
      </c>
      <c r="V218" s="10">
        <f t="shared" si="7"/>
        <v>0</v>
      </c>
    </row>
    <row r="219" spans="9:22" x14ac:dyDescent="0.25">
      <c r="I219" s="2">
        <f>'Raw Data Cut 1.3'!A215</f>
        <v>0</v>
      </c>
      <c r="J219" s="2">
        <f>'Raw Data Cut 1.3'!B215</f>
        <v>0</v>
      </c>
      <c r="K219" s="2">
        <f>'Raw Data Cut 1.3'!C215</f>
        <v>0</v>
      </c>
      <c r="L219" s="2">
        <f>'Raw Data Cut 1.3'!D215</f>
        <v>0</v>
      </c>
      <c r="M219" s="2">
        <f>'Raw Data Cut 1.3'!E215</f>
        <v>0</v>
      </c>
      <c r="N219" s="2">
        <f>'Raw Data Cut 1.3'!G215</f>
        <v>0</v>
      </c>
      <c r="O219" s="2">
        <f>'Raw Data Cut 1.3'!H215</f>
        <v>0</v>
      </c>
      <c r="P219" s="2">
        <f>'Raw Data Cut 1.3'!I215</f>
        <v>0</v>
      </c>
      <c r="Q219" s="2">
        <f>'Raw Data Cut 1.3'!J215</f>
        <v>0</v>
      </c>
      <c r="R219" s="2">
        <f>'Raw Data Cut 1.3'!K215</f>
        <v>0</v>
      </c>
      <c r="S219" s="2">
        <f>'Raw Data Cut 1.3'!N215</f>
        <v>0</v>
      </c>
      <c r="T219" s="2">
        <f t="shared" si="6"/>
        <v>0</v>
      </c>
      <c r="U219" s="10" t="str">
        <f>IF($S219=0, "", IF(COUNTIF(Table1[Amino Acid Change], $S219)=0, "Missing", "Y"))</f>
        <v/>
      </c>
      <c r="V219" s="10">
        <f t="shared" si="7"/>
        <v>0</v>
      </c>
    </row>
    <row r="220" spans="9:22" x14ac:dyDescent="0.25">
      <c r="I220" s="2">
        <f>'Raw Data Cut 1.3'!A216</f>
        <v>0</v>
      </c>
      <c r="J220" s="2">
        <f>'Raw Data Cut 1.3'!B216</f>
        <v>0</v>
      </c>
      <c r="K220" s="2">
        <f>'Raw Data Cut 1.3'!C216</f>
        <v>0</v>
      </c>
      <c r="L220" s="2">
        <f>'Raw Data Cut 1.3'!D216</f>
        <v>0</v>
      </c>
      <c r="M220" s="2">
        <f>'Raw Data Cut 1.3'!E216</f>
        <v>0</v>
      </c>
      <c r="N220" s="2">
        <f>'Raw Data Cut 1.3'!G216</f>
        <v>0</v>
      </c>
      <c r="O220" s="2">
        <f>'Raw Data Cut 1.3'!H216</f>
        <v>0</v>
      </c>
      <c r="P220" s="2">
        <f>'Raw Data Cut 1.3'!I216</f>
        <v>0</v>
      </c>
      <c r="Q220" s="2">
        <f>'Raw Data Cut 1.3'!J216</f>
        <v>0</v>
      </c>
      <c r="R220" s="2">
        <f>'Raw Data Cut 1.3'!K216</f>
        <v>0</v>
      </c>
      <c r="S220" s="2">
        <f>'Raw Data Cut 1.3'!N216</f>
        <v>0</v>
      </c>
      <c r="T220" s="2">
        <f t="shared" si="6"/>
        <v>0</v>
      </c>
      <c r="U220" s="10" t="str">
        <f>IF($S220=0, "", IF(COUNTIF(Table1[Amino Acid Change], $S220)=0, "Missing", "Y"))</f>
        <v/>
      </c>
      <c r="V220" s="10">
        <f t="shared" si="7"/>
        <v>0</v>
      </c>
    </row>
    <row r="221" spans="9:22" x14ac:dyDescent="0.25">
      <c r="I221" s="2">
        <f>'Raw Data Cut 1.3'!A217</f>
        <v>0</v>
      </c>
      <c r="J221" s="2">
        <f>'Raw Data Cut 1.3'!B217</f>
        <v>0</v>
      </c>
      <c r="K221" s="2">
        <f>'Raw Data Cut 1.3'!C217</f>
        <v>0</v>
      </c>
      <c r="L221" s="2">
        <f>'Raw Data Cut 1.3'!D217</f>
        <v>0</v>
      </c>
      <c r="M221" s="2">
        <f>'Raw Data Cut 1.3'!E217</f>
        <v>0</v>
      </c>
      <c r="N221" s="2">
        <f>'Raw Data Cut 1.3'!G217</f>
        <v>0</v>
      </c>
      <c r="O221" s="2">
        <f>'Raw Data Cut 1.3'!H217</f>
        <v>0</v>
      </c>
      <c r="P221" s="2">
        <f>'Raw Data Cut 1.3'!I217</f>
        <v>0</v>
      </c>
      <c r="Q221" s="2">
        <f>'Raw Data Cut 1.3'!J217</f>
        <v>0</v>
      </c>
      <c r="R221" s="2">
        <f>'Raw Data Cut 1.3'!K217</f>
        <v>0</v>
      </c>
      <c r="S221" s="2">
        <f>'Raw Data Cut 1.3'!N217</f>
        <v>0</v>
      </c>
      <c r="T221" s="2">
        <f t="shared" si="6"/>
        <v>0</v>
      </c>
      <c r="U221" s="10" t="str">
        <f>IF($S221=0, "", IF(COUNTIF(Table1[Amino Acid Change], $S221)=0, "Missing", "Y"))</f>
        <v/>
      </c>
      <c r="V221" s="10">
        <f t="shared" si="7"/>
        <v>0</v>
      </c>
    </row>
    <row r="222" spans="9:22" x14ac:dyDescent="0.25">
      <c r="I222" s="2">
        <f>'Raw Data Cut 1.3'!A218</f>
        <v>0</v>
      </c>
      <c r="J222" s="2">
        <f>'Raw Data Cut 1.3'!B218</f>
        <v>0</v>
      </c>
      <c r="K222" s="2">
        <f>'Raw Data Cut 1.3'!C218</f>
        <v>0</v>
      </c>
      <c r="L222" s="2">
        <f>'Raw Data Cut 1.3'!D218</f>
        <v>0</v>
      </c>
      <c r="M222" s="2">
        <f>'Raw Data Cut 1.3'!E218</f>
        <v>0</v>
      </c>
      <c r="N222" s="2">
        <f>'Raw Data Cut 1.3'!G218</f>
        <v>0</v>
      </c>
      <c r="O222" s="2">
        <f>'Raw Data Cut 1.3'!H218</f>
        <v>0</v>
      </c>
      <c r="P222" s="2">
        <f>'Raw Data Cut 1.3'!I218</f>
        <v>0</v>
      </c>
      <c r="Q222" s="2">
        <f>'Raw Data Cut 1.3'!J218</f>
        <v>0</v>
      </c>
      <c r="R222" s="2">
        <f>'Raw Data Cut 1.3'!K218</f>
        <v>0</v>
      </c>
      <c r="S222" s="2">
        <f>'Raw Data Cut 1.3'!N218</f>
        <v>0</v>
      </c>
      <c r="T222" s="2">
        <f t="shared" si="6"/>
        <v>0</v>
      </c>
      <c r="U222" s="10" t="str">
        <f>IF($S222=0, "", IF(COUNTIF(Table1[Amino Acid Change], $S222)=0, "Missing", "Y"))</f>
        <v/>
      </c>
      <c r="V222" s="10">
        <f t="shared" si="7"/>
        <v>0</v>
      </c>
    </row>
    <row r="223" spans="9:22" x14ac:dyDescent="0.25">
      <c r="I223" s="2">
        <f>'Raw Data Cut 1.3'!A219</f>
        <v>0</v>
      </c>
      <c r="J223" s="2">
        <f>'Raw Data Cut 1.3'!B219</f>
        <v>0</v>
      </c>
      <c r="K223" s="2">
        <f>'Raw Data Cut 1.3'!C219</f>
        <v>0</v>
      </c>
      <c r="L223" s="2">
        <f>'Raw Data Cut 1.3'!D219</f>
        <v>0</v>
      </c>
      <c r="M223" s="2">
        <f>'Raw Data Cut 1.3'!E219</f>
        <v>0</v>
      </c>
      <c r="N223" s="2">
        <f>'Raw Data Cut 1.3'!G219</f>
        <v>0</v>
      </c>
      <c r="O223" s="2">
        <f>'Raw Data Cut 1.3'!H219</f>
        <v>0</v>
      </c>
      <c r="P223" s="2">
        <f>'Raw Data Cut 1.3'!I219</f>
        <v>0</v>
      </c>
      <c r="Q223" s="2">
        <f>'Raw Data Cut 1.3'!J219</f>
        <v>0</v>
      </c>
      <c r="R223" s="2">
        <f>'Raw Data Cut 1.3'!K219</f>
        <v>0</v>
      </c>
      <c r="S223" s="2">
        <f>'Raw Data Cut 1.3'!N219</f>
        <v>0</v>
      </c>
      <c r="T223" s="2">
        <f t="shared" si="6"/>
        <v>0</v>
      </c>
      <c r="U223" s="10" t="str">
        <f>IF($S223=0, "", IF(COUNTIF(Table1[Amino Acid Change], $S223)=0, "Missing", "Y"))</f>
        <v/>
      </c>
      <c r="V223" s="10">
        <f t="shared" si="7"/>
        <v>0</v>
      </c>
    </row>
    <row r="224" spans="9:22" x14ac:dyDescent="0.25">
      <c r="I224" s="2">
        <f>'Raw Data Cut 1.3'!A220</f>
        <v>0</v>
      </c>
      <c r="J224" s="2">
        <f>'Raw Data Cut 1.3'!B220</f>
        <v>0</v>
      </c>
      <c r="K224" s="2">
        <f>'Raw Data Cut 1.3'!C220</f>
        <v>0</v>
      </c>
      <c r="L224" s="2">
        <f>'Raw Data Cut 1.3'!D220</f>
        <v>0</v>
      </c>
      <c r="M224" s="2">
        <f>'Raw Data Cut 1.3'!E220</f>
        <v>0</v>
      </c>
      <c r="N224" s="2">
        <f>'Raw Data Cut 1.3'!G220</f>
        <v>0</v>
      </c>
      <c r="O224" s="2">
        <f>'Raw Data Cut 1.3'!H220</f>
        <v>0</v>
      </c>
      <c r="P224" s="2">
        <f>'Raw Data Cut 1.3'!I220</f>
        <v>0</v>
      </c>
      <c r="Q224" s="2">
        <f>'Raw Data Cut 1.3'!J220</f>
        <v>0</v>
      </c>
      <c r="R224" s="2">
        <f>'Raw Data Cut 1.3'!K220</f>
        <v>0</v>
      </c>
      <c r="S224" s="2">
        <f>'Raw Data Cut 1.3'!N220</f>
        <v>0</v>
      </c>
      <c r="T224" s="2">
        <f t="shared" si="6"/>
        <v>0</v>
      </c>
      <c r="U224" s="10" t="str">
        <f>IF($S224=0, "", IF(COUNTIF(Table1[Amino Acid Change], $S224)=0, "Missing", "Y"))</f>
        <v/>
      </c>
      <c r="V224" s="10">
        <f t="shared" si="7"/>
        <v>0</v>
      </c>
    </row>
    <row r="225" spans="9:22" x14ac:dyDescent="0.25">
      <c r="I225" s="2">
        <f>'Raw Data Cut 1.3'!A221</f>
        <v>0</v>
      </c>
      <c r="J225" s="2">
        <f>'Raw Data Cut 1.3'!B221</f>
        <v>0</v>
      </c>
      <c r="K225" s="2">
        <f>'Raw Data Cut 1.3'!C221</f>
        <v>0</v>
      </c>
      <c r="L225" s="2">
        <f>'Raw Data Cut 1.3'!D221</f>
        <v>0</v>
      </c>
      <c r="M225" s="2">
        <f>'Raw Data Cut 1.3'!E221</f>
        <v>0</v>
      </c>
      <c r="N225" s="2">
        <f>'Raw Data Cut 1.3'!G221</f>
        <v>0</v>
      </c>
      <c r="O225" s="2">
        <f>'Raw Data Cut 1.3'!H221</f>
        <v>0</v>
      </c>
      <c r="P225" s="2">
        <f>'Raw Data Cut 1.3'!I221</f>
        <v>0</v>
      </c>
      <c r="Q225" s="2">
        <f>'Raw Data Cut 1.3'!J221</f>
        <v>0</v>
      </c>
      <c r="R225" s="2">
        <f>'Raw Data Cut 1.3'!K221</f>
        <v>0</v>
      </c>
      <c r="S225" s="2">
        <f>'Raw Data Cut 1.3'!N221</f>
        <v>0</v>
      </c>
      <c r="T225" s="2">
        <f t="shared" si="6"/>
        <v>0</v>
      </c>
      <c r="U225" s="10" t="str">
        <f>IF($S225=0, "", IF(COUNTIF(Table1[Amino Acid Change], $S225)=0, "Missing", "Y"))</f>
        <v/>
      </c>
      <c r="V225" s="10">
        <f t="shared" si="7"/>
        <v>0</v>
      </c>
    </row>
    <row r="226" spans="9:22" x14ac:dyDescent="0.25">
      <c r="I226" s="2">
        <f>'Raw Data Cut 1.3'!A222</f>
        <v>0</v>
      </c>
      <c r="J226" s="2">
        <f>'Raw Data Cut 1.3'!B222</f>
        <v>0</v>
      </c>
      <c r="K226" s="2">
        <f>'Raw Data Cut 1.3'!C222</f>
        <v>0</v>
      </c>
      <c r="L226" s="2">
        <f>'Raw Data Cut 1.3'!D222</f>
        <v>0</v>
      </c>
      <c r="M226" s="2">
        <f>'Raw Data Cut 1.3'!E222</f>
        <v>0</v>
      </c>
      <c r="N226" s="2">
        <f>'Raw Data Cut 1.3'!G222</f>
        <v>0</v>
      </c>
      <c r="O226" s="2">
        <f>'Raw Data Cut 1.3'!H222</f>
        <v>0</v>
      </c>
      <c r="P226" s="2">
        <f>'Raw Data Cut 1.3'!I222</f>
        <v>0</v>
      </c>
      <c r="Q226" s="2">
        <f>'Raw Data Cut 1.3'!J222</f>
        <v>0</v>
      </c>
      <c r="R226" s="2">
        <f>'Raw Data Cut 1.3'!K222</f>
        <v>0</v>
      </c>
      <c r="S226" s="2">
        <f>'Raw Data Cut 1.3'!N222</f>
        <v>0</v>
      </c>
      <c r="T226" s="2">
        <f t="shared" si="6"/>
        <v>0</v>
      </c>
      <c r="U226" s="10" t="str">
        <f>IF($S226=0, "", IF(COUNTIF(Table1[Amino Acid Change], $S226)=0, "Missing", "Y"))</f>
        <v/>
      </c>
      <c r="V226" s="10">
        <f t="shared" si="7"/>
        <v>0</v>
      </c>
    </row>
    <row r="227" spans="9:22" x14ac:dyDescent="0.25">
      <c r="I227" s="2">
        <f>'Raw Data Cut 1.3'!A222</f>
        <v>0</v>
      </c>
      <c r="J227" s="2">
        <f>'Raw Data Cut 1.3'!B222</f>
        <v>0</v>
      </c>
      <c r="K227" s="2">
        <f>'Raw Data Cut 1.3'!C222</f>
        <v>0</v>
      </c>
      <c r="L227" s="2">
        <f>'Raw Data Cut 1.3'!D222</f>
        <v>0</v>
      </c>
      <c r="M227" s="2">
        <f>'Raw Data Cut 1.3'!E222</f>
        <v>0</v>
      </c>
      <c r="N227" s="2">
        <f>'Raw Data Cut 1.3'!G222</f>
        <v>0</v>
      </c>
      <c r="O227" s="2">
        <f>'Raw Data Cut 1.3'!H222</f>
        <v>0</v>
      </c>
      <c r="P227" s="2">
        <f>'Raw Data Cut 1.3'!I222</f>
        <v>0</v>
      </c>
      <c r="Q227" s="2">
        <f>'Raw Data Cut 1.3'!J222</f>
        <v>0</v>
      </c>
      <c r="R227" s="2">
        <f>'Raw Data Cut 1.3'!K222</f>
        <v>0</v>
      </c>
      <c r="S227" s="2">
        <f>'Raw Data Cut 1.3'!N222</f>
        <v>0</v>
      </c>
      <c r="T227" s="2">
        <f t="shared" si="6"/>
        <v>0</v>
      </c>
      <c r="U227" s="10" t="str">
        <f>IF($S227=0, "", IF(COUNTIF(Table1[Amino Acid Change], $S227)=0, "Missing", "Y"))</f>
        <v/>
      </c>
      <c r="V227" s="10">
        <f t="shared" si="7"/>
        <v>0</v>
      </c>
    </row>
    <row r="228" spans="9:22" x14ac:dyDescent="0.25">
      <c r="I228" s="2">
        <f>'Raw Data Cut 1.3'!A223</f>
        <v>0</v>
      </c>
      <c r="J228" s="2">
        <f>'Raw Data Cut 1.3'!B223</f>
        <v>0</v>
      </c>
      <c r="K228" s="2">
        <f>'Raw Data Cut 1.3'!C223</f>
        <v>0</v>
      </c>
      <c r="L228" s="2">
        <f>'Raw Data Cut 1.3'!D223</f>
        <v>0</v>
      </c>
      <c r="M228" s="2">
        <f>'Raw Data Cut 1.3'!E223</f>
        <v>0</v>
      </c>
      <c r="N228" s="2">
        <f>'Raw Data Cut 1.3'!G223</f>
        <v>0</v>
      </c>
      <c r="O228" s="2">
        <f>'Raw Data Cut 1.3'!H223</f>
        <v>0</v>
      </c>
      <c r="P228" s="2">
        <f>'Raw Data Cut 1.3'!I223</f>
        <v>0</v>
      </c>
      <c r="Q228" s="2">
        <f>'Raw Data Cut 1.3'!J223</f>
        <v>0</v>
      </c>
      <c r="R228" s="2">
        <f>'Raw Data Cut 1.3'!K223</f>
        <v>0</v>
      </c>
      <c r="S228" s="2">
        <f>'Raw Data Cut 1.3'!N223</f>
        <v>0</v>
      </c>
      <c r="T228" s="2">
        <f t="shared" si="6"/>
        <v>0</v>
      </c>
      <c r="U228" s="10" t="str">
        <f>IF($S228=0, "", IF(COUNTIF(Table1[Amino Acid Change], $S228)=0, "Missing", "Y"))</f>
        <v/>
      </c>
      <c r="V228" s="10">
        <f t="shared" si="7"/>
        <v>0</v>
      </c>
    </row>
    <row r="229" spans="9:22" x14ac:dyDescent="0.25">
      <c r="I229" s="2">
        <f>'Raw Data Cut 1.3'!A224</f>
        <v>0</v>
      </c>
      <c r="J229" s="2">
        <f>'Raw Data Cut 1.3'!B224</f>
        <v>0</v>
      </c>
      <c r="K229" s="2">
        <f>'Raw Data Cut 1.3'!C224</f>
        <v>0</v>
      </c>
      <c r="L229" s="2">
        <f>'Raw Data Cut 1.3'!D224</f>
        <v>0</v>
      </c>
      <c r="M229" s="2">
        <f>'Raw Data Cut 1.3'!E224</f>
        <v>0</v>
      </c>
      <c r="N229" s="2">
        <f>'Raw Data Cut 1.3'!G224</f>
        <v>0</v>
      </c>
      <c r="O229" s="2">
        <f>'Raw Data Cut 1.3'!H224</f>
        <v>0</v>
      </c>
      <c r="P229" s="2">
        <f>'Raw Data Cut 1.3'!I224</f>
        <v>0</v>
      </c>
      <c r="Q229" s="2">
        <f>'Raw Data Cut 1.3'!J224</f>
        <v>0</v>
      </c>
      <c r="R229" s="2">
        <f>'Raw Data Cut 1.3'!K224</f>
        <v>0</v>
      </c>
      <c r="S229" s="2">
        <f>'Raw Data Cut 1.3'!N224</f>
        <v>0</v>
      </c>
      <c r="T229" s="2">
        <f t="shared" si="6"/>
        <v>0</v>
      </c>
      <c r="U229" s="10" t="str">
        <f>IF($S229=0, "", IF(COUNTIF(Table1[Amino Acid Change], $S229)=0, "Missing", "Y"))</f>
        <v/>
      </c>
      <c r="V229" s="10">
        <f t="shared" si="7"/>
        <v>0</v>
      </c>
    </row>
    <row r="230" spans="9:22" x14ac:dyDescent="0.25">
      <c r="I230" s="2">
        <f>'Raw Data Cut 1.3'!A225</f>
        <v>0</v>
      </c>
      <c r="J230" s="2">
        <f>'Raw Data Cut 1.3'!B225</f>
        <v>0</v>
      </c>
      <c r="K230" s="2">
        <f>'Raw Data Cut 1.3'!C225</f>
        <v>0</v>
      </c>
      <c r="L230" s="2">
        <f>'Raw Data Cut 1.3'!D225</f>
        <v>0</v>
      </c>
      <c r="M230" s="2">
        <f>'Raw Data Cut 1.3'!E225</f>
        <v>0</v>
      </c>
      <c r="N230" s="2">
        <f>'Raw Data Cut 1.3'!G225</f>
        <v>0</v>
      </c>
      <c r="O230" s="2">
        <f>'Raw Data Cut 1.3'!H225</f>
        <v>0</v>
      </c>
      <c r="P230" s="2">
        <f>'Raw Data Cut 1.3'!I225</f>
        <v>0</v>
      </c>
      <c r="Q230" s="2">
        <f>'Raw Data Cut 1.3'!J225</f>
        <v>0</v>
      </c>
      <c r="R230" s="2">
        <f>'Raw Data Cut 1.3'!K225</f>
        <v>0</v>
      </c>
      <c r="S230" s="2">
        <f>'Raw Data Cut 1.3'!N225</f>
        <v>0</v>
      </c>
      <c r="T230" s="2">
        <f t="shared" si="6"/>
        <v>0</v>
      </c>
      <c r="U230" s="10" t="str">
        <f>IF($S230=0, "", IF(COUNTIF(Table1[Amino Acid Change], $S230)=0, "Missing", "Y"))</f>
        <v/>
      </c>
      <c r="V230" s="10">
        <f t="shared" si="7"/>
        <v>0</v>
      </c>
    </row>
    <row r="231" spans="9:22" x14ac:dyDescent="0.25">
      <c r="I231" s="2">
        <f>'Raw Data Cut 1.3'!A226</f>
        <v>0</v>
      </c>
      <c r="J231" s="2">
        <f>'Raw Data Cut 1.3'!B226</f>
        <v>0</v>
      </c>
      <c r="K231" s="2">
        <f>'Raw Data Cut 1.3'!C226</f>
        <v>0</v>
      </c>
      <c r="L231" s="2">
        <f>'Raw Data Cut 1.3'!D226</f>
        <v>0</v>
      </c>
      <c r="M231" s="2">
        <f>'Raw Data Cut 1.3'!E226</f>
        <v>0</v>
      </c>
      <c r="N231" s="2">
        <f>'Raw Data Cut 1.3'!G226</f>
        <v>0</v>
      </c>
      <c r="O231" s="2">
        <f>'Raw Data Cut 1.3'!H226</f>
        <v>0</v>
      </c>
      <c r="P231" s="2">
        <f>'Raw Data Cut 1.3'!I226</f>
        <v>0</v>
      </c>
      <c r="Q231" s="2">
        <f>'Raw Data Cut 1.3'!J226</f>
        <v>0</v>
      </c>
      <c r="R231" s="2">
        <f>'Raw Data Cut 1.3'!K226</f>
        <v>0</v>
      </c>
      <c r="S231" s="2">
        <f>'Raw Data Cut 1.3'!N226</f>
        <v>0</v>
      </c>
      <c r="T231" s="2">
        <f t="shared" si="6"/>
        <v>0</v>
      </c>
      <c r="U231" s="10" t="str">
        <f>IF($S231=0, "", IF(COUNTIF(Table1[Amino Acid Change], $S231)=0, "Missing", "Y"))</f>
        <v/>
      </c>
      <c r="V231" s="10">
        <f t="shared" si="7"/>
        <v>0</v>
      </c>
    </row>
    <row r="232" spans="9:22" x14ac:dyDescent="0.25">
      <c r="I232" s="2">
        <f>'Raw Data Cut 1.3'!A227</f>
        <v>0</v>
      </c>
      <c r="J232" s="2">
        <f>'Raw Data Cut 1.3'!B227</f>
        <v>0</v>
      </c>
      <c r="K232" s="2">
        <f>'Raw Data Cut 1.3'!C227</f>
        <v>0</v>
      </c>
      <c r="L232" s="2">
        <f>'Raw Data Cut 1.3'!D227</f>
        <v>0</v>
      </c>
      <c r="M232" s="2">
        <f>'Raw Data Cut 1.3'!E227</f>
        <v>0</v>
      </c>
      <c r="N232" s="2">
        <f>'Raw Data Cut 1.3'!G227</f>
        <v>0</v>
      </c>
      <c r="O232" s="2">
        <f>'Raw Data Cut 1.3'!H227</f>
        <v>0</v>
      </c>
      <c r="P232" s="2">
        <f>'Raw Data Cut 1.3'!I227</f>
        <v>0</v>
      </c>
      <c r="Q232" s="2">
        <f>'Raw Data Cut 1.3'!J227</f>
        <v>0</v>
      </c>
      <c r="R232" s="2">
        <f>'Raw Data Cut 1.3'!K227</f>
        <v>0</v>
      </c>
      <c r="S232" s="2">
        <f>'Raw Data Cut 1.3'!N227</f>
        <v>0</v>
      </c>
      <c r="T232" s="2">
        <f t="shared" si="6"/>
        <v>0</v>
      </c>
      <c r="U232" s="10" t="str">
        <f>IF($S232=0, "", IF(COUNTIF(Table1[Amino Acid Change], $S232)=0, "Missing", "Y"))</f>
        <v/>
      </c>
      <c r="V232" s="10">
        <f t="shared" si="7"/>
        <v>0</v>
      </c>
    </row>
    <row r="233" spans="9:22" x14ac:dyDescent="0.25">
      <c r="I233" s="2">
        <f>'Raw Data Cut 1.3'!A228</f>
        <v>0</v>
      </c>
      <c r="J233" s="2">
        <f>'Raw Data Cut 1.3'!B228</f>
        <v>0</v>
      </c>
      <c r="K233" s="2">
        <f>'Raw Data Cut 1.3'!C228</f>
        <v>0</v>
      </c>
      <c r="L233" s="2">
        <f>'Raw Data Cut 1.3'!D228</f>
        <v>0</v>
      </c>
      <c r="M233" s="2">
        <f>'Raw Data Cut 1.3'!E228</f>
        <v>0</v>
      </c>
      <c r="N233" s="2">
        <f>'Raw Data Cut 1.3'!G228</f>
        <v>0</v>
      </c>
      <c r="O233" s="2">
        <f>'Raw Data Cut 1.3'!H228</f>
        <v>0</v>
      </c>
      <c r="P233" s="2">
        <f>'Raw Data Cut 1.3'!I228</f>
        <v>0</v>
      </c>
      <c r="Q233" s="2">
        <f>'Raw Data Cut 1.3'!J228</f>
        <v>0</v>
      </c>
      <c r="R233" s="2">
        <f>'Raw Data Cut 1.3'!K228</f>
        <v>0</v>
      </c>
      <c r="S233" s="2">
        <f>'Raw Data Cut 1.3'!N228</f>
        <v>0</v>
      </c>
      <c r="T233" s="2">
        <f t="shared" si="6"/>
        <v>0</v>
      </c>
      <c r="U233" s="10" t="str">
        <f>IF($S233=0, "", IF(COUNTIF(Table1[Amino Acid Change], $S233)=0, "Missing", "Y"))</f>
        <v/>
      </c>
      <c r="V233" s="10">
        <f t="shared" si="7"/>
        <v>0</v>
      </c>
    </row>
    <row r="234" spans="9:22" x14ac:dyDescent="0.25">
      <c r="I234" s="2">
        <f>'Raw Data Cut 1.3'!A229</f>
        <v>0</v>
      </c>
      <c r="J234" s="2">
        <f>'Raw Data Cut 1.3'!B229</f>
        <v>0</v>
      </c>
      <c r="K234" s="2">
        <f>'Raw Data Cut 1.3'!C229</f>
        <v>0</v>
      </c>
      <c r="L234" s="2">
        <f>'Raw Data Cut 1.3'!D229</f>
        <v>0</v>
      </c>
      <c r="M234" s="2">
        <f>'Raw Data Cut 1.3'!E229</f>
        <v>0</v>
      </c>
      <c r="N234" s="2">
        <f>'Raw Data Cut 1.3'!G229</f>
        <v>0</v>
      </c>
      <c r="O234" s="2">
        <f>'Raw Data Cut 1.3'!H229</f>
        <v>0</v>
      </c>
      <c r="P234" s="2">
        <f>'Raw Data Cut 1.3'!I229</f>
        <v>0</v>
      </c>
      <c r="Q234" s="2">
        <f>'Raw Data Cut 1.3'!J229</f>
        <v>0</v>
      </c>
      <c r="R234" s="2">
        <f>'Raw Data Cut 1.3'!K229</f>
        <v>0</v>
      </c>
      <c r="S234" s="2">
        <f>'Raw Data Cut 1.3'!N229</f>
        <v>0</v>
      </c>
      <c r="T234" s="2">
        <f t="shared" si="6"/>
        <v>0</v>
      </c>
      <c r="U234" s="10" t="str">
        <f>IF($S234=0, "", IF(COUNTIF(Table1[Amino Acid Change], $S234)=0, "Missing", "Y"))</f>
        <v/>
      </c>
      <c r="V234" s="10">
        <f t="shared" si="7"/>
        <v>0</v>
      </c>
    </row>
    <row r="235" spans="9:22" x14ac:dyDescent="0.25">
      <c r="I235" s="2">
        <f>'Raw Data Cut 1.3'!A230</f>
        <v>0</v>
      </c>
      <c r="J235" s="2">
        <f>'Raw Data Cut 1.3'!B230</f>
        <v>0</v>
      </c>
      <c r="K235" s="2">
        <f>'Raw Data Cut 1.3'!C230</f>
        <v>0</v>
      </c>
      <c r="L235" s="2">
        <f>'Raw Data Cut 1.3'!D230</f>
        <v>0</v>
      </c>
      <c r="M235" s="2">
        <f>'Raw Data Cut 1.3'!E230</f>
        <v>0</v>
      </c>
      <c r="N235" s="2">
        <f>'Raw Data Cut 1.3'!G230</f>
        <v>0</v>
      </c>
      <c r="O235" s="2">
        <f>'Raw Data Cut 1.3'!H230</f>
        <v>0</v>
      </c>
      <c r="P235" s="2">
        <f>'Raw Data Cut 1.3'!I230</f>
        <v>0</v>
      </c>
      <c r="Q235" s="2">
        <f>'Raw Data Cut 1.3'!J230</f>
        <v>0</v>
      </c>
      <c r="R235" s="2">
        <f>'Raw Data Cut 1.3'!K230</f>
        <v>0</v>
      </c>
      <c r="S235" s="2">
        <f>'Raw Data Cut 1.3'!N230</f>
        <v>0</v>
      </c>
      <c r="T235" s="2">
        <f t="shared" si="6"/>
        <v>0</v>
      </c>
      <c r="U235" s="10" t="str">
        <f>IF($S235=0, "", IF(COUNTIF(Table1[Amino Acid Change], $S235)=0, "Missing", "Y"))</f>
        <v/>
      </c>
      <c r="V235" s="10">
        <f t="shared" si="7"/>
        <v>0</v>
      </c>
    </row>
    <row r="236" spans="9:22" x14ac:dyDescent="0.25">
      <c r="I236" s="2">
        <f>'Raw Data Cut 1.3'!A231</f>
        <v>0</v>
      </c>
      <c r="J236" s="2">
        <f>'Raw Data Cut 1.3'!B231</f>
        <v>0</v>
      </c>
      <c r="K236" s="2">
        <f>'Raw Data Cut 1.3'!C231</f>
        <v>0</v>
      </c>
      <c r="L236" s="2">
        <f>'Raw Data Cut 1.3'!D231</f>
        <v>0</v>
      </c>
      <c r="M236" s="2">
        <f>'Raw Data Cut 1.3'!E231</f>
        <v>0</v>
      </c>
      <c r="N236" s="2">
        <f>'Raw Data Cut 1.3'!G231</f>
        <v>0</v>
      </c>
      <c r="O236" s="2">
        <f>'Raw Data Cut 1.3'!H231</f>
        <v>0</v>
      </c>
      <c r="P236" s="2">
        <f>'Raw Data Cut 1.3'!I231</f>
        <v>0</v>
      </c>
      <c r="Q236" s="2">
        <f>'Raw Data Cut 1.3'!J231</f>
        <v>0</v>
      </c>
      <c r="R236" s="2">
        <f>'Raw Data Cut 1.3'!K231</f>
        <v>0</v>
      </c>
      <c r="S236" s="2">
        <f>'Raw Data Cut 1.3'!N231</f>
        <v>0</v>
      </c>
      <c r="T236" s="2">
        <f t="shared" si="6"/>
        <v>0</v>
      </c>
      <c r="U236" s="10" t="str">
        <f>IF($S236=0, "", IF(COUNTIF(Table1[Amino Acid Change], $S236)=0, "Missing", "Y"))</f>
        <v/>
      </c>
      <c r="V236" s="10">
        <f t="shared" si="7"/>
        <v>0</v>
      </c>
    </row>
    <row r="237" spans="9:22" x14ac:dyDescent="0.25">
      <c r="I237" s="2">
        <f>'Raw Data Cut 1.3'!A232</f>
        <v>0</v>
      </c>
      <c r="J237" s="2">
        <f>'Raw Data Cut 1.3'!B232</f>
        <v>0</v>
      </c>
      <c r="K237" s="2">
        <f>'Raw Data Cut 1.3'!C232</f>
        <v>0</v>
      </c>
      <c r="L237" s="2">
        <f>'Raw Data Cut 1.3'!D232</f>
        <v>0</v>
      </c>
      <c r="M237" s="2">
        <f>'Raw Data Cut 1.3'!E232</f>
        <v>0</v>
      </c>
      <c r="N237" s="2">
        <f>'Raw Data Cut 1.3'!G232</f>
        <v>0</v>
      </c>
      <c r="O237" s="2">
        <f>'Raw Data Cut 1.3'!H232</f>
        <v>0</v>
      </c>
      <c r="P237" s="2">
        <f>'Raw Data Cut 1.3'!I232</f>
        <v>0</v>
      </c>
      <c r="Q237" s="2">
        <f>'Raw Data Cut 1.3'!J232</f>
        <v>0</v>
      </c>
      <c r="R237" s="2">
        <f>'Raw Data Cut 1.3'!K232</f>
        <v>0</v>
      </c>
      <c r="S237" s="2">
        <f>'Raw Data Cut 1.3'!N232</f>
        <v>0</v>
      </c>
      <c r="T237" s="2">
        <f t="shared" si="6"/>
        <v>0</v>
      </c>
      <c r="U237" s="10" t="str">
        <f>IF($S237=0, "", IF(COUNTIF(Table1[Amino Acid Change], $S237)=0, "Missing", "Y"))</f>
        <v/>
      </c>
      <c r="V237" s="10">
        <f t="shared" si="7"/>
        <v>0</v>
      </c>
    </row>
    <row r="238" spans="9:22" x14ac:dyDescent="0.25">
      <c r="I238" s="2">
        <f>'Raw Data Cut 1.3'!A233</f>
        <v>0</v>
      </c>
      <c r="J238" s="2">
        <f>'Raw Data Cut 1.3'!B233</f>
        <v>0</v>
      </c>
      <c r="K238" s="2">
        <f>'Raw Data Cut 1.3'!C233</f>
        <v>0</v>
      </c>
      <c r="L238" s="2">
        <f>'Raw Data Cut 1.3'!D233</f>
        <v>0</v>
      </c>
      <c r="M238" s="2">
        <f>'Raw Data Cut 1.3'!E233</f>
        <v>0</v>
      </c>
      <c r="N238" s="2">
        <f>'Raw Data Cut 1.3'!G233</f>
        <v>0</v>
      </c>
      <c r="O238" s="2">
        <f>'Raw Data Cut 1.3'!H233</f>
        <v>0</v>
      </c>
      <c r="P238" s="2">
        <f>'Raw Data Cut 1.3'!I233</f>
        <v>0</v>
      </c>
      <c r="Q238" s="2">
        <f>'Raw Data Cut 1.3'!J233</f>
        <v>0</v>
      </c>
      <c r="R238" s="2">
        <f>'Raw Data Cut 1.3'!K233</f>
        <v>0</v>
      </c>
      <c r="S238" s="2">
        <f>'Raw Data Cut 1.3'!N233</f>
        <v>0</v>
      </c>
      <c r="T238" s="2">
        <f t="shared" si="6"/>
        <v>0</v>
      </c>
      <c r="U238" s="10" t="str">
        <f>IF($S238=0, "", IF(COUNTIF(Table1[Amino Acid Change], $S238)=0, "Missing", "Y"))</f>
        <v/>
      </c>
      <c r="V238" s="10">
        <f t="shared" si="7"/>
        <v>0</v>
      </c>
    </row>
    <row r="239" spans="9:22" x14ac:dyDescent="0.25">
      <c r="I239" s="2">
        <f>'Raw Data Cut 1.3'!A234</f>
        <v>0</v>
      </c>
      <c r="J239" s="2">
        <f>'Raw Data Cut 1.3'!B234</f>
        <v>0</v>
      </c>
      <c r="K239" s="2">
        <f>'Raw Data Cut 1.3'!C234</f>
        <v>0</v>
      </c>
      <c r="L239" s="2">
        <f>'Raw Data Cut 1.3'!D234</f>
        <v>0</v>
      </c>
      <c r="M239" s="2">
        <f>'Raw Data Cut 1.3'!E234</f>
        <v>0</v>
      </c>
      <c r="N239" s="2">
        <f>'Raw Data Cut 1.3'!G234</f>
        <v>0</v>
      </c>
      <c r="O239" s="2">
        <f>'Raw Data Cut 1.3'!H234</f>
        <v>0</v>
      </c>
      <c r="P239" s="2">
        <f>'Raw Data Cut 1.3'!I234</f>
        <v>0</v>
      </c>
      <c r="Q239" s="2">
        <f>'Raw Data Cut 1.3'!J234</f>
        <v>0</v>
      </c>
      <c r="R239" s="2">
        <f>'Raw Data Cut 1.3'!K234</f>
        <v>0</v>
      </c>
      <c r="S239" s="2">
        <f>'Raw Data Cut 1.3'!N234</f>
        <v>0</v>
      </c>
      <c r="T239" s="2">
        <f t="shared" si="6"/>
        <v>0</v>
      </c>
      <c r="U239" s="10" t="str">
        <f>IF($S239=0, "", IF(COUNTIF(Table1[Amino Acid Change], $S239)=0, "Missing", "Y"))</f>
        <v/>
      </c>
      <c r="V239" s="10">
        <f t="shared" si="7"/>
        <v>0</v>
      </c>
    </row>
    <row r="240" spans="9:22" x14ac:dyDescent="0.25">
      <c r="I240" s="2">
        <f>'Raw Data Cut 1.3'!A235</f>
        <v>0</v>
      </c>
      <c r="J240" s="2">
        <f>'Raw Data Cut 1.3'!B235</f>
        <v>0</v>
      </c>
      <c r="K240" s="2">
        <f>'Raw Data Cut 1.3'!C235</f>
        <v>0</v>
      </c>
      <c r="L240" s="2">
        <f>'Raw Data Cut 1.3'!D235</f>
        <v>0</v>
      </c>
      <c r="M240" s="2">
        <f>'Raw Data Cut 1.3'!E235</f>
        <v>0</v>
      </c>
      <c r="N240" s="2">
        <f>'Raw Data Cut 1.3'!G235</f>
        <v>0</v>
      </c>
      <c r="O240" s="2">
        <f>'Raw Data Cut 1.3'!H235</f>
        <v>0</v>
      </c>
      <c r="P240" s="2">
        <f>'Raw Data Cut 1.3'!I235</f>
        <v>0</v>
      </c>
      <c r="Q240" s="2">
        <f>'Raw Data Cut 1.3'!J235</f>
        <v>0</v>
      </c>
      <c r="R240" s="2">
        <f>'Raw Data Cut 1.3'!K235</f>
        <v>0</v>
      </c>
      <c r="S240" s="2">
        <f>'Raw Data Cut 1.3'!N235</f>
        <v>0</v>
      </c>
      <c r="T240" s="2">
        <f t="shared" si="6"/>
        <v>0</v>
      </c>
      <c r="U240" s="10" t="str">
        <f>IF($S240=0, "", IF(COUNTIF(Table1[Amino Acid Change], $S240)=0, "Missing", "Y"))</f>
        <v/>
      </c>
      <c r="V240" s="10">
        <f t="shared" si="7"/>
        <v>0</v>
      </c>
    </row>
    <row r="241" spans="9:22" x14ac:dyDescent="0.25">
      <c r="I241" s="2">
        <f>'Raw Data Cut 1.3'!A236</f>
        <v>0</v>
      </c>
      <c r="J241" s="2">
        <f>'Raw Data Cut 1.3'!B236</f>
        <v>0</v>
      </c>
      <c r="K241" s="2">
        <f>'Raw Data Cut 1.3'!C236</f>
        <v>0</v>
      </c>
      <c r="L241" s="2">
        <f>'Raw Data Cut 1.3'!D236</f>
        <v>0</v>
      </c>
      <c r="M241" s="2">
        <f>'Raw Data Cut 1.3'!E236</f>
        <v>0</v>
      </c>
      <c r="N241" s="2">
        <f>'Raw Data Cut 1.3'!G236</f>
        <v>0</v>
      </c>
      <c r="O241" s="2">
        <f>'Raw Data Cut 1.3'!H236</f>
        <v>0</v>
      </c>
      <c r="P241" s="2">
        <f>'Raw Data Cut 1.3'!I236</f>
        <v>0</v>
      </c>
      <c r="Q241" s="2">
        <f>'Raw Data Cut 1.3'!J236</f>
        <v>0</v>
      </c>
      <c r="R241" s="2">
        <f>'Raw Data Cut 1.3'!K236</f>
        <v>0</v>
      </c>
      <c r="S241" s="2">
        <f>'Raw Data Cut 1.3'!N236</f>
        <v>0</v>
      </c>
      <c r="T241" s="2">
        <f t="shared" si="6"/>
        <v>0</v>
      </c>
      <c r="U241" s="10" t="str">
        <f>IF($S241=0, "", IF(COUNTIF(Table1[Amino Acid Change], $S241)=0, "Missing", "Y"))</f>
        <v/>
      </c>
      <c r="V241" s="10">
        <f t="shared" si="7"/>
        <v>0</v>
      </c>
    </row>
    <row r="242" spans="9:22" x14ac:dyDescent="0.25">
      <c r="I242" s="2">
        <f>'Raw Data Cut 1.3'!A237</f>
        <v>0</v>
      </c>
      <c r="J242" s="2">
        <f>'Raw Data Cut 1.3'!B237</f>
        <v>0</v>
      </c>
      <c r="K242" s="2">
        <f>'Raw Data Cut 1.3'!C237</f>
        <v>0</v>
      </c>
      <c r="L242" s="2">
        <f>'Raw Data Cut 1.3'!D237</f>
        <v>0</v>
      </c>
      <c r="M242" s="2">
        <f>'Raw Data Cut 1.3'!E237</f>
        <v>0</v>
      </c>
      <c r="N242" s="2">
        <f>'Raw Data Cut 1.3'!G237</f>
        <v>0</v>
      </c>
      <c r="O242" s="2">
        <f>'Raw Data Cut 1.3'!H237</f>
        <v>0</v>
      </c>
      <c r="P242" s="2">
        <f>'Raw Data Cut 1.3'!I237</f>
        <v>0</v>
      </c>
      <c r="Q242" s="2">
        <f>'Raw Data Cut 1.3'!J237</f>
        <v>0</v>
      </c>
      <c r="R242" s="2">
        <f>'Raw Data Cut 1.3'!K237</f>
        <v>0</v>
      </c>
      <c r="S242" s="2">
        <f>'Raw Data Cut 1.3'!N237</f>
        <v>0</v>
      </c>
      <c r="T242" s="2">
        <f t="shared" si="6"/>
        <v>0</v>
      </c>
      <c r="U242" s="10" t="str">
        <f>IF($S242=0, "", IF(COUNTIF(Table1[Amino Acid Change], $S242)=0, "Missing", "Y"))</f>
        <v/>
      </c>
      <c r="V242" s="10">
        <f t="shared" si="7"/>
        <v>0</v>
      </c>
    </row>
    <row r="243" spans="9:22" x14ac:dyDescent="0.25">
      <c r="I243" s="2">
        <f>'Raw Data Cut 1.3'!A238</f>
        <v>0</v>
      </c>
      <c r="J243" s="2">
        <f>'Raw Data Cut 1.3'!B238</f>
        <v>0</v>
      </c>
      <c r="K243" s="2">
        <f>'Raw Data Cut 1.3'!C238</f>
        <v>0</v>
      </c>
      <c r="L243" s="2">
        <f>'Raw Data Cut 1.3'!D238</f>
        <v>0</v>
      </c>
      <c r="M243" s="2">
        <f>'Raw Data Cut 1.3'!E238</f>
        <v>0</v>
      </c>
      <c r="N243" s="2">
        <f>'Raw Data Cut 1.3'!G238</f>
        <v>0</v>
      </c>
      <c r="O243" s="2">
        <f>'Raw Data Cut 1.3'!H238</f>
        <v>0</v>
      </c>
      <c r="P243" s="2">
        <f>'Raw Data Cut 1.3'!I238</f>
        <v>0</v>
      </c>
      <c r="Q243" s="2">
        <f>'Raw Data Cut 1.3'!J238</f>
        <v>0</v>
      </c>
      <c r="R243" s="2">
        <f>'Raw Data Cut 1.3'!K238</f>
        <v>0</v>
      </c>
      <c r="S243" s="2">
        <f>'Raw Data Cut 1.3'!N238</f>
        <v>0</v>
      </c>
      <c r="T243" s="2">
        <f t="shared" si="6"/>
        <v>0</v>
      </c>
      <c r="U243" s="10" t="str">
        <f>IF($S243=0, "", IF(COUNTIF(Table1[Amino Acid Change], $S243)=0, "Missing", "Y"))</f>
        <v/>
      </c>
      <c r="V243" s="10">
        <f t="shared" si="7"/>
        <v>0</v>
      </c>
    </row>
    <row r="244" spans="9:22" x14ac:dyDescent="0.25">
      <c r="I244" s="2">
        <f>'Raw Data Cut 1.3'!A239</f>
        <v>0</v>
      </c>
      <c r="J244" s="2">
        <f>'Raw Data Cut 1.3'!B239</f>
        <v>0</v>
      </c>
      <c r="K244" s="2">
        <f>'Raw Data Cut 1.3'!C239</f>
        <v>0</v>
      </c>
      <c r="L244" s="2">
        <f>'Raw Data Cut 1.3'!D239</f>
        <v>0</v>
      </c>
      <c r="M244" s="2">
        <f>'Raw Data Cut 1.3'!E239</f>
        <v>0</v>
      </c>
      <c r="N244" s="2">
        <f>'Raw Data Cut 1.3'!G239</f>
        <v>0</v>
      </c>
      <c r="O244" s="2">
        <f>'Raw Data Cut 1.3'!H239</f>
        <v>0</v>
      </c>
      <c r="P244" s="2">
        <f>'Raw Data Cut 1.3'!I239</f>
        <v>0</v>
      </c>
      <c r="Q244" s="2">
        <f>'Raw Data Cut 1.3'!J239</f>
        <v>0</v>
      </c>
      <c r="R244" s="2">
        <f>'Raw Data Cut 1.3'!K239</f>
        <v>0</v>
      </c>
      <c r="S244" s="2">
        <f>'Raw Data Cut 1.3'!N239</f>
        <v>0</v>
      </c>
      <c r="T244" s="2">
        <f t="shared" si="6"/>
        <v>0</v>
      </c>
      <c r="U244" s="10" t="str">
        <f>IF($S244=0, "", IF(COUNTIF(Table1[Amino Acid Change], $S244)=0, "Missing", "Y"))</f>
        <v/>
      </c>
      <c r="V244" s="10">
        <f t="shared" si="7"/>
        <v>0</v>
      </c>
    </row>
    <row r="245" spans="9:22" x14ac:dyDescent="0.25">
      <c r="I245" s="2">
        <f>'Raw Data Cut 1.3'!A240</f>
        <v>0</v>
      </c>
      <c r="J245" s="2">
        <f>'Raw Data Cut 1.3'!B240</f>
        <v>0</v>
      </c>
      <c r="K245" s="2">
        <f>'Raw Data Cut 1.3'!C240</f>
        <v>0</v>
      </c>
      <c r="L245" s="2">
        <f>'Raw Data Cut 1.3'!D240</f>
        <v>0</v>
      </c>
      <c r="M245" s="2">
        <f>'Raw Data Cut 1.3'!E240</f>
        <v>0</v>
      </c>
      <c r="N245" s="2">
        <f>'Raw Data Cut 1.3'!G240</f>
        <v>0</v>
      </c>
      <c r="O245" s="2">
        <f>'Raw Data Cut 1.3'!H240</f>
        <v>0</v>
      </c>
      <c r="P245" s="2">
        <f>'Raw Data Cut 1.3'!I240</f>
        <v>0</v>
      </c>
      <c r="Q245" s="2">
        <f>'Raw Data Cut 1.3'!J240</f>
        <v>0</v>
      </c>
      <c r="R245" s="2">
        <f>'Raw Data Cut 1.3'!K240</f>
        <v>0</v>
      </c>
      <c r="S245" s="2">
        <f>'Raw Data Cut 1.3'!N240</f>
        <v>0</v>
      </c>
      <c r="T245" s="2">
        <f t="shared" si="6"/>
        <v>0</v>
      </c>
      <c r="U245" s="10" t="str">
        <f>IF($S245=0, "", IF(COUNTIF(Table1[Amino Acid Change], $S245)=0, "Missing", "Y"))</f>
        <v/>
      </c>
      <c r="V245" s="10">
        <f t="shared" si="7"/>
        <v>0</v>
      </c>
    </row>
    <row r="246" spans="9:22" x14ac:dyDescent="0.25">
      <c r="I246" s="2">
        <f>'Raw Data Cut 1.3'!A241</f>
        <v>0</v>
      </c>
      <c r="J246" s="2">
        <f>'Raw Data Cut 1.3'!B241</f>
        <v>0</v>
      </c>
      <c r="K246" s="2">
        <f>'Raw Data Cut 1.3'!C241</f>
        <v>0</v>
      </c>
      <c r="L246" s="2">
        <f>'Raw Data Cut 1.3'!D241</f>
        <v>0</v>
      </c>
      <c r="M246" s="2">
        <f>'Raw Data Cut 1.3'!E241</f>
        <v>0</v>
      </c>
      <c r="N246" s="2">
        <f>'Raw Data Cut 1.3'!G241</f>
        <v>0</v>
      </c>
      <c r="O246" s="2">
        <f>'Raw Data Cut 1.3'!H241</f>
        <v>0</v>
      </c>
      <c r="P246" s="2">
        <f>'Raw Data Cut 1.3'!I241</f>
        <v>0</v>
      </c>
      <c r="Q246" s="2">
        <f>'Raw Data Cut 1.3'!J241</f>
        <v>0</v>
      </c>
      <c r="R246" s="2">
        <f>'Raw Data Cut 1.3'!K241</f>
        <v>0</v>
      </c>
      <c r="S246" s="2">
        <f>'Raw Data Cut 1.3'!N241</f>
        <v>0</v>
      </c>
      <c r="T246" s="2">
        <f t="shared" si="6"/>
        <v>0</v>
      </c>
      <c r="U246" s="10" t="str">
        <f>IF($S246=0, "", IF(COUNTIF(Table1[Amino Acid Change], $S246)=0, "Missing", "Y"))</f>
        <v/>
      </c>
      <c r="V246" s="10">
        <f t="shared" si="7"/>
        <v>0</v>
      </c>
    </row>
    <row r="247" spans="9:22" x14ac:dyDescent="0.25">
      <c r="I247" s="2">
        <f>'Raw Data Cut 1.3'!A242</f>
        <v>0</v>
      </c>
      <c r="J247" s="2">
        <f>'Raw Data Cut 1.3'!B242</f>
        <v>0</v>
      </c>
      <c r="K247" s="2">
        <f>'Raw Data Cut 1.3'!C242</f>
        <v>0</v>
      </c>
      <c r="L247" s="2">
        <f>'Raw Data Cut 1.3'!D242</f>
        <v>0</v>
      </c>
      <c r="M247" s="2">
        <f>'Raw Data Cut 1.3'!E242</f>
        <v>0</v>
      </c>
      <c r="N247" s="2">
        <f>'Raw Data Cut 1.3'!G242</f>
        <v>0</v>
      </c>
      <c r="O247" s="2">
        <f>'Raw Data Cut 1.3'!H242</f>
        <v>0</v>
      </c>
      <c r="P247" s="2">
        <f>'Raw Data Cut 1.3'!I242</f>
        <v>0</v>
      </c>
      <c r="Q247" s="2">
        <f>'Raw Data Cut 1.3'!J242</f>
        <v>0</v>
      </c>
      <c r="R247" s="2">
        <f>'Raw Data Cut 1.3'!K242</f>
        <v>0</v>
      </c>
      <c r="S247" s="2">
        <f>'Raw Data Cut 1.3'!N242</f>
        <v>0</v>
      </c>
      <c r="T247" s="2">
        <f t="shared" si="6"/>
        <v>0</v>
      </c>
      <c r="U247" s="10" t="str">
        <f>IF($S247=0, "", IF(COUNTIF(Table1[Amino Acid Change], $S247)=0, "Missing", "Y"))</f>
        <v/>
      </c>
      <c r="V247" s="10">
        <f t="shared" si="7"/>
        <v>0</v>
      </c>
    </row>
    <row r="248" spans="9:22" x14ac:dyDescent="0.25">
      <c r="I248" s="2">
        <f>'Raw Data Cut 1.3'!A243</f>
        <v>0</v>
      </c>
      <c r="J248" s="2">
        <f>'Raw Data Cut 1.3'!B243</f>
        <v>0</v>
      </c>
      <c r="K248" s="2">
        <f>'Raw Data Cut 1.3'!C243</f>
        <v>0</v>
      </c>
      <c r="L248" s="2">
        <f>'Raw Data Cut 1.3'!D243</f>
        <v>0</v>
      </c>
      <c r="M248" s="2">
        <f>'Raw Data Cut 1.3'!E243</f>
        <v>0</v>
      </c>
      <c r="N248" s="2">
        <f>'Raw Data Cut 1.3'!G243</f>
        <v>0</v>
      </c>
      <c r="O248" s="2">
        <f>'Raw Data Cut 1.3'!H243</f>
        <v>0</v>
      </c>
      <c r="P248" s="2">
        <f>'Raw Data Cut 1.3'!I243</f>
        <v>0</v>
      </c>
      <c r="Q248" s="2">
        <f>'Raw Data Cut 1.3'!J243</f>
        <v>0</v>
      </c>
      <c r="R248" s="2">
        <f>'Raw Data Cut 1.3'!K243</f>
        <v>0</v>
      </c>
      <c r="S248" s="2">
        <f>'Raw Data Cut 1.3'!N243</f>
        <v>0</v>
      </c>
      <c r="T248" s="2">
        <f t="shared" si="6"/>
        <v>0</v>
      </c>
      <c r="U248" s="10" t="str">
        <f>IF($S248=0, "", IF(COUNTIF(Table1[Amino Acid Change], $S248)=0, "Missing", "Y"))</f>
        <v/>
      </c>
      <c r="V248" s="10">
        <f t="shared" si="7"/>
        <v>0</v>
      </c>
    </row>
    <row r="249" spans="9:22" x14ac:dyDescent="0.25">
      <c r="I249" s="2">
        <f>'Raw Data Cut 1.3'!A244</f>
        <v>0</v>
      </c>
      <c r="J249" s="2">
        <f>'Raw Data Cut 1.3'!B244</f>
        <v>0</v>
      </c>
      <c r="K249" s="2">
        <f>'Raw Data Cut 1.3'!C244</f>
        <v>0</v>
      </c>
      <c r="L249" s="2">
        <f>'Raw Data Cut 1.3'!D244</f>
        <v>0</v>
      </c>
      <c r="M249" s="2">
        <f>'Raw Data Cut 1.3'!E244</f>
        <v>0</v>
      </c>
      <c r="N249" s="2">
        <f>'Raw Data Cut 1.3'!G244</f>
        <v>0</v>
      </c>
      <c r="O249" s="2">
        <f>'Raw Data Cut 1.3'!H244</f>
        <v>0</v>
      </c>
      <c r="P249" s="2">
        <f>'Raw Data Cut 1.3'!I244</f>
        <v>0</v>
      </c>
      <c r="Q249" s="2">
        <f>'Raw Data Cut 1.3'!J244</f>
        <v>0</v>
      </c>
      <c r="R249" s="2">
        <f>'Raw Data Cut 1.3'!K244</f>
        <v>0</v>
      </c>
      <c r="S249" s="2">
        <f>'Raw Data Cut 1.3'!N244</f>
        <v>0</v>
      </c>
      <c r="T249" s="2">
        <f t="shared" si="6"/>
        <v>0</v>
      </c>
      <c r="U249" s="10" t="str">
        <f>IF($S249=0, "", IF(COUNTIF(Table1[Amino Acid Change], $S249)=0, "Missing", "Y"))</f>
        <v/>
      </c>
      <c r="V249" s="10">
        <f t="shared" si="7"/>
        <v>0</v>
      </c>
    </row>
    <row r="250" spans="9:22" x14ac:dyDescent="0.25">
      <c r="I250" s="2">
        <f>'Raw Data Cut 1.3'!A245</f>
        <v>0</v>
      </c>
      <c r="J250" s="2">
        <f>'Raw Data Cut 1.3'!B245</f>
        <v>0</v>
      </c>
      <c r="K250" s="2">
        <f>'Raw Data Cut 1.3'!C245</f>
        <v>0</v>
      </c>
      <c r="L250" s="2">
        <f>'Raw Data Cut 1.3'!D245</f>
        <v>0</v>
      </c>
      <c r="M250" s="2">
        <f>'Raw Data Cut 1.3'!E245</f>
        <v>0</v>
      </c>
      <c r="N250" s="2">
        <f>'Raw Data Cut 1.3'!G245</f>
        <v>0</v>
      </c>
      <c r="O250" s="2">
        <f>'Raw Data Cut 1.3'!H245</f>
        <v>0</v>
      </c>
      <c r="P250" s="2">
        <f>'Raw Data Cut 1.3'!I245</f>
        <v>0</v>
      </c>
      <c r="Q250" s="2">
        <f>'Raw Data Cut 1.3'!J245</f>
        <v>0</v>
      </c>
      <c r="R250" s="2">
        <f>'Raw Data Cut 1.3'!K245</f>
        <v>0</v>
      </c>
      <c r="S250" s="2">
        <f>'Raw Data Cut 1.3'!N245</f>
        <v>0</v>
      </c>
      <c r="T250" s="2">
        <f t="shared" si="6"/>
        <v>0</v>
      </c>
      <c r="U250" s="10" t="str">
        <f>IF($S250=0, "", IF(COUNTIF(Table1[Amino Acid Change], $S250)=0, "Missing", "Y"))</f>
        <v/>
      </c>
      <c r="V250" s="10">
        <f t="shared" si="7"/>
        <v>0</v>
      </c>
    </row>
    <row r="251" spans="9:22" x14ac:dyDescent="0.25">
      <c r="I251" s="2">
        <f>'Raw Data Cut 1.3'!A246</f>
        <v>0</v>
      </c>
      <c r="J251" s="2">
        <f>'Raw Data Cut 1.3'!B246</f>
        <v>0</v>
      </c>
      <c r="K251" s="2">
        <f>'Raw Data Cut 1.3'!C246</f>
        <v>0</v>
      </c>
      <c r="L251" s="2">
        <f>'Raw Data Cut 1.3'!D246</f>
        <v>0</v>
      </c>
      <c r="M251" s="2">
        <f>'Raw Data Cut 1.3'!E246</f>
        <v>0</v>
      </c>
      <c r="N251" s="2">
        <f>'Raw Data Cut 1.3'!G246</f>
        <v>0</v>
      </c>
      <c r="O251" s="2">
        <f>'Raw Data Cut 1.3'!H246</f>
        <v>0</v>
      </c>
      <c r="P251" s="2">
        <f>'Raw Data Cut 1.3'!I246</f>
        <v>0</v>
      </c>
      <c r="Q251" s="2">
        <f>'Raw Data Cut 1.3'!J246</f>
        <v>0</v>
      </c>
      <c r="R251" s="2">
        <f>'Raw Data Cut 1.3'!K246</f>
        <v>0</v>
      </c>
      <c r="S251" s="2">
        <f>'Raw Data Cut 1.3'!N246</f>
        <v>0</v>
      </c>
      <c r="T251" s="2">
        <f t="shared" si="6"/>
        <v>0</v>
      </c>
      <c r="U251" s="10" t="str">
        <f>IF($S251=0, "", IF(COUNTIF(Table1[Amino Acid Change], $S251)=0, "Missing", "Y"))</f>
        <v/>
      </c>
      <c r="V251" s="10">
        <f t="shared" si="7"/>
        <v>0</v>
      </c>
    </row>
    <row r="252" spans="9:22" x14ac:dyDescent="0.25">
      <c r="I252" s="2">
        <f>'Raw Data Cut 1.3'!A247</f>
        <v>0</v>
      </c>
      <c r="J252" s="2">
        <f>'Raw Data Cut 1.3'!B247</f>
        <v>0</v>
      </c>
      <c r="K252" s="2">
        <f>'Raw Data Cut 1.3'!C247</f>
        <v>0</v>
      </c>
      <c r="L252" s="2">
        <f>'Raw Data Cut 1.3'!D247</f>
        <v>0</v>
      </c>
      <c r="M252" s="2">
        <f>'Raw Data Cut 1.3'!E247</f>
        <v>0</v>
      </c>
      <c r="N252" s="2">
        <f>'Raw Data Cut 1.3'!G247</f>
        <v>0</v>
      </c>
      <c r="O252" s="2">
        <f>'Raw Data Cut 1.3'!H247</f>
        <v>0</v>
      </c>
      <c r="P252" s="2">
        <f>'Raw Data Cut 1.3'!I247</f>
        <v>0</v>
      </c>
      <c r="Q252" s="2">
        <f>'Raw Data Cut 1.3'!J247</f>
        <v>0</v>
      </c>
      <c r="R252" s="2">
        <f>'Raw Data Cut 1.3'!K247</f>
        <v>0</v>
      </c>
      <c r="S252" s="2">
        <f>'Raw Data Cut 1.3'!N247</f>
        <v>0</v>
      </c>
      <c r="T252" s="2">
        <f t="shared" si="6"/>
        <v>0</v>
      </c>
      <c r="U252" s="10" t="str">
        <f>IF($S252=0, "", IF(COUNTIF(Table1[Amino Acid Change], $S252)=0, "Missing", "Y"))</f>
        <v/>
      </c>
      <c r="V252" s="10">
        <f t="shared" si="7"/>
        <v>0</v>
      </c>
    </row>
    <row r="253" spans="9:22" x14ac:dyDescent="0.25">
      <c r="I253" s="2">
        <f>'Raw Data Cut 1.3'!A248</f>
        <v>0</v>
      </c>
      <c r="J253" s="2">
        <f>'Raw Data Cut 1.3'!B248</f>
        <v>0</v>
      </c>
      <c r="K253" s="2">
        <f>'Raw Data Cut 1.3'!C248</f>
        <v>0</v>
      </c>
      <c r="L253" s="2">
        <f>'Raw Data Cut 1.3'!D248</f>
        <v>0</v>
      </c>
      <c r="M253" s="2">
        <f>'Raw Data Cut 1.3'!E248</f>
        <v>0</v>
      </c>
      <c r="N253" s="2">
        <f>'Raw Data Cut 1.3'!G248</f>
        <v>0</v>
      </c>
      <c r="O253" s="2">
        <f>'Raw Data Cut 1.3'!H248</f>
        <v>0</v>
      </c>
      <c r="P253" s="2">
        <f>'Raw Data Cut 1.3'!I248</f>
        <v>0</v>
      </c>
      <c r="Q253" s="2">
        <f>'Raw Data Cut 1.3'!J248</f>
        <v>0</v>
      </c>
      <c r="R253" s="2">
        <f>'Raw Data Cut 1.3'!K248</f>
        <v>0</v>
      </c>
      <c r="S253" s="2">
        <f>'Raw Data Cut 1.3'!N248</f>
        <v>0</v>
      </c>
      <c r="T253" s="2">
        <f t="shared" si="6"/>
        <v>0</v>
      </c>
      <c r="U253" s="10" t="str">
        <f>IF($S253=0, "", IF(COUNTIF(Table1[Amino Acid Change], $S253)=0, "Missing", "Y"))</f>
        <v/>
      </c>
      <c r="V253" s="10">
        <f t="shared" si="7"/>
        <v>0</v>
      </c>
    </row>
    <row r="254" spans="9:22" x14ac:dyDescent="0.25">
      <c r="I254" s="2">
        <f>'Raw Data Cut 1.3'!A249</f>
        <v>0</v>
      </c>
      <c r="J254" s="2">
        <f>'Raw Data Cut 1.3'!B249</f>
        <v>0</v>
      </c>
      <c r="K254" s="2">
        <f>'Raw Data Cut 1.3'!C249</f>
        <v>0</v>
      </c>
      <c r="L254" s="2">
        <f>'Raw Data Cut 1.3'!D249</f>
        <v>0</v>
      </c>
      <c r="M254" s="2">
        <f>'Raw Data Cut 1.3'!E249</f>
        <v>0</v>
      </c>
      <c r="N254" s="2">
        <f>'Raw Data Cut 1.3'!G249</f>
        <v>0</v>
      </c>
      <c r="O254" s="2">
        <f>'Raw Data Cut 1.3'!H249</f>
        <v>0</v>
      </c>
      <c r="P254" s="2">
        <f>'Raw Data Cut 1.3'!I249</f>
        <v>0</v>
      </c>
      <c r="Q254" s="2">
        <f>'Raw Data Cut 1.3'!J249</f>
        <v>0</v>
      </c>
      <c r="R254" s="2">
        <f>'Raw Data Cut 1.3'!K249</f>
        <v>0</v>
      </c>
      <c r="S254" s="2">
        <f>'Raw Data Cut 1.3'!N249</f>
        <v>0</v>
      </c>
      <c r="T254" s="2">
        <f t="shared" ref="T254:T300" si="8">P254</f>
        <v>0</v>
      </c>
      <c r="U254" s="10" t="str">
        <f>IF($S254=0, "", IF(COUNTIF(Table1[Amino Acid Change], $S254)=0, "Missing", "Y"))</f>
        <v/>
      </c>
      <c r="V254" s="10">
        <f t="shared" si="7"/>
        <v>0</v>
      </c>
    </row>
    <row r="255" spans="9:22" x14ac:dyDescent="0.25">
      <c r="I255" s="2">
        <f>'Raw Data Cut 1.3'!A250</f>
        <v>0</v>
      </c>
      <c r="J255" s="2">
        <f>'Raw Data Cut 1.3'!B250</f>
        <v>0</v>
      </c>
      <c r="K255" s="2">
        <f>'Raw Data Cut 1.3'!C250</f>
        <v>0</v>
      </c>
      <c r="L255" s="2">
        <f>'Raw Data Cut 1.3'!D250</f>
        <v>0</v>
      </c>
      <c r="M255" s="2">
        <f>'Raw Data Cut 1.3'!E250</f>
        <v>0</v>
      </c>
      <c r="N255" s="2">
        <f>'Raw Data Cut 1.3'!G250</f>
        <v>0</v>
      </c>
      <c r="O255" s="2">
        <f>'Raw Data Cut 1.3'!H250</f>
        <v>0</v>
      </c>
      <c r="P255" s="2">
        <f>'Raw Data Cut 1.3'!I250</f>
        <v>0</v>
      </c>
      <c r="Q255" s="2">
        <f>'Raw Data Cut 1.3'!J250</f>
        <v>0</v>
      </c>
      <c r="R255" s="2">
        <f>'Raw Data Cut 1.3'!K250</f>
        <v>0</v>
      </c>
      <c r="S255" s="2">
        <f>'Raw Data Cut 1.3'!N250</f>
        <v>0</v>
      </c>
      <c r="T255" s="2">
        <f t="shared" si="8"/>
        <v>0</v>
      </c>
      <c r="U255" s="10" t="str">
        <f>IF($S255=0, "", IF(COUNTIF(Table1[Amino Acid Change], $S255)=0, "Missing", "Y"))</f>
        <v/>
      </c>
      <c r="V255" s="10">
        <f t="shared" ref="V255:V300" si="9">J255</f>
        <v>0</v>
      </c>
    </row>
    <row r="256" spans="9:22" x14ac:dyDescent="0.25">
      <c r="I256" s="2">
        <f>'Raw Data Cut 1.3'!A251</f>
        <v>0</v>
      </c>
      <c r="J256" s="2">
        <f>'Raw Data Cut 1.3'!B251</f>
        <v>0</v>
      </c>
      <c r="K256" s="2">
        <f>'Raw Data Cut 1.3'!C251</f>
        <v>0</v>
      </c>
      <c r="L256" s="2">
        <f>'Raw Data Cut 1.3'!D251</f>
        <v>0</v>
      </c>
      <c r="M256" s="2">
        <f>'Raw Data Cut 1.3'!E251</f>
        <v>0</v>
      </c>
      <c r="N256" s="2">
        <f>'Raw Data Cut 1.3'!G251</f>
        <v>0</v>
      </c>
      <c r="O256" s="2">
        <f>'Raw Data Cut 1.3'!H251</f>
        <v>0</v>
      </c>
      <c r="P256" s="2">
        <f>'Raw Data Cut 1.3'!I251</f>
        <v>0</v>
      </c>
      <c r="Q256" s="2">
        <f>'Raw Data Cut 1.3'!J251</f>
        <v>0</v>
      </c>
      <c r="R256" s="2">
        <f>'Raw Data Cut 1.3'!K251</f>
        <v>0</v>
      </c>
      <c r="S256" s="2">
        <f>'Raw Data Cut 1.3'!N251</f>
        <v>0</v>
      </c>
      <c r="T256" s="2">
        <f t="shared" si="8"/>
        <v>0</v>
      </c>
      <c r="U256" s="10" t="str">
        <f>IF($S256=0, "", IF(COUNTIF(Table1[Amino Acid Change], $S256)=0, "Missing", "Y"))</f>
        <v/>
      </c>
      <c r="V256" s="10">
        <f t="shared" si="9"/>
        <v>0</v>
      </c>
    </row>
    <row r="257" spans="9:22" x14ac:dyDescent="0.25">
      <c r="I257" s="2">
        <f>'Raw Data Cut 1.3'!A253</f>
        <v>0</v>
      </c>
      <c r="J257" s="2">
        <f>'Raw Data Cut 1.3'!B253</f>
        <v>0</v>
      </c>
      <c r="K257" s="2">
        <f>'Raw Data Cut 1.3'!C253</f>
        <v>0</v>
      </c>
      <c r="L257" s="2">
        <f>'Raw Data Cut 1.3'!D253</f>
        <v>0</v>
      </c>
      <c r="M257" s="2">
        <f>'Raw Data Cut 1.3'!E253</f>
        <v>0</v>
      </c>
      <c r="N257" s="2">
        <f>'Raw Data Cut 1.3'!G253</f>
        <v>0</v>
      </c>
      <c r="O257" s="2">
        <f>'Raw Data Cut 1.3'!H253</f>
        <v>0</v>
      </c>
      <c r="P257" s="2">
        <f>'Raw Data Cut 1.3'!I253</f>
        <v>0</v>
      </c>
      <c r="Q257" s="2">
        <f>'Raw Data Cut 1.3'!J253</f>
        <v>0</v>
      </c>
      <c r="R257" s="2">
        <f>'Raw Data Cut 1.3'!K253</f>
        <v>0</v>
      </c>
      <c r="S257" s="2">
        <f>'Raw Data Cut 1.3'!N253</f>
        <v>0</v>
      </c>
      <c r="T257" s="2">
        <f t="shared" si="8"/>
        <v>0</v>
      </c>
      <c r="U257" s="10" t="str">
        <f>IF($S257=0, "", IF(COUNTIF(Table1[Amino Acid Change], $S257)=0, "Missing", "Y"))</f>
        <v/>
      </c>
      <c r="V257" s="10">
        <f t="shared" si="9"/>
        <v>0</v>
      </c>
    </row>
    <row r="258" spans="9:22" x14ac:dyDescent="0.25">
      <c r="I258" s="2">
        <f>'Raw Data Cut 1.3'!A254</f>
        <v>0</v>
      </c>
      <c r="J258" s="2">
        <f>'Raw Data Cut 1.3'!B254</f>
        <v>0</v>
      </c>
      <c r="K258" s="2">
        <f>'Raw Data Cut 1.3'!C254</f>
        <v>0</v>
      </c>
      <c r="L258" s="2">
        <f>'Raw Data Cut 1.3'!D254</f>
        <v>0</v>
      </c>
      <c r="M258" s="2">
        <f>'Raw Data Cut 1.3'!E254</f>
        <v>0</v>
      </c>
      <c r="N258" s="2">
        <f>'Raw Data Cut 1.3'!G254</f>
        <v>0</v>
      </c>
      <c r="O258" s="2">
        <f>'Raw Data Cut 1.3'!H254</f>
        <v>0</v>
      </c>
      <c r="P258" s="2">
        <f>'Raw Data Cut 1.3'!I254</f>
        <v>0</v>
      </c>
      <c r="Q258" s="2">
        <f>'Raw Data Cut 1.3'!J254</f>
        <v>0</v>
      </c>
      <c r="R258" s="2">
        <f>'Raw Data Cut 1.3'!K254</f>
        <v>0</v>
      </c>
      <c r="S258" s="2">
        <f>'Raw Data Cut 1.3'!N254</f>
        <v>0</v>
      </c>
      <c r="T258" s="2">
        <f t="shared" si="8"/>
        <v>0</v>
      </c>
      <c r="U258" s="10" t="str">
        <f>IF($S258=0, "", IF(COUNTIF(Table1[Amino Acid Change], $S258)=0, "Missing", "Y"))</f>
        <v/>
      </c>
      <c r="V258" s="10">
        <f t="shared" si="9"/>
        <v>0</v>
      </c>
    </row>
    <row r="259" spans="9:22" x14ac:dyDescent="0.25">
      <c r="I259" s="2">
        <f>'Raw Data Cut 1.3'!A255</f>
        <v>0</v>
      </c>
      <c r="J259" s="2">
        <f>'Raw Data Cut 1.3'!B255</f>
        <v>0</v>
      </c>
      <c r="K259" s="2">
        <f>'Raw Data Cut 1.3'!C255</f>
        <v>0</v>
      </c>
      <c r="L259" s="2">
        <f>'Raw Data Cut 1.3'!D255</f>
        <v>0</v>
      </c>
      <c r="M259" s="2">
        <f>'Raw Data Cut 1.3'!E255</f>
        <v>0</v>
      </c>
      <c r="N259" s="2">
        <f>'Raw Data Cut 1.3'!G255</f>
        <v>0</v>
      </c>
      <c r="O259" s="2">
        <f>'Raw Data Cut 1.3'!H255</f>
        <v>0</v>
      </c>
      <c r="P259" s="2">
        <f>'Raw Data Cut 1.3'!I255</f>
        <v>0</v>
      </c>
      <c r="Q259" s="2">
        <f>'Raw Data Cut 1.3'!J255</f>
        <v>0</v>
      </c>
      <c r="R259" s="2">
        <f>'Raw Data Cut 1.3'!K255</f>
        <v>0</v>
      </c>
      <c r="S259" s="2">
        <f>'Raw Data Cut 1.3'!N255</f>
        <v>0</v>
      </c>
      <c r="T259" s="2">
        <f t="shared" si="8"/>
        <v>0</v>
      </c>
      <c r="U259" s="10" t="str">
        <f>IF($S259=0, "", IF(COUNTIF(Table1[Amino Acid Change], $S259)=0, "Missing", "Y"))</f>
        <v/>
      </c>
      <c r="V259" s="10">
        <f t="shared" si="9"/>
        <v>0</v>
      </c>
    </row>
    <row r="260" spans="9:22" x14ac:dyDescent="0.25">
      <c r="I260" s="2">
        <f>'Raw Data Cut 1.3'!A256</f>
        <v>0</v>
      </c>
      <c r="J260" s="2">
        <f>'Raw Data Cut 1.3'!B256</f>
        <v>0</v>
      </c>
      <c r="K260" s="2">
        <f>'Raw Data Cut 1.3'!C256</f>
        <v>0</v>
      </c>
      <c r="L260" s="2">
        <f>'Raw Data Cut 1.3'!D256</f>
        <v>0</v>
      </c>
      <c r="M260" s="2">
        <f>'Raw Data Cut 1.3'!E256</f>
        <v>0</v>
      </c>
      <c r="N260" s="2">
        <f>'Raw Data Cut 1.3'!G256</f>
        <v>0</v>
      </c>
      <c r="O260" s="2">
        <f>'Raw Data Cut 1.3'!H256</f>
        <v>0</v>
      </c>
      <c r="P260" s="2">
        <f>'Raw Data Cut 1.3'!I256</f>
        <v>0</v>
      </c>
      <c r="Q260" s="2">
        <f>'Raw Data Cut 1.3'!J256</f>
        <v>0</v>
      </c>
      <c r="R260" s="2">
        <f>'Raw Data Cut 1.3'!K256</f>
        <v>0</v>
      </c>
      <c r="S260" s="2">
        <f>'Raw Data Cut 1.3'!N256</f>
        <v>0</v>
      </c>
      <c r="T260" s="2">
        <f t="shared" si="8"/>
        <v>0</v>
      </c>
      <c r="U260" s="10" t="str">
        <f>IF($S260=0, "", IF(COUNTIF(Table1[Amino Acid Change], $S260)=0, "Missing", "Y"))</f>
        <v/>
      </c>
      <c r="V260" s="10">
        <f t="shared" si="9"/>
        <v>0</v>
      </c>
    </row>
    <row r="261" spans="9:22" x14ac:dyDescent="0.25">
      <c r="I261" s="2">
        <f>'Raw Data Cut 1.3'!A257</f>
        <v>0</v>
      </c>
      <c r="J261" s="2">
        <f>'Raw Data Cut 1.3'!B257</f>
        <v>0</v>
      </c>
      <c r="K261" s="2">
        <f>'Raw Data Cut 1.3'!C257</f>
        <v>0</v>
      </c>
      <c r="L261" s="2">
        <f>'Raw Data Cut 1.3'!D257</f>
        <v>0</v>
      </c>
      <c r="M261" s="2">
        <f>'Raw Data Cut 1.3'!E257</f>
        <v>0</v>
      </c>
      <c r="N261" s="2">
        <f>'Raw Data Cut 1.3'!G257</f>
        <v>0</v>
      </c>
      <c r="O261" s="2">
        <f>'Raw Data Cut 1.3'!H257</f>
        <v>0</v>
      </c>
      <c r="P261" s="2">
        <f>'Raw Data Cut 1.3'!I257</f>
        <v>0</v>
      </c>
      <c r="Q261" s="2">
        <f>'Raw Data Cut 1.3'!J257</f>
        <v>0</v>
      </c>
      <c r="R261" s="2">
        <f>'Raw Data Cut 1.3'!K257</f>
        <v>0</v>
      </c>
      <c r="S261" s="2">
        <f>'Raw Data Cut 1.3'!N257</f>
        <v>0</v>
      </c>
      <c r="T261" s="2">
        <f t="shared" si="8"/>
        <v>0</v>
      </c>
      <c r="U261" s="10" t="str">
        <f>IF($S261=0, "", IF(COUNTIF(Table1[Amino Acid Change], $S261)=0, "Missing", "Y"))</f>
        <v/>
      </c>
      <c r="V261" s="10">
        <f t="shared" si="9"/>
        <v>0</v>
      </c>
    </row>
    <row r="262" spans="9:22" x14ac:dyDescent="0.25">
      <c r="I262" s="2">
        <f>'Raw Data Cut 1.3'!A258</f>
        <v>0</v>
      </c>
      <c r="J262" s="2">
        <f>'Raw Data Cut 1.3'!B258</f>
        <v>0</v>
      </c>
      <c r="K262" s="2">
        <f>'Raw Data Cut 1.3'!C258</f>
        <v>0</v>
      </c>
      <c r="L262" s="2">
        <f>'Raw Data Cut 1.3'!D258</f>
        <v>0</v>
      </c>
      <c r="M262" s="2">
        <f>'Raw Data Cut 1.3'!E258</f>
        <v>0</v>
      </c>
      <c r="N262" s="2">
        <f>'Raw Data Cut 1.3'!G258</f>
        <v>0</v>
      </c>
      <c r="O262" s="2">
        <f>'Raw Data Cut 1.3'!H258</f>
        <v>0</v>
      </c>
      <c r="P262" s="2">
        <f>'Raw Data Cut 1.3'!I258</f>
        <v>0</v>
      </c>
      <c r="Q262" s="2">
        <f>'Raw Data Cut 1.3'!J258</f>
        <v>0</v>
      </c>
      <c r="R262" s="2">
        <f>'Raw Data Cut 1.3'!K258</f>
        <v>0</v>
      </c>
      <c r="S262" s="2">
        <f>'Raw Data Cut 1.3'!N258</f>
        <v>0</v>
      </c>
      <c r="T262" s="2">
        <f t="shared" si="8"/>
        <v>0</v>
      </c>
      <c r="U262" s="10" t="str">
        <f>IF($S262=0, "", IF(COUNTIF(Table1[Amino Acid Change], $S262)=0, "Missing", "Y"))</f>
        <v/>
      </c>
      <c r="V262" s="10">
        <f t="shared" si="9"/>
        <v>0</v>
      </c>
    </row>
    <row r="263" spans="9:22" x14ac:dyDescent="0.25">
      <c r="I263" s="2">
        <f>'Raw Data Cut 1.3'!A259</f>
        <v>0</v>
      </c>
      <c r="J263" s="2">
        <f>'Raw Data Cut 1.3'!B259</f>
        <v>0</v>
      </c>
      <c r="K263" s="2">
        <f>'Raw Data Cut 1.3'!C259</f>
        <v>0</v>
      </c>
      <c r="L263" s="2">
        <f>'Raw Data Cut 1.3'!D259</f>
        <v>0</v>
      </c>
      <c r="M263" s="2">
        <f>'Raw Data Cut 1.3'!E259</f>
        <v>0</v>
      </c>
      <c r="N263" s="2">
        <f>'Raw Data Cut 1.3'!G259</f>
        <v>0</v>
      </c>
      <c r="O263" s="2">
        <f>'Raw Data Cut 1.3'!H259</f>
        <v>0</v>
      </c>
      <c r="P263" s="2">
        <f>'Raw Data Cut 1.3'!I259</f>
        <v>0</v>
      </c>
      <c r="Q263" s="2">
        <f>'Raw Data Cut 1.3'!J259</f>
        <v>0</v>
      </c>
      <c r="R263" s="2">
        <f>'Raw Data Cut 1.3'!K259</f>
        <v>0</v>
      </c>
      <c r="S263" s="2">
        <f>'Raw Data Cut 1.3'!N259</f>
        <v>0</v>
      </c>
      <c r="T263" s="2">
        <f t="shared" si="8"/>
        <v>0</v>
      </c>
      <c r="U263" s="10" t="str">
        <f>IF($S263=0, "", IF(COUNTIF(Table1[Amino Acid Change], $S263)=0, "Missing", "Y"))</f>
        <v/>
      </c>
      <c r="V263" s="10">
        <f t="shared" si="9"/>
        <v>0</v>
      </c>
    </row>
    <row r="264" spans="9:22" x14ac:dyDescent="0.25">
      <c r="I264" s="2">
        <f>'Raw Data Cut 1.3'!A260</f>
        <v>0</v>
      </c>
      <c r="J264" s="2">
        <f>'Raw Data Cut 1.3'!B260</f>
        <v>0</v>
      </c>
      <c r="K264" s="2">
        <f>'Raw Data Cut 1.3'!C260</f>
        <v>0</v>
      </c>
      <c r="L264" s="2">
        <f>'Raw Data Cut 1.3'!D260</f>
        <v>0</v>
      </c>
      <c r="M264" s="2">
        <f>'Raw Data Cut 1.3'!E260</f>
        <v>0</v>
      </c>
      <c r="N264" s="2">
        <f>'Raw Data Cut 1.3'!G260</f>
        <v>0</v>
      </c>
      <c r="O264" s="2">
        <f>'Raw Data Cut 1.3'!H260</f>
        <v>0</v>
      </c>
      <c r="P264" s="2">
        <f>'Raw Data Cut 1.3'!I260</f>
        <v>0</v>
      </c>
      <c r="Q264" s="2">
        <f>'Raw Data Cut 1.3'!J260</f>
        <v>0</v>
      </c>
      <c r="R264" s="2">
        <f>'Raw Data Cut 1.3'!K260</f>
        <v>0</v>
      </c>
      <c r="S264" s="2">
        <f>'Raw Data Cut 1.3'!N260</f>
        <v>0</v>
      </c>
      <c r="T264" s="2">
        <f t="shared" si="8"/>
        <v>0</v>
      </c>
      <c r="U264" s="10" t="str">
        <f>IF($S264=0, "", IF(COUNTIF(Table1[Amino Acid Change], $S264)=0, "Missing", "Y"))</f>
        <v/>
      </c>
      <c r="V264" s="10">
        <f t="shared" si="9"/>
        <v>0</v>
      </c>
    </row>
    <row r="265" spans="9:22" x14ac:dyDescent="0.25">
      <c r="I265" s="2">
        <f>'Raw Data Cut 1.3'!A261</f>
        <v>0</v>
      </c>
      <c r="J265" s="2">
        <f>'Raw Data Cut 1.3'!B261</f>
        <v>0</v>
      </c>
      <c r="K265" s="2">
        <f>'Raw Data Cut 1.3'!C261</f>
        <v>0</v>
      </c>
      <c r="L265" s="2">
        <f>'Raw Data Cut 1.3'!D261</f>
        <v>0</v>
      </c>
      <c r="M265" s="2">
        <f>'Raw Data Cut 1.3'!E261</f>
        <v>0</v>
      </c>
      <c r="N265" s="2">
        <f>'Raw Data Cut 1.3'!G261</f>
        <v>0</v>
      </c>
      <c r="O265" s="2">
        <f>'Raw Data Cut 1.3'!H261</f>
        <v>0</v>
      </c>
      <c r="P265" s="2">
        <f>'Raw Data Cut 1.3'!I261</f>
        <v>0</v>
      </c>
      <c r="Q265" s="2">
        <f>'Raw Data Cut 1.3'!J261</f>
        <v>0</v>
      </c>
      <c r="R265" s="2">
        <f>'Raw Data Cut 1.3'!K261</f>
        <v>0</v>
      </c>
      <c r="S265" s="2">
        <f>'Raw Data Cut 1.3'!N261</f>
        <v>0</v>
      </c>
      <c r="T265" s="2">
        <f t="shared" si="8"/>
        <v>0</v>
      </c>
      <c r="U265" s="10" t="str">
        <f>IF($S265=0, "", IF(COUNTIF(Table1[Amino Acid Change], $S265)=0, "Missing", "Y"))</f>
        <v/>
      </c>
      <c r="V265" s="10">
        <f t="shared" si="9"/>
        <v>0</v>
      </c>
    </row>
    <row r="266" spans="9:22" x14ac:dyDescent="0.25">
      <c r="I266" s="2">
        <f>'Raw Data Cut 1.3'!A262</f>
        <v>0</v>
      </c>
      <c r="J266" s="2">
        <f>'Raw Data Cut 1.3'!B262</f>
        <v>0</v>
      </c>
      <c r="K266" s="2">
        <f>'Raw Data Cut 1.3'!C262</f>
        <v>0</v>
      </c>
      <c r="L266" s="2">
        <f>'Raw Data Cut 1.3'!D262</f>
        <v>0</v>
      </c>
      <c r="M266" s="2">
        <f>'Raw Data Cut 1.3'!E262</f>
        <v>0</v>
      </c>
      <c r="N266" s="2">
        <f>'Raw Data Cut 1.3'!G262</f>
        <v>0</v>
      </c>
      <c r="O266" s="2">
        <f>'Raw Data Cut 1.3'!H262</f>
        <v>0</v>
      </c>
      <c r="P266" s="2">
        <f>'Raw Data Cut 1.3'!I262</f>
        <v>0</v>
      </c>
      <c r="Q266" s="2">
        <f>'Raw Data Cut 1.3'!J262</f>
        <v>0</v>
      </c>
      <c r="R266" s="2">
        <f>'Raw Data Cut 1.3'!K262</f>
        <v>0</v>
      </c>
      <c r="S266" s="2">
        <f>'Raw Data Cut 1.3'!N262</f>
        <v>0</v>
      </c>
      <c r="T266" s="2">
        <f t="shared" si="8"/>
        <v>0</v>
      </c>
      <c r="U266" s="10" t="str">
        <f>IF($S266=0, "", IF(COUNTIF(Table1[Amino Acid Change], $S266)=0, "Missing", "Y"))</f>
        <v/>
      </c>
      <c r="V266" s="10">
        <f t="shared" si="9"/>
        <v>0</v>
      </c>
    </row>
    <row r="267" spans="9:22" x14ac:dyDescent="0.25">
      <c r="I267" s="2">
        <f>'Raw Data Cut 1.3'!A263</f>
        <v>0</v>
      </c>
      <c r="J267" s="2">
        <f>'Raw Data Cut 1.3'!B263</f>
        <v>0</v>
      </c>
      <c r="K267" s="2">
        <f>'Raw Data Cut 1.3'!C263</f>
        <v>0</v>
      </c>
      <c r="L267" s="2">
        <f>'Raw Data Cut 1.3'!D263</f>
        <v>0</v>
      </c>
      <c r="M267" s="2">
        <f>'Raw Data Cut 1.3'!E263</f>
        <v>0</v>
      </c>
      <c r="N267" s="2">
        <f>'Raw Data Cut 1.3'!G263</f>
        <v>0</v>
      </c>
      <c r="O267" s="2">
        <f>'Raw Data Cut 1.3'!H263</f>
        <v>0</v>
      </c>
      <c r="P267" s="2">
        <f>'Raw Data Cut 1.3'!I263</f>
        <v>0</v>
      </c>
      <c r="Q267" s="2">
        <f>'Raw Data Cut 1.3'!J263</f>
        <v>0</v>
      </c>
      <c r="R267" s="2">
        <f>'Raw Data Cut 1.3'!K263</f>
        <v>0</v>
      </c>
      <c r="S267" s="2">
        <f>'Raw Data Cut 1.3'!N263</f>
        <v>0</v>
      </c>
      <c r="T267" s="2">
        <f t="shared" si="8"/>
        <v>0</v>
      </c>
      <c r="U267" s="10" t="str">
        <f>IF($S267=0, "", IF(COUNTIF(Table1[Amino Acid Change], $S267)=0, "Missing", "Y"))</f>
        <v/>
      </c>
      <c r="V267" s="10">
        <f t="shared" si="9"/>
        <v>0</v>
      </c>
    </row>
    <row r="268" spans="9:22" x14ac:dyDescent="0.25">
      <c r="I268" s="2">
        <f>'Raw Data Cut 1.3'!A264</f>
        <v>0</v>
      </c>
      <c r="J268" s="2">
        <f>'Raw Data Cut 1.3'!B264</f>
        <v>0</v>
      </c>
      <c r="K268" s="2">
        <f>'Raw Data Cut 1.3'!C264</f>
        <v>0</v>
      </c>
      <c r="L268" s="2">
        <f>'Raw Data Cut 1.3'!D264</f>
        <v>0</v>
      </c>
      <c r="M268" s="2">
        <f>'Raw Data Cut 1.3'!E264</f>
        <v>0</v>
      </c>
      <c r="N268" s="2">
        <f>'Raw Data Cut 1.3'!G264</f>
        <v>0</v>
      </c>
      <c r="O268" s="2">
        <f>'Raw Data Cut 1.3'!H264</f>
        <v>0</v>
      </c>
      <c r="P268" s="2">
        <f>'Raw Data Cut 1.3'!I264</f>
        <v>0</v>
      </c>
      <c r="Q268" s="2">
        <f>'Raw Data Cut 1.3'!J264</f>
        <v>0</v>
      </c>
      <c r="R268" s="2">
        <f>'Raw Data Cut 1.3'!K264</f>
        <v>0</v>
      </c>
      <c r="S268" s="2">
        <f>'Raw Data Cut 1.3'!N264</f>
        <v>0</v>
      </c>
      <c r="T268" s="2">
        <f t="shared" si="8"/>
        <v>0</v>
      </c>
      <c r="U268" s="10" t="str">
        <f>IF($S268=0, "", IF(COUNTIF(Table1[Amino Acid Change], $S268)=0, "Missing", "Y"))</f>
        <v/>
      </c>
      <c r="V268" s="10">
        <f t="shared" si="9"/>
        <v>0</v>
      </c>
    </row>
    <row r="269" spans="9:22" x14ac:dyDescent="0.25">
      <c r="I269" s="2">
        <f>'Raw Data Cut 1.3'!A265</f>
        <v>0</v>
      </c>
      <c r="J269" s="2">
        <f>'Raw Data Cut 1.3'!B265</f>
        <v>0</v>
      </c>
      <c r="K269" s="2">
        <f>'Raw Data Cut 1.3'!C265</f>
        <v>0</v>
      </c>
      <c r="L269" s="2">
        <f>'Raw Data Cut 1.3'!D265</f>
        <v>0</v>
      </c>
      <c r="M269" s="2">
        <f>'Raw Data Cut 1.3'!E265</f>
        <v>0</v>
      </c>
      <c r="N269" s="2">
        <f>'Raw Data Cut 1.3'!G265</f>
        <v>0</v>
      </c>
      <c r="O269" s="2">
        <f>'Raw Data Cut 1.3'!H265</f>
        <v>0</v>
      </c>
      <c r="P269" s="2">
        <f>'Raw Data Cut 1.3'!I265</f>
        <v>0</v>
      </c>
      <c r="Q269" s="2">
        <f>'Raw Data Cut 1.3'!J265</f>
        <v>0</v>
      </c>
      <c r="R269" s="2">
        <f>'Raw Data Cut 1.3'!K265</f>
        <v>0</v>
      </c>
      <c r="S269" s="2">
        <f>'Raw Data Cut 1.3'!N265</f>
        <v>0</v>
      </c>
      <c r="T269" s="2">
        <f t="shared" si="8"/>
        <v>0</v>
      </c>
      <c r="U269" s="10" t="str">
        <f>IF($S269=0, "", IF(COUNTIF(Table1[Amino Acid Change], $S269)=0, "Missing", "Y"))</f>
        <v/>
      </c>
      <c r="V269" s="10">
        <f t="shared" si="9"/>
        <v>0</v>
      </c>
    </row>
    <row r="270" spans="9:22" x14ac:dyDescent="0.25">
      <c r="I270" s="2">
        <f>'Raw Data Cut 1.3'!A266</f>
        <v>0</v>
      </c>
      <c r="J270" s="2">
        <f>'Raw Data Cut 1.3'!B266</f>
        <v>0</v>
      </c>
      <c r="K270" s="2">
        <f>'Raw Data Cut 1.3'!C266</f>
        <v>0</v>
      </c>
      <c r="L270" s="2">
        <f>'Raw Data Cut 1.3'!D266</f>
        <v>0</v>
      </c>
      <c r="M270" s="2">
        <f>'Raw Data Cut 1.3'!E266</f>
        <v>0</v>
      </c>
      <c r="N270" s="2">
        <f>'Raw Data Cut 1.3'!G266</f>
        <v>0</v>
      </c>
      <c r="O270" s="2">
        <f>'Raw Data Cut 1.3'!H266</f>
        <v>0</v>
      </c>
      <c r="P270" s="2">
        <f>'Raw Data Cut 1.3'!I266</f>
        <v>0</v>
      </c>
      <c r="Q270" s="2">
        <f>'Raw Data Cut 1.3'!J266</f>
        <v>0</v>
      </c>
      <c r="R270" s="2">
        <f>'Raw Data Cut 1.3'!K266</f>
        <v>0</v>
      </c>
      <c r="S270" s="2">
        <f>'Raw Data Cut 1.3'!N266</f>
        <v>0</v>
      </c>
      <c r="T270" s="2">
        <f t="shared" si="8"/>
        <v>0</v>
      </c>
      <c r="U270" s="10" t="str">
        <f>IF($S270=0, "", IF(COUNTIF(Table1[Amino Acid Change], $S270)=0, "Missing", "Y"))</f>
        <v/>
      </c>
      <c r="V270" s="10">
        <f t="shared" si="9"/>
        <v>0</v>
      </c>
    </row>
    <row r="271" spans="9:22" x14ac:dyDescent="0.25">
      <c r="I271" s="2">
        <f>'Raw Data Cut 1.3'!A267</f>
        <v>0</v>
      </c>
      <c r="J271" s="2">
        <f>'Raw Data Cut 1.3'!B267</f>
        <v>0</v>
      </c>
      <c r="K271" s="2">
        <f>'Raw Data Cut 1.3'!C267</f>
        <v>0</v>
      </c>
      <c r="L271" s="2">
        <f>'Raw Data Cut 1.3'!D267</f>
        <v>0</v>
      </c>
      <c r="M271" s="2">
        <f>'Raw Data Cut 1.3'!E267</f>
        <v>0</v>
      </c>
      <c r="N271" s="2">
        <f>'Raw Data Cut 1.3'!G267</f>
        <v>0</v>
      </c>
      <c r="O271" s="2">
        <f>'Raw Data Cut 1.3'!H267</f>
        <v>0</v>
      </c>
      <c r="P271" s="2">
        <f>'Raw Data Cut 1.3'!I267</f>
        <v>0</v>
      </c>
      <c r="Q271" s="2">
        <f>'Raw Data Cut 1.3'!J267</f>
        <v>0</v>
      </c>
      <c r="R271" s="2">
        <f>'Raw Data Cut 1.3'!K267</f>
        <v>0</v>
      </c>
      <c r="S271" s="2">
        <f>'Raw Data Cut 1.3'!N267</f>
        <v>0</v>
      </c>
      <c r="T271" s="2">
        <f t="shared" si="8"/>
        <v>0</v>
      </c>
      <c r="U271" s="10" t="str">
        <f>IF($S271=0, "", IF(COUNTIF(Table1[Amino Acid Change], $S271)=0, "Missing", "Y"))</f>
        <v/>
      </c>
      <c r="V271" s="10">
        <f t="shared" si="9"/>
        <v>0</v>
      </c>
    </row>
    <row r="272" spans="9:22" x14ac:dyDescent="0.25">
      <c r="I272" s="2">
        <f>'Raw Data Cut 1.3'!A268</f>
        <v>0</v>
      </c>
      <c r="J272" s="2">
        <f>'Raw Data Cut 1.3'!B268</f>
        <v>0</v>
      </c>
      <c r="K272" s="2">
        <f>'Raw Data Cut 1.3'!C268</f>
        <v>0</v>
      </c>
      <c r="L272" s="2">
        <f>'Raw Data Cut 1.3'!D268</f>
        <v>0</v>
      </c>
      <c r="M272" s="2">
        <f>'Raw Data Cut 1.3'!E268</f>
        <v>0</v>
      </c>
      <c r="N272" s="2">
        <f>'Raw Data Cut 1.3'!G268</f>
        <v>0</v>
      </c>
      <c r="O272" s="2">
        <f>'Raw Data Cut 1.3'!H268</f>
        <v>0</v>
      </c>
      <c r="P272" s="2">
        <f>'Raw Data Cut 1.3'!I268</f>
        <v>0</v>
      </c>
      <c r="Q272" s="2">
        <f>'Raw Data Cut 1.3'!J268</f>
        <v>0</v>
      </c>
      <c r="R272" s="2">
        <f>'Raw Data Cut 1.3'!K268</f>
        <v>0</v>
      </c>
      <c r="S272" s="2">
        <f>'Raw Data Cut 1.3'!N268</f>
        <v>0</v>
      </c>
      <c r="T272" s="2">
        <f t="shared" si="8"/>
        <v>0</v>
      </c>
      <c r="U272" s="10" t="str">
        <f>IF($S272=0, "", IF(COUNTIF(Table1[Amino Acid Change], $S272)=0, "Missing", "Y"))</f>
        <v/>
      </c>
      <c r="V272" s="10">
        <f t="shared" si="9"/>
        <v>0</v>
      </c>
    </row>
    <row r="273" spans="9:22" x14ac:dyDescent="0.25">
      <c r="I273" s="2">
        <f>'Raw Data Cut 1.3'!A269</f>
        <v>0</v>
      </c>
      <c r="J273" s="2">
        <f>'Raw Data Cut 1.3'!B269</f>
        <v>0</v>
      </c>
      <c r="K273" s="2">
        <f>'Raw Data Cut 1.3'!C269</f>
        <v>0</v>
      </c>
      <c r="L273" s="2">
        <f>'Raw Data Cut 1.3'!D269</f>
        <v>0</v>
      </c>
      <c r="M273" s="2">
        <f>'Raw Data Cut 1.3'!E269</f>
        <v>0</v>
      </c>
      <c r="N273" s="2">
        <f>'Raw Data Cut 1.3'!G269</f>
        <v>0</v>
      </c>
      <c r="O273" s="2">
        <f>'Raw Data Cut 1.3'!H269</f>
        <v>0</v>
      </c>
      <c r="P273" s="2">
        <f>'Raw Data Cut 1.3'!I269</f>
        <v>0</v>
      </c>
      <c r="Q273" s="2">
        <f>'Raw Data Cut 1.3'!J269</f>
        <v>0</v>
      </c>
      <c r="R273" s="2">
        <f>'Raw Data Cut 1.3'!K269</f>
        <v>0</v>
      </c>
      <c r="S273" s="2">
        <f>'Raw Data Cut 1.3'!N269</f>
        <v>0</v>
      </c>
      <c r="T273" s="2">
        <f t="shared" si="8"/>
        <v>0</v>
      </c>
      <c r="U273" s="10" t="str">
        <f>IF($S273=0, "", IF(COUNTIF(Table1[Amino Acid Change], $S273)=0, "Missing", "Y"))</f>
        <v/>
      </c>
      <c r="V273" s="10">
        <f t="shared" si="9"/>
        <v>0</v>
      </c>
    </row>
    <row r="274" spans="9:22" x14ac:dyDescent="0.25">
      <c r="I274" s="2">
        <f>'Raw Data Cut 1.3'!A270</f>
        <v>0</v>
      </c>
      <c r="J274" s="2">
        <f>'Raw Data Cut 1.3'!B270</f>
        <v>0</v>
      </c>
      <c r="K274" s="2">
        <f>'Raw Data Cut 1.3'!C270</f>
        <v>0</v>
      </c>
      <c r="L274" s="2">
        <f>'Raw Data Cut 1.3'!D270</f>
        <v>0</v>
      </c>
      <c r="M274" s="2">
        <f>'Raw Data Cut 1.3'!E270</f>
        <v>0</v>
      </c>
      <c r="N274" s="2">
        <f>'Raw Data Cut 1.3'!G270</f>
        <v>0</v>
      </c>
      <c r="O274" s="2">
        <f>'Raw Data Cut 1.3'!H270</f>
        <v>0</v>
      </c>
      <c r="P274" s="2">
        <f>'Raw Data Cut 1.3'!I270</f>
        <v>0</v>
      </c>
      <c r="Q274" s="2">
        <f>'Raw Data Cut 1.3'!J270</f>
        <v>0</v>
      </c>
      <c r="R274" s="2">
        <f>'Raw Data Cut 1.3'!K270</f>
        <v>0</v>
      </c>
      <c r="S274" s="2">
        <f>'Raw Data Cut 1.3'!N270</f>
        <v>0</v>
      </c>
      <c r="T274" s="2">
        <f t="shared" si="8"/>
        <v>0</v>
      </c>
      <c r="U274" s="10" t="str">
        <f>IF($S274=0, "", IF(COUNTIF(Table1[Amino Acid Change], $S274)=0, "Missing", "Y"))</f>
        <v/>
      </c>
      <c r="V274" s="10">
        <f t="shared" si="9"/>
        <v>0</v>
      </c>
    </row>
    <row r="275" spans="9:22" x14ac:dyDescent="0.25">
      <c r="I275" s="2">
        <f>'Raw Data Cut 1.3'!A271</f>
        <v>0</v>
      </c>
      <c r="J275" s="2">
        <f>'Raw Data Cut 1.3'!B271</f>
        <v>0</v>
      </c>
      <c r="K275" s="2">
        <f>'Raw Data Cut 1.3'!C271</f>
        <v>0</v>
      </c>
      <c r="L275" s="2">
        <f>'Raw Data Cut 1.3'!D271</f>
        <v>0</v>
      </c>
      <c r="M275" s="2">
        <f>'Raw Data Cut 1.3'!E271</f>
        <v>0</v>
      </c>
      <c r="N275" s="2">
        <f>'Raw Data Cut 1.3'!G271</f>
        <v>0</v>
      </c>
      <c r="O275" s="2">
        <f>'Raw Data Cut 1.3'!H271</f>
        <v>0</v>
      </c>
      <c r="P275" s="2">
        <f>'Raw Data Cut 1.3'!I271</f>
        <v>0</v>
      </c>
      <c r="Q275" s="2">
        <f>'Raw Data Cut 1.3'!J271</f>
        <v>0</v>
      </c>
      <c r="R275" s="2">
        <f>'Raw Data Cut 1.3'!K271</f>
        <v>0</v>
      </c>
      <c r="S275" s="2">
        <f>'Raw Data Cut 1.3'!N271</f>
        <v>0</v>
      </c>
      <c r="T275" s="2">
        <f t="shared" si="8"/>
        <v>0</v>
      </c>
      <c r="U275" s="10" t="str">
        <f>IF($S275=0, "", IF(COUNTIF(Table1[Amino Acid Change], $S275)=0, "Missing", "Y"))</f>
        <v/>
      </c>
      <c r="V275" s="10">
        <f t="shared" si="9"/>
        <v>0</v>
      </c>
    </row>
    <row r="276" spans="9:22" x14ac:dyDescent="0.25">
      <c r="I276" s="2">
        <f>'Raw Data Cut 1.3'!A272</f>
        <v>0</v>
      </c>
      <c r="J276" s="2">
        <f>'Raw Data Cut 1.3'!B272</f>
        <v>0</v>
      </c>
      <c r="K276" s="2">
        <f>'Raw Data Cut 1.3'!C272</f>
        <v>0</v>
      </c>
      <c r="L276" s="2">
        <f>'Raw Data Cut 1.3'!D272</f>
        <v>0</v>
      </c>
      <c r="M276" s="2">
        <f>'Raw Data Cut 1.3'!E272</f>
        <v>0</v>
      </c>
      <c r="N276" s="2">
        <f>'Raw Data Cut 1.3'!G272</f>
        <v>0</v>
      </c>
      <c r="O276" s="2">
        <f>'Raw Data Cut 1.3'!H272</f>
        <v>0</v>
      </c>
      <c r="P276" s="2">
        <f>'Raw Data Cut 1.3'!I272</f>
        <v>0</v>
      </c>
      <c r="Q276" s="2">
        <f>'Raw Data Cut 1.3'!J272</f>
        <v>0</v>
      </c>
      <c r="R276" s="2">
        <f>'Raw Data Cut 1.3'!K272</f>
        <v>0</v>
      </c>
      <c r="S276" s="2">
        <f>'Raw Data Cut 1.3'!N272</f>
        <v>0</v>
      </c>
      <c r="T276" s="2">
        <f t="shared" si="8"/>
        <v>0</v>
      </c>
      <c r="U276" s="10" t="str">
        <f>IF($S276=0, "", IF(COUNTIF(Table1[Amino Acid Change], $S276)=0, "Missing", "Y"))</f>
        <v/>
      </c>
      <c r="V276" s="10">
        <f t="shared" si="9"/>
        <v>0</v>
      </c>
    </row>
    <row r="277" spans="9:22" x14ac:dyDescent="0.25">
      <c r="I277" s="2">
        <f>'Raw Data Cut 1.3'!A273</f>
        <v>0</v>
      </c>
      <c r="J277" s="2">
        <f>'Raw Data Cut 1.3'!B273</f>
        <v>0</v>
      </c>
      <c r="K277" s="2">
        <f>'Raw Data Cut 1.3'!C273</f>
        <v>0</v>
      </c>
      <c r="L277" s="2">
        <f>'Raw Data Cut 1.3'!D273</f>
        <v>0</v>
      </c>
      <c r="M277" s="2">
        <f>'Raw Data Cut 1.3'!E273</f>
        <v>0</v>
      </c>
      <c r="N277" s="2">
        <f>'Raw Data Cut 1.3'!G273</f>
        <v>0</v>
      </c>
      <c r="O277" s="2">
        <f>'Raw Data Cut 1.3'!H273</f>
        <v>0</v>
      </c>
      <c r="P277" s="2">
        <f>'Raw Data Cut 1.3'!I273</f>
        <v>0</v>
      </c>
      <c r="Q277" s="2">
        <f>'Raw Data Cut 1.3'!J273</f>
        <v>0</v>
      </c>
      <c r="R277" s="2">
        <f>'Raw Data Cut 1.3'!K273</f>
        <v>0</v>
      </c>
      <c r="S277" s="2">
        <f>'Raw Data Cut 1.3'!N273</f>
        <v>0</v>
      </c>
      <c r="T277" s="2">
        <f t="shared" si="8"/>
        <v>0</v>
      </c>
      <c r="U277" s="10" t="str">
        <f>IF($S277=0, "", IF(COUNTIF(Table1[Amino Acid Change], $S277)=0, "Missing", "Y"))</f>
        <v/>
      </c>
      <c r="V277" s="10">
        <f t="shared" si="9"/>
        <v>0</v>
      </c>
    </row>
    <row r="278" spans="9:22" x14ac:dyDescent="0.25">
      <c r="I278" s="2">
        <f>'Raw Data Cut 1.3'!A274</f>
        <v>0</v>
      </c>
      <c r="J278" s="2">
        <f>'Raw Data Cut 1.3'!B274</f>
        <v>0</v>
      </c>
      <c r="K278" s="2">
        <f>'Raw Data Cut 1.3'!C274</f>
        <v>0</v>
      </c>
      <c r="L278" s="2">
        <f>'Raw Data Cut 1.3'!D274</f>
        <v>0</v>
      </c>
      <c r="M278" s="2">
        <f>'Raw Data Cut 1.3'!E274</f>
        <v>0</v>
      </c>
      <c r="N278" s="2">
        <f>'Raw Data Cut 1.3'!G274</f>
        <v>0</v>
      </c>
      <c r="O278" s="2">
        <f>'Raw Data Cut 1.3'!H274</f>
        <v>0</v>
      </c>
      <c r="P278" s="2">
        <f>'Raw Data Cut 1.3'!I274</f>
        <v>0</v>
      </c>
      <c r="Q278" s="2">
        <f>'Raw Data Cut 1.3'!J274</f>
        <v>0</v>
      </c>
      <c r="R278" s="2">
        <f>'Raw Data Cut 1.3'!K274</f>
        <v>0</v>
      </c>
      <c r="S278" s="2">
        <f>'Raw Data Cut 1.3'!N274</f>
        <v>0</v>
      </c>
      <c r="T278" s="2">
        <f t="shared" si="8"/>
        <v>0</v>
      </c>
      <c r="U278" s="10" t="str">
        <f>IF($S278=0, "", IF(COUNTIF(Table1[Amino Acid Change], $S278)=0, "Missing", "Y"))</f>
        <v/>
      </c>
      <c r="V278" s="10">
        <f t="shared" si="9"/>
        <v>0</v>
      </c>
    </row>
    <row r="279" spans="9:22" x14ac:dyDescent="0.25">
      <c r="I279" s="2">
        <f>'Raw Data Cut 1.3'!A275</f>
        <v>0</v>
      </c>
      <c r="J279" s="2">
        <f>'Raw Data Cut 1.3'!B275</f>
        <v>0</v>
      </c>
      <c r="K279" s="2">
        <f>'Raw Data Cut 1.3'!C275</f>
        <v>0</v>
      </c>
      <c r="L279" s="2">
        <f>'Raw Data Cut 1.3'!D275</f>
        <v>0</v>
      </c>
      <c r="M279" s="2">
        <f>'Raw Data Cut 1.3'!E275</f>
        <v>0</v>
      </c>
      <c r="N279" s="2">
        <f>'Raw Data Cut 1.3'!G275</f>
        <v>0</v>
      </c>
      <c r="O279" s="2">
        <f>'Raw Data Cut 1.3'!H275</f>
        <v>0</v>
      </c>
      <c r="P279" s="2">
        <f>'Raw Data Cut 1.3'!I275</f>
        <v>0</v>
      </c>
      <c r="Q279" s="2">
        <f>'Raw Data Cut 1.3'!J275</f>
        <v>0</v>
      </c>
      <c r="R279" s="2">
        <f>'Raw Data Cut 1.3'!K275</f>
        <v>0</v>
      </c>
      <c r="S279" s="2">
        <f>'Raw Data Cut 1.3'!N275</f>
        <v>0</v>
      </c>
      <c r="T279" s="2">
        <f t="shared" si="8"/>
        <v>0</v>
      </c>
      <c r="U279" s="10" t="str">
        <f>IF($S279=0, "", IF(COUNTIF(Table1[Amino Acid Change], $S279)=0, "Missing", "Y"))</f>
        <v/>
      </c>
      <c r="V279" s="10">
        <f t="shared" si="9"/>
        <v>0</v>
      </c>
    </row>
    <row r="280" spans="9:22" x14ac:dyDescent="0.25">
      <c r="I280" s="2">
        <f>'Raw Data Cut 1.3'!A276</f>
        <v>0</v>
      </c>
      <c r="J280" s="2">
        <f>'Raw Data Cut 1.3'!B276</f>
        <v>0</v>
      </c>
      <c r="K280" s="2">
        <f>'Raw Data Cut 1.3'!C276</f>
        <v>0</v>
      </c>
      <c r="L280" s="2">
        <f>'Raw Data Cut 1.3'!D276</f>
        <v>0</v>
      </c>
      <c r="M280" s="2">
        <f>'Raw Data Cut 1.3'!E276</f>
        <v>0</v>
      </c>
      <c r="N280" s="2">
        <f>'Raw Data Cut 1.3'!G276</f>
        <v>0</v>
      </c>
      <c r="O280" s="2">
        <f>'Raw Data Cut 1.3'!H276</f>
        <v>0</v>
      </c>
      <c r="P280" s="2">
        <f>'Raw Data Cut 1.3'!I276</f>
        <v>0</v>
      </c>
      <c r="Q280" s="2">
        <f>'Raw Data Cut 1.3'!J276</f>
        <v>0</v>
      </c>
      <c r="R280" s="2">
        <f>'Raw Data Cut 1.3'!K276</f>
        <v>0</v>
      </c>
      <c r="S280" s="2">
        <f>'Raw Data Cut 1.3'!N276</f>
        <v>0</v>
      </c>
      <c r="T280" s="2">
        <f t="shared" si="8"/>
        <v>0</v>
      </c>
      <c r="U280" s="10" t="str">
        <f>IF($S280=0, "", IF(COUNTIF(Table1[Amino Acid Change], $S280)=0, "Missing", "Y"))</f>
        <v/>
      </c>
      <c r="V280" s="10">
        <f t="shared" si="9"/>
        <v>0</v>
      </c>
    </row>
    <row r="281" spans="9:22" x14ac:dyDescent="0.25">
      <c r="I281" s="2">
        <f>'Raw Data Cut 1.3'!A277</f>
        <v>0</v>
      </c>
      <c r="J281" s="2">
        <f>'Raw Data Cut 1.3'!B277</f>
        <v>0</v>
      </c>
      <c r="K281" s="2">
        <f>'Raw Data Cut 1.3'!C277</f>
        <v>0</v>
      </c>
      <c r="L281" s="2">
        <f>'Raw Data Cut 1.3'!D277</f>
        <v>0</v>
      </c>
      <c r="M281" s="2">
        <f>'Raw Data Cut 1.3'!E277</f>
        <v>0</v>
      </c>
      <c r="N281" s="2">
        <f>'Raw Data Cut 1.3'!G277</f>
        <v>0</v>
      </c>
      <c r="O281" s="2">
        <f>'Raw Data Cut 1.3'!H277</f>
        <v>0</v>
      </c>
      <c r="P281" s="2">
        <f>'Raw Data Cut 1.3'!I277</f>
        <v>0</v>
      </c>
      <c r="Q281" s="2">
        <f>'Raw Data Cut 1.3'!J277</f>
        <v>0</v>
      </c>
      <c r="R281" s="2">
        <f>'Raw Data Cut 1.3'!K277</f>
        <v>0</v>
      </c>
      <c r="S281" s="2">
        <f>'Raw Data Cut 1.3'!N277</f>
        <v>0</v>
      </c>
      <c r="T281" s="2">
        <f t="shared" si="8"/>
        <v>0</v>
      </c>
      <c r="U281" s="10" t="str">
        <f>IF($S281=0, "", IF(COUNTIF(Table1[Amino Acid Change], $S281)=0, "Missing", "Y"))</f>
        <v/>
      </c>
      <c r="V281" s="10">
        <f t="shared" si="9"/>
        <v>0</v>
      </c>
    </row>
    <row r="282" spans="9:22" x14ac:dyDescent="0.25">
      <c r="I282" s="2">
        <f>'Raw Data Cut 1.3'!A277</f>
        <v>0</v>
      </c>
      <c r="J282" s="2">
        <f>'Raw Data Cut 1.3'!B277</f>
        <v>0</v>
      </c>
      <c r="K282" s="2">
        <f>'Raw Data Cut 1.3'!C277</f>
        <v>0</v>
      </c>
      <c r="L282" s="2">
        <f>'Raw Data Cut 1.3'!D277</f>
        <v>0</v>
      </c>
      <c r="M282" s="2">
        <f>'Raw Data Cut 1.3'!E277</f>
        <v>0</v>
      </c>
      <c r="N282" s="2">
        <f>'Raw Data Cut 1.3'!G277</f>
        <v>0</v>
      </c>
      <c r="O282" s="2">
        <f>'Raw Data Cut 1.3'!H277</f>
        <v>0</v>
      </c>
      <c r="P282" s="2">
        <f>'Raw Data Cut 1.3'!I277</f>
        <v>0</v>
      </c>
      <c r="Q282" s="2">
        <f>'Raw Data Cut 1.3'!J277</f>
        <v>0</v>
      </c>
      <c r="R282" s="2">
        <f>'Raw Data Cut 1.3'!K277</f>
        <v>0</v>
      </c>
      <c r="S282" s="2">
        <f>'Raw Data Cut 1.3'!N277</f>
        <v>0</v>
      </c>
      <c r="T282" s="2">
        <f t="shared" si="8"/>
        <v>0</v>
      </c>
      <c r="U282" s="10" t="str">
        <f>IF($S282=0, "", IF(COUNTIF(Table1[Amino Acid Change], $S282)=0, "Missing", "Y"))</f>
        <v/>
      </c>
      <c r="V282" s="10">
        <f t="shared" si="9"/>
        <v>0</v>
      </c>
    </row>
    <row r="283" spans="9:22" x14ac:dyDescent="0.25">
      <c r="I283" s="2">
        <f>'Raw Data Cut 1.3'!A278</f>
        <v>0</v>
      </c>
      <c r="J283" s="2">
        <f>'Raw Data Cut 1.3'!B278</f>
        <v>0</v>
      </c>
      <c r="K283" s="2">
        <f>'Raw Data Cut 1.3'!C278</f>
        <v>0</v>
      </c>
      <c r="L283" s="2">
        <f>'Raw Data Cut 1.3'!D278</f>
        <v>0</v>
      </c>
      <c r="M283" s="2">
        <f>'Raw Data Cut 1.3'!E278</f>
        <v>0</v>
      </c>
      <c r="N283" s="2">
        <f>'Raw Data Cut 1.3'!G278</f>
        <v>0</v>
      </c>
      <c r="O283" s="2">
        <f>'Raw Data Cut 1.3'!H278</f>
        <v>0</v>
      </c>
      <c r="P283" s="2">
        <f>'Raw Data Cut 1.3'!I278</f>
        <v>0</v>
      </c>
      <c r="Q283" s="2">
        <f>'Raw Data Cut 1.3'!J278</f>
        <v>0</v>
      </c>
      <c r="R283" s="2">
        <f>'Raw Data Cut 1.3'!K278</f>
        <v>0</v>
      </c>
      <c r="S283" s="2">
        <f>'Raw Data Cut 1.3'!N278</f>
        <v>0</v>
      </c>
      <c r="T283" s="2">
        <f t="shared" si="8"/>
        <v>0</v>
      </c>
      <c r="U283" s="10" t="str">
        <f>IF($S283=0, "", IF(COUNTIF(Table1[Amino Acid Change], $S283)=0, "Missing", "Y"))</f>
        <v/>
      </c>
      <c r="V283" s="10">
        <f t="shared" si="9"/>
        <v>0</v>
      </c>
    </row>
    <row r="284" spans="9:22" x14ac:dyDescent="0.25">
      <c r="I284" s="2">
        <f>'Raw Data Cut 1.3'!A279</f>
        <v>0</v>
      </c>
      <c r="J284" s="2">
        <f>'Raw Data Cut 1.3'!B279</f>
        <v>0</v>
      </c>
      <c r="K284" s="2">
        <f>'Raw Data Cut 1.3'!C279</f>
        <v>0</v>
      </c>
      <c r="L284" s="2">
        <f>'Raw Data Cut 1.3'!D279</f>
        <v>0</v>
      </c>
      <c r="M284" s="2">
        <f>'Raw Data Cut 1.3'!E279</f>
        <v>0</v>
      </c>
      <c r="N284" s="2">
        <f>'Raw Data Cut 1.3'!G279</f>
        <v>0</v>
      </c>
      <c r="O284" s="2">
        <f>'Raw Data Cut 1.3'!H279</f>
        <v>0</v>
      </c>
      <c r="P284" s="2">
        <f>'Raw Data Cut 1.3'!I279</f>
        <v>0</v>
      </c>
      <c r="Q284" s="2">
        <f>'Raw Data Cut 1.3'!J279</f>
        <v>0</v>
      </c>
      <c r="R284" s="2">
        <f>'Raw Data Cut 1.3'!K279</f>
        <v>0</v>
      </c>
      <c r="S284" s="2">
        <f>'Raw Data Cut 1.3'!N279</f>
        <v>0</v>
      </c>
      <c r="T284" s="2">
        <f t="shared" si="8"/>
        <v>0</v>
      </c>
      <c r="U284" s="10" t="str">
        <f>IF($S284=0, "", IF(COUNTIF(Table1[Amino Acid Change], $S284)=0, "Missing", "Y"))</f>
        <v/>
      </c>
      <c r="V284" s="10">
        <f t="shared" si="9"/>
        <v>0</v>
      </c>
    </row>
    <row r="285" spans="9:22" x14ac:dyDescent="0.25">
      <c r="I285" s="2">
        <f>'Raw Data Cut 1.3'!A280</f>
        <v>0</v>
      </c>
      <c r="J285" s="2">
        <f>'Raw Data Cut 1.3'!B280</f>
        <v>0</v>
      </c>
      <c r="K285" s="2">
        <f>'Raw Data Cut 1.3'!C280</f>
        <v>0</v>
      </c>
      <c r="L285" s="2">
        <f>'Raw Data Cut 1.3'!D280</f>
        <v>0</v>
      </c>
      <c r="M285" s="2">
        <f>'Raw Data Cut 1.3'!E280</f>
        <v>0</v>
      </c>
      <c r="N285" s="2">
        <f>'Raw Data Cut 1.3'!G280</f>
        <v>0</v>
      </c>
      <c r="O285" s="2">
        <f>'Raw Data Cut 1.3'!H280</f>
        <v>0</v>
      </c>
      <c r="P285" s="2">
        <f>'Raw Data Cut 1.3'!I280</f>
        <v>0</v>
      </c>
      <c r="Q285" s="2">
        <f>'Raw Data Cut 1.3'!J280</f>
        <v>0</v>
      </c>
      <c r="R285" s="2">
        <f>'Raw Data Cut 1.3'!K280</f>
        <v>0</v>
      </c>
      <c r="S285" s="2">
        <f>'Raw Data Cut 1.3'!N280</f>
        <v>0</v>
      </c>
      <c r="T285" s="2">
        <f t="shared" si="8"/>
        <v>0</v>
      </c>
      <c r="U285" s="10" t="str">
        <f>IF($S285=0, "", IF(COUNTIF(Table1[Amino Acid Change], $S285)=0, "Missing", "Y"))</f>
        <v/>
      </c>
      <c r="V285" s="10">
        <f t="shared" si="9"/>
        <v>0</v>
      </c>
    </row>
    <row r="286" spans="9:22" x14ac:dyDescent="0.25">
      <c r="I286" s="2">
        <f>'Raw Data Cut 1.3'!A281</f>
        <v>0</v>
      </c>
      <c r="J286" s="2">
        <f>'Raw Data Cut 1.3'!B281</f>
        <v>0</v>
      </c>
      <c r="K286" s="2">
        <f>'Raw Data Cut 1.3'!C281</f>
        <v>0</v>
      </c>
      <c r="L286" s="2">
        <f>'Raw Data Cut 1.3'!D281</f>
        <v>0</v>
      </c>
      <c r="M286" s="2">
        <f>'Raw Data Cut 1.3'!E281</f>
        <v>0</v>
      </c>
      <c r="N286" s="2">
        <f>'Raw Data Cut 1.3'!G281</f>
        <v>0</v>
      </c>
      <c r="O286" s="2">
        <f>'Raw Data Cut 1.3'!H281</f>
        <v>0</v>
      </c>
      <c r="P286" s="2">
        <f>'Raw Data Cut 1.3'!I281</f>
        <v>0</v>
      </c>
      <c r="Q286" s="2">
        <f>'Raw Data Cut 1.3'!J281</f>
        <v>0</v>
      </c>
      <c r="R286" s="2">
        <f>'Raw Data Cut 1.3'!K281</f>
        <v>0</v>
      </c>
      <c r="S286" s="2">
        <f>'Raw Data Cut 1.3'!N281</f>
        <v>0</v>
      </c>
      <c r="T286" s="2">
        <f t="shared" si="8"/>
        <v>0</v>
      </c>
      <c r="U286" s="10" t="str">
        <f>IF($S286=0, "", IF(COUNTIF(Table1[Amino Acid Change], $S286)=0, "Missing", "Y"))</f>
        <v/>
      </c>
      <c r="V286" s="10">
        <f t="shared" si="9"/>
        <v>0</v>
      </c>
    </row>
    <row r="287" spans="9:22" x14ac:dyDescent="0.25">
      <c r="I287" s="2">
        <f>'Raw Data Cut 1.3'!A282</f>
        <v>0</v>
      </c>
      <c r="J287" s="2">
        <f>'Raw Data Cut 1.3'!B282</f>
        <v>0</v>
      </c>
      <c r="K287" s="2">
        <f>'Raw Data Cut 1.3'!C282</f>
        <v>0</v>
      </c>
      <c r="L287" s="2">
        <f>'Raw Data Cut 1.3'!D282</f>
        <v>0</v>
      </c>
      <c r="M287" s="2">
        <f>'Raw Data Cut 1.3'!E282</f>
        <v>0</v>
      </c>
      <c r="N287" s="2">
        <f>'Raw Data Cut 1.3'!G282</f>
        <v>0</v>
      </c>
      <c r="O287" s="2">
        <f>'Raw Data Cut 1.3'!H282</f>
        <v>0</v>
      </c>
      <c r="P287" s="2">
        <f>'Raw Data Cut 1.3'!I282</f>
        <v>0</v>
      </c>
      <c r="Q287" s="2">
        <f>'Raw Data Cut 1.3'!J282</f>
        <v>0</v>
      </c>
      <c r="R287" s="2">
        <f>'Raw Data Cut 1.3'!K282</f>
        <v>0</v>
      </c>
      <c r="S287" s="2">
        <f>'Raw Data Cut 1.3'!N282</f>
        <v>0</v>
      </c>
      <c r="T287" s="2">
        <f t="shared" si="8"/>
        <v>0</v>
      </c>
      <c r="U287" s="10" t="str">
        <f>IF($S287=0, "", IF(COUNTIF(Table1[Amino Acid Change], $S287)=0, "Missing", "Y"))</f>
        <v/>
      </c>
      <c r="V287" s="10">
        <f t="shared" si="9"/>
        <v>0</v>
      </c>
    </row>
    <row r="288" spans="9:22" x14ac:dyDescent="0.25">
      <c r="I288" s="2">
        <f>'Raw Data Cut 1.3'!A283</f>
        <v>0</v>
      </c>
      <c r="J288" s="2">
        <f>'Raw Data Cut 1.3'!B283</f>
        <v>0</v>
      </c>
      <c r="K288" s="2">
        <f>'Raw Data Cut 1.3'!C283</f>
        <v>0</v>
      </c>
      <c r="L288" s="2">
        <f>'Raw Data Cut 1.3'!D283</f>
        <v>0</v>
      </c>
      <c r="M288" s="2">
        <f>'Raw Data Cut 1.3'!E283</f>
        <v>0</v>
      </c>
      <c r="N288" s="2">
        <f>'Raw Data Cut 1.3'!G283</f>
        <v>0</v>
      </c>
      <c r="O288" s="2">
        <f>'Raw Data Cut 1.3'!H283</f>
        <v>0</v>
      </c>
      <c r="P288" s="2">
        <f>'Raw Data Cut 1.3'!I283</f>
        <v>0</v>
      </c>
      <c r="Q288" s="2">
        <f>'Raw Data Cut 1.3'!J283</f>
        <v>0</v>
      </c>
      <c r="R288" s="2">
        <f>'Raw Data Cut 1.3'!K283</f>
        <v>0</v>
      </c>
      <c r="S288" s="2">
        <f>'Raw Data Cut 1.3'!N283</f>
        <v>0</v>
      </c>
      <c r="T288" s="2">
        <f t="shared" si="8"/>
        <v>0</v>
      </c>
      <c r="U288" s="10" t="str">
        <f>IF($S288=0, "", IF(COUNTIF(Table1[Amino Acid Change], $S288)=0, "Missing", "Y"))</f>
        <v/>
      </c>
      <c r="V288" s="10">
        <f t="shared" si="9"/>
        <v>0</v>
      </c>
    </row>
    <row r="289" spans="9:23" x14ac:dyDescent="0.25">
      <c r="I289" s="2">
        <f>'Raw Data Cut 1.3'!A284</f>
        <v>0</v>
      </c>
      <c r="J289" s="2">
        <f>'Raw Data Cut 1.3'!B284</f>
        <v>0</v>
      </c>
      <c r="K289" s="2">
        <f>'Raw Data Cut 1.3'!C284</f>
        <v>0</v>
      </c>
      <c r="L289" s="2">
        <f>'Raw Data Cut 1.3'!D284</f>
        <v>0</v>
      </c>
      <c r="M289" s="2">
        <f>'Raw Data Cut 1.3'!E284</f>
        <v>0</v>
      </c>
      <c r="N289" s="2">
        <f>'Raw Data Cut 1.3'!G284</f>
        <v>0</v>
      </c>
      <c r="O289" s="2">
        <f>'Raw Data Cut 1.3'!H284</f>
        <v>0</v>
      </c>
      <c r="P289" s="2">
        <f>'Raw Data Cut 1.3'!I284</f>
        <v>0</v>
      </c>
      <c r="Q289" s="2">
        <f>'Raw Data Cut 1.3'!J284</f>
        <v>0</v>
      </c>
      <c r="R289" s="2">
        <f>'Raw Data Cut 1.3'!K284</f>
        <v>0</v>
      </c>
      <c r="S289" s="2">
        <f>'Raw Data Cut 1.3'!N284</f>
        <v>0</v>
      </c>
      <c r="T289" s="2">
        <f t="shared" si="8"/>
        <v>0</v>
      </c>
      <c r="U289" s="10" t="str">
        <f>IF($S289=0, "", IF(COUNTIF(Table1[Amino Acid Change], $S289)=0, "Missing", "Y"))</f>
        <v/>
      </c>
      <c r="V289" s="10">
        <f t="shared" si="9"/>
        <v>0</v>
      </c>
    </row>
    <row r="290" spans="9:23" x14ac:dyDescent="0.25">
      <c r="I290" s="2">
        <f>'Raw Data Cut 1.3'!A285</f>
        <v>0</v>
      </c>
      <c r="J290" s="2">
        <f>'Raw Data Cut 1.3'!B285</f>
        <v>0</v>
      </c>
      <c r="K290" s="2">
        <f>'Raw Data Cut 1.3'!C285</f>
        <v>0</v>
      </c>
      <c r="L290" s="2">
        <f>'Raw Data Cut 1.3'!D285</f>
        <v>0</v>
      </c>
      <c r="M290" s="2">
        <f>'Raw Data Cut 1.3'!E285</f>
        <v>0</v>
      </c>
      <c r="N290" s="2">
        <f>'Raw Data Cut 1.3'!G285</f>
        <v>0</v>
      </c>
      <c r="O290" s="2">
        <f>'Raw Data Cut 1.3'!H285</f>
        <v>0</v>
      </c>
      <c r="P290" s="2">
        <f>'Raw Data Cut 1.3'!I285</f>
        <v>0</v>
      </c>
      <c r="Q290" s="2">
        <f>'Raw Data Cut 1.3'!J285</f>
        <v>0</v>
      </c>
      <c r="R290" s="2">
        <f>'Raw Data Cut 1.3'!K285</f>
        <v>0</v>
      </c>
      <c r="S290" s="2">
        <f>'Raw Data Cut 1.3'!N285</f>
        <v>0</v>
      </c>
      <c r="T290" s="2">
        <f t="shared" si="8"/>
        <v>0</v>
      </c>
      <c r="U290" s="10" t="str">
        <f>IF($S290=0, "", IF(COUNTIF(Table1[Amino Acid Change], $S290)=0, "Missing", "Y"))</f>
        <v/>
      </c>
      <c r="V290" s="10">
        <f t="shared" si="9"/>
        <v>0</v>
      </c>
    </row>
    <row r="291" spans="9:23" x14ac:dyDescent="0.25">
      <c r="I291" s="2">
        <f>'Raw Data Cut 1.3'!A286</f>
        <v>0</v>
      </c>
      <c r="J291" s="2">
        <f>'Raw Data Cut 1.3'!B286</f>
        <v>0</v>
      </c>
      <c r="K291" s="2">
        <f>'Raw Data Cut 1.3'!C286</f>
        <v>0</v>
      </c>
      <c r="L291" s="2">
        <f>'Raw Data Cut 1.3'!D286</f>
        <v>0</v>
      </c>
      <c r="M291" s="2">
        <f>'Raw Data Cut 1.3'!E286</f>
        <v>0</v>
      </c>
      <c r="N291" s="2">
        <f>'Raw Data Cut 1.3'!G286</f>
        <v>0</v>
      </c>
      <c r="O291" s="2">
        <f>'Raw Data Cut 1.3'!H286</f>
        <v>0</v>
      </c>
      <c r="P291" s="2">
        <f>'Raw Data Cut 1.3'!I286</f>
        <v>0</v>
      </c>
      <c r="Q291" s="2">
        <f>'Raw Data Cut 1.3'!J286</f>
        <v>0</v>
      </c>
      <c r="R291" s="2">
        <f>'Raw Data Cut 1.3'!K286</f>
        <v>0</v>
      </c>
      <c r="S291" s="2">
        <f>'Raw Data Cut 1.3'!N286</f>
        <v>0</v>
      </c>
      <c r="T291" s="2">
        <f t="shared" si="8"/>
        <v>0</v>
      </c>
      <c r="U291" s="10" t="str">
        <f>IF($S291=0, "", IF(COUNTIF(Table1[Amino Acid Change], $S291)=0, "Missing", "Y"))</f>
        <v/>
      </c>
      <c r="V291" s="10">
        <f t="shared" si="9"/>
        <v>0</v>
      </c>
    </row>
    <row r="292" spans="9:23" x14ac:dyDescent="0.25">
      <c r="I292" s="2">
        <f>'Raw Data Cut 1.3'!A287</f>
        <v>0</v>
      </c>
      <c r="J292" s="2">
        <f>'Raw Data Cut 1.3'!B287</f>
        <v>0</v>
      </c>
      <c r="K292" s="2">
        <f>'Raw Data Cut 1.3'!C287</f>
        <v>0</v>
      </c>
      <c r="L292" s="2">
        <f>'Raw Data Cut 1.3'!D287</f>
        <v>0</v>
      </c>
      <c r="M292" s="2">
        <f>'Raw Data Cut 1.3'!E287</f>
        <v>0</v>
      </c>
      <c r="N292" s="2">
        <f>'Raw Data Cut 1.3'!G287</f>
        <v>0</v>
      </c>
      <c r="O292" s="2">
        <f>'Raw Data Cut 1.3'!H287</f>
        <v>0</v>
      </c>
      <c r="P292" s="2">
        <f>'Raw Data Cut 1.3'!I287</f>
        <v>0</v>
      </c>
      <c r="Q292" s="2">
        <f>'Raw Data Cut 1.3'!J287</f>
        <v>0</v>
      </c>
      <c r="R292" s="2">
        <f>'Raw Data Cut 1.3'!K287</f>
        <v>0</v>
      </c>
      <c r="S292" s="2">
        <f>'Raw Data Cut 1.3'!N287</f>
        <v>0</v>
      </c>
      <c r="T292" s="2">
        <f t="shared" si="8"/>
        <v>0</v>
      </c>
      <c r="U292" s="10" t="str">
        <f>IF($S292=0, "", IF(COUNTIF(Table1[Amino Acid Change], $S292)=0, "Missing", "Y"))</f>
        <v/>
      </c>
      <c r="V292" s="10">
        <f t="shared" si="9"/>
        <v>0</v>
      </c>
    </row>
    <row r="293" spans="9:23" x14ac:dyDescent="0.25">
      <c r="I293" s="2">
        <f>'Raw Data Cut 1.3'!A288</f>
        <v>0</v>
      </c>
      <c r="J293" s="2">
        <f>'Raw Data Cut 1.3'!B288</f>
        <v>0</v>
      </c>
      <c r="K293" s="2">
        <f>'Raw Data Cut 1.3'!C288</f>
        <v>0</v>
      </c>
      <c r="L293" s="2">
        <f>'Raw Data Cut 1.3'!D288</f>
        <v>0</v>
      </c>
      <c r="M293" s="2">
        <f>'Raw Data Cut 1.3'!E288</f>
        <v>0</v>
      </c>
      <c r="N293" s="2">
        <f>'Raw Data Cut 1.3'!G288</f>
        <v>0</v>
      </c>
      <c r="O293" s="2">
        <f>'Raw Data Cut 1.3'!H288</f>
        <v>0</v>
      </c>
      <c r="P293" s="2">
        <f>'Raw Data Cut 1.3'!I288</f>
        <v>0</v>
      </c>
      <c r="Q293" s="2">
        <f>'Raw Data Cut 1.3'!J288</f>
        <v>0</v>
      </c>
      <c r="R293" s="2">
        <f>'Raw Data Cut 1.3'!K288</f>
        <v>0</v>
      </c>
      <c r="S293" s="2">
        <f>'Raw Data Cut 1.3'!N288</f>
        <v>0</v>
      </c>
      <c r="T293" s="2">
        <f t="shared" si="8"/>
        <v>0</v>
      </c>
      <c r="U293" s="10" t="str">
        <f>IF($S293=0, "", IF(COUNTIF(Table1[Amino Acid Change], $S293)=0, "Missing", "Y"))</f>
        <v/>
      </c>
      <c r="V293" s="10">
        <f t="shared" si="9"/>
        <v>0</v>
      </c>
    </row>
    <row r="294" spans="9:23" x14ac:dyDescent="0.25">
      <c r="I294" s="2">
        <f>'Raw Data Cut 1.3'!A289</f>
        <v>0</v>
      </c>
      <c r="J294" s="2">
        <f>'Raw Data Cut 1.3'!B289</f>
        <v>0</v>
      </c>
      <c r="K294" s="2">
        <f>'Raw Data Cut 1.3'!C289</f>
        <v>0</v>
      </c>
      <c r="L294" s="2">
        <f>'Raw Data Cut 1.3'!D289</f>
        <v>0</v>
      </c>
      <c r="M294" s="2">
        <f>'Raw Data Cut 1.3'!E289</f>
        <v>0</v>
      </c>
      <c r="N294" s="2">
        <f>'Raw Data Cut 1.3'!G289</f>
        <v>0</v>
      </c>
      <c r="O294" s="2">
        <f>'Raw Data Cut 1.3'!H289</f>
        <v>0</v>
      </c>
      <c r="P294" s="2">
        <f>'Raw Data Cut 1.3'!I289</f>
        <v>0</v>
      </c>
      <c r="Q294" s="2">
        <f>'Raw Data Cut 1.3'!J289</f>
        <v>0</v>
      </c>
      <c r="R294" s="2">
        <f>'Raw Data Cut 1.3'!K289</f>
        <v>0</v>
      </c>
      <c r="S294" s="2">
        <f>'Raw Data Cut 1.3'!N289</f>
        <v>0</v>
      </c>
      <c r="T294" s="2">
        <f t="shared" si="8"/>
        <v>0</v>
      </c>
      <c r="U294" s="10" t="str">
        <f>IF($S294=0, "", IF(COUNTIF(Table1[Amino Acid Change], $S294)=0, "Missing", "Y"))</f>
        <v/>
      </c>
      <c r="V294" s="10">
        <f t="shared" si="9"/>
        <v>0</v>
      </c>
    </row>
    <row r="295" spans="9:23" x14ac:dyDescent="0.25">
      <c r="I295" s="2">
        <f>'Raw Data Cut 1.3'!A290</f>
        <v>0</v>
      </c>
      <c r="J295" s="2">
        <f>'Raw Data Cut 1.3'!B290</f>
        <v>0</v>
      </c>
      <c r="K295" s="2">
        <f>'Raw Data Cut 1.3'!C290</f>
        <v>0</v>
      </c>
      <c r="L295" s="2">
        <f>'Raw Data Cut 1.3'!D290</f>
        <v>0</v>
      </c>
      <c r="M295" s="2">
        <f>'Raw Data Cut 1.3'!E290</f>
        <v>0</v>
      </c>
      <c r="N295" s="2">
        <f>'Raw Data Cut 1.3'!G290</f>
        <v>0</v>
      </c>
      <c r="O295" s="2">
        <f>'Raw Data Cut 1.3'!H290</f>
        <v>0</v>
      </c>
      <c r="P295" s="2">
        <f>'Raw Data Cut 1.3'!I290</f>
        <v>0</v>
      </c>
      <c r="Q295" s="2">
        <f>'Raw Data Cut 1.3'!J290</f>
        <v>0</v>
      </c>
      <c r="R295" s="2">
        <f>'Raw Data Cut 1.3'!K290</f>
        <v>0</v>
      </c>
      <c r="S295" s="2">
        <f>'Raw Data Cut 1.3'!N290</f>
        <v>0</v>
      </c>
      <c r="T295" s="2">
        <f t="shared" si="8"/>
        <v>0</v>
      </c>
      <c r="U295" s="10" t="str">
        <f>IF($S295=0, "", IF(COUNTIF(Table1[Amino Acid Change], $S295)=0, "Missing", "Y"))</f>
        <v/>
      </c>
      <c r="V295" s="10">
        <f t="shared" si="9"/>
        <v>0</v>
      </c>
    </row>
    <row r="296" spans="9:23" x14ac:dyDescent="0.25">
      <c r="I296" s="2">
        <f>'Raw Data Cut 1.3'!A291</f>
        <v>0</v>
      </c>
      <c r="J296" s="2">
        <f>'Raw Data Cut 1.3'!B291</f>
        <v>0</v>
      </c>
      <c r="K296" s="2">
        <f>'Raw Data Cut 1.3'!C291</f>
        <v>0</v>
      </c>
      <c r="L296" s="2">
        <f>'Raw Data Cut 1.3'!D291</f>
        <v>0</v>
      </c>
      <c r="M296" s="2">
        <f>'Raw Data Cut 1.3'!E291</f>
        <v>0</v>
      </c>
      <c r="N296" s="2">
        <f>'Raw Data Cut 1.3'!G291</f>
        <v>0</v>
      </c>
      <c r="O296" s="2">
        <f>'Raw Data Cut 1.3'!H291</f>
        <v>0</v>
      </c>
      <c r="P296" s="2">
        <f>'Raw Data Cut 1.3'!I291</f>
        <v>0</v>
      </c>
      <c r="Q296" s="2">
        <f>'Raw Data Cut 1.3'!J291</f>
        <v>0</v>
      </c>
      <c r="R296" s="2">
        <f>'Raw Data Cut 1.3'!K291</f>
        <v>0</v>
      </c>
      <c r="S296" s="2">
        <f>'Raw Data Cut 1.3'!N291</f>
        <v>0</v>
      </c>
      <c r="T296" s="2">
        <f t="shared" si="8"/>
        <v>0</v>
      </c>
      <c r="U296" s="10" t="str">
        <f>IF($S296=0, "", IF(COUNTIF(Table1[Amino Acid Change], $S296)=0, "Missing", "Y"))</f>
        <v/>
      </c>
      <c r="V296" s="10">
        <f t="shared" si="9"/>
        <v>0</v>
      </c>
    </row>
    <row r="297" spans="9:23" x14ac:dyDescent="0.25">
      <c r="I297" s="2">
        <f>'Raw Data Cut 1.3'!A292</f>
        <v>0</v>
      </c>
      <c r="J297" s="2">
        <f>'Raw Data Cut 1.3'!B292</f>
        <v>0</v>
      </c>
      <c r="K297" s="2">
        <f>'Raw Data Cut 1.3'!C292</f>
        <v>0</v>
      </c>
      <c r="L297" s="2">
        <f>'Raw Data Cut 1.3'!D292</f>
        <v>0</v>
      </c>
      <c r="M297" s="2">
        <f>'Raw Data Cut 1.3'!E292</f>
        <v>0</v>
      </c>
      <c r="N297" s="2">
        <f>'Raw Data Cut 1.3'!G292</f>
        <v>0</v>
      </c>
      <c r="O297" s="2">
        <f>'Raw Data Cut 1.3'!H292</f>
        <v>0</v>
      </c>
      <c r="P297" s="2">
        <f>'Raw Data Cut 1.3'!I292</f>
        <v>0</v>
      </c>
      <c r="Q297" s="2">
        <f>'Raw Data Cut 1.3'!J292</f>
        <v>0</v>
      </c>
      <c r="R297" s="2">
        <f>'Raw Data Cut 1.3'!K292</f>
        <v>0</v>
      </c>
      <c r="S297" s="2">
        <f>'Raw Data Cut 1.3'!N292</f>
        <v>0</v>
      </c>
      <c r="T297" s="2">
        <f t="shared" si="8"/>
        <v>0</v>
      </c>
      <c r="U297" s="10" t="str">
        <f>IF($S297=0, "", IF(COUNTIF(Table1[Amino Acid Change], $S297)=0, "Missing", "Y"))</f>
        <v/>
      </c>
      <c r="V297" s="10">
        <f t="shared" si="9"/>
        <v>0</v>
      </c>
    </row>
    <row r="298" spans="9:23" x14ac:dyDescent="0.25">
      <c r="I298" s="2">
        <f>'Raw Data Cut 1.3'!A293</f>
        <v>0</v>
      </c>
      <c r="J298" s="2">
        <f>'Raw Data Cut 1.3'!B293</f>
        <v>0</v>
      </c>
      <c r="K298" s="2">
        <f>'Raw Data Cut 1.3'!C293</f>
        <v>0</v>
      </c>
      <c r="L298" s="2">
        <f>'Raw Data Cut 1.3'!D293</f>
        <v>0</v>
      </c>
      <c r="M298" s="2">
        <f>'Raw Data Cut 1.3'!E293</f>
        <v>0</v>
      </c>
      <c r="N298" s="2">
        <f>'Raw Data Cut 1.3'!G293</f>
        <v>0</v>
      </c>
      <c r="O298" s="2">
        <f>'Raw Data Cut 1.3'!H293</f>
        <v>0</v>
      </c>
      <c r="P298" s="2">
        <f>'Raw Data Cut 1.3'!I293</f>
        <v>0</v>
      </c>
      <c r="Q298" s="2">
        <f>'Raw Data Cut 1.3'!J293</f>
        <v>0</v>
      </c>
      <c r="R298" s="2">
        <f>'Raw Data Cut 1.3'!K293</f>
        <v>0</v>
      </c>
      <c r="S298" s="2">
        <f>'Raw Data Cut 1.3'!N293</f>
        <v>0</v>
      </c>
      <c r="T298" s="2">
        <f t="shared" si="8"/>
        <v>0</v>
      </c>
      <c r="U298" s="10" t="str">
        <f>IF($S298=0, "", IF(COUNTIF(Table1[Amino Acid Change], $S298)=0, "Missing", "Y"))</f>
        <v/>
      </c>
      <c r="V298" s="10">
        <f t="shared" si="9"/>
        <v>0</v>
      </c>
    </row>
    <row r="299" spans="9:23" x14ac:dyDescent="0.25">
      <c r="I299" s="2">
        <f>'Raw Data Cut 1.3'!A294</f>
        <v>0</v>
      </c>
      <c r="J299" s="2">
        <f>'Raw Data Cut 1.3'!B294</f>
        <v>0</v>
      </c>
      <c r="K299" s="2">
        <f>'Raw Data Cut 1.3'!C294</f>
        <v>0</v>
      </c>
      <c r="L299" s="2">
        <f>'Raw Data Cut 1.3'!D294</f>
        <v>0</v>
      </c>
      <c r="M299" s="2">
        <f>'Raw Data Cut 1.3'!E294</f>
        <v>0</v>
      </c>
      <c r="N299" s="2">
        <f>'Raw Data Cut 1.3'!G294</f>
        <v>0</v>
      </c>
      <c r="O299" s="2">
        <f>'Raw Data Cut 1.3'!H294</f>
        <v>0</v>
      </c>
      <c r="P299" s="2">
        <f>'Raw Data Cut 1.3'!I294</f>
        <v>0</v>
      </c>
      <c r="Q299" s="2">
        <f>'Raw Data Cut 1.3'!J294</f>
        <v>0</v>
      </c>
      <c r="R299" s="2">
        <f>'Raw Data Cut 1.3'!K294</f>
        <v>0</v>
      </c>
      <c r="S299" s="2">
        <f>'Raw Data Cut 1.3'!N294</f>
        <v>0</v>
      </c>
      <c r="T299" s="2">
        <f t="shared" si="8"/>
        <v>0</v>
      </c>
      <c r="U299" s="10" t="str">
        <f>IF($S299=0, "", IF(COUNTIF(Table1[Amino Acid Change], $S299)=0, "Missing", "Y"))</f>
        <v/>
      </c>
      <c r="V299" s="10">
        <f t="shared" si="9"/>
        <v>0</v>
      </c>
    </row>
    <row r="300" spans="9:23" x14ac:dyDescent="0.25">
      <c r="I300" s="2">
        <f>'Raw Data Hotspot'!A2</f>
        <v>0</v>
      </c>
      <c r="J300" s="2">
        <f>'Raw Data Hotspot'!B2</f>
        <v>0</v>
      </c>
      <c r="K300" s="2">
        <f>'Raw Data Hotspot'!C2</f>
        <v>0</v>
      </c>
      <c r="L300" s="2">
        <f>'Raw Data Hotspot'!D2</f>
        <v>0</v>
      </c>
      <c r="M300" s="2">
        <f>'Raw Data Hotspot'!E2</f>
        <v>0</v>
      </c>
      <c r="N300" s="2">
        <f>'Raw Data Hotspot'!G2</f>
        <v>0</v>
      </c>
      <c r="O300" s="2">
        <f>'Raw Data Hotspot'!H2</f>
        <v>0</v>
      </c>
      <c r="P300" s="2">
        <f>'Raw Data Hotspot'!I2</f>
        <v>0</v>
      </c>
      <c r="Q300" s="2">
        <f>'Raw Data Hotspot'!J2</f>
        <v>0</v>
      </c>
      <c r="R300" s="2">
        <f>'Raw Data Hotspot'!K2</f>
        <v>0</v>
      </c>
      <c r="S300" s="2">
        <f>'Raw Data Hotspot'!N2</f>
        <v>0</v>
      </c>
      <c r="T300" s="2">
        <f t="shared" si="8"/>
        <v>0</v>
      </c>
      <c r="U300" s="10" t="str">
        <f>IF($S300=0, "", IF(COUNTIF(Table1[Amino Acid Change], $S300)=0, "Missing", "Y"))</f>
        <v/>
      </c>
      <c r="V300" s="10">
        <f t="shared" si="9"/>
        <v>0</v>
      </c>
      <c r="W300" s="3" t="s">
        <v>147</v>
      </c>
    </row>
    <row r="301" spans="9:23" x14ac:dyDescent="0.25">
      <c r="I301" s="2">
        <f>'Raw Data Hotspot'!A3</f>
        <v>0</v>
      </c>
      <c r="J301" s="2">
        <f>'Raw Data Hotspot'!B3</f>
        <v>0</v>
      </c>
      <c r="K301" s="2">
        <f>'Raw Data Hotspot'!C3</f>
        <v>0</v>
      </c>
      <c r="L301" s="2">
        <f>'Raw Data Hotspot'!D3</f>
        <v>0</v>
      </c>
      <c r="M301" s="2">
        <f>'Raw Data Hotspot'!E3</f>
        <v>0</v>
      </c>
      <c r="N301" s="2">
        <f>'Raw Data Hotspot'!G3</f>
        <v>0</v>
      </c>
      <c r="O301" s="2">
        <f>'Raw Data Hotspot'!H3</f>
        <v>0</v>
      </c>
      <c r="P301" s="2">
        <f>'Raw Data Hotspot'!I3</f>
        <v>0</v>
      </c>
      <c r="Q301" s="2">
        <f>'Raw Data Hotspot'!J3</f>
        <v>0</v>
      </c>
      <c r="R301" s="2">
        <f>'Raw Data Hotspot'!K3</f>
        <v>0</v>
      </c>
      <c r="S301" s="2">
        <f>'Raw Data Hotspot'!N3</f>
        <v>0</v>
      </c>
      <c r="T301" s="2">
        <f t="shared" ref="T301:T364" si="10">P301</f>
        <v>0</v>
      </c>
      <c r="U301" s="10" t="str">
        <f>IF($S301=0, "", IF(COUNTIF(Table1[Amino Acid Change], $S301)=0, "Missing", "Y"))</f>
        <v/>
      </c>
      <c r="V301" s="10">
        <f t="shared" ref="V301:V364" si="11">J301</f>
        <v>0</v>
      </c>
    </row>
    <row r="302" spans="9:23" x14ac:dyDescent="0.25">
      <c r="I302" s="2">
        <f>'Raw Data Hotspot'!A4</f>
        <v>0</v>
      </c>
      <c r="J302" s="2">
        <f>'Raw Data Hotspot'!B4</f>
        <v>0</v>
      </c>
      <c r="K302" s="2">
        <f>'Raw Data Hotspot'!C4</f>
        <v>0</v>
      </c>
      <c r="L302" s="2">
        <f>'Raw Data Hotspot'!D4</f>
        <v>0</v>
      </c>
      <c r="M302" s="2">
        <f>'Raw Data Hotspot'!E4</f>
        <v>0</v>
      </c>
      <c r="N302" s="2">
        <f>'Raw Data Hotspot'!G4</f>
        <v>0</v>
      </c>
      <c r="O302" s="2">
        <f>'Raw Data Hotspot'!H4</f>
        <v>0</v>
      </c>
      <c r="P302" s="2">
        <f>'Raw Data Hotspot'!I4</f>
        <v>0</v>
      </c>
      <c r="Q302" s="2">
        <f>'Raw Data Hotspot'!J4</f>
        <v>0</v>
      </c>
      <c r="R302" s="2">
        <f>'Raw Data Hotspot'!K4</f>
        <v>0</v>
      </c>
      <c r="S302" s="2">
        <f>'Raw Data Hotspot'!N4</f>
        <v>0</v>
      </c>
      <c r="T302" s="2">
        <f t="shared" si="10"/>
        <v>0</v>
      </c>
      <c r="U302" s="10" t="str">
        <f>IF($S302=0, "", IF(COUNTIF(Table1[Amino Acid Change], $S302)=0, "Missing", "Y"))</f>
        <v/>
      </c>
      <c r="V302" s="10">
        <f t="shared" si="11"/>
        <v>0</v>
      </c>
    </row>
    <row r="303" spans="9:23" x14ac:dyDescent="0.25">
      <c r="I303" s="2">
        <f>'Raw Data Hotspot'!A5</f>
        <v>0</v>
      </c>
      <c r="J303" s="2">
        <f>'Raw Data Hotspot'!B5</f>
        <v>0</v>
      </c>
      <c r="K303" s="2">
        <f>'Raw Data Hotspot'!C5</f>
        <v>0</v>
      </c>
      <c r="L303" s="2">
        <f>'Raw Data Hotspot'!D5</f>
        <v>0</v>
      </c>
      <c r="M303" s="2">
        <f>'Raw Data Hotspot'!E5</f>
        <v>0</v>
      </c>
      <c r="N303" s="2">
        <f>'Raw Data Hotspot'!G5</f>
        <v>0</v>
      </c>
      <c r="O303" s="2">
        <f>'Raw Data Hotspot'!H5</f>
        <v>0</v>
      </c>
      <c r="P303" s="2">
        <f>'Raw Data Hotspot'!I5</f>
        <v>0</v>
      </c>
      <c r="Q303" s="2">
        <f>'Raw Data Hotspot'!J5</f>
        <v>0</v>
      </c>
      <c r="R303" s="2">
        <f>'Raw Data Hotspot'!K5</f>
        <v>0</v>
      </c>
      <c r="S303" s="2">
        <f>'Raw Data Hotspot'!N5</f>
        <v>0</v>
      </c>
      <c r="T303" s="2">
        <f t="shared" si="10"/>
        <v>0</v>
      </c>
      <c r="U303" s="10" t="str">
        <f>IF($S303=0, "", IF(COUNTIF(Table1[Amino Acid Change], $S303)=0, "Missing", "Y"))</f>
        <v/>
      </c>
      <c r="V303" s="10">
        <f t="shared" si="11"/>
        <v>0</v>
      </c>
    </row>
    <row r="304" spans="9:23" x14ac:dyDescent="0.25">
      <c r="I304" s="2">
        <f>'Raw Data Hotspot'!A6</f>
        <v>0</v>
      </c>
      <c r="J304" s="2">
        <f>'Raw Data Hotspot'!B6</f>
        <v>0</v>
      </c>
      <c r="K304" s="2">
        <f>'Raw Data Hotspot'!C6</f>
        <v>0</v>
      </c>
      <c r="L304" s="2">
        <f>'Raw Data Hotspot'!D6</f>
        <v>0</v>
      </c>
      <c r="M304" s="2">
        <f>'Raw Data Hotspot'!E6</f>
        <v>0</v>
      </c>
      <c r="N304" s="2">
        <f>'Raw Data Hotspot'!G6</f>
        <v>0</v>
      </c>
      <c r="O304" s="2">
        <f>'Raw Data Hotspot'!H6</f>
        <v>0</v>
      </c>
      <c r="P304" s="2">
        <f>'Raw Data Hotspot'!I6</f>
        <v>0</v>
      </c>
      <c r="Q304" s="2">
        <f>'Raw Data Hotspot'!J6</f>
        <v>0</v>
      </c>
      <c r="R304" s="2">
        <f>'Raw Data Hotspot'!K6</f>
        <v>0</v>
      </c>
      <c r="S304" s="2">
        <f>'Raw Data Hotspot'!N6</f>
        <v>0</v>
      </c>
      <c r="T304" s="2">
        <f t="shared" si="10"/>
        <v>0</v>
      </c>
      <c r="U304" s="10" t="str">
        <f>IF($S304=0, "", IF(COUNTIF(Table1[Amino Acid Change], $S304)=0, "Missing", "Y"))</f>
        <v/>
      </c>
      <c r="V304" s="10">
        <f t="shared" si="11"/>
        <v>0</v>
      </c>
    </row>
    <row r="305" spans="9:22" x14ac:dyDescent="0.25">
      <c r="I305" s="2">
        <f>'Raw Data Hotspot'!A7</f>
        <v>0</v>
      </c>
      <c r="J305" s="2">
        <f>'Raw Data Hotspot'!B7</f>
        <v>0</v>
      </c>
      <c r="K305" s="2">
        <f>'Raw Data Hotspot'!C7</f>
        <v>0</v>
      </c>
      <c r="L305" s="2">
        <f>'Raw Data Hotspot'!D7</f>
        <v>0</v>
      </c>
      <c r="M305" s="2">
        <f>'Raw Data Hotspot'!E7</f>
        <v>0</v>
      </c>
      <c r="N305" s="2">
        <f>'Raw Data Hotspot'!G7</f>
        <v>0</v>
      </c>
      <c r="O305" s="2">
        <f>'Raw Data Hotspot'!H7</f>
        <v>0</v>
      </c>
      <c r="P305" s="2">
        <f>'Raw Data Hotspot'!I7</f>
        <v>0</v>
      </c>
      <c r="Q305" s="2">
        <f>'Raw Data Hotspot'!J7</f>
        <v>0</v>
      </c>
      <c r="R305" s="2">
        <f>'Raw Data Hotspot'!K7</f>
        <v>0</v>
      </c>
      <c r="S305" s="2">
        <f>'Raw Data Hotspot'!N7</f>
        <v>0</v>
      </c>
      <c r="T305" s="2">
        <f t="shared" si="10"/>
        <v>0</v>
      </c>
      <c r="U305" s="10" t="str">
        <f>IF($S305=0, "", IF(COUNTIF(Table1[Amino Acid Change], $S305)=0, "Missing", "Y"))</f>
        <v/>
      </c>
      <c r="V305" s="10">
        <f t="shared" si="11"/>
        <v>0</v>
      </c>
    </row>
    <row r="306" spans="9:22" x14ac:dyDescent="0.25">
      <c r="I306" s="2">
        <f>'Raw Data Hotspot'!A8</f>
        <v>0</v>
      </c>
      <c r="J306" s="2">
        <f>'Raw Data Hotspot'!B8</f>
        <v>0</v>
      </c>
      <c r="K306" s="2">
        <f>'Raw Data Hotspot'!C8</f>
        <v>0</v>
      </c>
      <c r="L306" s="2">
        <f>'Raw Data Hotspot'!D8</f>
        <v>0</v>
      </c>
      <c r="M306" s="2">
        <f>'Raw Data Hotspot'!E8</f>
        <v>0</v>
      </c>
      <c r="N306" s="2">
        <f>'Raw Data Hotspot'!G8</f>
        <v>0</v>
      </c>
      <c r="O306" s="2">
        <f>'Raw Data Hotspot'!H8</f>
        <v>0</v>
      </c>
      <c r="P306" s="2">
        <f>'Raw Data Hotspot'!I8</f>
        <v>0</v>
      </c>
      <c r="Q306" s="2">
        <f>'Raw Data Hotspot'!J8</f>
        <v>0</v>
      </c>
      <c r="R306" s="2">
        <f>'Raw Data Hotspot'!K8</f>
        <v>0</v>
      </c>
      <c r="S306" s="2">
        <f>'Raw Data Hotspot'!N8</f>
        <v>0</v>
      </c>
      <c r="T306" s="2">
        <f t="shared" si="10"/>
        <v>0</v>
      </c>
      <c r="U306" s="10" t="str">
        <f>IF($S306=0, "", IF(COUNTIF(Table1[Amino Acid Change], $S306)=0, "Missing", "Y"))</f>
        <v/>
      </c>
      <c r="V306" s="10">
        <f t="shared" si="11"/>
        <v>0</v>
      </c>
    </row>
    <row r="307" spans="9:22" x14ac:dyDescent="0.25">
      <c r="I307" s="2">
        <f>'Raw Data Hotspot'!A9</f>
        <v>0</v>
      </c>
      <c r="J307" s="2">
        <f>'Raw Data Hotspot'!B9</f>
        <v>0</v>
      </c>
      <c r="K307" s="2">
        <f>'Raw Data Hotspot'!C9</f>
        <v>0</v>
      </c>
      <c r="L307" s="2">
        <f>'Raw Data Hotspot'!D9</f>
        <v>0</v>
      </c>
      <c r="M307" s="2">
        <f>'Raw Data Hotspot'!E9</f>
        <v>0</v>
      </c>
      <c r="N307" s="2">
        <f>'Raw Data Hotspot'!G9</f>
        <v>0</v>
      </c>
      <c r="O307" s="2">
        <f>'Raw Data Hotspot'!H9</f>
        <v>0</v>
      </c>
      <c r="P307" s="2">
        <f>'Raw Data Hotspot'!I9</f>
        <v>0</v>
      </c>
      <c r="Q307" s="2">
        <f>'Raw Data Hotspot'!J9</f>
        <v>0</v>
      </c>
      <c r="R307" s="2">
        <f>'Raw Data Hotspot'!K9</f>
        <v>0</v>
      </c>
      <c r="S307" s="2">
        <f>'Raw Data Hotspot'!N9</f>
        <v>0</v>
      </c>
      <c r="T307" s="2">
        <f t="shared" si="10"/>
        <v>0</v>
      </c>
      <c r="U307" s="10" t="str">
        <f>IF($S307=0, "", IF(COUNTIF(Table1[Amino Acid Change], $S307)=0, "Missing", "Y"))</f>
        <v/>
      </c>
      <c r="V307" s="10">
        <f t="shared" si="11"/>
        <v>0</v>
      </c>
    </row>
    <row r="308" spans="9:22" x14ac:dyDescent="0.25">
      <c r="I308" s="2">
        <f>'Raw Data Hotspot'!A10</f>
        <v>0</v>
      </c>
      <c r="J308" s="2">
        <f>'Raw Data Hotspot'!B10</f>
        <v>0</v>
      </c>
      <c r="K308" s="2">
        <f>'Raw Data Hotspot'!C10</f>
        <v>0</v>
      </c>
      <c r="L308" s="2">
        <f>'Raw Data Hotspot'!D10</f>
        <v>0</v>
      </c>
      <c r="M308" s="2">
        <f>'Raw Data Hotspot'!E10</f>
        <v>0</v>
      </c>
      <c r="N308" s="2">
        <f>'Raw Data Hotspot'!G10</f>
        <v>0</v>
      </c>
      <c r="O308" s="2">
        <f>'Raw Data Hotspot'!H10</f>
        <v>0</v>
      </c>
      <c r="P308" s="2">
        <f>'Raw Data Hotspot'!I10</f>
        <v>0</v>
      </c>
      <c r="Q308" s="2">
        <f>'Raw Data Hotspot'!J10</f>
        <v>0</v>
      </c>
      <c r="R308" s="2">
        <f>'Raw Data Hotspot'!K10</f>
        <v>0</v>
      </c>
      <c r="S308" s="2">
        <f>'Raw Data Hotspot'!N10</f>
        <v>0</v>
      </c>
      <c r="T308" s="2">
        <f t="shared" si="10"/>
        <v>0</v>
      </c>
      <c r="U308" s="10" t="str">
        <f>IF($S308=0, "", IF(COUNTIF(Table1[Amino Acid Change], $S308)=0, "Missing", "Y"))</f>
        <v/>
      </c>
      <c r="V308" s="10">
        <f t="shared" si="11"/>
        <v>0</v>
      </c>
    </row>
    <row r="309" spans="9:22" x14ac:dyDescent="0.25">
      <c r="I309" s="2">
        <f>'Raw Data Hotspot'!A11</f>
        <v>0</v>
      </c>
      <c r="J309" s="2">
        <f>'Raw Data Hotspot'!B11</f>
        <v>0</v>
      </c>
      <c r="K309" s="2">
        <f>'Raw Data Hotspot'!C11</f>
        <v>0</v>
      </c>
      <c r="L309" s="2">
        <f>'Raw Data Hotspot'!D11</f>
        <v>0</v>
      </c>
      <c r="M309" s="2">
        <f>'Raw Data Hotspot'!E11</f>
        <v>0</v>
      </c>
      <c r="N309" s="2">
        <f>'Raw Data Hotspot'!G11</f>
        <v>0</v>
      </c>
      <c r="O309" s="2">
        <f>'Raw Data Hotspot'!H11</f>
        <v>0</v>
      </c>
      <c r="P309" s="2">
        <f>'Raw Data Hotspot'!I11</f>
        <v>0</v>
      </c>
      <c r="Q309" s="2">
        <f>'Raw Data Hotspot'!J11</f>
        <v>0</v>
      </c>
      <c r="R309" s="2">
        <f>'Raw Data Hotspot'!K11</f>
        <v>0</v>
      </c>
      <c r="S309" s="2">
        <f>'Raw Data Hotspot'!N11</f>
        <v>0</v>
      </c>
      <c r="T309" s="2">
        <f t="shared" si="10"/>
        <v>0</v>
      </c>
      <c r="U309" s="10" t="str">
        <f>IF($S309=0, "", IF(COUNTIF(Table1[Amino Acid Change], $S309)=0, "Missing", "Y"))</f>
        <v/>
      </c>
      <c r="V309" s="10">
        <f t="shared" si="11"/>
        <v>0</v>
      </c>
    </row>
    <row r="310" spans="9:22" x14ac:dyDescent="0.25">
      <c r="I310" s="2">
        <f>'Raw Data Hotspot'!A12</f>
        <v>0</v>
      </c>
      <c r="J310" s="2">
        <f>'Raw Data Hotspot'!B12</f>
        <v>0</v>
      </c>
      <c r="K310" s="2">
        <f>'Raw Data Hotspot'!C12</f>
        <v>0</v>
      </c>
      <c r="L310" s="2">
        <f>'Raw Data Hotspot'!D12</f>
        <v>0</v>
      </c>
      <c r="M310" s="2">
        <f>'Raw Data Hotspot'!E12</f>
        <v>0</v>
      </c>
      <c r="N310" s="2">
        <f>'Raw Data Hotspot'!G12</f>
        <v>0</v>
      </c>
      <c r="O310" s="2">
        <f>'Raw Data Hotspot'!H12</f>
        <v>0</v>
      </c>
      <c r="P310" s="2">
        <f>'Raw Data Hotspot'!I12</f>
        <v>0</v>
      </c>
      <c r="Q310" s="2">
        <f>'Raw Data Hotspot'!J12</f>
        <v>0</v>
      </c>
      <c r="R310" s="2">
        <f>'Raw Data Hotspot'!K12</f>
        <v>0</v>
      </c>
      <c r="S310" s="2">
        <f>'Raw Data Hotspot'!N12</f>
        <v>0</v>
      </c>
      <c r="T310" s="2">
        <f t="shared" si="10"/>
        <v>0</v>
      </c>
      <c r="U310" s="10" t="str">
        <f>IF($S310=0, "", IF(COUNTIF(Table1[Amino Acid Change], $S310)=0, "Missing", "Y"))</f>
        <v/>
      </c>
      <c r="V310" s="10">
        <f t="shared" si="11"/>
        <v>0</v>
      </c>
    </row>
    <row r="311" spans="9:22" x14ac:dyDescent="0.25">
      <c r="I311" s="2">
        <f>'Raw Data Hotspot'!A13</f>
        <v>0</v>
      </c>
      <c r="J311" s="2">
        <f>'Raw Data Hotspot'!B13</f>
        <v>0</v>
      </c>
      <c r="K311" s="2">
        <f>'Raw Data Hotspot'!C13</f>
        <v>0</v>
      </c>
      <c r="L311" s="2">
        <f>'Raw Data Hotspot'!D13</f>
        <v>0</v>
      </c>
      <c r="M311" s="2">
        <f>'Raw Data Hotspot'!E13</f>
        <v>0</v>
      </c>
      <c r="N311" s="2">
        <f>'Raw Data Hotspot'!G13</f>
        <v>0</v>
      </c>
      <c r="O311" s="2">
        <f>'Raw Data Hotspot'!H13</f>
        <v>0</v>
      </c>
      <c r="P311" s="2">
        <f>'Raw Data Hotspot'!I13</f>
        <v>0</v>
      </c>
      <c r="Q311" s="2">
        <f>'Raw Data Hotspot'!J13</f>
        <v>0</v>
      </c>
      <c r="R311" s="2">
        <f>'Raw Data Hotspot'!K13</f>
        <v>0</v>
      </c>
      <c r="S311" s="2">
        <f>'Raw Data Hotspot'!N13</f>
        <v>0</v>
      </c>
      <c r="T311" s="2">
        <f t="shared" si="10"/>
        <v>0</v>
      </c>
      <c r="U311" s="10" t="str">
        <f>IF($S311=0, "", IF(COUNTIF(Table1[Amino Acid Change], $S311)=0, "Missing", "Y"))</f>
        <v/>
      </c>
      <c r="V311" s="10">
        <f t="shared" si="11"/>
        <v>0</v>
      </c>
    </row>
    <row r="312" spans="9:22" x14ac:dyDescent="0.25">
      <c r="I312" s="2">
        <f>'Raw Data Hotspot'!A14</f>
        <v>0</v>
      </c>
      <c r="J312" s="2">
        <f>'Raw Data Hotspot'!B14</f>
        <v>0</v>
      </c>
      <c r="K312" s="2">
        <f>'Raw Data Hotspot'!C14</f>
        <v>0</v>
      </c>
      <c r="L312" s="2">
        <f>'Raw Data Hotspot'!D14</f>
        <v>0</v>
      </c>
      <c r="M312" s="2">
        <f>'Raw Data Hotspot'!E14</f>
        <v>0</v>
      </c>
      <c r="N312" s="2">
        <f>'Raw Data Hotspot'!G14</f>
        <v>0</v>
      </c>
      <c r="O312" s="2">
        <f>'Raw Data Hotspot'!H14</f>
        <v>0</v>
      </c>
      <c r="P312" s="2">
        <f>'Raw Data Hotspot'!I14</f>
        <v>0</v>
      </c>
      <c r="Q312" s="2">
        <f>'Raw Data Hotspot'!J14</f>
        <v>0</v>
      </c>
      <c r="R312" s="2">
        <f>'Raw Data Hotspot'!K14</f>
        <v>0</v>
      </c>
      <c r="S312" s="2">
        <f>'Raw Data Hotspot'!N14</f>
        <v>0</v>
      </c>
      <c r="T312" s="2">
        <f t="shared" si="10"/>
        <v>0</v>
      </c>
      <c r="U312" s="10" t="str">
        <f>IF($S312=0, "", IF(COUNTIF(Table1[Amino Acid Change], $S312)=0, "Missing", "Y"))</f>
        <v/>
      </c>
      <c r="V312" s="10">
        <f t="shared" si="11"/>
        <v>0</v>
      </c>
    </row>
    <row r="313" spans="9:22" x14ac:dyDescent="0.25">
      <c r="I313" s="2">
        <f>'Raw Data Hotspot'!A15</f>
        <v>0</v>
      </c>
      <c r="J313" s="2">
        <f>'Raw Data Hotspot'!B15</f>
        <v>0</v>
      </c>
      <c r="K313" s="2">
        <f>'Raw Data Hotspot'!C15</f>
        <v>0</v>
      </c>
      <c r="L313" s="2">
        <f>'Raw Data Hotspot'!D15</f>
        <v>0</v>
      </c>
      <c r="M313" s="2">
        <f>'Raw Data Hotspot'!E15</f>
        <v>0</v>
      </c>
      <c r="N313" s="2">
        <f>'Raw Data Hotspot'!G15</f>
        <v>0</v>
      </c>
      <c r="O313" s="2">
        <f>'Raw Data Hotspot'!H15</f>
        <v>0</v>
      </c>
      <c r="P313" s="2">
        <f>'Raw Data Hotspot'!I15</f>
        <v>0</v>
      </c>
      <c r="Q313" s="2">
        <f>'Raw Data Hotspot'!J15</f>
        <v>0</v>
      </c>
      <c r="R313" s="2">
        <f>'Raw Data Hotspot'!K15</f>
        <v>0</v>
      </c>
      <c r="S313" s="2">
        <f>'Raw Data Hotspot'!N15</f>
        <v>0</v>
      </c>
      <c r="T313" s="2">
        <f t="shared" si="10"/>
        <v>0</v>
      </c>
      <c r="U313" s="10" t="str">
        <f>IF($S313=0, "", IF(COUNTIF(Table1[Amino Acid Change], $S313)=0, "Missing", "Y"))</f>
        <v/>
      </c>
      <c r="V313" s="10">
        <f t="shared" si="11"/>
        <v>0</v>
      </c>
    </row>
    <row r="314" spans="9:22" x14ac:dyDescent="0.25">
      <c r="I314" s="2">
        <f>'Raw Data Hotspot'!A16</f>
        <v>0</v>
      </c>
      <c r="J314" s="2">
        <f>'Raw Data Hotspot'!B16</f>
        <v>0</v>
      </c>
      <c r="K314" s="2">
        <f>'Raw Data Hotspot'!C16</f>
        <v>0</v>
      </c>
      <c r="L314" s="2">
        <f>'Raw Data Hotspot'!D16</f>
        <v>0</v>
      </c>
      <c r="M314" s="2">
        <f>'Raw Data Hotspot'!E16</f>
        <v>0</v>
      </c>
      <c r="N314" s="2">
        <f>'Raw Data Hotspot'!G16</f>
        <v>0</v>
      </c>
      <c r="O314" s="2">
        <f>'Raw Data Hotspot'!H16</f>
        <v>0</v>
      </c>
      <c r="P314" s="2">
        <f>'Raw Data Hotspot'!I16</f>
        <v>0</v>
      </c>
      <c r="Q314" s="2">
        <f>'Raw Data Hotspot'!J16</f>
        <v>0</v>
      </c>
      <c r="R314" s="2">
        <f>'Raw Data Hotspot'!K16</f>
        <v>0</v>
      </c>
      <c r="S314" s="2">
        <f>'Raw Data Hotspot'!N16</f>
        <v>0</v>
      </c>
      <c r="T314" s="2">
        <f t="shared" si="10"/>
        <v>0</v>
      </c>
      <c r="U314" s="10" t="str">
        <f>IF($S314=0, "", IF(COUNTIF(Table1[Amino Acid Change], $S314)=0, "Missing", "Y"))</f>
        <v/>
      </c>
      <c r="V314" s="10">
        <f t="shared" si="11"/>
        <v>0</v>
      </c>
    </row>
    <row r="315" spans="9:22" x14ac:dyDescent="0.25">
      <c r="I315" s="2">
        <f>'Raw Data Hotspot'!A17</f>
        <v>0</v>
      </c>
      <c r="J315" s="2">
        <f>'Raw Data Hotspot'!B17</f>
        <v>0</v>
      </c>
      <c r="K315" s="2">
        <f>'Raw Data Hotspot'!C17</f>
        <v>0</v>
      </c>
      <c r="L315" s="2">
        <f>'Raw Data Hotspot'!D17</f>
        <v>0</v>
      </c>
      <c r="M315" s="2">
        <f>'Raw Data Hotspot'!E17</f>
        <v>0</v>
      </c>
      <c r="N315" s="2">
        <f>'Raw Data Hotspot'!G17</f>
        <v>0</v>
      </c>
      <c r="O315" s="2">
        <f>'Raw Data Hotspot'!H17</f>
        <v>0</v>
      </c>
      <c r="P315" s="2">
        <f>'Raw Data Hotspot'!I17</f>
        <v>0</v>
      </c>
      <c r="Q315" s="2">
        <f>'Raw Data Hotspot'!J17</f>
        <v>0</v>
      </c>
      <c r="R315" s="2">
        <f>'Raw Data Hotspot'!K17</f>
        <v>0</v>
      </c>
      <c r="S315" s="2">
        <f>'Raw Data Hotspot'!N17</f>
        <v>0</v>
      </c>
      <c r="T315" s="2">
        <f t="shared" si="10"/>
        <v>0</v>
      </c>
      <c r="U315" s="10" t="str">
        <f>IF($S315=0, "", IF(COUNTIF(Table1[Amino Acid Change], $S315)=0, "Missing", "Y"))</f>
        <v/>
      </c>
      <c r="V315" s="10">
        <f t="shared" si="11"/>
        <v>0</v>
      </c>
    </row>
    <row r="316" spans="9:22" x14ac:dyDescent="0.25">
      <c r="I316" s="2">
        <f>'Raw Data Hotspot'!A18</f>
        <v>0</v>
      </c>
      <c r="J316" s="2">
        <f>'Raw Data Hotspot'!B18</f>
        <v>0</v>
      </c>
      <c r="K316" s="2">
        <f>'Raw Data Hotspot'!C18</f>
        <v>0</v>
      </c>
      <c r="L316" s="2">
        <f>'Raw Data Hotspot'!D18</f>
        <v>0</v>
      </c>
      <c r="M316" s="2">
        <f>'Raw Data Hotspot'!E18</f>
        <v>0</v>
      </c>
      <c r="N316" s="2">
        <f>'Raw Data Hotspot'!G18</f>
        <v>0</v>
      </c>
      <c r="O316" s="2">
        <f>'Raw Data Hotspot'!H18</f>
        <v>0</v>
      </c>
      <c r="P316" s="2">
        <f>'Raw Data Hotspot'!I18</f>
        <v>0</v>
      </c>
      <c r="Q316" s="2">
        <f>'Raw Data Hotspot'!J18</f>
        <v>0</v>
      </c>
      <c r="R316" s="2">
        <f>'Raw Data Hotspot'!K18</f>
        <v>0</v>
      </c>
      <c r="S316" s="2">
        <f>'Raw Data Hotspot'!N18</f>
        <v>0</v>
      </c>
      <c r="T316" s="2">
        <f t="shared" si="10"/>
        <v>0</v>
      </c>
      <c r="U316" s="10" t="str">
        <f>IF($S316=0, "", IF(COUNTIF(Table1[Amino Acid Change], $S316)=0, "Missing", "Y"))</f>
        <v/>
      </c>
      <c r="V316" s="10">
        <f t="shared" si="11"/>
        <v>0</v>
      </c>
    </row>
    <row r="317" spans="9:22" x14ac:dyDescent="0.25">
      <c r="I317" s="2">
        <f>'Raw Data Hotspot'!A19</f>
        <v>0</v>
      </c>
      <c r="J317" s="2">
        <f>'Raw Data Hotspot'!B19</f>
        <v>0</v>
      </c>
      <c r="K317" s="2">
        <f>'Raw Data Hotspot'!C19</f>
        <v>0</v>
      </c>
      <c r="L317" s="2">
        <f>'Raw Data Hotspot'!D19</f>
        <v>0</v>
      </c>
      <c r="M317" s="2">
        <f>'Raw Data Hotspot'!E19</f>
        <v>0</v>
      </c>
      <c r="N317" s="2">
        <f>'Raw Data Hotspot'!G19</f>
        <v>0</v>
      </c>
      <c r="O317" s="2">
        <f>'Raw Data Hotspot'!H19</f>
        <v>0</v>
      </c>
      <c r="P317" s="2">
        <f>'Raw Data Hotspot'!I19</f>
        <v>0</v>
      </c>
      <c r="Q317" s="2">
        <f>'Raw Data Hotspot'!J19</f>
        <v>0</v>
      </c>
      <c r="R317" s="2">
        <f>'Raw Data Hotspot'!K19</f>
        <v>0</v>
      </c>
      <c r="S317" s="2">
        <f>'Raw Data Hotspot'!N19</f>
        <v>0</v>
      </c>
      <c r="T317" s="2">
        <f t="shared" si="10"/>
        <v>0</v>
      </c>
      <c r="U317" s="10" t="str">
        <f>IF($S317=0, "", IF(COUNTIF(Table1[Amino Acid Change], $S317)=0, "Missing", "Y"))</f>
        <v/>
      </c>
      <c r="V317" s="10">
        <f t="shared" si="11"/>
        <v>0</v>
      </c>
    </row>
    <row r="318" spans="9:22" x14ac:dyDescent="0.25">
      <c r="I318" s="2">
        <f>'Raw Data Hotspot'!A20</f>
        <v>0</v>
      </c>
      <c r="J318" s="2">
        <f>'Raw Data Hotspot'!B20</f>
        <v>0</v>
      </c>
      <c r="K318" s="2">
        <f>'Raw Data Hotspot'!C20</f>
        <v>0</v>
      </c>
      <c r="L318" s="2">
        <f>'Raw Data Hotspot'!D20</f>
        <v>0</v>
      </c>
      <c r="M318" s="2">
        <f>'Raw Data Hotspot'!E20</f>
        <v>0</v>
      </c>
      <c r="N318" s="2">
        <f>'Raw Data Hotspot'!G20</f>
        <v>0</v>
      </c>
      <c r="O318" s="2">
        <f>'Raw Data Hotspot'!H20</f>
        <v>0</v>
      </c>
      <c r="P318" s="2">
        <f>'Raw Data Hotspot'!I20</f>
        <v>0</v>
      </c>
      <c r="Q318" s="2">
        <f>'Raw Data Hotspot'!J20</f>
        <v>0</v>
      </c>
      <c r="R318" s="2">
        <f>'Raw Data Hotspot'!K20</f>
        <v>0</v>
      </c>
      <c r="S318" s="2">
        <f>'Raw Data Hotspot'!N20</f>
        <v>0</v>
      </c>
      <c r="T318" s="2">
        <f t="shared" si="10"/>
        <v>0</v>
      </c>
      <c r="U318" s="10" t="str">
        <f>IF($S318=0, "", IF(COUNTIF(Table1[Amino Acid Change], $S318)=0, "Missing", "Y"))</f>
        <v/>
      </c>
      <c r="V318" s="10">
        <f t="shared" si="11"/>
        <v>0</v>
      </c>
    </row>
    <row r="319" spans="9:22" x14ac:dyDescent="0.25">
      <c r="I319" s="2">
        <f>'Raw Data Hotspot'!A21</f>
        <v>0</v>
      </c>
      <c r="J319" s="2">
        <f>'Raw Data Hotspot'!B21</f>
        <v>0</v>
      </c>
      <c r="K319" s="2">
        <f>'Raw Data Hotspot'!C21</f>
        <v>0</v>
      </c>
      <c r="L319" s="2">
        <f>'Raw Data Hotspot'!D21</f>
        <v>0</v>
      </c>
      <c r="M319" s="2">
        <f>'Raw Data Hotspot'!E21</f>
        <v>0</v>
      </c>
      <c r="N319" s="2">
        <f>'Raw Data Hotspot'!G21</f>
        <v>0</v>
      </c>
      <c r="O319" s="2">
        <f>'Raw Data Hotspot'!H21</f>
        <v>0</v>
      </c>
      <c r="P319" s="2">
        <f>'Raw Data Hotspot'!I21</f>
        <v>0</v>
      </c>
      <c r="Q319" s="2">
        <f>'Raw Data Hotspot'!J21</f>
        <v>0</v>
      </c>
      <c r="R319" s="2">
        <f>'Raw Data Hotspot'!K21</f>
        <v>0</v>
      </c>
      <c r="S319" s="2">
        <f>'Raw Data Hotspot'!N21</f>
        <v>0</v>
      </c>
      <c r="T319" s="2">
        <f t="shared" si="10"/>
        <v>0</v>
      </c>
      <c r="U319" s="10" t="str">
        <f>IF($S319=0, "", IF(COUNTIF(Table1[Amino Acid Change], $S319)=0, "Missing", "Y"))</f>
        <v/>
      </c>
      <c r="V319" s="10">
        <f t="shared" si="11"/>
        <v>0</v>
      </c>
    </row>
    <row r="320" spans="9:22" x14ac:dyDescent="0.25">
      <c r="I320" s="2">
        <f>'Raw Data Hotspot'!A22</f>
        <v>0</v>
      </c>
      <c r="J320" s="2">
        <f>'Raw Data Hotspot'!B22</f>
        <v>0</v>
      </c>
      <c r="K320" s="2">
        <f>'Raw Data Hotspot'!C22</f>
        <v>0</v>
      </c>
      <c r="L320" s="2">
        <f>'Raw Data Hotspot'!D22</f>
        <v>0</v>
      </c>
      <c r="M320" s="2">
        <f>'Raw Data Hotspot'!E22</f>
        <v>0</v>
      </c>
      <c r="N320" s="2">
        <f>'Raw Data Hotspot'!G22</f>
        <v>0</v>
      </c>
      <c r="O320" s="2">
        <f>'Raw Data Hotspot'!H22</f>
        <v>0</v>
      </c>
      <c r="P320" s="2">
        <f>'Raw Data Hotspot'!I22</f>
        <v>0</v>
      </c>
      <c r="Q320" s="2">
        <f>'Raw Data Hotspot'!J22</f>
        <v>0</v>
      </c>
      <c r="R320" s="2">
        <f>'Raw Data Hotspot'!K22</f>
        <v>0</v>
      </c>
      <c r="S320" s="2">
        <f>'Raw Data Hotspot'!N22</f>
        <v>0</v>
      </c>
      <c r="T320" s="2">
        <f t="shared" si="10"/>
        <v>0</v>
      </c>
      <c r="U320" s="10" t="str">
        <f>IF($S320=0, "", IF(COUNTIF(Table1[Amino Acid Change], $S320)=0, "Missing", "Y"))</f>
        <v/>
      </c>
      <c r="V320" s="10">
        <f t="shared" si="11"/>
        <v>0</v>
      </c>
    </row>
    <row r="321" spans="9:22" x14ac:dyDescent="0.25">
      <c r="I321" s="2">
        <f>'Raw Data Hotspot'!A23</f>
        <v>0</v>
      </c>
      <c r="J321" s="2">
        <f>'Raw Data Hotspot'!B23</f>
        <v>0</v>
      </c>
      <c r="K321" s="2">
        <f>'Raw Data Hotspot'!C23</f>
        <v>0</v>
      </c>
      <c r="L321" s="2">
        <f>'Raw Data Hotspot'!D23</f>
        <v>0</v>
      </c>
      <c r="M321" s="2">
        <f>'Raw Data Hotspot'!E23</f>
        <v>0</v>
      </c>
      <c r="N321" s="2">
        <f>'Raw Data Hotspot'!G23</f>
        <v>0</v>
      </c>
      <c r="O321" s="2">
        <f>'Raw Data Hotspot'!H23</f>
        <v>0</v>
      </c>
      <c r="P321" s="2">
        <f>'Raw Data Hotspot'!I23</f>
        <v>0</v>
      </c>
      <c r="Q321" s="2">
        <f>'Raw Data Hotspot'!J23</f>
        <v>0</v>
      </c>
      <c r="R321" s="2">
        <f>'Raw Data Hotspot'!K23</f>
        <v>0</v>
      </c>
      <c r="S321" s="2">
        <f>'Raw Data Hotspot'!N23</f>
        <v>0</v>
      </c>
      <c r="T321" s="2">
        <f t="shared" si="10"/>
        <v>0</v>
      </c>
      <c r="U321" s="10" t="str">
        <f>IF($S321=0, "", IF(COUNTIF(Table1[Amino Acid Change], $S321)=0, "Missing", "Y"))</f>
        <v/>
      </c>
      <c r="V321" s="10">
        <f t="shared" si="11"/>
        <v>0</v>
      </c>
    </row>
    <row r="322" spans="9:22" x14ac:dyDescent="0.25">
      <c r="I322" s="2">
        <f>'Raw Data Hotspot'!A24</f>
        <v>0</v>
      </c>
      <c r="J322" s="2">
        <f>'Raw Data Hotspot'!B24</f>
        <v>0</v>
      </c>
      <c r="K322" s="2">
        <f>'Raw Data Hotspot'!C24</f>
        <v>0</v>
      </c>
      <c r="L322" s="2">
        <f>'Raw Data Hotspot'!D24</f>
        <v>0</v>
      </c>
      <c r="M322" s="2">
        <f>'Raw Data Hotspot'!E24</f>
        <v>0</v>
      </c>
      <c r="N322" s="2">
        <f>'Raw Data Hotspot'!G24</f>
        <v>0</v>
      </c>
      <c r="O322" s="2">
        <f>'Raw Data Hotspot'!H24</f>
        <v>0</v>
      </c>
      <c r="P322" s="2">
        <f>'Raw Data Hotspot'!I24</f>
        <v>0</v>
      </c>
      <c r="Q322" s="2">
        <f>'Raw Data Hotspot'!J24</f>
        <v>0</v>
      </c>
      <c r="R322" s="2">
        <f>'Raw Data Hotspot'!K24</f>
        <v>0</v>
      </c>
      <c r="S322" s="2">
        <f>'Raw Data Hotspot'!N24</f>
        <v>0</v>
      </c>
      <c r="T322" s="2">
        <f t="shared" si="10"/>
        <v>0</v>
      </c>
      <c r="U322" s="10" t="str">
        <f>IF($S322=0, "", IF(COUNTIF(Table1[Amino Acid Change], $S322)=0, "Missing", "Y"))</f>
        <v/>
      </c>
      <c r="V322" s="10">
        <f t="shared" si="11"/>
        <v>0</v>
      </c>
    </row>
    <row r="323" spans="9:22" x14ac:dyDescent="0.25">
      <c r="I323" s="2">
        <f>'Raw Data Hotspot'!A25</f>
        <v>0</v>
      </c>
      <c r="J323" s="2">
        <f>'Raw Data Hotspot'!B25</f>
        <v>0</v>
      </c>
      <c r="K323" s="2">
        <f>'Raw Data Hotspot'!C25</f>
        <v>0</v>
      </c>
      <c r="L323" s="2">
        <f>'Raw Data Hotspot'!D25</f>
        <v>0</v>
      </c>
      <c r="M323" s="2">
        <f>'Raw Data Hotspot'!E25</f>
        <v>0</v>
      </c>
      <c r="N323" s="2">
        <f>'Raw Data Hotspot'!G25</f>
        <v>0</v>
      </c>
      <c r="O323" s="2">
        <f>'Raw Data Hotspot'!H25</f>
        <v>0</v>
      </c>
      <c r="P323" s="2">
        <f>'Raw Data Hotspot'!I25</f>
        <v>0</v>
      </c>
      <c r="Q323" s="2">
        <f>'Raw Data Hotspot'!J25</f>
        <v>0</v>
      </c>
      <c r="R323" s="2">
        <f>'Raw Data Hotspot'!K25</f>
        <v>0</v>
      </c>
      <c r="S323" s="2">
        <f>'Raw Data Hotspot'!N25</f>
        <v>0</v>
      </c>
      <c r="T323" s="2">
        <f t="shared" si="10"/>
        <v>0</v>
      </c>
      <c r="U323" s="10" t="str">
        <f>IF($S323=0, "", IF(COUNTIF(Table1[Amino Acid Change], $S323)=0, "Missing", "Y"))</f>
        <v/>
      </c>
      <c r="V323" s="10">
        <f t="shared" si="11"/>
        <v>0</v>
      </c>
    </row>
    <row r="324" spans="9:22" x14ac:dyDescent="0.25">
      <c r="I324" s="2">
        <f>'Raw Data Hotspot'!A26</f>
        <v>0</v>
      </c>
      <c r="J324" s="2">
        <f>'Raw Data Hotspot'!B26</f>
        <v>0</v>
      </c>
      <c r="K324" s="2">
        <f>'Raw Data Hotspot'!C26</f>
        <v>0</v>
      </c>
      <c r="L324" s="2">
        <f>'Raw Data Hotspot'!D26</f>
        <v>0</v>
      </c>
      <c r="M324" s="2">
        <f>'Raw Data Hotspot'!E26</f>
        <v>0</v>
      </c>
      <c r="N324" s="2">
        <f>'Raw Data Hotspot'!G26</f>
        <v>0</v>
      </c>
      <c r="O324" s="2">
        <f>'Raw Data Hotspot'!H26</f>
        <v>0</v>
      </c>
      <c r="P324" s="2">
        <f>'Raw Data Hotspot'!I26</f>
        <v>0</v>
      </c>
      <c r="Q324" s="2">
        <f>'Raw Data Hotspot'!J26</f>
        <v>0</v>
      </c>
      <c r="R324" s="2">
        <f>'Raw Data Hotspot'!K26</f>
        <v>0</v>
      </c>
      <c r="S324" s="2">
        <f>'Raw Data Hotspot'!N26</f>
        <v>0</v>
      </c>
      <c r="T324" s="2">
        <f t="shared" si="10"/>
        <v>0</v>
      </c>
      <c r="U324" s="10" t="str">
        <f>IF($S324=0, "", IF(COUNTIF(Table1[Amino Acid Change], $S324)=0, "Missing", "Y"))</f>
        <v/>
      </c>
      <c r="V324" s="10">
        <f t="shared" si="11"/>
        <v>0</v>
      </c>
    </row>
    <row r="325" spans="9:22" x14ac:dyDescent="0.25">
      <c r="I325" s="2">
        <f>'Raw Data Hotspot'!A27</f>
        <v>0</v>
      </c>
      <c r="J325" s="2">
        <f>'Raw Data Hotspot'!B27</f>
        <v>0</v>
      </c>
      <c r="K325" s="2">
        <f>'Raw Data Hotspot'!C27</f>
        <v>0</v>
      </c>
      <c r="L325" s="2">
        <f>'Raw Data Hotspot'!D27</f>
        <v>0</v>
      </c>
      <c r="M325" s="2">
        <f>'Raw Data Hotspot'!E27</f>
        <v>0</v>
      </c>
      <c r="N325" s="2">
        <f>'Raw Data Hotspot'!G27</f>
        <v>0</v>
      </c>
      <c r="O325" s="2">
        <f>'Raw Data Hotspot'!H27</f>
        <v>0</v>
      </c>
      <c r="P325" s="2">
        <f>'Raw Data Hotspot'!I27</f>
        <v>0</v>
      </c>
      <c r="Q325" s="2">
        <f>'Raw Data Hotspot'!J27</f>
        <v>0</v>
      </c>
      <c r="R325" s="2">
        <f>'Raw Data Hotspot'!K27</f>
        <v>0</v>
      </c>
      <c r="S325" s="2">
        <f>'Raw Data Hotspot'!N27</f>
        <v>0</v>
      </c>
      <c r="T325" s="2">
        <f t="shared" si="10"/>
        <v>0</v>
      </c>
      <c r="U325" s="10" t="str">
        <f>IF($S325=0, "", IF(COUNTIF(Table1[Amino Acid Change], $S325)=0, "Missing", "Y"))</f>
        <v/>
      </c>
      <c r="V325" s="10">
        <f t="shared" si="11"/>
        <v>0</v>
      </c>
    </row>
    <row r="326" spans="9:22" x14ac:dyDescent="0.25">
      <c r="I326" s="2">
        <f>'Raw Data Hotspot'!A28</f>
        <v>0</v>
      </c>
      <c r="J326" s="2">
        <f>'Raw Data Hotspot'!B28</f>
        <v>0</v>
      </c>
      <c r="K326" s="2">
        <f>'Raw Data Hotspot'!C28</f>
        <v>0</v>
      </c>
      <c r="L326" s="2">
        <f>'Raw Data Hotspot'!D28</f>
        <v>0</v>
      </c>
      <c r="M326" s="2">
        <f>'Raw Data Hotspot'!E28</f>
        <v>0</v>
      </c>
      <c r="N326" s="2">
        <f>'Raw Data Hotspot'!G28</f>
        <v>0</v>
      </c>
      <c r="O326" s="2">
        <f>'Raw Data Hotspot'!H28</f>
        <v>0</v>
      </c>
      <c r="P326" s="2">
        <f>'Raw Data Hotspot'!I28</f>
        <v>0</v>
      </c>
      <c r="Q326" s="2">
        <f>'Raw Data Hotspot'!J28</f>
        <v>0</v>
      </c>
      <c r="R326" s="2">
        <f>'Raw Data Hotspot'!K28</f>
        <v>0</v>
      </c>
      <c r="S326" s="2">
        <f>'Raw Data Hotspot'!N28</f>
        <v>0</v>
      </c>
      <c r="T326" s="2">
        <f t="shared" si="10"/>
        <v>0</v>
      </c>
      <c r="U326" s="10" t="str">
        <f>IF($S326=0, "", IF(COUNTIF(Table1[Amino Acid Change], $S326)=0, "Missing", "Y"))</f>
        <v/>
      </c>
      <c r="V326" s="10">
        <f t="shared" si="11"/>
        <v>0</v>
      </c>
    </row>
    <row r="327" spans="9:22" x14ac:dyDescent="0.25">
      <c r="I327" s="2">
        <f>'Raw Data Hotspot'!A29</f>
        <v>0</v>
      </c>
      <c r="J327" s="2">
        <f>'Raw Data Hotspot'!B29</f>
        <v>0</v>
      </c>
      <c r="K327" s="2">
        <f>'Raw Data Hotspot'!C29</f>
        <v>0</v>
      </c>
      <c r="L327" s="2">
        <f>'Raw Data Hotspot'!D29</f>
        <v>0</v>
      </c>
      <c r="M327" s="2">
        <f>'Raw Data Hotspot'!E29</f>
        <v>0</v>
      </c>
      <c r="N327" s="2">
        <f>'Raw Data Hotspot'!G29</f>
        <v>0</v>
      </c>
      <c r="O327" s="2">
        <f>'Raw Data Hotspot'!H29</f>
        <v>0</v>
      </c>
      <c r="P327" s="2">
        <f>'Raw Data Hotspot'!I29</f>
        <v>0</v>
      </c>
      <c r="Q327" s="2">
        <f>'Raw Data Hotspot'!J29</f>
        <v>0</v>
      </c>
      <c r="R327" s="2">
        <f>'Raw Data Hotspot'!K29</f>
        <v>0</v>
      </c>
      <c r="S327" s="2">
        <f>'Raw Data Hotspot'!N29</f>
        <v>0</v>
      </c>
      <c r="T327" s="2">
        <f t="shared" si="10"/>
        <v>0</v>
      </c>
      <c r="U327" s="10" t="str">
        <f>IF($S327=0, "", IF(COUNTIF(Table1[Amino Acid Change], $S327)=0, "Missing", "Y"))</f>
        <v/>
      </c>
      <c r="V327" s="10">
        <f t="shared" si="11"/>
        <v>0</v>
      </c>
    </row>
    <row r="328" spans="9:22" x14ac:dyDescent="0.25">
      <c r="I328" s="2">
        <f>'Raw Data Hotspot'!A30</f>
        <v>0</v>
      </c>
      <c r="J328" s="2">
        <f>'Raw Data Hotspot'!B30</f>
        <v>0</v>
      </c>
      <c r="K328" s="2">
        <f>'Raw Data Hotspot'!C30</f>
        <v>0</v>
      </c>
      <c r="L328" s="2">
        <f>'Raw Data Hotspot'!D30</f>
        <v>0</v>
      </c>
      <c r="M328" s="2">
        <f>'Raw Data Hotspot'!E30</f>
        <v>0</v>
      </c>
      <c r="N328" s="2">
        <f>'Raw Data Hotspot'!G30</f>
        <v>0</v>
      </c>
      <c r="O328" s="2">
        <f>'Raw Data Hotspot'!H30</f>
        <v>0</v>
      </c>
      <c r="P328" s="2">
        <f>'Raw Data Hotspot'!I30</f>
        <v>0</v>
      </c>
      <c r="Q328" s="2">
        <f>'Raw Data Hotspot'!J30</f>
        <v>0</v>
      </c>
      <c r="R328" s="2">
        <f>'Raw Data Hotspot'!K30</f>
        <v>0</v>
      </c>
      <c r="S328" s="2">
        <f>'Raw Data Hotspot'!N30</f>
        <v>0</v>
      </c>
      <c r="T328" s="2">
        <f t="shared" si="10"/>
        <v>0</v>
      </c>
      <c r="U328" s="10" t="str">
        <f>IF($S328=0, "", IF(COUNTIF(Table1[Amino Acid Change], $S328)=0, "Missing", "Y"))</f>
        <v/>
      </c>
      <c r="V328" s="10">
        <f t="shared" si="11"/>
        <v>0</v>
      </c>
    </row>
    <row r="329" spans="9:22" x14ac:dyDescent="0.25">
      <c r="I329" s="2">
        <f>'Raw Data Hotspot'!A31</f>
        <v>0</v>
      </c>
      <c r="J329" s="2">
        <f>'Raw Data Hotspot'!B31</f>
        <v>0</v>
      </c>
      <c r="K329" s="2">
        <f>'Raw Data Hotspot'!C31</f>
        <v>0</v>
      </c>
      <c r="L329" s="2">
        <f>'Raw Data Hotspot'!D31</f>
        <v>0</v>
      </c>
      <c r="M329" s="2">
        <f>'Raw Data Hotspot'!E31</f>
        <v>0</v>
      </c>
      <c r="N329" s="2">
        <f>'Raw Data Hotspot'!G31</f>
        <v>0</v>
      </c>
      <c r="O329" s="2">
        <f>'Raw Data Hotspot'!H31</f>
        <v>0</v>
      </c>
      <c r="P329" s="2">
        <f>'Raw Data Hotspot'!I31</f>
        <v>0</v>
      </c>
      <c r="Q329" s="2">
        <f>'Raw Data Hotspot'!J31</f>
        <v>0</v>
      </c>
      <c r="R329" s="2">
        <f>'Raw Data Hotspot'!K31</f>
        <v>0</v>
      </c>
      <c r="S329" s="2">
        <f>'Raw Data Hotspot'!N31</f>
        <v>0</v>
      </c>
      <c r="T329" s="2">
        <f t="shared" si="10"/>
        <v>0</v>
      </c>
      <c r="U329" s="10" t="str">
        <f>IF($S329=0, "", IF(COUNTIF(Table1[Amino Acid Change], $S329)=0, "Missing", "Y"))</f>
        <v/>
      </c>
      <c r="V329" s="10">
        <f t="shared" si="11"/>
        <v>0</v>
      </c>
    </row>
    <row r="330" spans="9:22" x14ac:dyDescent="0.25">
      <c r="I330" s="2">
        <f>'Raw Data Hotspot'!A32</f>
        <v>0</v>
      </c>
      <c r="J330" s="2">
        <f>'Raw Data Hotspot'!B32</f>
        <v>0</v>
      </c>
      <c r="K330" s="2">
        <f>'Raw Data Hotspot'!C32</f>
        <v>0</v>
      </c>
      <c r="L330" s="2">
        <f>'Raw Data Hotspot'!D32</f>
        <v>0</v>
      </c>
      <c r="M330" s="2">
        <f>'Raw Data Hotspot'!E32</f>
        <v>0</v>
      </c>
      <c r="N330" s="2">
        <f>'Raw Data Hotspot'!G32</f>
        <v>0</v>
      </c>
      <c r="O330" s="2">
        <f>'Raw Data Hotspot'!H32</f>
        <v>0</v>
      </c>
      <c r="P330" s="2">
        <f>'Raw Data Hotspot'!I32</f>
        <v>0</v>
      </c>
      <c r="Q330" s="2">
        <f>'Raw Data Hotspot'!J32</f>
        <v>0</v>
      </c>
      <c r="R330" s="2">
        <f>'Raw Data Hotspot'!K32</f>
        <v>0</v>
      </c>
      <c r="S330" s="2">
        <f>'Raw Data Hotspot'!N32</f>
        <v>0</v>
      </c>
      <c r="T330" s="2">
        <f t="shared" si="10"/>
        <v>0</v>
      </c>
      <c r="U330" s="10" t="str">
        <f>IF($S330=0, "", IF(COUNTIF(Table1[Amino Acid Change], $S330)=0, "Missing", "Y"))</f>
        <v/>
      </c>
      <c r="V330" s="10">
        <f t="shared" si="11"/>
        <v>0</v>
      </c>
    </row>
    <row r="331" spans="9:22" x14ac:dyDescent="0.25">
      <c r="I331" s="2">
        <f>'Raw Data Hotspot'!A33</f>
        <v>0</v>
      </c>
      <c r="J331" s="2">
        <f>'Raw Data Hotspot'!B33</f>
        <v>0</v>
      </c>
      <c r="K331" s="2">
        <f>'Raw Data Hotspot'!C33</f>
        <v>0</v>
      </c>
      <c r="L331" s="2">
        <f>'Raw Data Hotspot'!D33</f>
        <v>0</v>
      </c>
      <c r="M331" s="2">
        <f>'Raw Data Hotspot'!E33</f>
        <v>0</v>
      </c>
      <c r="N331" s="2">
        <f>'Raw Data Hotspot'!G33</f>
        <v>0</v>
      </c>
      <c r="O331" s="2">
        <f>'Raw Data Hotspot'!H33</f>
        <v>0</v>
      </c>
      <c r="P331" s="2">
        <f>'Raw Data Hotspot'!I33</f>
        <v>0</v>
      </c>
      <c r="Q331" s="2">
        <f>'Raw Data Hotspot'!J33</f>
        <v>0</v>
      </c>
      <c r="R331" s="2">
        <f>'Raw Data Hotspot'!K33</f>
        <v>0</v>
      </c>
      <c r="S331" s="2">
        <f>'Raw Data Hotspot'!N33</f>
        <v>0</v>
      </c>
      <c r="T331" s="2">
        <f t="shared" si="10"/>
        <v>0</v>
      </c>
      <c r="U331" s="10" t="str">
        <f>IF($S331=0, "", IF(COUNTIF(Table1[Amino Acid Change], $S331)=0, "Missing", "Y"))</f>
        <v/>
      </c>
      <c r="V331" s="10">
        <f t="shared" si="11"/>
        <v>0</v>
      </c>
    </row>
    <row r="332" spans="9:22" x14ac:dyDescent="0.25">
      <c r="I332" s="2">
        <f>'Raw Data Hotspot'!A34</f>
        <v>0</v>
      </c>
      <c r="J332" s="2">
        <f>'Raw Data Hotspot'!B34</f>
        <v>0</v>
      </c>
      <c r="K332" s="2">
        <f>'Raw Data Hotspot'!C34</f>
        <v>0</v>
      </c>
      <c r="L332" s="2">
        <f>'Raw Data Hotspot'!D34</f>
        <v>0</v>
      </c>
      <c r="M332" s="2">
        <f>'Raw Data Hotspot'!E34</f>
        <v>0</v>
      </c>
      <c r="N332" s="2">
        <f>'Raw Data Hotspot'!G34</f>
        <v>0</v>
      </c>
      <c r="O332" s="2">
        <f>'Raw Data Hotspot'!H34</f>
        <v>0</v>
      </c>
      <c r="P332" s="2">
        <f>'Raw Data Hotspot'!I34</f>
        <v>0</v>
      </c>
      <c r="Q332" s="2">
        <f>'Raw Data Hotspot'!J34</f>
        <v>0</v>
      </c>
      <c r="R332" s="2">
        <f>'Raw Data Hotspot'!K34</f>
        <v>0</v>
      </c>
      <c r="S332" s="2">
        <f>'Raw Data Hotspot'!N34</f>
        <v>0</v>
      </c>
      <c r="T332" s="2">
        <f t="shared" si="10"/>
        <v>0</v>
      </c>
      <c r="U332" s="10" t="str">
        <f>IF($S332=0, "", IF(COUNTIF(Table1[Amino Acid Change], $S332)=0, "Missing", "Y"))</f>
        <v/>
      </c>
      <c r="V332" s="10">
        <f t="shared" si="11"/>
        <v>0</v>
      </c>
    </row>
    <row r="333" spans="9:22" x14ac:dyDescent="0.25">
      <c r="I333" s="2">
        <f>'Raw Data Hotspot'!A35</f>
        <v>0</v>
      </c>
      <c r="J333" s="2">
        <f>'Raw Data Hotspot'!B35</f>
        <v>0</v>
      </c>
      <c r="K333" s="2">
        <f>'Raw Data Hotspot'!C35</f>
        <v>0</v>
      </c>
      <c r="L333" s="2">
        <f>'Raw Data Hotspot'!D35</f>
        <v>0</v>
      </c>
      <c r="M333" s="2">
        <f>'Raw Data Hotspot'!E35</f>
        <v>0</v>
      </c>
      <c r="N333" s="2">
        <f>'Raw Data Hotspot'!G35</f>
        <v>0</v>
      </c>
      <c r="O333" s="2">
        <f>'Raw Data Hotspot'!H35</f>
        <v>0</v>
      </c>
      <c r="P333" s="2">
        <f>'Raw Data Hotspot'!I35</f>
        <v>0</v>
      </c>
      <c r="Q333" s="2">
        <f>'Raw Data Hotspot'!J35</f>
        <v>0</v>
      </c>
      <c r="R333" s="2">
        <f>'Raw Data Hotspot'!K35</f>
        <v>0</v>
      </c>
      <c r="S333" s="2">
        <f>'Raw Data Hotspot'!N35</f>
        <v>0</v>
      </c>
      <c r="T333" s="2">
        <f t="shared" si="10"/>
        <v>0</v>
      </c>
      <c r="U333" s="10" t="str">
        <f>IF($S333=0, "", IF(COUNTIF(Table1[Amino Acid Change], $S333)=0, "Missing", "Y"))</f>
        <v/>
      </c>
      <c r="V333" s="10">
        <f t="shared" si="11"/>
        <v>0</v>
      </c>
    </row>
    <row r="334" spans="9:22" x14ac:dyDescent="0.25">
      <c r="I334" s="2">
        <f>'Raw Data Hotspot'!A36</f>
        <v>0</v>
      </c>
      <c r="J334" s="2">
        <f>'Raw Data Hotspot'!B36</f>
        <v>0</v>
      </c>
      <c r="K334" s="2">
        <f>'Raw Data Hotspot'!C36</f>
        <v>0</v>
      </c>
      <c r="L334" s="2">
        <f>'Raw Data Hotspot'!D36</f>
        <v>0</v>
      </c>
      <c r="M334" s="2">
        <f>'Raw Data Hotspot'!E36</f>
        <v>0</v>
      </c>
      <c r="N334" s="2">
        <f>'Raw Data Hotspot'!G36</f>
        <v>0</v>
      </c>
      <c r="O334" s="2">
        <f>'Raw Data Hotspot'!H36</f>
        <v>0</v>
      </c>
      <c r="P334" s="2">
        <f>'Raw Data Hotspot'!I36</f>
        <v>0</v>
      </c>
      <c r="Q334" s="2">
        <f>'Raw Data Hotspot'!J36</f>
        <v>0</v>
      </c>
      <c r="R334" s="2">
        <f>'Raw Data Hotspot'!K36</f>
        <v>0</v>
      </c>
      <c r="S334" s="2">
        <f>'Raw Data Hotspot'!N36</f>
        <v>0</v>
      </c>
      <c r="T334" s="2">
        <f t="shared" si="10"/>
        <v>0</v>
      </c>
      <c r="U334" s="10" t="str">
        <f>IF($S334=0, "", IF(COUNTIF(Table1[Amino Acid Change], $S334)=0, "Missing", "Y"))</f>
        <v/>
      </c>
      <c r="V334" s="10">
        <f t="shared" si="11"/>
        <v>0</v>
      </c>
    </row>
    <row r="335" spans="9:22" x14ac:dyDescent="0.25">
      <c r="I335" s="2">
        <f>'Raw Data Hotspot'!A37</f>
        <v>0</v>
      </c>
      <c r="J335" s="2">
        <f>'Raw Data Hotspot'!B37</f>
        <v>0</v>
      </c>
      <c r="K335" s="2">
        <f>'Raw Data Hotspot'!C37</f>
        <v>0</v>
      </c>
      <c r="L335" s="2">
        <f>'Raw Data Hotspot'!D37</f>
        <v>0</v>
      </c>
      <c r="M335" s="2">
        <f>'Raw Data Hotspot'!E37</f>
        <v>0</v>
      </c>
      <c r="N335" s="2">
        <f>'Raw Data Hotspot'!G37</f>
        <v>0</v>
      </c>
      <c r="O335" s="2">
        <f>'Raw Data Hotspot'!H37</f>
        <v>0</v>
      </c>
      <c r="P335" s="2">
        <f>'Raw Data Hotspot'!I37</f>
        <v>0</v>
      </c>
      <c r="Q335" s="2">
        <f>'Raw Data Hotspot'!J37</f>
        <v>0</v>
      </c>
      <c r="R335" s="2">
        <f>'Raw Data Hotspot'!K37</f>
        <v>0</v>
      </c>
      <c r="S335" s="2">
        <f>'Raw Data Hotspot'!N37</f>
        <v>0</v>
      </c>
      <c r="T335" s="2">
        <f t="shared" si="10"/>
        <v>0</v>
      </c>
      <c r="U335" s="10" t="str">
        <f>IF($S335=0, "", IF(COUNTIF(Table1[Amino Acid Change], $S335)=0, "Missing", "Y"))</f>
        <v/>
      </c>
      <c r="V335" s="10">
        <f t="shared" si="11"/>
        <v>0</v>
      </c>
    </row>
    <row r="336" spans="9:22" x14ac:dyDescent="0.25">
      <c r="I336" s="2">
        <f>'Raw Data Hotspot'!A38</f>
        <v>0</v>
      </c>
      <c r="J336" s="2">
        <f>'Raw Data Hotspot'!B38</f>
        <v>0</v>
      </c>
      <c r="K336" s="2">
        <f>'Raw Data Hotspot'!C38</f>
        <v>0</v>
      </c>
      <c r="L336" s="2">
        <f>'Raw Data Hotspot'!D38</f>
        <v>0</v>
      </c>
      <c r="M336" s="2">
        <f>'Raw Data Hotspot'!E38</f>
        <v>0</v>
      </c>
      <c r="N336" s="2">
        <f>'Raw Data Hotspot'!G38</f>
        <v>0</v>
      </c>
      <c r="O336" s="2">
        <f>'Raw Data Hotspot'!H38</f>
        <v>0</v>
      </c>
      <c r="P336" s="2">
        <f>'Raw Data Hotspot'!I38</f>
        <v>0</v>
      </c>
      <c r="Q336" s="2">
        <f>'Raw Data Hotspot'!J38</f>
        <v>0</v>
      </c>
      <c r="R336" s="2">
        <f>'Raw Data Hotspot'!K38</f>
        <v>0</v>
      </c>
      <c r="S336" s="2">
        <f>'Raw Data Hotspot'!N38</f>
        <v>0</v>
      </c>
      <c r="T336" s="2">
        <f t="shared" si="10"/>
        <v>0</v>
      </c>
      <c r="U336" s="10" t="str">
        <f>IF($S336=0, "", IF(COUNTIF(Table1[Amino Acid Change], $S336)=0, "Missing", "Y"))</f>
        <v/>
      </c>
      <c r="V336" s="10">
        <f t="shared" si="11"/>
        <v>0</v>
      </c>
    </row>
    <row r="337" spans="9:22" x14ac:dyDescent="0.25">
      <c r="I337" s="2">
        <f>'Raw Data Hotspot'!A39</f>
        <v>0</v>
      </c>
      <c r="J337" s="2">
        <f>'Raw Data Hotspot'!B39</f>
        <v>0</v>
      </c>
      <c r="K337" s="2">
        <f>'Raw Data Hotspot'!C39</f>
        <v>0</v>
      </c>
      <c r="L337" s="2">
        <f>'Raw Data Hotspot'!D39</f>
        <v>0</v>
      </c>
      <c r="M337" s="2">
        <f>'Raw Data Hotspot'!E39</f>
        <v>0</v>
      </c>
      <c r="N337" s="2">
        <f>'Raw Data Hotspot'!G39</f>
        <v>0</v>
      </c>
      <c r="O337" s="2">
        <f>'Raw Data Hotspot'!H39</f>
        <v>0</v>
      </c>
      <c r="P337" s="2">
        <f>'Raw Data Hotspot'!I39</f>
        <v>0</v>
      </c>
      <c r="Q337" s="2">
        <f>'Raw Data Hotspot'!J39</f>
        <v>0</v>
      </c>
      <c r="R337" s="2">
        <f>'Raw Data Hotspot'!K39</f>
        <v>0</v>
      </c>
      <c r="S337" s="2">
        <f>'Raw Data Hotspot'!N39</f>
        <v>0</v>
      </c>
      <c r="T337" s="2">
        <f t="shared" si="10"/>
        <v>0</v>
      </c>
      <c r="U337" s="10" t="str">
        <f>IF($S337=0, "", IF(COUNTIF(Table1[Amino Acid Change], $S337)=0, "Missing", "Y"))</f>
        <v/>
      </c>
      <c r="V337" s="10">
        <f t="shared" si="11"/>
        <v>0</v>
      </c>
    </row>
    <row r="338" spans="9:22" x14ac:dyDescent="0.25">
      <c r="I338" s="2">
        <f>'Raw Data Hotspot'!A40</f>
        <v>0</v>
      </c>
      <c r="J338" s="2">
        <f>'Raw Data Hotspot'!B40</f>
        <v>0</v>
      </c>
      <c r="K338" s="2">
        <f>'Raw Data Hotspot'!C40</f>
        <v>0</v>
      </c>
      <c r="L338" s="2">
        <f>'Raw Data Hotspot'!D40</f>
        <v>0</v>
      </c>
      <c r="M338" s="2">
        <f>'Raw Data Hotspot'!E40</f>
        <v>0</v>
      </c>
      <c r="N338" s="2">
        <f>'Raw Data Hotspot'!G40</f>
        <v>0</v>
      </c>
      <c r="O338" s="2">
        <f>'Raw Data Hotspot'!H40</f>
        <v>0</v>
      </c>
      <c r="P338" s="2">
        <f>'Raw Data Hotspot'!I40</f>
        <v>0</v>
      </c>
      <c r="Q338" s="2">
        <f>'Raw Data Hotspot'!J40</f>
        <v>0</v>
      </c>
      <c r="R338" s="2">
        <f>'Raw Data Hotspot'!K40</f>
        <v>0</v>
      </c>
      <c r="S338" s="2">
        <f>'Raw Data Hotspot'!N40</f>
        <v>0</v>
      </c>
      <c r="T338" s="2">
        <f t="shared" si="10"/>
        <v>0</v>
      </c>
      <c r="U338" s="10" t="str">
        <f>IF($S338=0, "", IF(COUNTIF(Table1[Amino Acid Change], $S338)=0, "Missing", "Y"))</f>
        <v/>
      </c>
      <c r="V338" s="10">
        <f t="shared" si="11"/>
        <v>0</v>
      </c>
    </row>
    <row r="339" spans="9:22" x14ac:dyDescent="0.25">
      <c r="I339" s="2">
        <f>'Raw Data Hotspot'!A41</f>
        <v>0</v>
      </c>
      <c r="J339" s="2">
        <f>'Raw Data Hotspot'!B41</f>
        <v>0</v>
      </c>
      <c r="K339" s="2">
        <f>'Raw Data Hotspot'!C41</f>
        <v>0</v>
      </c>
      <c r="L339" s="2">
        <f>'Raw Data Hotspot'!D41</f>
        <v>0</v>
      </c>
      <c r="M339" s="2">
        <f>'Raw Data Hotspot'!E41</f>
        <v>0</v>
      </c>
      <c r="N339" s="2">
        <f>'Raw Data Hotspot'!G41</f>
        <v>0</v>
      </c>
      <c r="O339" s="2">
        <f>'Raw Data Hotspot'!H41</f>
        <v>0</v>
      </c>
      <c r="P339" s="2">
        <f>'Raw Data Hotspot'!I41</f>
        <v>0</v>
      </c>
      <c r="Q339" s="2">
        <f>'Raw Data Hotspot'!J41</f>
        <v>0</v>
      </c>
      <c r="R339" s="2">
        <f>'Raw Data Hotspot'!K41</f>
        <v>0</v>
      </c>
      <c r="S339" s="2">
        <f>'Raw Data Hotspot'!N41</f>
        <v>0</v>
      </c>
      <c r="T339" s="2">
        <f t="shared" si="10"/>
        <v>0</v>
      </c>
      <c r="U339" s="10" t="str">
        <f>IF($S339=0, "", IF(COUNTIF(Table1[Amino Acid Change], $S339)=0, "Missing", "Y"))</f>
        <v/>
      </c>
      <c r="V339" s="10">
        <f t="shared" si="11"/>
        <v>0</v>
      </c>
    </row>
    <row r="340" spans="9:22" x14ac:dyDescent="0.25">
      <c r="I340" s="2">
        <f>'Raw Data Hotspot'!A42</f>
        <v>0</v>
      </c>
      <c r="J340" s="2">
        <f>'Raw Data Hotspot'!B42</f>
        <v>0</v>
      </c>
      <c r="K340" s="2">
        <f>'Raw Data Hotspot'!C42</f>
        <v>0</v>
      </c>
      <c r="L340" s="2">
        <f>'Raw Data Hotspot'!D42</f>
        <v>0</v>
      </c>
      <c r="M340" s="2">
        <f>'Raw Data Hotspot'!E42</f>
        <v>0</v>
      </c>
      <c r="N340" s="2">
        <f>'Raw Data Hotspot'!G42</f>
        <v>0</v>
      </c>
      <c r="O340" s="2">
        <f>'Raw Data Hotspot'!H42</f>
        <v>0</v>
      </c>
      <c r="P340" s="2">
        <f>'Raw Data Hotspot'!I42</f>
        <v>0</v>
      </c>
      <c r="Q340" s="2">
        <f>'Raw Data Hotspot'!J42</f>
        <v>0</v>
      </c>
      <c r="R340" s="2">
        <f>'Raw Data Hotspot'!K42</f>
        <v>0</v>
      </c>
      <c r="S340" s="2">
        <f>'Raw Data Hotspot'!N42</f>
        <v>0</v>
      </c>
      <c r="T340" s="2">
        <f t="shared" si="10"/>
        <v>0</v>
      </c>
      <c r="U340" s="10" t="str">
        <f>IF($S340=0, "", IF(COUNTIF(Table1[Amino Acid Change], $S340)=0, "Missing", "Y"))</f>
        <v/>
      </c>
      <c r="V340" s="10">
        <f t="shared" si="11"/>
        <v>0</v>
      </c>
    </row>
    <row r="341" spans="9:22" x14ac:dyDescent="0.25">
      <c r="I341" s="2">
        <f>'Raw Data Hotspot'!A43</f>
        <v>0</v>
      </c>
      <c r="J341" s="2">
        <f>'Raw Data Hotspot'!B43</f>
        <v>0</v>
      </c>
      <c r="K341" s="2">
        <f>'Raw Data Hotspot'!C43</f>
        <v>0</v>
      </c>
      <c r="L341" s="2">
        <f>'Raw Data Hotspot'!D43</f>
        <v>0</v>
      </c>
      <c r="M341" s="2">
        <f>'Raw Data Hotspot'!E43</f>
        <v>0</v>
      </c>
      <c r="N341" s="2">
        <f>'Raw Data Hotspot'!G43</f>
        <v>0</v>
      </c>
      <c r="O341" s="2">
        <f>'Raw Data Hotspot'!H43</f>
        <v>0</v>
      </c>
      <c r="P341" s="2">
        <f>'Raw Data Hotspot'!I43</f>
        <v>0</v>
      </c>
      <c r="Q341" s="2">
        <f>'Raw Data Hotspot'!J43</f>
        <v>0</v>
      </c>
      <c r="R341" s="2">
        <f>'Raw Data Hotspot'!K43</f>
        <v>0</v>
      </c>
      <c r="S341" s="2">
        <f>'Raw Data Hotspot'!N43</f>
        <v>0</v>
      </c>
      <c r="T341" s="2">
        <f t="shared" si="10"/>
        <v>0</v>
      </c>
      <c r="U341" s="10" t="str">
        <f>IF($S341=0, "", IF(COUNTIF(Table1[Amino Acid Change], $S341)=0, "Missing", "Y"))</f>
        <v/>
      </c>
      <c r="V341" s="10">
        <f t="shared" si="11"/>
        <v>0</v>
      </c>
    </row>
    <row r="342" spans="9:22" x14ac:dyDescent="0.25">
      <c r="I342" s="2">
        <f>'Raw Data Hotspot'!A44</f>
        <v>0</v>
      </c>
      <c r="J342" s="2">
        <f>'Raw Data Hotspot'!B44</f>
        <v>0</v>
      </c>
      <c r="K342" s="2">
        <f>'Raw Data Hotspot'!C44</f>
        <v>0</v>
      </c>
      <c r="L342" s="2">
        <f>'Raw Data Hotspot'!D44</f>
        <v>0</v>
      </c>
      <c r="M342" s="2">
        <f>'Raw Data Hotspot'!E44</f>
        <v>0</v>
      </c>
      <c r="N342" s="2">
        <f>'Raw Data Hotspot'!G44</f>
        <v>0</v>
      </c>
      <c r="O342" s="2">
        <f>'Raw Data Hotspot'!H44</f>
        <v>0</v>
      </c>
      <c r="P342" s="2">
        <f>'Raw Data Hotspot'!I44</f>
        <v>0</v>
      </c>
      <c r="Q342" s="2">
        <f>'Raw Data Hotspot'!J44</f>
        <v>0</v>
      </c>
      <c r="R342" s="2">
        <f>'Raw Data Hotspot'!K44</f>
        <v>0</v>
      </c>
      <c r="S342" s="2">
        <f>'Raw Data Hotspot'!N44</f>
        <v>0</v>
      </c>
      <c r="T342" s="2">
        <f t="shared" si="10"/>
        <v>0</v>
      </c>
      <c r="U342" s="10" t="str">
        <f>IF($S342=0, "", IF(COUNTIF(Table1[Amino Acid Change], $S342)=0, "Missing", "Y"))</f>
        <v/>
      </c>
      <c r="V342" s="10">
        <f t="shared" si="11"/>
        <v>0</v>
      </c>
    </row>
    <row r="343" spans="9:22" x14ac:dyDescent="0.25">
      <c r="I343" s="2">
        <f>'Raw Data Hotspot'!A45</f>
        <v>0</v>
      </c>
      <c r="J343" s="2">
        <f>'Raw Data Hotspot'!B45</f>
        <v>0</v>
      </c>
      <c r="K343" s="2">
        <f>'Raw Data Hotspot'!C45</f>
        <v>0</v>
      </c>
      <c r="L343" s="2">
        <f>'Raw Data Hotspot'!D45</f>
        <v>0</v>
      </c>
      <c r="M343" s="2">
        <f>'Raw Data Hotspot'!E45</f>
        <v>0</v>
      </c>
      <c r="N343" s="2">
        <f>'Raw Data Hotspot'!G45</f>
        <v>0</v>
      </c>
      <c r="O343" s="2">
        <f>'Raw Data Hotspot'!H45</f>
        <v>0</v>
      </c>
      <c r="P343" s="2">
        <f>'Raw Data Hotspot'!I45</f>
        <v>0</v>
      </c>
      <c r="Q343" s="2">
        <f>'Raw Data Hotspot'!J45</f>
        <v>0</v>
      </c>
      <c r="R343" s="2">
        <f>'Raw Data Hotspot'!K45</f>
        <v>0</v>
      </c>
      <c r="S343" s="2">
        <f>'Raw Data Hotspot'!N45</f>
        <v>0</v>
      </c>
      <c r="T343" s="2">
        <f t="shared" si="10"/>
        <v>0</v>
      </c>
      <c r="U343" s="10" t="str">
        <f>IF($S343=0, "", IF(COUNTIF(Table1[Amino Acid Change], $S343)=0, "Missing", "Y"))</f>
        <v/>
      </c>
      <c r="V343" s="10">
        <f t="shared" si="11"/>
        <v>0</v>
      </c>
    </row>
    <row r="344" spans="9:22" x14ac:dyDescent="0.25">
      <c r="I344" s="2">
        <f>'Raw Data Hotspot'!A46</f>
        <v>0</v>
      </c>
      <c r="J344" s="2">
        <f>'Raw Data Hotspot'!B46</f>
        <v>0</v>
      </c>
      <c r="K344" s="2">
        <f>'Raw Data Hotspot'!C46</f>
        <v>0</v>
      </c>
      <c r="L344" s="2">
        <f>'Raw Data Hotspot'!D46</f>
        <v>0</v>
      </c>
      <c r="M344" s="2">
        <f>'Raw Data Hotspot'!E46</f>
        <v>0</v>
      </c>
      <c r="N344" s="2">
        <f>'Raw Data Hotspot'!G46</f>
        <v>0</v>
      </c>
      <c r="O344" s="2">
        <f>'Raw Data Hotspot'!H46</f>
        <v>0</v>
      </c>
      <c r="P344" s="2">
        <f>'Raw Data Hotspot'!I46</f>
        <v>0</v>
      </c>
      <c r="Q344" s="2">
        <f>'Raw Data Hotspot'!J46</f>
        <v>0</v>
      </c>
      <c r="R344" s="2">
        <f>'Raw Data Hotspot'!K46</f>
        <v>0</v>
      </c>
      <c r="S344" s="2">
        <f>'Raw Data Hotspot'!N46</f>
        <v>0</v>
      </c>
      <c r="T344" s="2">
        <f t="shared" si="10"/>
        <v>0</v>
      </c>
      <c r="U344" s="10" t="str">
        <f>IF($S344=0, "", IF(COUNTIF(Table1[Amino Acid Change], $S344)=0, "Missing", "Y"))</f>
        <v/>
      </c>
      <c r="V344" s="10">
        <f t="shared" si="11"/>
        <v>0</v>
      </c>
    </row>
    <row r="345" spans="9:22" x14ac:dyDescent="0.25">
      <c r="I345" s="2">
        <f>'Raw Data Hotspot'!A47</f>
        <v>0</v>
      </c>
      <c r="J345" s="2">
        <f>'Raw Data Hotspot'!B47</f>
        <v>0</v>
      </c>
      <c r="K345" s="2">
        <f>'Raw Data Hotspot'!C47</f>
        <v>0</v>
      </c>
      <c r="L345" s="2">
        <f>'Raw Data Hotspot'!D47</f>
        <v>0</v>
      </c>
      <c r="M345" s="2">
        <f>'Raw Data Hotspot'!E47</f>
        <v>0</v>
      </c>
      <c r="N345" s="2">
        <f>'Raw Data Hotspot'!G47</f>
        <v>0</v>
      </c>
      <c r="O345" s="2">
        <f>'Raw Data Hotspot'!H47</f>
        <v>0</v>
      </c>
      <c r="P345" s="2">
        <f>'Raw Data Hotspot'!I47</f>
        <v>0</v>
      </c>
      <c r="Q345" s="2">
        <f>'Raw Data Hotspot'!J47</f>
        <v>0</v>
      </c>
      <c r="R345" s="2">
        <f>'Raw Data Hotspot'!K47</f>
        <v>0</v>
      </c>
      <c r="S345" s="2">
        <f>'Raw Data Hotspot'!N47</f>
        <v>0</v>
      </c>
      <c r="T345" s="2">
        <f t="shared" si="10"/>
        <v>0</v>
      </c>
      <c r="U345" s="10" t="str">
        <f>IF($S345=0, "", IF(COUNTIF(Table1[Amino Acid Change], $S345)=0, "Missing", "Y"))</f>
        <v/>
      </c>
      <c r="V345" s="10">
        <f t="shared" si="11"/>
        <v>0</v>
      </c>
    </row>
    <row r="346" spans="9:22" x14ac:dyDescent="0.25">
      <c r="I346" s="2">
        <f>'Raw Data Hotspot'!A48</f>
        <v>0</v>
      </c>
      <c r="J346" s="2">
        <f>'Raw Data Hotspot'!B48</f>
        <v>0</v>
      </c>
      <c r="K346" s="2">
        <f>'Raw Data Hotspot'!C48</f>
        <v>0</v>
      </c>
      <c r="L346" s="2">
        <f>'Raw Data Hotspot'!D48</f>
        <v>0</v>
      </c>
      <c r="M346" s="2">
        <f>'Raw Data Hotspot'!E48</f>
        <v>0</v>
      </c>
      <c r="N346" s="2">
        <f>'Raw Data Hotspot'!G48</f>
        <v>0</v>
      </c>
      <c r="O346" s="2">
        <f>'Raw Data Hotspot'!H48</f>
        <v>0</v>
      </c>
      <c r="P346" s="2">
        <f>'Raw Data Hotspot'!I48</f>
        <v>0</v>
      </c>
      <c r="Q346" s="2">
        <f>'Raw Data Hotspot'!J48</f>
        <v>0</v>
      </c>
      <c r="R346" s="2">
        <f>'Raw Data Hotspot'!K48</f>
        <v>0</v>
      </c>
      <c r="S346" s="2">
        <f>'Raw Data Hotspot'!N48</f>
        <v>0</v>
      </c>
      <c r="T346" s="2">
        <f t="shared" si="10"/>
        <v>0</v>
      </c>
      <c r="U346" s="10" t="str">
        <f>IF($S346=0, "", IF(COUNTIF(Table1[Amino Acid Change], $S346)=0, "Missing", "Y"))</f>
        <v/>
      </c>
      <c r="V346" s="10">
        <f t="shared" si="11"/>
        <v>0</v>
      </c>
    </row>
    <row r="347" spans="9:22" x14ac:dyDescent="0.25">
      <c r="I347" s="2">
        <f>'Raw Data Hotspot'!A49</f>
        <v>0</v>
      </c>
      <c r="J347" s="2">
        <f>'Raw Data Hotspot'!B49</f>
        <v>0</v>
      </c>
      <c r="K347" s="2">
        <f>'Raw Data Hotspot'!C49</f>
        <v>0</v>
      </c>
      <c r="L347" s="2">
        <f>'Raw Data Hotspot'!D49</f>
        <v>0</v>
      </c>
      <c r="M347" s="2">
        <f>'Raw Data Hotspot'!E49</f>
        <v>0</v>
      </c>
      <c r="N347" s="2">
        <f>'Raw Data Hotspot'!G49</f>
        <v>0</v>
      </c>
      <c r="O347" s="2">
        <f>'Raw Data Hotspot'!H49</f>
        <v>0</v>
      </c>
      <c r="P347" s="2">
        <f>'Raw Data Hotspot'!I49</f>
        <v>0</v>
      </c>
      <c r="Q347" s="2">
        <f>'Raw Data Hotspot'!J49</f>
        <v>0</v>
      </c>
      <c r="R347" s="2">
        <f>'Raw Data Hotspot'!K49</f>
        <v>0</v>
      </c>
      <c r="S347" s="2">
        <f>'Raw Data Hotspot'!N49</f>
        <v>0</v>
      </c>
      <c r="T347" s="2">
        <f t="shared" si="10"/>
        <v>0</v>
      </c>
      <c r="U347" s="10" t="str">
        <f>IF($S347=0, "", IF(COUNTIF(Table1[Amino Acid Change], $S347)=0, "Missing", "Y"))</f>
        <v/>
      </c>
      <c r="V347" s="10">
        <f t="shared" si="11"/>
        <v>0</v>
      </c>
    </row>
    <row r="348" spans="9:22" x14ac:dyDescent="0.25">
      <c r="I348" s="2">
        <f>'Raw Data Hotspot'!A50</f>
        <v>0</v>
      </c>
      <c r="J348" s="2">
        <f>'Raw Data Hotspot'!B50</f>
        <v>0</v>
      </c>
      <c r="K348" s="2">
        <f>'Raw Data Hotspot'!C50</f>
        <v>0</v>
      </c>
      <c r="L348" s="2">
        <f>'Raw Data Hotspot'!D50</f>
        <v>0</v>
      </c>
      <c r="M348" s="2">
        <f>'Raw Data Hotspot'!E50</f>
        <v>0</v>
      </c>
      <c r="N348" s="2">
        <f>'Raw Data Hotspot'!G50</f>
        <v>0</v>
      </c>
      <c r="O348" s="2">
        <f>'Raw Data Hotspot'!H50</f>
        <v>0</v>
      </c>
      <c r="P348" s="2">
        <f>'Raw Data Hotspot'!I50</f>
        <v>0</v>
      </c>
      <c r="Q348" s="2">
        <f>'Raw Data Hotspot'!J50</f>
        <v>0</v>
      </c>
      <c r="R348" s="2">
        <f>'Raw Data Hotspot'!K50</f>
        <v>0</v>
      </c>
      <c r="S348" s="2">
        <f>'Raw Data Hotspot'!N50</f>
        <v>0</v>
      </c>
      <c r="T348" s="2">
        <f t="shared" si="10"/>
        <v>0</v>
      </c>
      <c r="U348" s="10" t="str">
        <f>IF($S348=0, "", IF(COUNTIF(Table1[Amino Acid Change], $S348)=0, "Missing", "Y"))</f>
        <v/>
      </c>
      <c r="V348" s="10">
        <f t="shared" si="11"/>
        <v>0</v>
      </c>
    </row>
    <row r="349" spans="9:22" x14ac:dyDescent="0.25">
      <c r="I349" s="2">
        <f>'Raw Data Hotspot'!A51</f>
        <v>0</v>
      </c>
      <c r="J349" s="2">
        <f>'Raw Data Hotspot'!B51</f>
        <v>0</v>
      </c>
      <c r="K349" s="2">
        <f>'Raw Data Hotspot'!C51</f>
        <v>0</v>
      </c>
      <c r="L349" s="2">
        <f>'Raw Data Hotspot'!D51</f>
        <v>0</v>
      </c>
      <c r="M349" s="2">
        <f>'Raw Data Hotspot'!E51</f>
        <v>0</v>
      </c>
      <c r="N349" s="2">
        <f>'Raw Data Hotspot'!G51</f>
        <v>0</v>
      </c>
      <c r="O349" s="2">
        <f>'Raw Data Hotspot'!H51</f>
        <v>0</v>
      </c>
      <c r="P349" s="2">
        <f>'Raw Data Hotspot'!I51</f>
        <v>0</v>
      </c>
      <c r="Q349" s="2">
        <f>'Raw Data Hotspot'!J51</f>
        <v>0</v>
      </c>
      <c r="R349" s="2">
        <f>'Raw Data Hotspot'!K51</f>
        <v>0</v>
      </c>
      <c r="S349" s="2">
        <f>'Raw Data Hotspot'!N51</f>
        <v>0</v>
      </c>
      <c r="T349" s="2">
        <f t="shared" si="10"/>
        <v>0</v>
      </c>
      <c r="U349" s="10" t="str">
        <f>IF($S349=0, "", IF(COUNTIF(Table1[Amino Acid Change], $S349)=0, "Missing", "Y"))</f>
        <v/>
      </c>
      <c r="V349" s="10">
        <f t="shared" si="11"/>
        <v>0</v>
      </c>
    </row>
    <row r="350" spans="9:22" x14ac:dyDescent="0.25">
      <c r="I350" s="2">
        <f>'Raw Data Hotspot'!A52</f>
        <v>0</v>
      </c>
      <c r="J350" s="2">
        <f>'Raw Data Hotspot'!B52</f>
        <v>0</v>
      </c>
      <c r="K350" s="2">
        <f>'Raw Data Hotspot'!C52</f>
        <v>0</v>
      </c>
      <c r="L350" s="2">
        <f>'Raw Data Hotspot'!D52</f>
        <v>0</v>
      </c>
      <c r="M350" s="2">
        <f>'Raw Data Hotspot'!E52</f>
        <v>0</v>
      </c>
      <c r="N350" s="2">
        <f>'Raw Data Hotspot'!G52</f>
        <v>0</v>
      </c>
      <c r="O350" s="2">
        <f>'Raw Data Hotspot'!H52</f>
        <v>0</v>
      </c>
      <c r="P350" s="2">
        <f>'Raw Data Hotspot'!I52</f>
        <v>0</v>
      </c>
      <c r="Q350" s="2">
        <f>'Raw Data Hotspot'!J52</f>
        <v>0</v>
      </c>
      <c r="R350" s="2">
        <f>'Raw Data Hotspot'!K52</f>
        <v>0</v>
      </c>
      <c r="S350" s="2">
        <f>'Raw Data Hotspot'!N52</f>
        <v>0</v>
      </c>
      <c r="T350" s="2">
        <f t="shared" si="10"/>
        <v>0</v>
      </c>
      <c r="U350" s="10" t="str">
        <f>IF($S350=0, "", IF(COUNTIF(Table1[Amino Acid Change], $S350)=0, "Missing", "Y"))</f>
        <v/>
      </c>
      <c r="V350" s="10">
        <f t="shared" si="11"/>
        <v>0</v>
      </c>
    </row>
    <row r="351" spans="9:22" x14ac:dyDescent="0.25">
      <c r="I351" s="2">
        <f>'Raw Data Hotspot'!A53</f>
        <v>0</v>
      </c>
      <c r="J351" s="2">
        <f>'Raw Data Hotspot'!B53</f>
        <v>0</v>
      </c>
      <c r="K351" s="2">
        <f>'Raw Data Hotspot'!C53</f>
        <v>0</v>
      </c>
      <c r="L351" s="2">
        <f>'Raw Data Hotspot'!D53</f>
        <v>0</v>
      </c>
      <c r="M351" s="2">
        <f>'Raw Data Hotspot'!E53</f>
        <v>0</v>
      </c>
      <c r="N351" s="2">
        <f>'Raw Data Hotspot'!G53</f>
        <v>0</v>
      </c>
      <c r="O351" s="2">
        <f>'Raw Data Hotspot'!H53</f>
        <v>0</v>
      </c>
      <c r="P351" s="2">
        <f>'Raw Data Hotspot'!I53</f>
        <v>0</v>
      </c>
      <c r="Q351" s="2">
        <f>'Raw Data Hotspot'!J53</f>
        <v>0</v>
      </c>
      <c r="R351" s="2">
        <f>'Raw Data Hotspot'!K53</f>
        <v>0</v>
      </c>
      <c r="S351" s="2">
        <f>'Raw Data Hotspot'!N53</f>
        <v>0</v>
      </c>
      <c r="T351" s="2">
        <f t="shared" si="10"/>
        <v>0</v>
      </c>
      <c r="U351" s="10" t="str">
        <f>IF($S351=0, "", IF(COUNTIF(Table1[Amino Acid Change], $S351)=0, "Missing", "Y"))</f>
        <v/>
      </c>
      <c r="V351" s="10">
        <f t="shared" si="11"/>
        <v>0</v>
      </c>
    </row>
    <row r="352" spans="9:22" x14ac:dyDescent="0.25">
      <c r="I352" s="2">
        <f>'Raw Data Hotspot'!A54</f>
        <v>0</v>
      </c>
      <c r="J352" s="2">
        <f>'Raw Data Hotspot'!B54</f>
        <v>0</v>
      </c>
      <c r="K352" s="2">
        <f>'Raw Data Hotspot'!C54</f>
        <v>0</v>
      </c>
      <c r="L352" s="2">
        <f>'Raw Data Hotspot'!D54</f>
        <v>0</v>
      </c>
      <c r="M352" s="2">
        <f>'Raw Data Hotspot'!E54</f>
        <v>0</v>
      </c>
      <c r="N352" s="2">
        <f>'Raw Data Hotspot'!G54</f>
        <v>0</v>
      </c>
      <c r="O352" s="2">
        <f>'Raw Data Hotspot'!H54</f>
        <v>0</v>
      </c>
      <c r="P352" s="2">
        <f>'Raw Data Hotspot'!I54</f>
        <v>0</v>
      </c>
      <c r="Q352" s="2">
        <f>'Raw Data Hotspot'!J54</f>
        <v>0</v>
      </c>
      <c r="R352" s="2">
        <f>'Raw Data Hotspot'!K54</f>
        <v>0</v>
      </c>
      <c r="S352" s="2">
        <f>'Raw Data Hotspot'!N54</f>
        <v>0</v>
      </c>
      <c r="T352" s="2">
        <f t="shared" si="10"/>
        <v>0</v>
      </c>
      <c r="U352" s="10" t="str">
        <f>IF($S352=0, "", IF(COUNTIF(Table1[Amino Acid Change], $S352)=0, "Missing", "Y"))</f>
        <v/>
      </c>
      <c r="V352" s="10">
        <f t="shared" si="11"/>
        <v>0</v>
      </c>
    </row>
    <row r="353" spans="9:22" x14ac:dyDescent="0.25">
      <c r="I353" s="2">
        <f>'Raw Data Hotspot'!A55</f>
        <v>0</v>
      </c>
      <c r="J353" s="2">
        <f>'Raw Data Hotspot'!B55</f>
        <v>0</v>
      </c>
      <c r="K353" s="2">
        <f>'Raw Data Hotspot'!C55</f>
        <v>0</v>
      </c>
      <c r="L353" s="2">
        <f>'Raw Data Hotspot'!D55</f>
        <v>0</v>
      </c>
      <c r="M353" s="2">
        <f>'Raw Data Hotspot'!E55</f>
        <v>0</v>
      </c>
      <c r="N353" s="2">
        <f>'Raw Data Hotspot'!G55</f>
        <v>0</v>
      </c>
      <c r="O353" s="2">
        <f>'Raw Data Hotspot'!H55</f>
        <v>0</v>
      </c>
      <c r="P353" s="2">
        <f>'Raw Data Hotspot'!I55</f>
        <v>0</v>
      </c>
      <c r="Q353" s="2">
        <f>'Raw Data Hotspot'!J55</f>
        <v>0</v>
      </c>
      <c r="R353" s="2">
        <f>'Raw Data Hotspot'!K55</f>
        <v>0</v>
      </c>
      <c r="S353" s="2">
        <f>'Raw Data Hotspot'!N55</f>
        <v>0</v>
      </c>
      <c r="T353" s="2">
        <f t="shared" si="10"/>
        <v>0</v>
      </c>
      <c r="U353" s="10" t="str">
        <f>IF($S353=0, "", IF(COUNTIF(Table1[Amino Acid Change], $S353)=0, "Missing", "Y"))</f>
        <v/>
      </c>
      <c r="V353" s="10">
        <f t="shared" si="11"/>
        <v>0</v>
      </c>
    </row>
    <row r="354" spans="9:22" x14ac:dyDescent="0.25">
      <c r="I354" s="2">
        <f>'Raw Data Hotspot'!A56</f>
        <v>0</v>
      </c>
      <c r="J354" s="2">
        <f>'Raw Data Hotspot'!B56</f>
        <v>0</v>
      </c>
      <c r="K354" s="2">
        <f>'Raw Data Hotspot'!C56</f>
        <v>0</v>
      </c>
      <c r="L354" s="2">
        <f>'Raw Data Hotspot'!D56</f>
        <v>0</v>
      </c>
      <c r="M354" s="2">
        <f>'Raw Data Hotspot'!E56</f>
        <v>0</v>
      </c>
      <c r="N354" s="2">
        <f>'Raw Data Hotspot'!G56</f>
        <v>0</v>
      </c>
      <c r="O354" s="2">
        <f>'Raw Data Hotspot'!H56</f>
        <v>0</v>
      </c>
      <c r="P354" s="2">
        <f>'Raw Data Hotspot'!I56</f>
        <v>0</v>
      </c>
      <c r="Q354" s="2">
        <f>'Raw Data Hotspot'!J56</f>
        <v>0</v>
      </c>
      <c r="R354" s="2">
        <f>'Raw Data Hotspot'!K56</f>
        <v>0</v>
      </c>
      <c r="S354" s="2">
        <f>'Raw Data Hotspot'!N56</f>
        <v>0</v>
      </c>
      <c r="T354" s="2">
        <f t="shared" si="10"/>
        <v>0</v>
      </c>
      <c r="U354" s="10" t="str">
        <f>IF($S354=0, "", IF(COUNTIF(Table1[Amino Acid Change], $S354)=0, "Missing", "Y"))</f>
        <v/>
      </c>
      <c r="V354" s="10">
        <f t="shared" si="11"/>
        <v>0</v>
      </c>
    </row>
    <row r="355" spans="9:22" x14ac:dyDescent="0.25">
      <c r="I355" s="2">
        <f>'Raw Data Hotspot'!A57</f>
        <v>0</v>
      </c>
      <c r="J355" s="2">
        <f>'Raw Data Hotspot'!B57</f>
        <v>0</v>
      </c>
      <c r="K355" s="2">
        <f>'Raw Data Hotspot'!C57</f>
        <v>0</v>
      </c>
      <c r="L355" s="2">
        <f>'Raw Data Hotspot'!D57</f>
        <v>0</v>
      </c>
      <c r="M355" s="2">
        <f>'Raw Data Hotspot'!E57</f>
        <v>0</v>
      </c>
      <c r="N355" s="2">
        <f>'Raw Data Hotspot'!G57</f>
        <v>0</v>
      </c>
      <c r="O355" s="2">
        <f>'Raw Data Hotspot'!H57</f>
        <v>0</v>
      </c>
      <c r="P355" s="2">
        <f>'Raw Data Hotspot'!I57</f>
        <v>0</v>
      </c>
      <c r="Q355" s="2">
        <f>'Raw Data Hotspot'!J57</f>
        <v>0</v>
      </c>
      <c r="R355" s="2">
        <f>'Raw Data Hotspot'!K57</f>
        <v>0</v>
      </c>
      <c r="S355" s="2">
        <f>'Raw Data Hotspot'!N57</f>
        <v>0</v>
      </c>
      <c r="T355" s="2">
        <f t="shared" si="10"/>
        <v>0</v>
      </c>
      <c r="U355" s="10" t="str">
        <f>IF($S355=0, "", IF(COUNTIF(Table1[Amino Acid Change], $S355)=0, "Missing", "Y"))</f>
        <v/>
      </c>
      <c r="V355" s="10">
        <f t="shared" si="11"/>
        <v>0</v>
      </c>
    </row>
    <row r="356" spans="9:22" x14ac:dyDescent="0.25">
      <c r="I356" s="2">
        <f>'Raw Data Hotspot'!A58</f>
        <v>0</v>
      </c>
      <c r="J356" s="2">
        <f>'Raw Data Hotspot'!B58</f>
        <v>0</v>
      </c>
      <c r="K356" s="2">
        <f>'Raw Data Hotspot'!C58</f>
        <v>0</v>
      </c>
      <c r="L356" s="2">
        <f>'Raw Data Hotspot'!D58</f>
        <v>0</v>
      </c>
      <c r="M356" s="2">
        <f>'Raw Data Hotspot'!E58</f>
        <v>0</v>
      </c>
      <c r="N356" s="2">
        <f>'Raw Data Hotspot'!G58</f>
        <v>0</v>
      </c>
      <c r="O356" s="2">
        <f>'Raw Data Hotspot'!H58</f>
        <v>0</v>
      </c>
      <c r="P356" s="2">
        <f>'Raw Data Hotspot'!I58</f>
        <v>0</v>
      </c>
      <c r="Q356" s="2">
        <f>'Raw Data Hotspot'!J58</f>
        <v>0</v>
      </c>
      <c r="R356" s="2">
        <f>'Raw Data Hotspot'!K58</f>
        <v>0</v>
      </c>
      <c r="S356" s="2">
        <f>'Raw Data Hotspot'!N58</f>
        <v>0</v>
      </c>
      <c r="T356" s="2">
        <f t="shared" si="10"/>
        <v>0</v>
      </c>
      <c r="U356" s="10" t="str">
        <f>IF($S356=0, "", IF(COUNTIF(Table1[Amino Acid Change], $S356)=0, "Missing", "Y"))</f>
        <v/>
      </c>
      <c r="V356" s="10">
        <f t="shared" si="11"/>
        <v>0</v>
      </c>
    </row>
    <row r="357" spans="9:22" x14ac:dyDescent="0.25">
      <c r="I357" s="2">
        <f>'Raw Data Hotspot'!A59</f>
        <v>0</v>
      </c>
      <c r="J357" s="2">
        <f>'Raw Data Hotspot'!B59</f>
        <v>0</v>
      </c>
      <c r="K357" s="2">
        <f>'Raw Data Hotspot'!C59</f>
        <v>0</v>
      </c>
      <c r="L357" s="2">
        <f>'Raw Data Hotspot'!D59</f>
        <v>0</v>
      </c>
      <c r="M357" s="2">
        <f>'Raw Data Hotspot'!E59</f>
        <v>0</v>
      </c>
      <c r="N357" s="2">
        <f>'Raw Data Hotspot'!G59</f>
        <v>0</v>
      </c>
      <c r="O357" s="2">
        <f>'Raw Data Hotspot'!H59</f>
        <v>0</v>
      </c>
      <c r="P357" s="2">
        <f>'Raw Data Hotspot'!I59</f>
        <v>0</v>
      </c>
      <c r="Q357" s="2">
        <f>'Raw Data Hotspot'!J59</f>
        <v>0</v>
      </c>
      <c r="R357" s="2">
        <f>'Raw Data Hotspot'!K59</f>
        <v>0</v>
      </c>
      <c r="S357" s="2">
        <f>'Raw Data Hotspot'!N59</f>
        <v>0</v>
      </c>
      <c r="T357" s="2">
        <f t="shared" si="10"/>
        <v>0</v>
      </c>
      <c r="U357" s="10" t="str">
        <f>IF($S357=0, "", IF(COUNTIF(Table1[Amino Acid Change], $S357)=0, "Missing", "Y"))</f>
        <v/>
      </c>
      <c r="V357" s="10">
        <f t="shared" si="11"/>
        <v>0</v>
      </c>
    </row>
    <row r="358" spans="9:22" x14ac:dyDescent="0.25">
      <c r="I358" s="2">
        <f>'Raw Data Hotspot'!A60</f>
        <v>0</v>
      </c>
      <c r="J358" s="2">
        <f>'Raw Data Hotspot'!B60</f>
        <v>0</v>
      </c>
      <c r="K358" s="2">
        <f>'Raw Data Hotspot'!C60</f>
        <v>0</v>
      </c>
      <c r="L358" s="2">
        <f>'Raw Data Hotspot'!D60</f>
        <v>0</v>
      </c>
      <c r="M358" s="2">
        <f>'Raw Data Hotspot'!E60</f>
        <v>0</v>
      </c>
      <c r="N358" s="2">
        <f>'Raw Data Hotspot'!G60</f>
        <v>0</v>
      </c>
      <c r="O358" s="2">
        <f>'Raw Data Hotspot'!H60</f>
        <v>0</v>
      </c>
      <c r="P358" s="2">
        <f>'Raw Data Hotspot'!I60</f>
        <v>0</v>
      </c>
      <c r="Q358" s="2">
        <f>'Raw Data Hotspot'!J60</f>
        <v>0</v>
      </c>
      <c r="R358" s="2">
        <f>'Raw Data Hotspot'!K60</f>
        <v>0</v>
      </c>
      <c r="S358" s="2">
        <f>'Raw Data Hotspot'!N60</f>
        <v>0</v>
      </c>
      <c r="T358" s="2">
        <f t="shared" si="10"/>
        <v>0</v>
      </c>
      <c r="U358" s="10" t="str">
        <f>IF($S358=0, "", IF(COUNTIF(Table1[Amino Acid Change], $S358)=0, "Missing", "Y"))</f>
        <v/>
      </c>
      <c r="V358" s="10">
        <f t="shared" si="11"/>
        <v>0</v>
      </c>
    </row>
    <row r="359" spans="9:22" x14ac:dyDescent="0.25">
      <c r="I359" s="2">
        <f>'Raw Data Hotspot'!A61</f>
        <v>0</v>
      </c>
      <c r="J359" s="2">
        <f>'Raw Data Hotspot'!B61</f>
        <v>0</v>
      </c>
      <c r="K359" s="2">
        <f>'Raw Data Hotspot'!C61</f>
        <v>0</v>
      </c>
      <c r="L359" s="2">
        <f>'Raw Data Hotspot'!D61</f>
        <v>0</v>
      </c>
      <c r="M359" s="2">
        <f>'Raw Data Hotspot'!E61</f>
        <v>0</v>
      </c>
      <c r="N359" s="2">
        <f>'Raw Data Hotspot'!G61</f>
        <v>0</v>
      </c>
      <c r="O359" s="2">
        <f>'Raw Data Hotspot'!H61</f>
        <v>0</v>
      </c>
      <c r="P359" s="2">
        <f>'Raw Data Hotspot'!I61</f>
        <v>0</v>
      </c>
      <c r="Q359" s="2">
        <f>'Raw Data Hotspot'!J61</f>
        <v>0</v>
      </c>
      <c r="R359" s="2">
        <f>'Raw Data Hotspot'!K61</f>
        <v>0</v>
      </c>
      <c r="S359" s="2">
        <f>'Raw Data Hotspot'!N61</f>
        <v>0</v>
      </c>
      <c r="T359" s="2">
        <f t="shared" si="10"/>
        <v>0</v>
      </c>
      <c r="U359" s="10" t="str">
        <f>IF($S359=0, "", IF(COUNTIF(Table1[Amino Acid Change], $S359)=0, "Missing", "Y"))</f>
        <v/>
      </c>
      <c r="V359" s="10">
        <f t="shared" si="11"/>
        <v>0</v>
      </c>
    </row>
    <row r="360" spans="9:22" x14ac:dyDescent="0.25">
      <c r="I360" s="2">
        <f>'Raw Data Hotspot'!A62</f>
        <v>0</v>
      </c>
      <c r="J360" s="2">
        <f>'Raw Data Hotspot'!B62</f>
        <v>0</v>
      </c>
      <c r="K360" s="2">
        <f>'Raw Data Hotspot'!C62</f>
        <v>0</v>
      </c>
      <c r="L360" s="2">
        <f>'Raw Data Hotspot'!D62</f>
        <v>0</v>
      </c>
      <c r="M360" s="2">
        <f>'Raw Data Hotspot'!E62</f>
        <v>0</v>
      </c>
      <c r="N360" s="2">
        <f>'Raw Data Hotspot'!G62</f>
        <v>0</v>
      </c>
      <c r="O360" s="2">
        <f>'Raw Data Hotspot'!H62</f>
        <v>0</v>
      </c>
      <c r="P360" s="2">
        <f>'Raw Data Hotspot'!I62</f>
        <v>0</v>
      </c>
      <c r="Q360" s="2">
        <f>'Raw Data Hotspot'!J62</f>
        <v>0</v>
      </c>
      <c r="R360" s="2">
        <f>'Raw Data Hotspot'!K62</f>
        <v>0</v>
      </c>
      <c r="S360" s="2">
        <f>'Raw Data Hotspot'!N62</f>
        <v>0</v>
      </c>
      <c r="T360" s="2">
        <f t="shared" si="10"/>
        <v>0</v>
      </c>
      <c r="U360" s="10" t="str">
        <f>IF($S360=0, "", IF(COUNTIF(Table1[Amino Acid Change], $S360)=0, "Missing", "Y"))</f>
        <v/>
      </c>
      <c r="V360" s="10">
        <f t="shared" si="11"/>
        <v>0</v>
      </c>
    </row>
    <row r="361" spans="9:22" x14ac:dyDescent="0.25">
      <c r="I361" s="2">
        <f>'Raw Data Hotspot'!A63</f>
        <v>0</v>
      </c>
      <c r="J361" s="2">
        <f>'Raw Data Hotspot'!B63</f>
        <v>0</v>
      </c>
      <c r="K361" s="2">
        <f>'Raw Data Hotspot'!C63</f>
        <v>0</v>
      </c>
      <c r="L361" s="2">
        <f>'Raw Data Hotspot'!D63</f>
        <v>0</v>
      </c>
      <c r="M361" s="2">
        <f>'Raw Data Hotspot'!E63</f>
        <v>0</v>
      </c>
      <c r="N361" s="2">
        <f>'Raw Data Hotspot'!G63</f>
        <v>0</v>
      </c>
      <c r="O361" s="2">
        <f>'Raw Data Hotspot'!H63</f>
        <v>0</v>
      </c>
      <c r="P361" s="2">
        <f>'Raw Data Hotspot'!I63</f>
        <v>0</v>
      </c>
      <c r="Q361" s="2">
        <f>'Raw Data Hotspot'!J63</f>
        <v>0</v>
      </c>
      <c r="R361" s="2">
        <f>'Raw Data Hotspot'!K63</f>
        <v>0</v>
      </c>
      <c r="S361" s="2">
        <f>'Raw Data Hotspot'!N63</f>
        <v>0</v>
      </c>
      <c r="T361" s="2">
        <f t="shared" si="10"/>
        <v>0</v>
      </c>
      <c r="U361" s="10" t="str">
        <f>IF($S361=0, "", IF(COUNTIF(Table1[Amino Acid Change], $S361)=0, "Missing", "Y"))</f>
        <v/>
      </c>
      <c r="V361" s="10">
        <f t="shared" si="11"/>
        <v>0</v>
      </c>
    </row>
    <row r="362" spans="9:22" x14ac:dyDescent="0.25">
      <c r="I362" s="2">
        <f>'Raw Data Hotspot'!A64</f>
        <v>0</v>
      </c>
      <c r="J362" s="2">
        <f>'Raw Data Hotspot'!B64</f>
        <v>0</v>
      </c>
      <c r="K362" s="2">
        <f>'Raw Data Hotspot'!C64</f>
        <v>0</v>
      </c>
      <c r="L362" s="2">
        <f>'Raw Data Hotspot'!D64</f>
        <v>0</v>
      </c>
      <c r="M362" s="2">
        <f>'Raw Data Hotspot'!E64</f>
        <v>0</v>
      </c>
      <c r="N362" s="2">
        <f>'Raw Data Hotspot'!G64</f>
        <v>0</v>
      </c>
      <c r="O362" s="2">
        <f>'Raw Data Hotspot'!H64</f>
        <v>0</v>
      </c>
      <c r="P362" s="2">
        <f>'Raw Data Hotspot'!I64</f>
        <v>0</v>
      </c>
      <c r="Q362" s="2">
        <f>'Raw Data Hotspot'!J64</f>
        <v>0</v>
      </c>
      <c r="R362" s="2">
        <f>'Raw Data Hotspot'!K64</f>
        <v>0</v>
      </c>
      <c r="S362" s="2">
        <f>'Raw Data Hotspot'!N64</f>
        <v>0</v>
      </c>
      <c r="T362" s="2">
        <f t="shared" si="10"/>
        <v>0</v>
      </c>
      <c r="U362" s="10" t="str">
        <f>IF($S362=0, "", IF(COUNTIF(Table1[Amino Acid Change], $S362)=0, "Missing", "Y"))</f>
        <v/>
      </c>
      <c r="V362" s="10">
        <f t="shared" si="11"/>
        <v>0</v>
      </c>
    </row>
    <row r="363" spans="9:22" x14ac:dyDescent="0.25">
      <c r="I363" s="2">
        <f>'Raw Data Hotspot'!A65</f>
        <v>0</v>
      </c>
      <c r="J363" s="2">
        <f>'Raw Data Hotspot'!B65</f>
        <v>0</v>
      </c>
      <c r="K363" s="2">
        <f>'Raw Data Hotspot'!C65</f>
        <v>0</v>
      </c>
      <c r="L363" s="2">
        <f>'Raw Data Hotspot'!D65</f>
        <v>0</v>
      </c>
      <c r="M363" s="2">
        <f>'Raw Data Hotspot'!E65</f>
        <v>0</v>
      </c>
      <c r="N363" s="2">
        <f>'Raw Data Hotspot'!G65</f>
        <v>0</v>
      </c>
      <c r="O363" s="2">
        <f>'Raw Data Hotspot'!H65</f>
        <v>0</v>
      </c>
      <c r="P363" s="2">
        <f>'Raw Data Hotspot'!I65</f>
        <v>0</v>
      </c>
      <c r="Q363" s="2">
        <f>'Raw Data Hotspot'!J65</f>
        <v>0</v>
      </c>
      <c r="R363" s="2">
        <f>'Raw Data Hotspot'!K65</f>
        <v>0</v>
      </c>
      <c r="S363" s="2">
        <f>'Raw Data Hotspot'!N65</f>
        <v>0</v>
      </c>
      <c r="T363" s="2">
        <f t="shared" si="10"/>
        <v>0</v>
      </c>
      <c r="U363" s="10" t="str">
        <f>IF($S363=0, "", IF(COUNTIF(Table1[Amino Acid Change], $S363)=0, "Missing", "Y"))</f>
        <v/>
      </c>
      <c r="V363" s="10">
        <f t="shared" si="11"/>
        <v>0</v>
      </c>
    </row>
    <row r="364" spans="9:22" x14ac:dyDescent="0.25">
      <c r="I364" s="2">
        <f>'Raw Data Hotspot'!A66</f>
        <v>0</v>
      </c>
      <c r="J364" s="2">
        <f>'Raw Data Hotspot'!B66</f>
        <v>0</v>
      </c>
      <c r="K364" s="2">
        <f>'Raw Data Hotspot'!C66</f>
        <v>0</v>
      </c>
      <c r="L364" s="2">
        <f>'Raw Data Hotspot'!D66</f>
        <v>0</v>
      </c>
      <c r="M364" s="2">
        <f>'Raw Data Hotspot'!E66</f>
        <v>0</v>
      </c>
      <c r="N364" s="2">
        <f>'Raw Data Hotspot'!G66</f>
        <v>0</v>
      </c>
      <c r="O364" s="2">
        <f>'Raw Data Hotspot'!H66</f>
        <v>0</v>
      </c>
      <c r="P364" s="2">
        <f>'Raw Data Hotspot'!I66</f>
        <v>0</v>
      </c>
      <c r="Q364" s="2">
        <f>'Raw Data Hotspot'!J66</f>
        <v>0</v>
      </c>
      <c r="R364" s="2">
        <f>'Raw Data Hotspot'!K66</f>
        <v>0</v>
      </c>
      <c r="S364" s="2">
        <f>'Raw Data Hotspot'!N66</f>
        <v>0</v>
      </c>
      <c r="T364" s="2">
        <f t="shared" si="10"/>
        <v>0</v>
      </c>
      <c r="U364" s="10" t="str">
        <f>IF($S364=0, "", IF(COUNTIF(Table1[Amino Acid Change], $S364)=0, "Missing", "Y"))</f>
        <v/>
      </c>
      <c r="V364" s="10">
        <f t="shared" si="11"/>
        <v>0</v>
      </c>
    </row>
    <row r="365" spans="9:22" x14ac:dyDescent="0.25">
      <c r="I365" s="2">
        <f>'Raw Data Hotspot'!A67</f>
        <v>0</v>
      </c>
      <c r="J365" s="2">
        <f>'Raw Data Hotspot'!B67</f>
        <v>0</v>
      </c>
      <c r="K365" s="2">
        <f>'Raw Data Hotspot'!C67</f>
        <v>0</v>
      </c>
      <c r="L365" s="2">
        <f>'Raw Data Hotspot'!D67</f>
        <v>0</v>
      </c>
      <c r="M365" s="2">
        <f>'Raw Data Hotspot'!E67</f>
        <v>0</v>
      </c>
      <c r="N365" s="2">
        <f>'Raw Data Hotspot'!G67</f>
        <v>0</v>
      </c>
      <c r="O365" s="2">
        <f>'Raw Data Hotspot'!H67</f>
        <v>0</v>
      </c>
      <c r="P365" s="2">
        <f>'Raw Data Hotspot'!I67</f>
        <v>0</v>
      </c>
      <c r="Q365" s="2">
        <f>'Raw Data Hotspot'!J67</f>
        <v>0</v>
      </c>
      <c r="R365" s="2">
        <f>'Raw Data Hotspot'!K67</f>
        <v>0</v>
      </c>
      <c r="S365" s="2">
        <f>'Raw Data Hotspot'!N67</f>
        <v>0</v>
      </c>
      <c r="T365" s="2">
        <f t="shared" ref="T365:T428" si="12">P365</f>
        <v>0</v>
      </c>
      <c r="U365" s="10" t="str">
        <f>IF($S365=0, "", IF(COUNTIF(Table1[Amino Acid Change], $S365)=0, "Missing", "Y"))</f>
        <v/>
      </c>
      <c r="V365" s="10">
        <f t="shared" ref="V365:V428" si="13">J365</f>
        <v>0</v>
      </c>
    </row>
    <row r="366" spans="9:22" x14ac:dyDescent="0.25">
      <c r="I366" s="2">
        <f>'Raw Data Hotspot'!A68</f>
        <v>0</v>
      </c>
      <c r="J366" s="2">
        <f>'Raw Data Hotspot'!B68</f>
        <v>0</v>
      </c>
      <c r="K366" s="2">
        <f>'Raw Data Hotspot'!C68</f>
        <v>0</v>
      </c>
      <c r="L366" s="2">
        <f>'Raw Data Hotspot'!D68</f>
        <v>0</v>
      </c>
      <c r="M366" s="2">
        <f>'Raw Data Hotspot'!E68</f>
        <v>0</v>
      </c>
      <c r="N366" s="2">
        <f>'Raw Data Hotspot'!G68</f>
        <v>0</v>
      </c>
      <c r="O366" s="2">
        <f>'Raw Data Hotspot'!H68</f>
        <v>0</v>
      </c>
      <c r="P366" s="2">
        <f>'Raw Data Hotspot'!I68</f>
        <v>0</v>
      </c>
      <c r="Q366" s="2">
        <f>'Raw Data Hotspot'!J68</f>
        <v>0</v>
      </c>
      <c r="R366" s="2">
        <f>'Raw Data Hotspot'!K68</f>
        <v>0</v>
      </c>
      <c r="S366" s="2">
        <f>'Raw Data Hotspot'!N68</f>
        <v>0</v>
      </c>
      <c r="T366" s="2">
        <f t="shared" si="12"/>
        <v>0</v>
      </c>
      <c r="U366" s="10" t="str">
        <f>IF($S366=0, "", IF(COUNTIF(Table1[Amino Acid Change], $S366)=0, "Missing", "Y"))</f>
        <v/>
      </c>
      <c r="V366" s="10">
        <f t="shared" si="13"/>
        <v>0</v>
      </c>
    </row>
    <row r="367" spans="9:22" x14ac:dyDescent="0.25">
      <c r="I367" s="2">
        <f>'Raw Data Hotspot'!A69</f>
        <v>0</v>
      </c>
      <c r="J367" s="2">
        <f>'Raw Data Hotspot'!B69</f>
        <v>0</v>
      </c>
      <c r="K367" s="2">
        <f>'Raw Data Hotspot'!C69</f>
        <v>0</v>
      </c>
      <c r="L367" s="2">
        <f>'Raw Data Hotspot'!D69</f>
        <v>0</v>
      </c>
      <c r="M367" s="2">
        <f>'Raw Data Hotspot'!E69</f>
        <v>0</v>
      </c>
      <c r="N367" s="2">
        <f>'Raw Data Hotspot'!G69</f>
        <v>0</v>
      </c>
      <c r="O367" s="2">
        <f>'Raw Data Hotspot'!H69</f>
        <v>0</v>
      </c>
      <c r="P367" s="2">
        <f>'Raw Data Hotspot'!I69</f>
        <v>0</v>
      </c>
      <c r="Q367" s="2">
        <f>'Raw Data Hotspot'!J69</f>
        <v>0</v>
      </c>
      <c r="R367" s="2">
        <f>'Raw Data Hotspot'!K69</f>
        <v>0</v>
      </c>
      <c r="S367" s="2">
        <f>'Raw Data Hotspot'!N69</f>
        <v>0</v>
      </c>
      <c r="T367" s="2">
        <f t="shared" si="12"/>
        <v>0</v>
      </c>
      <c r="U367" s="10" t="str">
        <f>IF($S367=0, "", IF(COUNTIF(Table1[Amino Acid Change], $S367)=0, "Missing", "Y"))</f>
        <v/>
      </c>
      <c r="V367" s="10">
        <f t="shared" si="13"/>
        <v>0</v>
      </c>
    </row>
    <row r="368" spans="9:22" x14ac:dyDescent="0.25">
      <c r="I368" s="2">
        <f>'Raw Data Hotspot'!A70</f>
        <v>0</v>
      </c>
      <c r="J368" s="2">
        <f>'Raw Data Hotspot'!B70</f>
        <v>0</v>
      </c>
      <c r="K368" s="2">
        <f>'Raw Data Hotspot'!C70</f>
        <v>0</v>
      </c>
      <c r="L368" s="2">
        <f>'Raw Data Hotspot'!D70</f>
        <v>0</v>
      </c>
      <c r="M368" s="2">
        <f>'Raw Data Hotspot'!E70</f>
        <v>0</v>
      </c>
      <c r="N368" s="2">
        <f>'Raw Data Hotspot'!G70</f>
        <v>0</v>
      </c>
      <c r="O368" s="2">
        <f>'Raw Data Hotspot'!H70</f>
        <v>0</v>
      </c>
      <c r="P368" s="2">
        <f>'Raw Data Hotspot'!I70</f>
        <v>0</v>
      </c>
      <c r="Q368" s="2">
        <f>'Raw Data Hotspot'!J70</f>
        <v>0</v>
      </c>
      <c r="R368" s="2">
        <f>'Raw Data Hotspot'!K70</f>
        <v>0</v>
      </c>
      <c r="S368" s="2">
        <f>'Raw Data Hotspot'!N70</f>
        <v>0</v>
      </c>
      <c r="T368" s="2">
        <f t="shared" si="12"/>
        <v>0</v>
      </c>
      <c r="U368" s="10" t="str">
        <f>IF($S368=0, "", IF(COUNTIF(Table1[Amino Acid Change], $S368)=0, "Missing", "Y"))</f>
        <v/>
      </c>
      <c r="V368" s="10">
        <f t="shared" si="13"/>
        <v>0</v>
      </c>
    </row>
    <row r="369" spans="9:22" x14ac:dyDescent="0.25">
      <c r="I369" s="2">
        <f>'Raw Data Hotspot'!A71</f>
        <v>0</v>
      </c>
      <c r="J369" s="2">
        <f>'Raw Data Hotspot'!B71</f>
        <v>0</v>
      </c>
      <c r="K369" s="2">
        <f>'Raw Data Hotspot'!C71</f>
        <v>0</v>
      </c>
      <c r="L369" s="2">
        <f>'Raw Data Hotspot'!D71</f>
        <v>0</v>
      </c>
      <c r="M369" s="2">
        <f>'Raw Data Hotspot'!E71</f>
        <v>0</v>
      </c>
      <c r="N369" s="2">
        <f>'Raw Data Hotspot'!G71</f>
        <v>0</v>
      </c>
      <c r="O369" s="2">
        <f>'Raw Data Hotspot'!H71</f>
        <v>0</v>
      </c>
      <c r="P369" s="2">
        <f>'Raw Data Hotspot'!I71</f>
        <v>0</v>
      </c>
      <c r="Q369" s="2">
        <f>'Raw Data Hotspot'!J71</f>
        <v>0</v>
      </c>
      <c r="R369" s="2">
        <f>'Raw Data Hotspot'!K71</f>
        <v>0</v>
      </c>
      <c r="S369" s="2">
        <f>'Raw Data Hotspot'!N71</f>
        <v>0</v>
      </c>
      <c r="T369" s="2">
        <f t="shared" si="12"/>
        <v>0</v>
      </c>
      <c r="U369" s="10" t="str">
        <f>IF($S369=0, "", IF(COUNTIF(Table1[Amino Acid Change], $S369)=0, "Missing", "Y"))</f>
        <v/>
      </c>
      <c r="V369" s="10">
        <f t="shared" si="13"/>
        <v>0</v>
      </c>
    </row>
    <row r="370" spans="9:22" x14ac:dyDescent="0.25">
      <c r="I370" s="2">
        <f>'Raw Data Hotspot'!A72</f>
        <v>0</v>
      </c>
      <c r="J370" s="2">
        <f>'Raw Data Hotspot'!B72</f>
        <v>0</v>
      </c>
      <c r="K370" s="2">
        <f>'Raw Data Hotspot'!C72</f>
        <v>0</v>
      </c>
      <c r="L370" s="2">
        <f>'Raw Data Hotspot'!D72</f>
        <v>0</v>
      </c>
      <c r="M370" s="2">
        <f>'Raw Data Hotspot'!E72</f>
        <v>0</v>
      </c>
      <c r="N370" s="2">
        <f>'Raw Data Hotspot'!G72</f>
        <v>0</v>
      </c>
      <c r="O370" s="2">
        <f>'Raw Data Hotspot'!H72</f>
        <v>0</v>
      </c>
      <c r="P370" s="2">
        <f>'Raw Data Hotspot'!I72</f>
        <v>0</v>
      </c>
      <c r="Q370" s="2">
        <f>'Raw Data Hotspot'!J72</f>
        <v>0</v>
      </c>
      <c r="R370" s="2">
        <f>'Raw Data Hotspot'!K72</f>
        <v>0</v>
      </c>
      <c r="S370" s="2">
        <f>'Raw Data Hotspot'!N72</f>
        <v>0</v>
      </c>
      <c r="T370" s="2">
        <f t="shared" si="12"/>
        <v>0</v>
      </c>
      <c r="U370" s="10" t="str">
        <f>IF($S370=0, "", IF(COUNTIF(Table1[Amino Acid Change], $S370)=0, "Missing", "Y"))</f>
        <v/>
      </c>
      <c r="V370" s="10">
        <f t="shared" si="13"/>
        <v>0</v>
      </c>
    </row>
    <row r="371" spans="9:22" x14ac:dyDescent="0.25">
      <c r="I371" s="2">
        <f>'Raw Data Hotspot'!A73</f>
        <v>0</v>
      </c>
      <c r="J371" s="2">
        <f>'Raw Data Hotspot'!B73</f>
        <v>0</v>
      </c>
      <c r="K371" s="2">
        <f>'Raw Data Hotspot'!C73</f>
        <v>0</v>
      </c>
      <c r="L371" s="2">
        <f>'Raw Data Hotspot'!D73</f>
        <v>0</v>
      </c>
      <c r="M371" s="2">
        <f>'Raw Data Hotspot'!E73</f>
        <v>0</v>
      </c>
      <c r="N371" s="2">
        <f>'Raw Data Hotspot'!G73</f>
        <v>0</v>
      </c>
      <c r="O371" s="2">
        <f>'Raw Data Hotspot'!H73</f>
        <v>0</v>
      </c>
      <c r="P371" s="2">
        <f>'Raw Data Hotspot'!I73</f>
        <v>0</v>
      </c>
      <c r="Q371" s="2">
        <f>'Raw Data Hotspot'!J73</f>
        <v>0</v>
      </c>
      <c r="R371" s="2">
        <f>'Raw Data Hotspot'!K73</f>
        <v>0</v>
      </c>
      <c r="S371" s="2">
        <f>'Raw Data Hotspot'!N73</f>
        <v>0</v>
      </c>
      <c r="T371" s="2">
        <f t="shared" si="12"/>
        <v>0</v>
      </c>
      <c r="U371" s="10" t="str">
        <f>IF($S371=0, "", IF(COUNTIF(Table1[Amino Acid Change], $S371)=0, "Missing", "Y"))</f>
        <v/>
      </c>
      <c r="V371" s="10">
        <f t="shared" si="13"/>
        <v>0</v>
      </c>
    </row>
    <row r="372" spans="9:22" x14ac:dyDescent="0.25">
      <c r="I372" s="2">
        <f>'Raw Data Hotspot'!A74</f>
        <v>0</v>
      </c>
      <c r="J372" s="2">
        <f>'Raw Data Hotspot'!B74</f>
        <v>0</v>
      </c>
      <c r="K372" s="2">
        <f>'Raw Data Hotspot'!C74</f>
        <v>0</v>
      </c>
      <c r="L372" s="2">
        <f>'Raw Data Hotspot'!D74</f>
        <v>0</v>
      </c>
      <c r="M372" s="2">
        <f>'Raw Data Hotspot'!E74</f>
        <v>0</v>
      </c>
      <c r="N372" s="2">
        <f>'Raw Data Hotspot'!G74</f>
        <v>0</v>
      </c>
      <c r="O372" s="2">
        <f>'Raw Data Hotspot'!H74</f>
        <v>0</v>
      </c>
      <c r="P372" s="2">
        <f>'Raw Data Hotspot'!I74</f>
        <v>0</v>
      </c>
      <c r="Q372" s="2">
        <f>'Raw Data Hotspot'!J74</f>
        <v>0</v>
      </c>
      <c r="R372" s="2">
        <f>'Raw Data Hotspot'!K74</f>
        <v>0</v>
      </c>
      <c r="S372" s="2">
        <f>'Raw Data Hotspot'!N74</f>
        <v>0</v>
      </c>
      <c r="T372" s="2">
        <f t="shared" si="12"/>
        <v>0</v>
      </c>
      <c r="U372" s="10" t="str">
        <f>IF($S372=0, "", IF(COUNTIF(Table1[Amino Acid Change], $S372)=0, "Missing", "Y"))</f>
        <v/>
      </c>
      <c r="V372" s="10">
        <f t="shared" si="13"/>
        <v>0</v>
      </c>
    </row>
    <row r="373" spans="9:22" x14ac:dyDescent="0.25">
      <c r="I373" s="2">
        <f>'Raw Data Hotspot'!A75</f>
        <v>0</v>
      </c>
      <c r="J373" s="2">
        <f>'Raw Data Hotspot'!B75</f>
        <v>0</v>
      </c>
      <c r="K373" s="2">
        <f>'Raw Data Hotspot'!C75</f>
        <v>0</v>
      </c>
      <c r="L373" s="2">
        <f>'Raw Data Hotspot'!D75</f>
        <v>0</v>
      </c>
      <c r="M373" s="2">
        <f>'Raw Data Hotspot'!E75</f>
        <v>0</v>
      </c>
      <c r="N373" s="2">
        <f>'Raw Data Hotspot'!G75</f>
        <v>0</v>
      </c>
      <c r="O373" s="2">
        <f>'Raw Data Hotspot'!H75</f>
        <v>0</v>
      </c>
      <c r="P373" s="2">
        <f>'Raw Data Hotspot'!I75</f>
        <v>0</v>
      </c>
      <c r="Q373" s="2">
        <f>'Raw Data Hotspot'!J75</f>
        <v>0</v>
      </c>
      <c r="R373" s="2">
        <f>'Raw Data Hotspot'!K75</f>
        <v>0</v>
      </c>
      <c r="S373" s="2">
        <f>'Raw Data Hotspot'!N75</f>
        <v>0</v>
      </c>
      <c r="T373" s="2">
        <f t="shared" si="12"/>
        <v>0</v>
      </c>
      <c r="U373" s="10" t="str">
        <f>IF($S373=0, "", IF(COUNTIF(Table1[Amino Acid Change], $S373)=0, "Missing", "Y"))</f>
        <v/>
      </c>
      <c r="V373" s="10">
        <f t="shared" si="13"/>
        <v>0</v>
      </c>
    </row>
    <row r="374" spans="9:22" x14ac:dyDescent="0.25">
      <c r="I374" s="2">
        <f>'Raw Data Hotspot'!A76</f>
        <v>0</v>
      </c>
      <c r="J374" s="2">
        <f>'Raw Data Hotspot'!B76</f>
        <v>0</v>
      </c>
      <c r="K374" s="2">
        <f>'Raw Data Hotspot'!C76</f>
        <v>0</v>
      </c>
      <c r="L374" s="2">
        <f>'Raw Data Hotspot'!D76</f>
        <v>0</v>
      </c>
      <c r="M374" s="2">
        <f>'Raw Data Hotspot'!E76</f>
        <v>0</v>
      </c>
      <c r="N374" s="2">
        <f>'Raw Data Hotspot'!G76</f>
        <v>0</v>
      </c>
      <c r="O374" s="2">
        <f>'Raw Data Hotspot'!H76</f>
        <v>0</v>
      </c>
      <c r="P374" s="2">
        <f>'Raw Data Hotspot'!I76</f>
        <v>0</v>
      </c>
      <c r="Q374" s="2">
        <f>'Raw Data Hotspot'!J76</f>
        <v>0</v>
      </c>
      <c r="R374" s="2">
        <f>'Raw Data Hotspot'!K76</f>
        <v>0</v>
      </c>
      <c r="S374" s="2">
        <f>'Raw Data Hotspot'!N76</f>
        <v>0</v>
      </c>
      <c r="T374" s="2">
        <f t="shared" si="12"/>
        <v>0</v>
      </c>
      <c r="U374" s="10" t="str">
        <f>IF($S374=0, "", IF(COUNTIF(Table1[Amino Acid Change], $S374)=0, "Missing", "Y"))</f>
        <v/>
      </c>
      <c r="V374" s="10">
        <f t="shared" si="13"/>
        <v>0</v>
      </c>
    </row>
    <row r="375" spans="9:22" x14ac:dyDescent="0.25">
      <c r="I375" s="2">
        <f>'Raw Data Hotspot'!A77</f>
        <v>0</v>
      </c>
      <c r="J375" s="2">
        <f>'Raw Data Hotspot'!B77</f>
        <v>0</v>
      </c>
      <c r="K375" s="2">
        <f>'Raw Data Hotspot'!C77</f>
        <v>0</v>
      </c>
      <c r="L375" s="2">
        <f>'Raw Data Hotspot'!D77</f>
        <v>0</v>
      </c>
      <c r="M375" s="2">
        <f>'Raw Data Hotspot'!E77</f>
        <v>0</v>
      </c>
      <c r="N375" s="2">
        <f>'Raw Data Hotspot'!G77</f>
        <v>0</v>
      </c>
      <c r="O375" s="2">
        <f>'Raw Data Hotspot'!H77</f>
        <v>0</v>
      </c>
      <c r="P375" s="2">
        <f>'Raw Data Hotspot'!I77</f>
        <v>0</v>
      </c>
      <c r="Q375" s="2">
        <f>'Raw Data Hotspot'!J77</f>
        <v>0</v>
      </c>
      <c r="R375" s="2">
        <f>'Raw Data Hotspot'!K77</f>
        <v>0</v>
      </c>
      <c r="S375" s="2">
        <f>'Raw Data Hotspot'!N77</f>
        <v>0</v>
      </c>
      <c r="T375" s="2">
        <f t="shared" si="12"/>
        <v>0</v>
      </c>
      <c r="U375" s="10" t="str">
        <f>IF($S375=0, "", IF(COUNTIF(Table1[Amino Acid Change], $S375)=0, "Missing", "Y"))</f>
        <v/>
      </c>
      <c r="V375" s="10">
        <f t="shared" si="13"/>
        <v>0</v>
      </c>
    </row>
    <row r="376" spans="9:22" x14ac:dyDescent="0.25">
      <c r="I376" s="2">
        <f>'Raw Data Hotspot'!A78</f>
        <v>0</v>
      </c>
      <c r="J376" s="2">
        <f>'Raw Data Hotspot'!B78</f>
        <v>0</v>
      </c>
      <c r="K376" s="2">
        <f>'Raw Data Hotspot'!C78</f>
        <v>0</v>
      </c>
      <c r="L376" s="2">
        <f>'Raw Data Hotspot'!D78</f>
        <v>0</v>
      </c>
      <c r="M376" s="2">
        <f>'Raw Data Hotspot'!E78</f>
        <v>0</v>
      </c>
      <c r="N376" s="2">
        <f>'Raw Data Hotspot'!G78</f>
        <v>0</v>
      </c>
      <c r="O376" s="2">
        <f>'Raw Data Hotspot'!H78</f>
        <v>0</v>
      </c>
      <c r="P376" s="2">
        <f>'Raw Data Hotspot'!I78</f>
        <v>0</v>
      </c>
      <c r="Q376" s="2">
        <f>'Raw Data Hotspot'!J78</f>
        <v>0</v>
      </c>
      <c r="R376" s="2">
        <f>'Raw Data Hotspot'!K78</f>
        <v>0</v>
      </c>
      <c r="S376" s="2">
        <f>'Raw Data Hotspot'!N78</f>
        <v>0</v>
      </c>
      <c r="T376" s="2">
        <f t="shared" si="12"/>
        <v>0</v>
      </c>
      <c r="U376" s="10" t="str">
        <f>IF($S376=0, "", IF(COUNTIF(Table1[Amino Acid Change], $S376)=0, "Missing", "Y"))</f>
        <v/>
      </c>
      <c r="V376" s="10">
        <f t="shared" si="13"/>
        <v>0</v>
      </c>
    </row>
    <row r="377" spans="9:22" x14ac:dyDescent="0.25">
      <c r="I377" s="2">
        <f>'Raw Data Hotspot'!A79</f>
        <v>0</v>
      </c>
      <c r="J377" s="2">
        <f>'Raw Data Hotspot'!B79</f>
        <v>0</v>
      </c>
      <c r="K377" s="2">
        <f>'Raw Data Hotspot'!C79</f>
        <v>0</v>
      </c>
      <c r="L377" s="2">
        <f>'Raw Data Hotspot'!D79</f>
        <v>0</v>
      </c>
      <c r="M377" s="2">
        <f>'Raw Data Hotspot'!E79</f>
        <v>0</v>
      </c>
      <c r="N377" s="2">
        <f>'Raw Data Hotspot'!G79</f>
        <v>0</v>
      </c>
      <c r="O377" s="2">
        <f>'Raw Data Hotspot'!H79</f>
        <v>0</v>
      </c>
      <c r="P377" s="2">
        <f>'Raw Data Hotspot'!I79</f>
        <v>0</v>
      </c>
      <c r="Q377" s="2">
        <f>'Raw Data Hotspot'!J79</f>
        <v>0</v>
      </c>
      <c r="R377" s="2">
        <f>'Raw Data Hotspot'!K79</f>
        <v>0</v>
      </c>
      <c r="S377" s="2">
        <f>'Raw Data Hotspot'!N79</f>
        <v>0</v>
      </c>
      <c r="T377" s="2">
        <f t="shared" si="12"/>
        <v>0</v>
      </c>
      <c r="U377" s="10" t="str">
        <f>IF($S377=0, "", IF(COUNTIF(Table1[Amino Acid Change], $S377)=0, "Missing", "Y"))</f>
        <v/>
      </c>
      <c r="V377" s="10">
        <f t="shared" si="13"/>
        <v>0</v>
      </c>
    </row>
    <row r="378" spans="9:22" x14ac:dyDescent="0.25">
      <c r="I378" s="2">
        <f>'Raw Data Hotspot'!A80</f>
        <v>0</v>
      </c>
      <c r="J378" s="2">
        <f>'Raw Data Hotspot'!B80</f>
        <v>0</v>
      </c>
      <c r="K378" s="2">
        <f>'Raw Data Hotspot'!C80</f>
        <v>0</v>
      </c>
      <c r="L378" s="2">
        <f>'Raw Data Hotspot'!D80</f>
        <v>0</v>
      </c>
      <c r="M378" s="2">
        <f>'Raw Data Hotspot'!E80</f>
        <v>0</v>
      </c>
      <c r="N378" s="2">
        <f>'Raw Data Hotspot'!G80</f>
        <v>0</v>
      </c>
      <c r="O378" s="2">
        <f>'Raw Data Hotspot'!H80</f>
        <v>0</v>
      </c>
      <c r="P378" s="2">
        <f>'Raw Data Hotspot'!I80</f>
        <v>0</v>
      </c>
      <c r="Q378" s="2">
        <f>'Raw Data Hotspot'!J80</f>
        <v>0</v>
      </c>
      <c r="R378" s="2">
        <f>'Raw Data Hotspot'!K80</f>
        <v>0</v>
      </c>
      <c r="S378" s="2">
        <f>'Raw Data Hotspot'!N80</f>
        <v>0</v>
      </c>
      <c r="T378" s="2">
        <f t="shared" si="12"/>
        <v>0</v>
      </c>
      <c r="U378" s="10" t="str">
        <f>IF($S378=0, "", IF(COUNTIF(Table1[Amino Acid Change], $S378)=0, "Missing", "Y"))</f>
        <v/>
      </c>
      <c r="V378" s="10">
        <f t="shared" si="13"/>
        <v>0</v>
      </c>
    </row>
    <row r="379" spans="9:22" x14ac:dyDescent="0.25">
      <c r="I379" s="2">
        <f>'Raw Data Hotspot'!A81</f>
        <v>0</v>
      </c>
      <c r="J379" s="2">
        <f>'Raw Data Hotspot'!B81</f>
        <v>0</v>
      </c>
      <c r="K379" s="2">
        <f>'Raw Data Hotspot'!C81</f>
        <v>0</v>
      </c>
      <c r="L379" s="2">
        <f>'Raw Data Hotspot'!D81</f>
        <v>0</v>
      </c>
      <c r="M379" s="2">
        <f>'Raw Data Hotspot'!E81</f>
        <v>0</v>
      </c>
      <c r="N379" s="2">
        <f>'Raw Data Hotspot'!G81</f>
        <v>0</v>
      </c>
      <c r="O379" s="2">
        <f>'Raw Data Hotspot'!H81</f>
        <v>0</v>
      </c>
      <c r="P379" s="2">
        <f>'Raw Data Hotspot'!I81</f>
        <v>0</v>
      </c>
      <c r="Q379" s="2">
        <f>'Raw Data Hotspot'!J81</f>
        <v>0</v>
      </c>
      <c r="R379" s="2">
        <f>'Raw Data Hotspot'!K81</f>
        <v>0</v>
      </c>
      <c r="S379" s="2">
        <f>'Raw Data Hotspot'!N81</f>
        <v>0</v>
      </c>
      <c r="T379" s="2">
        <f t="shared" si="12"/>
        <v>0</v>
      </c>
      <c r="U379" s="10" t="str">
        <f>IF($S379=0, "", IF(COUNTIF(Table1[Amino Acid Change], $S379)=0, "Missing", "Y"))</f>
        <v/>
      </c>
      <c r="V379" s="10">
        <f t="shared" si="13"/>
        <v>0</v>
      </c>
    </row>
    <row r="380" spans="9:22" x14ac:dyDescent="0.25">
      <c r="I380" s="2">
        <f>'Raw Data Hotspot'!A82</f>
        <v>0</v>
      </c>
      <c r="J380" s="2">
        <f>'Raw Data Hotspot'!B82</f>
        <v>0</v>
      </c>
      <c r="K380" s="2">
        <f>'Raw Data Hotspot'!C82</f>
        <v>0</v>
      </c>
      <c r="L380" s="2">
        <f>'Raw Data Hotspot'!D82</f>
        <v>0</v>
      </c>
      <c r="M380" s="2">
        <f>'Raw Data Hotspot'!E82</f>
        <v>0</v>
      </c>
      <c r="N380" s="2">
        <f>'Raw Data Hotspot'!G82</f>
        <v>0</v>
      </c>
      <c r="O380" s="2">
        <f>'Raw Data Hotspot'!H82</f>
        <v>0</v>
      </c>
      <c r="P380" s="2">
        <f>'Raw Data Hotspot'!I82</f>
        <v>0</v>
      </c>
      <c r="Q380" s="2">
        <f>'Raw Data Hotspot'!J82</f>
        <v>0</v>
      </c>
      <c r="R380" s="2">
        <f>'Raw Data Hotspot'!K82</f>
        <v>0</v>
      </c>
      <c r="S380" s="2">
        <f>'Raw Data Hotspot'!N82</f>
        <v>0</v>
      </c>
      <c r="T380" s="2">
        <f t="shared" si="12"/>
        <v>0</v>
      </c>
      <c r="U380" s="10" t="str">
        <f>IF($S380=0, "", IF(COUNTIF(Table1[Amino Acid Change], $S380)=0, "Missing", "Y"))</f>
        <v/>
      </c>
      <c r="V380" s="10">
        <f t="shared" si="13"/>
        <v>0</v>
      </c>
    </row>
    <row r="381" spans="9:22" x14ac:dyDescent="0.25">
      <c r="I381" s="2">
        <f>'Raw Data Hotspot'!A83</f>
        <v>0</v>
      </c>
      <c r="J381" s="2">
        <f>'Raw Data Hotspot'!B83</f>
        <v>0</v>
      </c>
      <c r="K381" s="2">
        <f>'Raw Data Hotspot'!C83</f>
        <v>0</v>
      </c>
      <c r="L381" s="2">
        <f>'Raw Data Hotspot'!D83</f>
        <v>0</v>
      </c>
      <c r="M381" s="2">
        <f>'Raw Data Hotspot'!E83</f>
        <v>0</v>
      </c>
      <c r="N381" s="2">
        <f>'Raw Data Hotspot'!G83</f>
        <v>0</v>
      </c>
      <c r="O381" s="2">
        <f>'Raw Data Hotspot'!H83</f>
        <v>0</v>
      </c>
      <c r="P381" s="2">
        <f>'Raw Data Hotspot'!I83</f>
        <v>0</v>
      </c>
      <c r="Q381" s="2">
        <f>'Raw Data Hotspot'!J83</f>
        <v>0</v>
      </c>
      <c r="R381" s="2">
        <f>'Raw Data Hotspot'!K83</f>
        <v>0</v>
      </c>
      <c r="S381" s="2">
        <f>'Raw Data Hotspot'!N83</f>
        <v>0</v>
      </c>
      <c r="T381" s="2">
        <f t="shared" si="12"/>
        <v>0</v>
      </c>
      <c r="U381" s="10" t="str">
        <f>IF($S381=0, "", IF(COUNTIF(Table1[Amino Acid Change], $S381)=0, "Missing", "Y"))</f>
        <v/>
      </c>
      <c r="V381" s="10">
        <f t="shared" si="13"/>
        <v>0</v>
      </c>
    </row>
    <row r="382" spans="9:22" x14ac:dyDescent="0.25">
      <c r="I382" s="2">
        <f>'Raw Data Hotspot'!A84</f>
        <v>0</v>
      </c>
      <c r="J382" s="2">
        <f>'Raw Data Hotspot'!B84</f>
        <v>0</v>
      </c>
      <c r="K382" s="2">
        <f>'Raw Data Hotspot'!C84</f>
        <v>0</v>
      </c>
      <c r="L382" s="2">
        <f>'Raw Data Hotspot'!D84</f>
        <v>0</v>
      </c>
      <c r="M382" s="2">
        <f>'Raw Data Hotspot'!E84</f>
        <v>0</v>
      </c>
      <c r="N382" s="2">
        <f>'Raw Data Hotspot'!G84</f>
        <v>0</v>
      </c>
      <c r="O382" s="2">
        <f>'Raw Data Hotspot'!H84</f>
        <v>0</v>
      </c>
      <c r="P382" s="2">
        <f>'Raw Data Hotspot'!I84</f>
        <v>0</v>
      </c>
      <c r="Q382" s="2">
        <f>'Raw Data Hotspot'!J84</f>
        <v>0</v>
      </c>
      <c r="R382" s="2">
        <f>'Raw Data Hotspot'!K84</f>
        <v>0</v>
      </c>
      <c r="S382" s="2">
        <f>'Raw Data Hotspot'!N84</f>
        <v>0</v>
      </c>
      <c r="T382" s="2">
        <f t="shared" si="12"/>
        <v>0</v>
      </c>
      <c r="U382" s="10" t="str">
        <f>IF($S382=0, "", IF(COUNTIF(Table1[Amino Acid Change], $S382)=0, "Missing", "Y"))</f>
        <v/>
      </c>
      <c r="V382" s="10">
        <f t="shared" si="13"/>
        <v>0</v>
      </c>
    </row>
    <row r="383" spans="9:22" x14ac:dyDescent="0.25">
      <c r="I383" s="2">
        <f>'Raw Data Hotspot'!A85</f>
        <v>0</v>
      </c>
      <c r="J383" s="2">
        <f>'Raw Data Hotspot'!B85</f>
        <v>0</v>
      </c>
      <c r="K383" s="2">
        <f>'Raw Data Hotspot'!C85</f>
        <v>0</v>
      </c>
      <c r="L383" s="2">
        <f>'Raw Data Hotspot'!D85</f>
        <v>0</v>
      </c>
      <c r="M383" s="2">
        <f>'Raw Data Hotspot'!E85</f>
        <v>0</v>
      </c>
      <c r="N383" s="2">
        <f>'Raw Data Hotspot'!G85</f>
        <v>0</v>
      </c>
      <c r="O383" s="2">
        <f>'Raw Data Hotspot'!H85</f>
        <v>0</v>
      </c>
      <c r="P383" s="2">
        <f>'Raw Data Hotspot'!I85</f>
        <v>0</v>
      </c>
      <c r="Q383" s="2">
        <f>'Raw Data Hotspot'!J85</f>
        <v>0</v>
      </c>
      <c r="R383" s="2">
        <f>'Raw Data Hotspot'!K85</f>
        <v>0</v>
      </c>
      <c r="S383" s="2">
        <f>'Raw Data Hotspot'!N85</f>
        <v>0</v>
      </c>
      <c r="T383" s="2">
        <f t="shared" si="12"/>
        <v>0</v>
      </c>
      <c r="U383" s="10" t="str">
        <f>IF($S383=0, "", IF(COUNTIF(Table1[Amino Acid Change], $S383)=0, "Missing", "Y"))</f>
        <v/>
      </c>
      <c r="V383" s="10">
        <f t="shared" si="13"/>
        <v>0</v>
      </c>
    </row>
    <row r="384" spans="9:22" x14ac:dyDescent="0.25">
      <c r="I384" s="2">
        <f>'Raw Data Hotspot'!A86</f>
        <v>0</v>
      </c>
      <c r="J384" s="2">
        <f>'Raw Data Hotspot'!B86</f>
        <v>0</v>
      </c>
      <c r="K384" s="2">
        <f>'Raw Data Hotspot'!C86</f>
        <v>0</v>
      </c>
      <c r="L384" s="2">
        <f>'Raw Data Hotspot'!D86</f>
        <v>0</v>
      </c>
      <c r="M384" s="2">
        <f>'Raw Data Hotspot'!E86</f>
        <v>0</v>
      </c>
      <c r="N384" s="2">
        <f>'Raw Data Hotspot'!G86</f>
        <v>0</v>
      </c>
      <c r="O384" s="2">
        <f>'Raw Data Hotspot'!H86</f>
        <v>0</v>
      </c>
      <c r="P384" s="2">
        <f>'Raw Data Hotspot'!I86</f>
        <v>0</v>
      </c>
      <c r="Q384" s="2">
        <f>'Raw Data Hotspot'!J86</f>
        <v>0</v>
      </c>
      <c r="R384" s="2">
        <f>'Raw Data Hotspot'!K86</f>
        <v>0</v>
      </c>
      <c r="S384" s="2">
        <f>'Raw Data Hotspot'!N86</f>
        <v>0</v>
      </c>
      <c r="T384" s="2">
        <f t="shared" si="12"/>
        <v>0</v>
      </c>
      <c r="U384" s="10" t="str">
        <f>IF($S384=0, "", IF(COUNTIF(Table1[Amino Acid Change], $S384)=0, "Missing", "Y"))</f>
        <v/>
      </c>
      <c r="V384" s="10">
        <f t="shared" si="13"/>
        <v>0</v>
      </c>
    </row>
    <row r="385" spans="9:22" x14ac:dyDescent="0.25">
      <c r="I385" s="2">
        <f>'Raw Data Hotspot'!A87</f>
        <v>0</v>
      </c>
      <c r="J385" s="2">
        <f>'Raw Data Hotspot'!B87</f>
        <v>0</v>
      </c>
      <c r="K385" s="2">
        <f>'Raw Data Hotspot'!C87</f>
        <v>0</v>
      </c>
      <c r="L385" s="2">
        <f>'Raw Data Hotspot'!D87</f>
        <v>0</v>
      </c>
      <c r="M385" s="2">
        <f>'Raw Data Hotspot'!E87</f>
        <v>0</v>
      </c>
      <c r="N385" s="2">
        <f>'Raw Data Hotspot'!G87</f>
        <v>0</v>
      </c>
      <c r="O385" s="2">
        <f>'Raw Data Hotspot'!H87</f>
        <v>0</v>
      </c>
      <c r="P385" s="2">
        <f>'Raw Data Hotspot'!I87</f>
        <v>0</v>
      </c>
      <c r="Q385" s="2">
        <f>'Raw Data Hotspot'!J87</f>
        <v>0</v>
      </c>
      <c r="R385" s="2">
        <f>'Raw Data Hotspot'!K87</f>
        <v>0</v>
      </c>
      <c r="S385" s="2">
        <f>'Raw Data Hotspot'!N87</f>
        <v>0</v>
      </c>
      <c r="T385" s="2">
        <f t="shared" si="12"/>
        <v>0</v>
      </c>
      <c r="U385" s="10" t="str">
        <f>IF($S385=0, "", IF(COUNTIF(Table1[Amino Acid Change], $S385)=0, "Missing", "Y"))</f>
        <v/>
      </c>
      <c r="V385" s="10">
        <f t="shared" si="13"/>
        <v>0</v>
      </c>
    </row>
    <row r="386" spans="9:22" x14ac:dyDescent="0.25">
      <c r="I386" s="2">
        <f>'Raw Data Hotspot'!A88</f>
        <v>0</v>
      </c>
      <c r="J386" s="2">
        <f>'Raw Data Hotspot'!B88</f>
        <v>0</v>
      </c>
      <c r="K386" s="2">
        <f>'Raw Data Hotspot'!C88</f>
        <v>0</v>
      </c>
      <c r="L386" s="2">
        <f>'Raw Data Hotspot'!D88</f>
        <v>0</v>
      </c>
      <c r="M386" s="2">
        <f>'Raw Data Hotspot'!E88</f>
        <v>0</v>
      </c>
      <c r="N386" s="2">
        <f>'Raw Data Hotspot'!G88</f>
        <v>0</v>
      </c>
      <c r="O386" s="2">
        <f>'Raw Data Hotspot'!H88</f>
        <v>0</v>
      </c>
      <c r="P386" s="2">
        <f>'Raw Data Hotspot'!I88</f>
        <v>0</v>
      </c>
      <c r="Q386" s="2">
        <f>'Raw Data Hotspot'!J88</f>
        <v>0</v>
      </c>
      <c r="R386" s="2">
        <f>'Raw Data Hotspot'!K88</f>
        <v>0</v>
      </c>
      <c r="S386" s="2">
        <f>'Raw Data Hotspot'!N88</f>
        <v>0</v>
      </c>
      <c r="T386" s="2">
        <f t="shared" si="12"/>
        <v>0</v>
      </c>
      <c r="U386" s="10" t="str">
        <f>IF($S386=0, "", IF(COUNTIF(Table1[Amino Acid Change], $S386)=0, "Missing", "Y"))</f>
        <v/>
      </c>
      <c r="V386" s="10">
        <f t="shared" si="13"/>
        <v>0</v>
      </c>
    </row>
    <row r="387" spans="9:22" x14ac:dyDescent="0.25">
      <c r="I387" s="2">
        <f>'Raw Data Hotspot'!A89</f>
        <v>0</v>
      </c>
      <c r="J387" s="2">
        <f>'Raw Data Hotspot'!B89</f>
        <v>0</v>
      </c>
      <c r="K387" s="2">
        <f>'Raw Data Hotspot'!C89</f>
        <v>0</v>
      </c>
      <c r="L387" s="2">
        <f>'Raw Data Hotspot'!D89</f>
        <v>0</v>
      </c>
      <c r="M387" s="2">
        <f>'Raw Data Hotspot'!E89</f>
        <v>0</v>
      </c>
      <c r="N387" s="2">
        <f>'Raw Data Hotspot'!G89</f>
        <v>0</v>
      </c>
      <c r="O387" s="2">
        <f>'Raw Data Hotspot'!H89</f>
        <v>0</v>
      </c>
      <c r="P387" s="2">
        <f>'Raw Data Hotspot'!I89</f>
        <v>0</v>
      </c>
      <c r="Q387" s="2">
        <f>'Raw Data Hotspot'!J89</f>
        <v>0</v>
      </c>
      <c r="R387" s="2">
        <f>'Raw Data Hotspot'!K89</f>
        <v>0</v>
      </c>
      <c r="S387" s="2">
        <f>'Raw Data Hotspot'!N89</f>
        <v>0</v>
      </c>
      <c r="T387" s="2">
        <f t="shared" si="12"/>
        <v>0</v>
      </c>
      <c r="U387" s="10" t="str">
        <f>IF($S387=0, "", IF(COUNTIF(Table1[Amino Acid Change], $S387)=0, "Missing", "Y"))</f>
        <v/>
      </c>
      <c r="V387" s="10">
        <f t="shared" si="13"/>
        <v>0</v>
      </c>
    </row>
    <row r="388" spans="9:22" x14ac:dyDescent="0.25">
      <c r="I388" s="2">
        <f>'Raw Data Hotspot'!A90</f>
        <v>0</v>
      </c>
      <c r="J388" s="2">
        <f>'Raw Data Hotspot'!B90</f>
        <v>0</v>
      </c>
      <c r="K388" s="2">
        <f>'Raw Data Hotspot'!C90</f>
        <v>0</v>
      </c>
      <c r="L388" s="2">
        <f>'Raw Data Hotspot'!D90</f>
        <v>0</v>
      </c>
      <c r="M388" s="2">
        <f>'Raw Data Hotspot'!E90</f>
        <v>0</v>
      </c>
      <c r="N388" s="2">
        <f>'Raw Data Hotspot'!G90</f>
        <v>0</v>
      </c>
      <c r="O388" s="2">
        <f>'Raw Data Hotspot'!H90</f>
        <v>0</v>
      </c>
      <c r="P388" s="2">
        <f>'Raw Data Hotspot'!I90</f>
        <v>0</v>
      </c>
      <c r="Q388" s="2">
        <f>'Raw Data Hotspot'!J90</f>
        <v>0</v>
      </c>
      <c r="R388" s="2">
        <f>'Raw Data Hotspot'!K90</f>
        <v>0</v>
      </c>
      <c r="S388" s="2">
        <f>'Raw Data Hotspot'!N90</f>
        <v>0</v>
      </c>
      <c r="T388" s="2">
        <f t="shared" si="12"/>
        <v>0</v>
      </c>
      <c r="U388" s="10" t="str">
        <f>IF($S388=0, "", IF(COUNTIF(Table1[Amino Acid Change], $S388)=0, "Missing", "Y"))</f>
        <v/>
      </c>
      <c r="V388" s="10">
        <f t="shared" si="13"/>
        <v>0</v>
      </c>
    </row>
    <row r="389" spans="9:22" x14ac:dyDescent="0.25">
      <c r="I389" s="2">
        <f>'Raw Data Hotspot'!A91</f>
        <v>0</v>
      </c>
      <c r="J389" s="2">
        <f>'Raw Data Hotspot'!B91</f>
        <v>0</v>
      </c>
      <c r="K389" s="2">
        <f>'Raw Data Hotspot'!C91</f>
        <v>0</v>
      </c>
      <c r="L389" s="2">
        <f>'Raw Data Hotspot'!D91</f>
        <v>0</v>
      </c>
      <c r="M389" s="2">
        <f>'Raw Data Hotspot'!E91</f>
        <v>0</v>
      </c>
      <c r="N389" s="2">
        <f>'Raw Data Hotspot'!G91</f>
        <v>0</v>
      </c>
      <c r="O389" s="2">
        <f>'Raw Data Hotspot'!H91</f>
        <v>0</v>
      </c>
      <c r="P389" s="2">
        <f>'Raw Data Hotspot'!I91</f>
        <v>0</v>
      </c>
      <c r="Q389" s="2">
        <f>'Raw Data Hotspot'!J91</f>
        <v>0</v>
      </c>
      <c r="R389" s="2">
        <f>'Raw Data Hotspot'!K91</f>
        <v>0</v>
      </c>
      <c r="S389" s="2">
        <f>'Raw Data Hotspot'!N91</f>
        <v>0</v>
      </c>
      <c r="T389" s="2">
        <f t="shared" si="12"/>
        <v>0</v>
      </c>
      <c r="U389" s="10" t="str">
        <f>IF($S389=0, "", IF(COUNTIF(Table1[Amino Acid Change], $S389)=0, "Missing", "Y"))</f>
        <v/>
      </c>
      <c r="V389" s="10">
        <f t="shared" si="13"/>
        <v>0</v>
      </c>
    </row>
    <row r="390" spans="9:22" x14ac:dyDescent="0.25">
      <c r="I390" s="2">
        <f>'Raw Data Hotspot'!A92</f>
        <v>0</v>
      </c>
      <c r="J390" s="2">
        <f>'Raw Data Hotspot'!B92</f>
        <v>0</v>
      </c>
      <c r="K390" s="2">
        <f>'Raw Data Hotspot'!C92</f>
        <v>0</v>
      </c>
      <c r="L390" s="2">
        <f>'Raw Data Hotspot'!D92</f>
        <v>0</v>
      </c>
      <c r="M390" s="2">
        <f>'Raw Data Hotspot'!E92</f>
        <v>0</v>
      </c>
      <c r="N390" s="2">
        <f>'Raw Data Hotspot'!G92</f>
        <v>0</v>
      </c>
      <c r="O390" s="2">
        <f>'Raw Data Hotspot'!H92</f>
        <v>0</v>
      </c>
      <c r="P390" s="2">
        <f>'Raw Data Hotspot'!I92</f>
        <v>0</v>
      </c>
      <c r="Q390" s="2">
        <f>'Raw Data Hotspot'!J92</f>
        <v>0</v>
      </c>
      <c r="R390" s="2">
        <f>'Raw Data Hotspot'!K92</f>
        <v>0</v>
      </c>
      <c r="S390" s="2">
        <f>'Raw Data Hotspot'!N92</f>
        <v>0</v>
      </c>
      <c r="T390" s="2">
        <f t="shared" si="12"/>
        <v>0</v>
      </c>
      <c r="U390" s="10" t="str">
        <f>IF($S390=0, "", IF(COUNTIF(Table1[Amino Acid Change], $S390)=0, "Missing", "Y"))</f>
        <v/>
      </c>
      <c r="V390" s="10">
        <f t="shared" si="13"/>
        <v>0</v>
      </c>
    </row>
    <row r="391" spans="9:22" x14ac:dyDescent="0.25">
      <c r="I391" s="2">
        <f>'Raw Data Hotspot'!A93</f>
        <v>0</v>
      </c>
      <c r="J391" s="2">
        <f>'Raw Data Hotspot'!B93</f>
        <v>0</v>
      </c>
      <c r="K391" s="2">
        <f>'Raw Data Hotspot'!C93</f>
        <v>0</v>
      </c>
      <c r="L391" s="2">
        <f>'Raw Data Hotspot'!D93</f>
        <v>0</v>
      </c>
      <c r="M391" s="2">
        <f>'Raw Data Hotspot'!E93</f>
        <v>0</v>
      </c>
      <c r="N391" s="2">
        <f>'Raw Data Hotspot'!G93</f>
        <v>0</v>
      </c>
      <c r="O391" s="2">
        <f>'Raw Data Hotspot'!H93</f>
        <v>0</v>
      </c>
      <c r="P391" s="2">
        <f>'Raw Data Hotspot'!I93</f>
        <v>0</v>
      </c>
      <c r="Q391" s="2">
        <f>'Raw Data Hotspot'!J93</f>
        <v>0</v>
      </c>
      <c r="R391" s="2">
        <f>'Raw Data Hotspot'!K93</f>
        <v>0</v>
      </c>
      <c r="S391" s="2">
        <f>'Raw Data Hotspot'!N93</f>
        <v>0</v>
      </c>
      <c r="T391" s="2">
        <f t="shared" si="12"/>
        <v>0</v>
      </c>
      <c r="U391" s="10" t="str">
        <f>IF($S391=0, "", IF(COUNTIF(Table1[Amino Acid Change], $S391)=0, "Missing", "Y"))</f>
        <v/>
      </c>
      <c r="V391" s="10">
        <f t="shared" si="13"/>
        <v>0</v>
      </c>
    </row>
    <row r="392" spans="9:22" x14ac:dyDescent="0.25">
      <c r="I392" s="2">
        <f>'Raw Data Hotspot'!A94</f>
        <v>0</v>
      </c>
      <c r="J392" s="2">
        <f>'Raw Data Hotspot'!B94</f>
        <v>0</v>
      </c>
      <c r="K392" s="2">
        <f>'Raw Data Hotspot'!C94</f>
        <v>0</v>
      </c>
      <c r="L392" s="2">
        <f>'Raw Data Hotspot'!D94</f>
        <v>0</v>
      </c>
      <c r="M392" s="2">
        <f>'Raw Data Hotspot'!E94</f>
        <v>0</v>
      </c>
      <c r="N392" s="2">
        <f>'Raw Data Hotspot'!G94</f>
        <v>0</v>
      </c>
      <c r="O392" s="2">
        <f>'Raw Data Hotspot'!H94</f>
        <v>0</v>
      </c>
      <c r="P392" s="2">
        <f>'Raw Data Hotspot'!I94</f>
        <v>0</v>
      </c>
      <c r="Q392" s="2">
        <f>'Raw Data Hotspot'!J94</f>
        <v>0</v>
      </c>
      <c r="R392" s="2">
        <f>'Raw Data Hotspot'!K94</f>
        <v>0</v>
      </c>
      <c r="S392" s="2">
        <f>'Raw Data Hotspot'!N94</f>
        <v>0</v>
      </c>
      <c r="T392" s="2">
        <f t="shared" si="12"/>
        <v>0</v>
      </c>
      <c r="U392" s="10" t="str">
        <f>IF($S392=0, "", IF(COUNTIF(Table1[Amino Acid Change], $S392)=0, "Missing", "Y"))</f>
        <v/>
      </c>
      <c r="V392" s="10">
        <f t="shared" si="13"/>
        <v>0</v>
      </c>
    </row>
    <row r="393" spans="9:22" x14ac:dyDescent="0.25">
      <c r="I393" s="2">
        <f>'Raw Data Hotspot'!A95</f>
        <v>0</v>
      </c>
      <c r="J393" s="2">
        <f>'Raw Data Hotspot'!B95</f>
        <v>0</v>
      </c>
      <c r="K393" s="2">
        <f>'Raw Data Hotspot'!C95</f>
        <v>0</v>
      </c>
      <c r="L393" s="2">
        <f>'Raw Data Hotspot'!D95</f>
        <v>0</v>
      </c>
      <c r="M393" s="2">
        <f>'Raw Data Hotspot'!E95</f>
        <v>0</v>
      </c>
      <c r="N393" s="2">
        <f>'Raw Data Hotspot'!G95</f>
        <v>0</v>
      </c>
      <c r="O393" s="2">
        <f>'Raw Data Hotspot'!H95</f>
        <v>0</v>
      </c>
      <c r="P393" s="2">
        <f>'Raw Data Hotspot'!I95</f>
        <v>0</v>
      </c>
      <c r="Q393" s="2">
        <f>'Raw Data Hotspot'!J95</f>
        <v>0</v>
      </c>
      <c r="R393" s="2">
        <f>'Raw Data Hotspot'!K95</f>
        <v>0</v>
      </c>
      <c r="S393" s="2">
        <f>'Raw Data Hotspot'!N95</f>
        <v>0</v>
      </c>
      <c r="T393" s="2">
        <f t="shared" si="12"/>
        <v>0</v>
      </c>
      <c r="U393" s="10" t="str">
        <f>IF($S393=0, "", IF(COUNTIF(Table1[Amino Acid Change], $S393)=0, "Missing", "Y"))</f>
        <v/>
      </c>
      <c r="V393" s="10">
        <f t="shared" si="13"/>
        <v>0</v>
      </c>
    </row>
    <row r="394" spans="9:22" x14ac:dyDescent="0.25">
      <c r="I394" s="2">
        <f>'Raw Data Hotspot'!A96</f>
        <v>0</v>
      </c>
      <c r="J394" s="2">
        <f>'Raw Data Hotspot'!B96</f>
        <v>0</v>
      </c>
      <c r="K394" s="2">
        <f>'Raw Data Hotspot'!C96</f>
        <v>0</v>
      </c>
      <c r="L394" s="2">
        <f>'Raw Data Hotspot'!D96</f>
        <v>0</v>
      </c>
      <c r="M394" s="2">
        <f>'Raw Data Hotspot'!E96</f>
        <v>0</v>
      </c>
      <c r="N394" s="2">
        <f>'Raw Data Hotspot'!G96</f>
        <v>0</v>
      </c>
      <c r="O394" s="2">
        <f>'Raw Data Hotspot'!H96</f>
        <v>0</v>
      </c>
      <c r="P394" s="2">
        <f>'Raw Data Hotspot'!I96</f>
        <v>0</v>
      </c>
      <c r="Q394" s="2">
        <f>'Raw Data Hotspot'!J96</f>
        <v>0</v>
      </c>
      <c r="R394" s="2">
        <f>'Raw Data Hotspot'!K96</f>
        <v>0</v>
      </c>
      <c r="S394" s="2">
        <f>'Raw Data Hotspot'!N96</f>
        <v>0</v>
      </c>
      <c r="T394" s="2">
        <f t="shared" si="12"/>
        <v>0</v>
      </c>
      <c r="U394" s="10" t="str">
        <f>IF($S394=0, "", IF(COUNTIF(Table1[Amino Acid Change], $S394)=0, "Missing", "Y"))</f>
        <v/>
      </c>
      <c r="V394" s="10">
        <f t="shared" si="13"/>
        <v>0</v>
      </c>
    </row>
    <row r="395" spans="9:22" x14ac:dyDescent="0.25">
      <c r="I395" s="2">
        <f>'Raw Data Hotspot'!A97</f>
        <v>0</v>
      </c>
      <c r="J395" s="2">
        <f>'Raw Data Hotspot'!B97</f>
        <v>0</v>
      </c>
      <c r="K395" s="2">
        <f>'Raw Data Hotspot'!C97</f>
        <v>0</v>
      </c>
      <c r="L395" s="2">
        <f>'Raw Data Hotspot'!D97</f>
        <v>0</v>
      </c>
      <c r="M395" s="2">
        <f>'Raw Data Hotspot'!E97</f>
        <v>0</v>
      </c>
      <c r="N395" s="2">
        <f>'Raw Data Hotspot'!G97</f>
        <v>0</v>
      </c>
      <c r="O395" s="2">
        <f>'Raw Data Hotspot'!H97</f>
        <v>0</v>
      </c>
      <c r="P395" s="2">
        <f>'Raw Data Hotspot'!I97</f>
        <v>0</v>
      </c>
      <c r="Q395" s="2">
        <f>'Raw Data Hotspot'!J97</f>
        <v>0</v>
      </c>
      <c r="R395" s="2">
        <f>'Raw Data Hotspot'!K97</f>
        <v>0</v>
      </c>
      <c r="S395" s="2">
        <f>'Raw Data Hotspot'!N97</f>
        <v>0</v>
      </c>
      <c r="T395" s="2">
        <f t="shared" si="12"/>
        <v>0</v>
      </c>
      <c r="U395" s="10" t="str">
        <f>IF($S395=0, "", IF(COUNTIF(Table1[Amino Acid Change], $S395)=0, "Missing", "Y"))</f>
        <v/>
      </c>
      <c r="V395" s="10">
        <f t="shared" si="13"/>
        <v>0</v>
      </c>
    </row>
    <row r="396" spans="9:22" x14ac:dyDescent="0.25">
      <c r="I396" s="2">
        <f>'Raw Data Hotspot'!A98</f>
        <v>0</v>
      </c>
      <c r="J396" s="2">
        <f>'Raw Data Hotspot'!B98</f>
        <v>0</v>
      </c>
      <c r="K396" s="2">
        <f>'Raw Data Hotspot'!C98</f>
        <v>0</v>
      </c>
      <c r="L396" s="2">
        <f>'Raw Data Hotspot'!D98</f>
        <v>0</v>
      </c>
      <c r="M396" s="2">
        <f>'Raw Data Hotspot'!E98</f>
        <v>0</v>
      </c>
      <c r="N396" s="2">
        <f>'Raw Data Hotspot'!G98</f>
        <v>0</v>
      </c>
      <c r="O396" s="2">
        <f>'Raw Data Hotspot'!H98</f>
        <v>0</v>
      </c>
      <c r="P396" s="2">
        <f>'Raw Data Hotspot'!I98</f>
        <v>0</v>
      </c>
      <c r="Q396" s="2">
        <f>'Raw Data Hotspot'!J98</f>
        <v>0</v>
      </c>
      <c r="R396" s="2">
        <f>'Raw Data Hotspot'!K98</f>
        <v>0</v>
      </c>
      <c r="S396" s="2">
        <f>'Raw Data Hotspot'!N98</f>
        <v>0</v>
      </c>
      <c r="T396" s="2">
        <f t="shared" si="12"/>
        <v>0</v>
      </c>
      <c r="U396" s="10" t="str">
        <f>IF($S396=0, "", IF(COUNTIF(Table1[Amino Acid Change], $S396)=0, "Missing", "Y"))</f>
        <v/>
      </c>
      <c r="V396" s="10">
        <f t="shared" si="13"/>
        <v>0</v>
      </c>
    </row>
    <row r="397" spans="9:22" x14ac:dyDescent="0.25">
      <c r="I397" s="2">
        <f>'Raw Data Hotspot'!A99</f>
        <v>0</v>
      </c>
      <c r="J397" s="2">
        <f>'Raw Data Hotspot'!B99</f>
        <v>0</v>
      </c>
      <c r="K397" s="2">
        <f>'Raw Data Hotspot'!C99</f>
        <v>0</v>
      </c>
      <c r="L397" s="2">
        <f>'Raw Data Hotspot'!D99</f>
        <v>0</v>
      </c>
      <c r="M397" s="2">
        <f>'Raw Data Hotspot'!E99</f>
        <v>0</v>
      </c>
      <c r="N397" s="2">
        <f>'Raw Data Hotspot'!G99</f>
        <v>0</v>
      </c>
      <c r="O397" s="2">
        <f>'Raw Data Hotspot'!H99</f>
        <v>0</v>
      </c>
      <c r="P397" s="2">
        <f>'Raw Data Hotspot'!I99</f>
        <v>0</v>
      </c>
      <c r="Q397" s="2">
        <f>'Raw Data Hotspot'!J99</f>
        <v>0</v>
      </c>
      <c r="R397" s="2">
        <f>'Raw Data Hotspot'!K99</f>
        <v>0</v>
      </c>
      <c r="S397" s="2">
        <f>'Raw Data Hotspot'!N99</f>
        <v>0</v>
      </c>
      <c r="T397" s="2">
        <f t="shared" si="12"/>
        <v>0</v>
      </c>
      <c r="U397" s="10" t="str">
        <f>IF($S397=0, "", IF(COUNTIF(Table1[Amino Acid Change], $S397)=0, "Missing", "Y"))</f>
        <v/>
      </c>
      <c r="V397" s="10">
        <f t="shared" si="13"/>
        <v>0</v>
      </c>
    </row>
    <row r="398" spans="9:22" x14ac:dyDescent="0.25">
      <c r="I398" s="2">
        <f>'Raw Data Hotspot'!A100</f>
        <v>0</v>
      </c>
      <c r="J398" s="2">
        <f>'Raw Data Hotspot'!B100</f>
        <v>0</v>
      </c>
      <c r="K398" s="2">
        <f>'Raw Data Hotspot'!C100</f>
        <v>0</v>
      </c>
      <c r="L398" s="2">
        <f>'Raw Data Hotspot'!D100</f>
        <v>0</v>
      </c>
      <c r="M398" s="2">
        <f>'Raw Data Hotspot'!E100</f>
        <v>0</v>
      </c>
      <c r="N398" s="2">
        <f>'Raw Data Hotspot'!G100</f>
        <v>0</v>
      </c>
      <c r="O398" s="2">
        <f>'Raw Data Hotspot'!H100</f>
        <v>0</v>
      </c>
      <c r="P398" s="2">
        <f>'Raw Data Hotspot'!I100</f>
        <v>0</v>
      </c>
      <c r="Q398" s="2">
        <f>'Raw Data Hotspot'!J100</f>
        <v>0</v>
      </c>
      <c r="R398" s="2">
        <f>'Raw Data Hotspot'!K100</f>
        <v>0</v>
      </c>
      <c r="S398" s="2">
        <f>'Raw Data Hotspot'!N100</f>
        <v>0</v>
      </c>
      <c r="T398" s="2">
        <f t="shared" si="12"/>
        <v>0</v>
      </c>
      <c r="U398" s="10" t="str">
        <f>IF($S398=0, "", IF(COUNTIF(Table1[Amino Acid Change], $S398)=0, "Missing", "Y"))</f>
        <v/>
      </c>
      <c r="V398" s="10">
        <f t="shared" si="13"/>
        <v>0</v>
      </c>
    </row>
    <row r="399" spans="9:22" x14ac:dyDescent="0.25">
      <c r="I399" s="2">
        <f>'Raw Data Hotspot'!A101</f>
        <v>0</v>
      </c>
      <c r="J399" s="2">
        <f>'Raw Data Hotspot'!B101</f>
        <v>0</v>
      </c>
      <c r="K399" s="2">
        <f>'Raw Data Hotspot'!C101</f>
        <v>0</v>
      </c>
      <c r="L399" s="2">
        <f>'Raw Data Hotspot'!D101</f>
        <v>0</v>
      </c>
      <c r="M399" s="2">
        <f>'Raw Data Hotspot'!E101</f>
        <v>0</v>
      </c>
      <c r="N399" s="2">
        <f>'Raw Data Hotspot'!G101</f>
        <v>0</v>
      </c>
      <c r="O399" s="2">
        <f>'Raw Data Hotspot'!H101</f>
        <v>0</v>
      </c>
      <c r="P399" s="2">
        <f>'Raw Data Hotspot'!I101</f>
        <v>0</v>
      </c>
      <c r="Q399" s="2">
        <f>'Raw Data Hotspot'!J101</f>
        <v>0</v>
      </c>
      <c r="R399" s="2">
        <f>'Raw Data Hotspot'!K101</f>
        <v>0</v>
      </c>
      <c r="S399" s="2">
        <f>'Raw Data Hotspot'!N101</f>
        <v>0</v>
      </c>
      <c r="T399" s="2">
        <f t="shared" si="12"/>
        <v>0</v>
      </c>
      <c r="U399" s="10" t="str">
        <f>IF($S399=0, "", IF(COUNTIF(Table1[Amino Acid Change], $S399)=0, "Missing", "Y"))</f>
        <v/>
      </c>
      <c r="V399" s="10">
        <f t="shared" si="13"/>
        <v>0</v>
      </c>
    </row>
    <row r="400" spans="9:22" x14ac:dyDescent="0.25">
      <c r="I400" s="2">
        <f>'Raw Data Hotspot'!A102</f>
        <v>0</v>
      </c>
      <c r="J400" s="2">
        <f>'Raw Data Hotspot'!B102</f>
        <v>0</v>
      </c>
      <c r="K400" s="2">
        <f>'Raw Data Hotspot'!C102</f>
        <v>0</v>
      </c>
      <c r="L400" s="2">
        <f>'Raw Data Hotspot'!D102</f>
        <v>0</v>
      </c>
      <c r="M400" s="2">
        <f>'Raw Data Hotspot'!E102</f>
        <v>0</v>
      </c>
      <c r="N400" s="2">
        <f>'Raw Data Hotspot'!G102</f>
        <v>0</v>
      </c>
      <c r="O400" s="2">
        <f>'Raw Data Hotspot'!H102</f>
        <v>0</v>
      </c>
      <c r="P400" s="2">
        <f>'Raw Data Hotspot'!I102</f>
        <v>0</v>
      </c>
      <c r="Q400" s="2">
        <f>'Raw Data Hotspot'!J102</f>
        <v>0</v>
      </c>
      <c r="R400" s="2">
        <f>'Raw Data Hotspot'!K102</f>
        <v>0</v>
      </c>
      <c r="S400" s="2">
        <f>'Raw Data Hotspot'!N102</f>
        <v>0</v>
      </c>
      <c r="T400" s="2">
        <f t="shared" si="12"/>
        <v>0</v>
      </c>
      <c r="U400" s="10" t="str">
        <f>IF($S400=0, "", IF(COUNTIF(Table1[Amino Acid Change], $S400)=0, "Missing", "Y"))</f>
        <v/>
      </c>
      <c r="V400" s="10">
        <f t="shared" si="13"/>
        <v>0</v>
      </c>
    </row>
    <row r="401" spans="9:22" x14ac:dyDescent="0.25">
      <c r="I401" s="2">
        <f>'Raw Data Hotspot'!A103</f>
        <v>0</v>
      </c>
      <c r="J401" s="2">
        <f>'Raw Data Hotspot'!B103</f>
        <v>0</v>
      </c>
      <c r="K401" s="2">
        <f>'Raw Data Hotspot'!C103</f>
        <v>0</v>
      </c>
      <c r="L401" s="2">
        <f>'Raw Data Hotspot'!D103</f>
        <v>0</v>
      </c>
      <c r="M401" s="2">
        <f>'Raw Data Hotspot'!E103</f>
        <v>0</v>
      </c>
      <c r="N401" s="2">
        <f>'Raw Data Hotspot'!G103</f>
        <v>0</v>
      </c>
      <c r="O401" s="2">
        <f>'Raw Data Hotspot'!H103</f>
        <v>0</v>
      </c>
      <c r="P401" s="2">
        <f>'Raw Data Hotspot'!I103</f>
        <v>0</v>
      </c>
      <c r="Q401" s="2">
        <f>'Raw Data Hotspot'!J103</f>
        <v>0</v>
      </c>
      <c r="R401" s="2">
        <f>'Raw Data Hotspot'!K103</f>
        <v>0</v>
      </c>
      <c r="S401" s="2">
        <f>'Raw Data Hotspot'!N103</f>
        <v>0</v>
      </c>
      <c r="T401" s="2">
        <f t="shared" si="12"/>
        <v>0</v>
      </c>
      <c r="U401" s="10" t="str">
        <f>IF($S401=0, "", IF(COUNTIF(Table1[Amino Acid Change], $S401)=0, "Missing", "Y"))</f>
        <v/>
      </c>
      <c r="V401" s="10">
        <f t="shared" si="13"/>
        <v>0</v>
      </c>
    </row>
    <row r="402" spans="9:22" x14ac:dyDescent="0.25">
      <c r="I402" s="2">
        <f>'Raw Data Hotspot'!A104</f>
        <v>0</v>
      </c>
      <c r="J402" s="2">
        <f>'Raw Data Hotspot'!B104</f>
        <v>0</v>
      </c>
      <c r="K402" s="2">
        <f>'Raw Data Hotspot'!C104</f>
        <v>0</v>
      </c>
      <c r="L402" s="2">
        <f>'Raw Data Hotspot'!D104</f>
        <v>0</v>
      </c>
      <c r="M402" s="2">
        <f>'Raw Data Hotspot'!E104</f>
        <v>0</v>
      </c>
      <c r="N402" s="2">
        <f>'Raw Data Hotspot'!G104</f>
        <v>0</v>
      </c>
      <c r="O402" s="2">
        <f>'Raw Data Hotspot'!H104</f>
        <v>0</v>
      </c>
      <c r="P402" s="2">
        <f>'Raw Data Hotspot'!I104</f>
        <v>0</v>
      </c>
      <c r="Q402" s="2">
        <f>'Raw Data Hotspot'!J104</f>
        <v>0</v>
      </c>
      <c r="R402" s="2">
        <f>'Raw Data Hotspot'!K104</f>
        <v>0</v>
      </c>
      <c r="S402" s="2">
        <f>'Raw Data Hotspot'!N104</f>
        <v>0</v>
      </c>
      <c r="T402" s="2">
        <f t="shared" si="12"/>
        <v>0</v>
      </c>
      <c r="U402" s="10" t="str">
        <f>IF($S402=0, "", IF(COUNTIF(Table1[Amino Acid Change], $S402)=0, "Missing", "Y"))</f>
        <v/>
      </c>
      <c r="V402" s="10">
        <f t="shared" si="13"/>
        <v>0</v>
      </c>
    </row>
    <row r="403" spans="9:22" x14ac:dyDescent="0.25">
      <c r="I403" s="2">
        <f>'Raw Data Hotspot'!A105</f>
        <v>0</v>
      </c>
      <c r="J403" s="2">
        <f>'Raw Data Hotspot'!B105</f>
        <v>0</v>
      </c>
      <c r="K403" s="2">
        <f>'Raw Data Hotspot'!C105</f>
        <v>0</v>
      </c>
      <c r="L403" s="2">
        <f>'Raw Data Hotspot'!D105</f>
        <v>0</v>
      </c>
      <c r="M403" s="2">
        <f>'Raw Data Hotspot'!E105</f>
        <v>0</v>
      </c>
      <c r="N403" s="2">
        <f>'Raw Data Hotspot'!G105</f>
        <v>0</v>
      </c>
      <c r="O403" s="2">
        <f>'Raw Data Hotspot'!H105</f>
        <v>0</v>
      </c>
      <c r="P403" s="2">
        <f>'Raw Data Hotspot'!I105</f>
        <v>0</v>
      </c>
      <c r="Q403" s="2">
        <f>'Raw Data Hotspot'!J105</f>
        <v>0</v>
      </c>
      <c r="R403" s="2">
        <f>'Raw Data Hotspot'!K105</f>
        <v>0</v>
      </c>
      <c r="S403" s="2">
        <f>'Raw Data Hotspot'!N105</f>
        <v>0</v>
      </c>
      <c r="T403" s="2">
        <f t="shared" si="12"/>
        <v>0</v>
      </c>
      <c r="U403" s="10" t="str">
        <f>IF($S403=0, "", IF(COUNTIF(Table1[Amino Acid Change], $S403)=0, "Missing", "Y"))</f>
        <v/>
      </c>
      <c r="V403" s="10">
        <f t="shared" si="13"/>
        <v>0</v>
      </c>
    </row>
    <row r="404" spans="9:22" x14ac:dyDescent="0.25">
      <c r="I404" s="2">
        <f>'Raw Data Hotspot'!A106</f>
        <v>0</v>
      </c>
      <c r="J404" s="2">
        <f>'Raw Data Hotspot'!B106</f>
        <v>0</v>
      </c>
      <c r="K404" s="2">
        <f>'Raw Data Hotspot'!C106</f>
        <v>0</v>
      </c>
      <c r="L404" s="2">
        <f>'Raw Data Hotspot'!D106</f>
        <v>0</v>
      </c>
      <c r="M404" s="2">
        <f>'Raw Data Hotspot'!E106</f>
        <v>0</v>
      </c>
      <c r="N404" s="2">
        <f>'Raw Data Hotspot'!G106</f>
        <v>0</v>
      </c>
      <c r="O404" s="2">
        <f>'Raw Data Hotspot'!H106</f>
        <v>0</v>
      </c>
      <c r="P404" s="2">
        <f>'Raw Data Hotspot'!I106</f>
        <v>0</v>
      </c>
      <c r="Q404" s="2">
        <f>'Raw Data Hotspot'!J106</f>
        <v>0</v>
      </c>
      <c r="R404" s="2">
        <f>'Raw Data Hotspot'!K106</f>
        <v>0</v>
      </c>
      <c r="S404" s="2">
        <f>'Raw Data Hotspot'!N106</f>
        <v>0</v>
      </c>
      <c r="T404" s="2">
        <f t="shared" si="12"/>
        <v>0</v>
      </c>
      <c r="U404" s="10" t="str">
        <f>IF($S404=0, "", IF(COUNTIF(Table1[Amino Acid Change], $S404)=0, "Missing", "Y"))</f>
        <v/>
      </c>
      <c r="V404" s="10">
        <f t="shared" si="13"/>
        <v>0</v>
      </c>
    </row>
    <row r="405" spans="9:22" x14ac:dyDescent="0.25">
      <c r="I405" s="2">
        <f>'Raw Data Hotspot'!A107</f>
        <v>0</v>
      </c>
      <c r="J405" s="2">
        <f>'Raw Data Hotspot'!B107</f>
        <v>0</v>
      </c>
      <c r="K405" s="2">
        <f>'Raw Data Hotspot'!C107</f>
        <v>0</v>
      </c>
      <c r="L405" s="2">
        <f>'Raw Data Hotspot'!D107</f>
        <v>0</v>
      </c>
      <c r="M405" s="2">
        <f>'Raw Data Hotspot'!E107</f>
        <v>0</v>
      </c>
      <c r="N405" s="2">
        <f>'Raw Data Hotspot'!G107</f>
        <v>0</v>
      </c>
      <c r="O405" s="2">
        <f>'Raw Data Hotspot'!H107</f>
        <v>0</v>
      </c>
      <c r="P405" s="2">
        <f>'Raw Data Hotspot'!I107</f>
        <v>0</v>
      </c>
      <c r="Q405" s="2">
        <f>'Raw Data Hotspot'!J107</f>
        <v>0</v>
      </c>
      <c r="R405" s="2">
        <f>'Raw Data Hotspot'!K107</f>
        <v>0</v>
      </c>
      <c r="S405" s="2">
        <f>'Raw Data Hotspot'!N107</f>
        <v>0</v>
      </c>
      <c r="T405" s="2">
        <f t="shared" si="12"/>
        <v>0</v>
      </c>
      <c r="U405" s="10" t="str">
        <f>IF($S405=0, "", IF(COUNTIF(Table1[Amino Acid Change], $S405)=0, "Missing", "Y"))</f>
        <v/>
      </c>
      <c r="V405" s="10">
        <f t="shared" si="13"/>
        <v>0</v>
      </c>
    </row>
    <row r="406" spans="9:22" x14ac:dyDescent="0.25">
      <c r="I406" s="2">
        <f>'Raw Data Hotspot'!A108</f>
        <v>0</v>
      </c>
      <c r="J406" s="2">
        <f>'Raw Data Hotspot'!B108</f>
        <v>0</v>
      </c>
      <c r="K406" s="2">
        <f>'Raw Data Hotspot'!C108</f>
        <v>0</v>
      </c>
      <c r="L406" s="2">
        <f>'Raw Data Hotspot'!D108</f>
        <v>0</v>
      </c>
      <c r="M406" s="2">
        <f>'Raw Data Hotspot'!E108</f>
        <v>0</v>
      </c>
      <c r="N406" s="2">
        <f>'Raw Data Hotspot'!G108</f>
        <v>0</v>
      </c>
      <c r="O406" s="2">
        <f>'Raw Data Hotspot'!H108</f>
        <v>0</v>
      </c>
      <c r="P406" s="2">
        <f>'Raw Data Hotspot'!I108</f>
        <v>0</v>
      </c>
      <c r="Q406" s="2">
        <f>'Raw Data Hotspot'!J108</f>
        <v>0</v>
      </c>
      <c r="R406" s="2">
        <f>'Raw Data Hotspot'!K108</f>
        <v>0</v>
      </c>
      <c r="S406" s="2">
        <f>'Raw Data Hotspot'!N108</f>
        <v>0</v>
      </c>
      <c r="T406" s="2">
        <f t="shared" si="12"/>
        <v>0</v>
      </c>
      <c r="U406" s="10" t="str">
        <f>IF($S406=0, "", IF(COUNTIF(Table1[Amino Acid Change], $S406)=0, "Missing", "Y"))</f>
        <v/>
      </c>
      <c r="V406" s="10">
        <f t="shared" si="13"/>
        <v>0</v>
      </c>
    </row>
    <row r="407" spans="9:22" x14ac:dyDescent="0.25">
      <c r="I407" s="2">
        <f>'Raw Data Hotspot'!A109</f>
        <v>0</v>
      </c>
      <c r="J407" s="2">
        <f>'Raw Data Hotspot'!B109</f>
        <v>0</v>
      </c>
      <c r="K407" s="2">
        <f>'Raw Data Hotspot'!C109</f>
        <v>0</v>
      </c>
      <c r="L407" s="2">
        <f>'Raw Data Hotspot'!D109</f>
        <v>0</v>
      </c>
      <c r="M407" s="2">
        <f>'Raw Data Hotspot'!E109</f>
        <v>0</v>
      </c>
      <c r="N407" s="2">
        <f>'Raw Data Hotspot'!G109</f>
        <v>0</v>
      </c>
      <c r="O407" s="2">
        <f>'Raw Data Hotspot'!H109</f>
        <v>0</v>
      </c>
      <c r="P407" s="2">
        <f>'Raw Data Hotspot'!I109</f>
        <v>0</v>
      </c>
      <c r="Q407" s="2">
        <f>'Raw Data Hotspot'!J109</f>
        <v>0</v>
      </c>
      <c r="R407" s="2">
        <f>'Raw Data Hotspot'!K109</f>
        <v>0</v>
      </c>
      <c r="S407" s="2">
        <f>'Raw Data Hotspot'!N109</f>
        <v>0</v>
      </c>
      <c r="T407" s="2">
        <f t="shared" si="12"/>
        <v>0</v>
      </c>
      <c r="U407" s="10" t="str">
        <f>IF($S407=0, "", IF(COUNTIF(Table1[Amino Acid Change], $S407)=0, "Missing", "Y"))</f>
        <v/>
      </c>
      <c r="V407" s="10">
        <f t="shared" si="13"/>
        <v>0</v>
      </c>
    </row>
    <row r="408" spans="9:22" x14ac:dyDescent="0.25">
      <c r="I408" s="2">
        <f>'Raw Data Hotspot'!A110</f>
        <v>0</v>
      </c>
      <c r="J408" s="2">
        <f>'Raw Data Hotspot'!B110</f>
        <v>0</v>
      </c>
      <c r="K408" s="2">
        <f>'Raw Data Hotspot'!C110</f>
        <v>0</v>
      </c>
      <c r="L408" s="2">
        <f>'Raw Data Hotspot'!D110</f>
        <v>0</v>
      </c>
      <c r="M408" s="2">
        <f>'Raw Data Hotspot'!E110</f>
        <v>0</v>
      </c>
      <c r="N408" s="2">
        <f>'Raw Data Hotspot'!G110</f>
        <v>0</v>
      </c>
      <c r="O408" s="2">
        <f>'Raw Data Hotspot'!H110</f>
        <v>0</v>
      </c>
      <c r="P408" s="2">
        <f>'Raw Data Hotspot'!I110</f>
        <v>0</v>
      </c>
      <c r="Q408" s="2">
        <f>'Raw Data Hotspot'!J110</f>
        <v>0</v>
      </c>
      <c r="R408" s="2">
        <f>'Raw Data Hotspot'!K110</f>
        <v>0</v>
      </c>
      <c r="S408" s="2">
        <f>'Raw Data Hotspot'!N110</f>
        <v>0</v>
      </c>
      <c r="T408" s="2">
        <f t="shared" si="12"/>
        <v>0</v>
      </c>
      <c r="U408" s="10" t="str">
        <f>IF($S408=0, "", IF(COUNTIF(Table1[Amino Acid Change], $S408)=0, "Missing", "Y"))</f>
        <v/>
      </c>
      <c r="V408" s="10">
        <f t="shared" si="13"/>
        <v>0</v>
      </c>
    </row>
    <row r="409" spans="9:22" x14ac:dyDescent="0.25">
      <c r="I409" s="2">
        <f>'Raw Data Hotspot'!A111</f>
        <v>0</v>
      </c>
      <c r="J409" s="2">
        <f>'Raw Data Hotspot'!B111</f>
        <v>0</v>
      </c>
      <c r="K409" s="2">
        <f>'Raw Data Hotspot'!C111</f>
        <v>0</v>
      </c>
      <c r="L409" s="2">
        <f>'Raw Data Hotspot'!D111</f>
        <v>0</v>
      </c>
      <c r="M409" s="2">
        <f>'Raw Data Hotspot'!E111</f>
        <v>0</v>
      </c>
      <c r="N409" s="2">
        <f>'Raw Data Hotspot'!G111</f>
        <v>0</v>
      </c>
      <c r="O409" s="2">
        <f>'Raw Data Hotspot'!H111</f>
        <v>0</v>
      </c>
      <c r="P409" s="2">
        <f>'Raw Data Hotspot'!I111</f>
        <v>0</v>
      </c>
      <c r="Q409" s="2">
        <f>'Raw Data Hotspot'!J111</f>
        <v>0</v>
      </c>
      <c r="R409" s="2">
        <f>'Raw Data Hotspot'!K111</f>
        <v>0</v>
      </c>
      <c r="S409" s="2">
        <f>'Raw Data Hotspot'!N111</f>
        <v>0</v>
      </c>
      <c r="T409" s="2">
        <f t="shared" si="12"/>
        <v>0</v>
      </c>
      <c r="U409" s="10" t="str">
        <f>IF($S409=0, "", IF(COUNTIF(Table1[Amino Acid Change], $S409)=0, "Missing", "Y"))</f>
        <v/>
      </c>
      <c r="V409" s="10">
        <f t="shared" si="13"/>
        <v>0</v>
      </c>
    </row>
    <row r="410" spans="9:22" x14ac:dyDescent="0.25">
      <c r="I410" s="2">
        <f>'Raw Data Hotspot'!A112</f>
        <v>0</v>
      </c>
      <c r="J410" s="2">
        <f>'Raw Data Hotspot'!B112</f>
        <v>0</v>
      </c>
      <c r="K410" s="2">
        <f>'Raw Data Hotspot'!C112</f>
        <v>0</v>
      </c>
      <c r="L410" s="2">
        <f>'Raw Data Hotspot'!D112</f>
        <v>0</v>
      </c>
      <c r="M410" s="2">
        <f>'Raw Data Hotspot'!E112</f>
        <v>0</v>
      </c>
      <c r="N410" s="2">
        <f>'Raw Data Hotspot'!G112</f>
        <v>0</v>
      </c>
      <c r="O410" s="2">
        <f>'Raw Data Hotspot'!H112</f>
        <v>0</v>
      </c>
      <c r="P410" s="2">
        <f>'Raw Data Hotspot'!I112</f>
        <v>0</v>
      </c>
      <c r="Q410" s="2">
        <f>'Raw Data Hotspot'!J112</f>
        <v>0</v>
      </c>
      <c r="R410" s="2">
        <f>'Raw Data Hotspot'!K112</f>
        <v>0</v>
      </c>
      <c r="S410" s="2">
        <f>'Raw Data Hotspot'!N112</f>
        <v>0</v>
      </c>
      <c r="T410" s="2">
        <f t="shared" si="12"/>
        <v>0</v>
      </c>
      <c r="U410" s="10" t="str">
        <f>IF($S410=0, "", IF(COUNTIF(Table1[Amino Acid Change], $S410)=0, "Missing", "Y"))</f>
        <v/>
      </c>
      <c r="V410" s="10">
        <f t="shared" si="13"/>
        <v>0</v>
      </c>
    </row>
    <row r="411" spans="9:22" x14ac:dyDescent="0.25">
      <c r="I411" s="2">
        <f>'Raw Data Hotspot'!A113</f>
        <v>0</v>
      </c>
      <c r="J411" s="2">
        <f>'Raw Data Hotspot'!B113</f>
        <v>0</v>
      </c>
      <c r="K411" s="2">
        <f>'Raw Data Hotspot'!C113</f>
        <v>0</v>
      </c>
      <c r="L411" s="2">
        <f>'Raw Data Hotspot'!D113</f>
        <v>0</v>
      </c>
      <c r="M411" s="2">
        <f>'Raw Data Hotspot'!E113</f>
        <v>0</v>
      </c>
      <c r="N411" s="2">
        <f>'Raw Data Hotspot'!G113</f>
        <v>0</v>
      </c>
      <c r="O411" s="2">
        <f>'Raw Data Hotspot'!H113</f>
        <v>0</v>
      </c>
      <c r="P411" s="2">
        <f>'Raw Data Hotspot'!I113</f>
        <v>0</v>
      </c>
      <c r="Q411" s="2">
        <f>'Raw Data Hotspot'!J113</f>
        <v>0</v>
      </c>
      <c r="R411" s="2">
        <f>'Raw Data Hotspot'!K113</f>
        <v>0</v>
      </c>
      <c r="S411" s="2">
        <f>'Raw Data Hotspot'!N113</f>
        <v>0</v>
      </c>
      <c r="T411" s="2">
        <f t="shared" si="12"/>
        <v>0</v>
      </c>
      <c r="U411" s="10" t="str">
        <f>IF($S411=0, "", IF(COUNTIF(Table1[Amino Acid Change], $S411)=0, "Missing", "Y"))</f>
        <v/>
      </c>
      <c r="V411" s="10">
        <f t="shared" si="13"/>
        <v>0</v>
      </c>
    </row>
    <row r="412" spans="9:22" x14ac:dyDescent="0.25">
      <c r="I412" s="2">
        <f>'Raw Data Hotspot'!A114</f>
        <v>0</v>
      </c>
      <c r="J412" s="2">
        <f>'Raw Data Hotspot'!B114</f>
        <v>0</v>
      </c>
      <c r="K412" s="2">
        <f>'Raw Data Hotspot'!C114</f>
        <v>0</v>
      </c>
      <c r="L412" s="2">
        <f>'Raw Data Hotspot'!D114</f>
        <v>0</v>
      </c>
      <c r="M412" s="2">
        <f>'Raw Data Hotspot'!E114</f>
        <v>0</v>
      </c>
      <c r="N412" s="2">
        <f>'Raw Data Hotspot'!G114</f>
        <v>0</v>
      </c>
      <c r="O412" s="2">
        <f>'Raw Data Hotspot'!H114</f>
        <v>0</v>
      </c>
      <c r="P412" s="2">
        <f>'Raw Data Hotspot'!I114</f>
        <v>0</v>
      </c>
      <c r="Q412" s="2">
        <f>'Raw Data Hotspot'!J114</f>
        <v>0</v>
      </c>
      <c r="R412" s="2">
        <f>'Raw Data Hotspot'!K114</f>
        <v>0</v>
      </c>
      <c r="S412" s="2">
        <f>'Raw Data Hotspot'!N114</f>
        <v>0</v>
      </c>
      <c r="T412" s="2">
        <f t="shared" si="12"/>
        <v>0</v>
      </c>
      <c r="U412" s="10" t="str">
        <f>IF($S412=0, "", IF(COUNTIF(Table1[Amino Acid Change], $S412)=0, "Missing", "Y"))</f>
        <v/>
      </c>
      <c r="V412" s="10">
        <f t="shared" si="13"/>
        <v>0</v>
      </c>
    </row>
    <row r="413" spans="9:22" x14ac:dyDescent="0.25">
      <c r="I413" s="2">
        <f>'Raw Data Hotspot'!A115</f>
        <v>0</v>
      </c>
      <c r="J413" s="2">
        <f>'Raw Data Hotspot'!B115</f>
        <v>0</v>
      </c>
      <c r="K413" s="2">
        <f>'Raw Data Hotspot'!C115</f>
        <v>0</v>
      </c>
      <c r="L413" s="2">
        <f>'Raw Data Hotspot'!D115</f>
        <v>0</v>
      </c>
      <c r="M413" s="2">
        <f>'Raw Data Hotspot'!E115</f>
        <v>0</v>
      </c>
      <c r="N413" s="2">
        <f>'Raw Data Hotspot'!G115</f>
        <v>0</v>
      </c>
      <c r="O413" s="2">
        <f>'Raw Data Hotspot'!H115</f>
        <v>0</v>
      </c>
      <c r="P413" s="2">
        <f>'Raw Data Hotspot'!I115</f>
        <v>0</v>
      </c>
      <c r="Q413" s="2">
        <f>'Raw Data Hotspot'!J115</f>
        <v>0</v>
      </c>
      <c r="R413" s="2">
        <f>'Raw Data Hotspot'!K115</f>
        <v>0</v>
      </c>
      <c r="S413" s="2">
        <f>'Raw Data Hotspot'!N115</f>
        <v>0</v>
      </c>
      <c r="T413" s="2">
        <f t="shared" si="12"/>
        <v>0</v>
      </c>
      <c r="U413" s="10" t="str">
        <f>IF($S413=0, "", IF(COUNTIF(Table1[Amino Acid Change], $S413)=0, "Missing", "Y"))</f>
        <v/>
      </c>
      <c r="V413" s="10">
        <f t="shared" si="13"/>
        <v>0</v>
      </c>
    </row>
    <row r="414" spans="9:22" x14ac:dyDescent="0.25">
      <c r="I414" s="2">
        <f>'Raw Data Hotspot'!A116</f>
        <v>0</v>
      </c>
      <c r="J414" s="2">
        <f>'Raw Data Hotspot'!B116</f>
        <v>0</v>
      </c>
      <c r="K414" s="2">
        <f>'Raw Data Hotspot'!C116</f>
        <v>0</v>
      </c>
      <c r="L414" s="2">
        <f>'Raw Data Hotspot'!D116</f>
        <v>0</v>
      </c>
      <c r="M414" s="2">
        <f>'Raw Data Hotspot'!E116</f>
        <v>0</v>
      </c>
      <c r="N414" s="2">
        <f>'Raw Data Hotspot'!G116</f>
        <v>0</v>
      </c>
      <c r="O414" s="2">
        <f>'Raw Data Hotspot'!H116</f>
        <v>0</v>
      </c>
      <c r="P414" s="2">
        <f>'Raw Data Hotspot'!I116</f>
        <v>0</v>
      </c>
      <c r="Q414" s="2">
        <f>'Raw Data Hotspot'!J116</f>
        <v>0</v>
      </c>
      <c r="R414" s="2">
        <f>'Raw Data Hotspot'!K116</f>
        <v>0</v>
      </c>
      <c r="S414" s="2">
        <f>'Raw Data Hotspot'!N116</f>
        <v>0</v>
      </c>
      <c r="T414" s="2">
        <f t="shared" si="12"/>
        <v>0</v>
      </c>
      <c r="U414" s="10" t="str">
        <f>IF($S414=0, "", IF(COUNTIF(Table1[Amino Acid Change], $S414)=0, "Missing", "Y"))</f>
        <v/>
      </c>
      <c r="V414" s="10">
        <f t="shared" si="13"/>
        <v>0</v>
      </c>
    </row>
    <row r="415" spans="9:22" x14ac:dyDescent="0.25">
      <c r="I415" s="2">
        <f>'Raw Data Hotspot'!A117</f>
        <v>0</v>
      </c>
      <c r="J415" s="2">
        <f>'Raw Data Hotspot'!B117</f>
        <v>0</v>
      </c>
      <c r="K415" s="2">
        <f>'Raw Data Hotspot'!C117</f>
        <v>0</v>
      </c>
      <c r="L415" s="2">
        <f>'Raw Data Hotspot'!D117</f>
        <v>0</v>
      </c>
      <c r="M415" s="2">
        <f>'Raw Data Hotspot'!E117</f>
        <v>0</v>
      </c>
      <c r="N415" s="2">
        <f>'Raw Data Hotspot'!G117</f>
        <v>0</v>
      </c>
      <c r="O415" s="2">
        <f>'Raw Data Hotspot'!H117</f>
        <v>0</v>
      </c>
      <c r="P415" s="2">
        <f>'Raw Data Hotspot'!I117</f>
        <v>0</v>
      </c>
      <c r="Q415" s="2">
        <f>'Raw Data Hotspot'!J117</f>
        <v>0</v>
      </c>
      <c r="R415" s="2">
        <f>'Raw Data Hotspot'!K117</f>
        <v>0</v>
      </c>
      <c r="S415" s="2">
        <f>'Raw Data Hotspot'!N117</f>
        <v>0</v>
      </c>
      <c r="T415" s="2">
        <f t="shared" si="12"/>
        <v>0</v>
      </c>
      <c r="U415" s="10" t="str">
        <f>IF($S415=0, "", IF(COUNTIF(Table1[Amino Acid Change], $S415)=0, "Missing", "Y"))</f>
        <v/>
      </c>
      <c r="V415" s="10">
        <f t="shared" si="13"/>
        <v>0</v>
      </c>
    </row>
    <row r="416" spans="9:22" x14ac:dyDescent="0.25">
      <c r="I416" s="2">
        <f>'Raw Data Hotspot'!A118</f>
        <v>0</v>
      </c>
      <c r="J416" s="2">
        <f>'Raw Data Hotspot'!B118</f>
        <v>0</v>
      </c>
      <c r="K416" s="2">
        <f>'Raw Data Hotspot'!C118</f>
        <v>0</v>
      </c>
      <c r="L416" s="2">
        <f>'Raw Data Hotspot'!D118</f>
        <v>0</v>
      </c>
      <c r="M416" s="2">
        <f>'Raw Data Hotspot'!E118</f>
        <v>0</v>
      </c>
      <c r="N416" s="2">
        <f>'Raw Data Hotspot'!G118</f>
        <v>0</v>
      </c>
      <c r="O416" s="2">
        <f>'Raw Data Hotspot'!H118</f>
        <v>0</v>
      </c>
      <c r="P416" s="2">
        <f>'Raw Data Hotspot'!I118</f>
        <v>0</v>
      </c>
      <c r="Q416" s="2">
        <f>'Raw Data Hotspot'!J118</f>
        <v>0</v>
      </c>
      <c r="R416" s="2">
        <f>'Raw Data Hotspot'!K118</f>
        <v>0</v>
      </c>
      <c r="S416" s="2">
        <f>'Raw Data Hotspot'!N118</f>
        <v>0</v>
      </c>
      <c r="T416" s="2">
        <f t="shared" si="12"/>
        <v>0</v>
      </c>
      <c r="U416" s="10" t="str">
        <f>IF($S416=0, "", IF(COUNTIF(Table1[Amino Acid Change], $S416)=0, "Missing", "Y"))</f>
        <v/>
      </c>
      <c r="V416" s="10">
        <f t="shared" si="13"/>
        <v>0</v>
      </c>
    </row>
    <row r="417" spans="9:22" x14ac:dyDescent="0.25">
      <c r="I417" s="2">
        <f>'Raw Data Hotspot'!A119</f>
        <v>0</v>
      </c>
      <c r="J417" s="2">
        <f>'Raw Data Hotspot'!B119</f>
        <v>0</v>
      </c>
      <c r="K417" s="2">
        <f>'Raw Data Hotspot'!C119</f>
        <v>0</v>
      </c>
      <c r="L417" s="2">
        <f>'Raw Data Hotspot'!D119</f>
        <v>0</v>
      </c>
      <c r="M417" s="2">
        <f>'Raw Data Hotspot'!E119</f>
        <v>0</v>
      </c>
      <c r="N417" s="2">
        <f>'Raw Data Hotspot'!G119</f>
        <v>0</v>
      </c>
      <c r="O417" s="2">
        <f>'Raw Data Hotspot'!H119</f>
        <v>0</v>
      </c>
      <c r="P417" s="2">
        <f>'Raw Data Hotspot'!I119</f>
        <v>0</v>
      </c>
      <c r="Q417" s="2">
        <f>'Raw Data Hotspot'!J119</f>
        <v>0</v>
      </c>
      <c r="R417" s="2">
        <f>'Raw Data Hotspot'!K119</f>
        <v>0</v>
      </c>
      <c r="S417" s="2">
        <f>'Raw Data Hotspot'!N119</f>
        <v>0</v>
      </c>
      <c r="T417" s="2">
        <f t="shared" si="12"/>
        <v>0</v>
      </c>
      <c r="U417" s="10" t="str">
        <f>IF($S417=0, "", IF(COUNTIF(Table1[Amino Acid Change], $S417)=0, "Missing", "Y"))</f>
        <v/>
      </c>
      <c r="V417" s="10">
        <f t="shared" si="13"/>
        <v>0</v>
      </c>
    </row>
    <row r="418" spans="9:22" x14ac:dyDescent="0.25">
      <c r="I418" s="2">
        <f>'Raw Data Hotspot'!A120</f>
        <v>0</v>
      </c>
      <c r="J418" s="2">
        <f>'Raw Data Hotspot'!B120</f>
        <v>0</v>
      </c>
      <c r="K418" s="2">
        <f>'Raw Data Hotspot'!C120</f>
        <v>0</v>
      </c>
      <c r="L418" s="2">
        <f>'Raw Data Hotspot'!D120</f>
        <v>0</v>
      </c>
      <c r="M418" s="2">
        <f>'Raw Data Hotspot'!E120</f>
        <v>0</v>
      </c>
      <c r="N418" s="2">
        <f>'Raw Data Hotspot'!G120</f>
        <v>0</v>
      </c>
      <c r="O418" s="2">
        <f>'Raw Data Hotspot'!H120</f>
        <v>0</v>
      </c>
      <c r="P418" s="2">
        <f>'Raw Data Hotspot'!I120</f>
        <v>0</v>
      </c>
      <c r="Q418" s="2">
        <f>'Raw Data Hotspot'!J120</f>
        <v>0</v>
      </c>
      <c r="R418" s="2">
        <f>'Raw Data Hotspot'!K120</f>
        <v>0</v>
      </c>
      <c r="S418" s="2">
        <f>'Raw Data Hotspot'!N120</f>
        <v>0</v>
      </c>
      <c r="T418" s="2">
        <f t="shared" si="12"/>
        <v>0</v>
      </c>
      <c r="U418" s="10" t="str">
        <f>IF($S418=0, "", IF(COUNTIF(Table1[Amino Acid Change], $S418)=0, "Missing", "Y"))</f>
        <v/>
      </c>
      <c r="V418" s="10">
        <f t="shared" si="13"/>
        <v>0</v>
      </c>
    </row>
    <row r="419" spans="9:22" x14ac:dyDescent="0.25">
      <c r="I419" s="2">
        <f>'Raw Data Hotspot'!A121</f>
        <v>0</v>
      </c>
      <c r="J419" s="2">
        <f>'Raw Data Hotspot'!B121</f>
        <v>0</v>
      </c>
      <c r="K419" s="2">
        <f>'Raw Data Hotspot'!C121</f>
        <v>0</v>
      </c>
      <c r="L419" s="2">
        <f>'Raw Data Hotspot'!D121</f>
        <v>0</v>
      </c>
      <c r="M419" s="2">
        <f>'Raw Data Hotspot'!E121</f>
        <v>0</v>
      </c>
      <c r="N419" s="2">
        <f>'Raw Data Hotspot'!G121</f>
        <v>0</v>
      </c>
      <c r="O419" s="2">
        <f>'Raw Data Hotspot'!H121</f>
        <v>0</v>
      </c>
      <c r="P419" s="2">
        <f>'Raw Data Hotspot'!I121</f>
        <v>0</v>
      </c>
      <c r="Q419" s="2">
        <f>'Raw Data Hotspot'!J121</f>
        <v>0</v>
      </c>
      <c r="R419" s="2">
        <f>'Raw Data Hotspot'!K121</f>
        <v>0</v>
      </c>
      <c r="S419" s="2">
        <f>'Raw Data Hotspot'!N121</f>
        <v>0</v>
      </c>
      <c r="T419" s="2">
        <f t="shared" si="12"/>
        <v>0</v>
      </c>
      <c r="U419" s="10" t="str">
        <f>IF($S419=0, "", IF(COUNTIF(Table1[Amino Acid Change], $S419)=0, "Missing", "Y"))</f>
        <v/>
      </c>
      <c r="V419" s="10">
        <f t="shared" si="13"/>
        <v>0</v>
      </c>
    </row>
    <row r="420" spans="9:22" x14ac:dyDescent="0.25">
      <c r="I420" s="2">
        <f>'Raw Data Hotspot'!A122</f>
        <v>0</v>
      </c>
      <c r="J420" s="2">
        <f>'Raw Data Hotspot'!B122</f>
        <v>0</v>
      </c>
      <c r="K420" s="2">
        <f>'Raw Data Hotspot'!C122</f>
        <v>0</v>
      </c>
      <c r="L420" s="2">
        <f>'Raw Data Hotspot'!D122</f>
        <v>0</v>
      </c>
      <c r="M420" s="2">
        <f>'Raw Data Hotspot'!E122</f>
        <v>0</v>
      </c>
      <c r="N420" s="2">
        <f>'Raw Data Hotspot'!G122</f>
        <v>0</v>
      </c>
      <c r="O420" s="2">
        <f>'Raw Data Hotspot'!H122</f>
        <v>0</v>
      </c>
      <c r="P420" s="2">
        <f>'Raw Data Hotspot'!I122</f>
        <v>0</v>
      </c>
      <c r="Q420" s="2">
        <f>'Raw Data Hotspot'!J122</f>
        <v>0</v>
      </c>
      <c r="R420" s="2">
        <f>'Raw Data Hotspot'!K122</f>
        <v>0</v>
      </c>
      <c r="S420" s="2">
        <f>'Raw Data Hotspot'!N122</f>
        <v>0</v>
      </c>
      <c r="T420" s="2">
        <f t="shared" si="12"/>
        <v>0</v>
      </c>
      <c r="U420" s="10" t="str">
        <f>IF($S420=0, "", IF(COUNTIF(Table1[Amino Acid Change], $S420)=0, "Missing", "Y"))</f>
        <v/>
      </c>
      <c r="V420" s="10">
        <f t="shared" si="13"/>
        <v>0</v>
      </c>
    </row>
    <row r="421" spans="9:22" x14ac:dyDescent="0.25">
      <c r="I421" s="2">
        <f>'Raw Data Hotspot'!A123</f>
        <v>0</v>
      </c>
      <c r="J421" s="2">
        <f>'Raw Data Hotspot'!B123</f>
        <v>0</v>
      </c>
      <c r="K421" s="2">
        <f>'Raw Data Hotspot'!C123</f>
        <v>0</v>
      </c>
      <c r="L421" s="2">
        <f>'Raw Data Hotspot'!D123</f>
        <v>0</v>
      </c>
      <c r="M421" s="2">
        <f>'Raw Data Hotspot'!E123</f>
        <v>0</v>
      </c>
      <c r="N421" s="2">
        <f>'Raw Data Hotspot'!G123</f>
        <v>0</v>
      </c>
      <c r="O421" s="2">
        <f>'Raw Data Hotspot'!H123</f>
        <v>0</v>
      </c>
      <c r="P421" s="2">
        <f>'Raw Data Hotspot'!I123</f>
        <v>0</v>
      </c>
      <c r="Q421" s="2">
        <f>'Raw Data Hotspot'!J123</f>
        <v>0</v>
      </c>
      <c r="R421" s="2">
        <f>'Raw Data Hotspot'!K123</f>
        <v>0</v>
      </c>
      <c r="S421" s="2">
        <f>'Raw Data Hotspot'!N123</f>
        <v>0</v>
      </c>
      <c r="T421" s="2">
        <f t="shared" si="12"/>
        <v>0</v>
      </c>
      <c r="U421" s="10" t="str">
        <f>IF($S421=0, "", IF(COUNTIF(Table1[Amino Acid Change], $S421)=0, "Missing", "Y"))</f>
        <v/>
      </c>
      <c r="V421" s="10">
        <f t="shared" si="13"/>
        <v>0</v>
      </c>
    </row>
    <row r="422" spans="9:22" x14ac:dyDescent="0.25">
      <c r="I422" s="2">
        <f>'Raw Data Hotspot'!A124</f>
        <v>0</v>
      </c>
      <c r="J422" s="2">
        <f>'Raw Data Hotspot'!B124</f>
        <v>0</v>
      </c>
      <c r="K422" s="2">
        <f>'Raw Data Hotspot'!C124</f>
        <v>0</v>
      </c>
      <c r="L422" s="2">
        <f>'Raw Data Hotspot'!D124</f>
        <v>0</v>
      </c>
      <c r="M422" s="2">
        <f>'Raw Data Hotspot'!E124</f>
        <v>0</v>
      </c>
      <c r="N422" s="2">
        <f>'Raw Data Hotspot'!G124</f>
        <v>0</v>
      </c>
      <c r="O422" s="2">
        <f>'Raw Data Hotspot'!H124</f>
        <v>0</v>
      </c>
      <c r="P422" s="2">
        <f>'Raw Data Hotspot'!I124</f>
        <v>0</v>
      </c>
      <c r="Q422" s="2">
        <f>'Raw Data Hotspot'!J124</f>
        <v>0</v>
      </c>
      <c r="R422" s="2">
        <f>'Raw Data Hotspot'!K124</f>
        <v>0</v>
      </c>
      <c r="S422" s="2">
        <f>'Raw Data Hotspot'!N124</f>
        <v>0</v>
      </c>
      <c r="T422" s="2">
        <f t="shared" si="12"/>
        <v>0</v>
      </c>
      <c r="U422" s="10" t="str">
        <f>IF($S422=0, "", IF(COUNTIF(Table1[Amino Acid Change], $S422)=0, "Missing", "Y"))</f>
        <v/>
      </c>
      <c r="V422" s="10">
        <f t="shared" si="13"/>
        <v>0</v>
      </c>
    </row>
    <row r="423" spans="9:22" x14ac:dyDescent="0.25">
      <c r="I423" s="2">
        <f>'Raw Data Hotspot'!A125</f>
        <v>0</v>
      </c>
      <c r="J423" s="2">
        <f>'Raw Data Hotspot'!B125</f>
        <v>0</v>
      </c>
      <c r="K423" s="2">
        <f>'Raw Data Hotspot'!C125</f>
        <v>0</v>
      </c>
      <c r="L423" s="2">
        <f>'Raw Data Hotspot'!D125</f>
        <v>0</v>
      </c>
      <c r="M423" s="2">
        <f>'Raw Data Hotspot'!E125</f>
        <v>0</v>
      </c>
      <c r="N423" s="2">
        <f>'Raw Data Hotspot'!G125</f>
        <v>0</v>
      </c>
      <c r="O423" s="2">
        <f>'Raw Data Hotspot'!H125</f>
        <v>0</v>
      </c>
      <c r="P423" s="2">
        <f>'Raw Data Hotspot'!I125</f>
        <v>0</v>
      </c>
      <c r="Q423" s="2">
        <f>'Raw Data Hotspot'!J125</f>
        <v>0</v>
      </c>
      <c r="R423" s="2">
        <f>'Raw Data Hotspot'!K125</f>
        <v>0</v>
      </c>
      <c r="S423" s="2">
        <f>'Raw Data Hotspot'!N125</f>
        <v>0</v>
      </c>
      <c r="T423" s="2">
        <f t="shared" si="12"/>
        <v>0</v>
      </c>
      <c r="U423" s="10" t="str">
        <f>IF($S423=0, "", IF(COUNTIF(Table1[Amino Acid Change], $S423)=0, "Missing", "Y"))</f>
        <v/>
      </c>
      <c r="V423" s="10">
        <f t="shared" si="13"/>
        <v>0</v>
      </c>
    </row>
    <row r="424" spans="9:22" x14ac:dyDescent="0.25">
      <c r="I424" s="2">
        <f>'Raw Data Hotspot'!A126</f>
        <v>0</v>
      </c>
      <c r="J424" s="2">
        <f>'Raw Data Hotspot'!B126</f>
        <v>0</v>
      </c>
      <c r="K424" s="2">
        <f>'Raw Data Hotspot'!C126</f>
        <v>0</v>
      </c>
      <c r="L424" s="2">
        <f>'Raw Data Hotspot'!D126</f>
        <v>0</v>
      </c>
      <c r="M424" s="2">
        <f>'Raw Data Hotspot'!E126</f>
        <v>0</v>
      </c>
      <c r="N424" s="2">
        <f>'Raw Data Hotspot'!G126</f>
        <v>0</v>
      </c>
      <c r="O424" s="2">
        <f>'Raw Data Hotspot'!H126</f>
        <v>0</v>
      </c>
      <c r="P424" s="2">
        <f>'Raw Data Hotspot'!I126</f>
        <v>0</v>
      </c>
      <c r="Q424" s="2">
        <f>'Raw Data Hotspot'!J126</f>
        <v>0</v>
      </c>
      <c r="R424" s="2">
        <f>'Raw Data Hotspot'!K126</f>
        <v>0</v>
      </c>
      <c r="S424" s="2">
        <f>'Raw Data Hotspot'!N126</f>
        <v>0</v>
      </c>
      <c r="T424" s="2">
        <f t="shared" si="12"/>
        <v>0</v>
      </c>
      <c r="U424" s="10" t="str">
        <f>IF($S424=0, "", IF(COUNTIF(Table1[Amino Acid Change], $S424)=0, "Missing", "Y"))</f>
        <v/>
      </c>
      <c r="V424" s="10">
        <f t="shared" si="13"/>
        <v>0</v>
      </c>
    </row>
    <row r="425" spans="9:22" x14ac:dyDescent="0.25">
      <c r="I425" s="2">
        <f>'Raw Data Hotspot'!A127</f>
        <v>0</v>
      </c>
      <c r="J425" s="2">
        <f>'Raw Data Hotspot'!B127</f>
        <v>0</v>
      </c>
      <c r="K425" s="2">
        <f>'Raw Data Hotspot'!C127</f>
        <v>0</v>
      </c>
      <c r="L425" s="2">
        <f>'Raw Data Hotspot'!D127</f>
        <v>0</v>
      </c>
      <c r="M425" s="2">
        <f>'Raw Data Hotspot'!E127</f>
        <v>0</v>
      </c>
      <c r="N425" s="2">
        <f>'Raw Data Hotspot'!G127</f>
        <v>0</v>
      </c>
      <c r="O425" s="2">
        <f>'Raw Data Hotspot'!H127</f>
        <v>0</v>
      </c>
      <c r="P425" s="2">
        <f>'Raw Data Hotspot'!I127</f>
        <v>0</v>
      </c>
      <c r="Q425" s="2">
        <f>'Raw Data Hotspot'!J127</f>
        <v>0</v>
      </c>
      <c r="R425" s="2">
        <f>'Raw Data Hotspot'!K127</f>
        <v>0</v>
      </c>
      <c r="S425" s="2">
        <f>'Raw Data Hotspot'!N127</f>
        <v>0</v>
      </c>
      <c r="T425" s="2">
        <f t="shared" si="12"/>
        <v>0</v>
      </c>
      <c r="U425" s="10" t="str">
        <f>IF($S425=0, "", IF(COUNTIF(Table1[Amino Acid Change], $S425)=0, "Missing", "Y"))</f>
        <v/>
      </c>
      <c r="V425" s="10">
        <f t="shared" si="13"/>
        <v>0</v>
      </c>
    </row>
    <row r="426" spans="9:22" x14ac:dyDescent="0.25">
      <c r="I426" s="2">
        <f>'Raw Data Hotspot'!A128</f>
        <v>0</v>
      </c>
      <c r="J426" s="2">
        <f>'Raw Data Hotspot'!B128</f>
        <v>0</v>
      </c>
      <c r="K426" s="2">
        <f>'Raw Data Hotspot'!C128</f>
        <v>0</v>
      </c>
      <c r="L426" s="2">
        <f>'Raw Data Hotspot'!D128</f>
        <v>0</v>
      </c>
      <c r="M426" s="2">
        <f>'Raw Data Hotspot'!E128</f>
        <v>0</v>
      </c>
      <c r="N426" s="2">
        <f>'Raw Data Hotspot'!G128</f>
        <v>0</v>
      </c>
      <c r="O426" s="2">
        <f>'Raw Data Hotspot'!H128</f>
        <v>0</v>
      </c>
      <c r="P426" s="2">
        <f>'Raw Data Hotspot'!I128</f>
        <v>0</v>
      </c>
      <c r="Q426" s="2">
        <f>'Raw Data Hotspot'!J128</f>
        <v>0</v>
      </c>
      <c r="R426" s="2">
        <f>'Raw Data Hotspot'!K128</f>
        <v>0</v>
      </c>
      <c r="S426" s="2">
        <f>'Raw Data Hotspot'!N128</f>
        <v>0</v>
      </c>
      <c r="T426" s="2">
        <f t="shared" si="12"/>
        <v>0</v>
      </c>
      <c r="U426" s="10" t="str">
        <f>IF($S426=0, "", IF(COUNTIF(Table1[Amino Acid Change], $S426)=0, "Missing", "Y"))</f>
        <v/>
      </c>
      <c r="V426" s="10">
        <f t="shared" si="13"/>
        <v>0</v>
      </c>
    </row>
    <row r="427" spans="9:22" x14ac:dyDescent="0.25">
      <c r="I427" s="2">
        <f>'Raw Data Hotspot'!A129</f>
        <v>0</v>
      </c>
      <c r="J427" s="2">
        <f>'Raw Data Hotspot'!B129</f>
        <v>0</v>
      </c>
      <c r="K427" s="2">
        <f>'Raw Data Hotspot'!C129</f>
        <v>0</v>
      </c>
      <c r="L427" s="2">
        <f>'Raw Data Hotspot'!D129</f>
        <v>0</v>
      </c>
      <c r="M427" s="2">
        <f>'Raw Data Hotspot'!E129</f>
        <v>0</v>
      </c>
      <c r="N427" s="2">
        <f>'Raw Data Hotspot'!G129</f>
        <v>0</v>
      </c>
      <c r="O427" s="2">
        <f>'Raw Data Hotspot'!H129</f>
        <v>0</v>
      </c>
      <c r="P427" s="2">
        <f>'Raw Data Hotspot'!I129</f>
        <v>0</v>
      </c>
      <c r="Q427" s="2">
        <f>'Raw Data Hotspot'!J129</f>
        <v>0</v>
      </c>
      <c r="R427" s="2">
        <f>'Raw Data Hotspot'!K129</f>
        <v>0</v>
      </c>
      <c r="S427" s="2">
        <f>'Raw Data Hotspot'!N129</f>
        <v>0</v>
      </c>
      <c r="T427" s="2">
        <f t="shared" si="12"/>
        <v>0</v>
      </c>
      <c r="U427" s="10" t="str">
        <f>IF($S427=0, "", IF(COUNTIF(Table1[Amino Acid Change], $S427)=0, "Missing", "Y"))</f>
        <v/>
      </c>
      <c r="V427" s="10">
        <f t="shared" si="13"/>
        <v>0</v>
      </c>
    </row>
    <row r="428" spans="9:22" x14ac:dyDescent="0.25">
      <c r="I428" s="2">
        <f>'Raw Data Hotspot'!A130</f>
        <v>0</v>
      </c>
      <c r="J428" s="2">
        <f>'Raw Data Hotspot'!B130</f>
        <v>0</v>
      </c>
      <c r="K428" s="2">
        <f>'Raw Data Hotspot'!C130</f>
        <v>0</v>
      </c>
      <c r="L428" s="2">
        <f>'Raw Data Hotspot'!D130</f>
        <v>0</v>
      </c>
      <c r="M428" s="2">
        <f>'Raw Data Hotspot'!E130</f>
        <v>0</v>
      </c>
      <c r="N428" s="2">
        <f>'Raw Data Hotspot'!G130</f>
        <v>0</v>
      </c>
      <c r="O428" s="2">
        <f>'Raw Data Hotspot'!H130</f>
        <v>0</v>
      </c>
      <c r="P428" s="2">
        <f>'Raw Data Hotspot'!I130</f>
        <v>0</v>
      </c>
      <c r="Q428" s="2">
        <f>'Raw Data Hotspot'!J130</f>
        <v>0</v>
      </c>
      <c r="R428" s="2">
        <f>'Raw Data Hotspot'!K130</f>
        <v>0</v>
      </c>
      <c r="S428" s="2">
        <f>'Raw Data Hotspot'!N130</f>
        <v>0</v>
      </c>
      <c r="T428" s="2">
        <f t="shared" si="12"/>
        <v>0</v>
      </c>
      <c r="U428" s="10" t="str">
        <f>IF($S428=0, "", IF(COUNTIF(Table1[Amino Acid Change], $S428)=0, "Missing", "Y"))</f>
        <v/>
      </c>
      <c r="V428" s="10">
        <f t="shared" si="13"/>
        <v>0</v>
      </c>
    </row>
    <row r="429" spans="9:22" x14ac:dyDescent="0.25">
      <c r="I429" s="2">
        <f>'Raw Data Hotspot'!A131</f>
        <v>0</v>
      </c>
      <c r="J429" s="2">
        <f>'Raw Data Hotspot'!B131</f>
        <v>0</v>
      </c>
      <c r="K429" s="2">
        <f>'Raw Data Hotspot'!C131</f>
        <v>0</v>
      </c>
      <c r="L429" s="2">
        <f>'Raw Data Hotspot'!D131</f>
        <v>0</v>
      </c>
      <c r="M429" s="2">
        <f>'Raw Data Hotspot'!E131</f>
        <v>0</v>
      </c>
      <c r="N429" s="2">
        <f>'Raw Data Hotspot'!G131</f>
        <v>0</v>
      </c>
      <c r="O429" s="2">
        <f>'Raw Data Hotspot'!H131</f>
        <v>0</v>
      </c>
      <c r="P429" s="2">
        <f>'Raw Data Hotspot'!I131</f>
        <v>0</v>
      </c>
      <c r="Q429" s="2">
        <f>'Raw Data Hotspot'!J131</f>
        <v>0</v>
      </c>
      <c r="R429" s="2">
        <f>'Raw Data Hotspot'!K131</f>
        <v>0</v>
      </c>
      <c r="S429" s="2">
        <f>'Raw Data Hotspot'!N131</f>
        <v>0</v>
      </c>
      <c r="T429" s="2">
        <f t="shared" ref="T429:T492" si="14">P429</f>
        <v>0</v>
      </c>
      <c r="U429" s="10" t="str">
        <f>IF($S429=0, "", IF(COUNTIF(Table1[Amino Acid Change], $S429)=0, "Missing", "Y"))</f>
        <v/>
      </c>
      <c r="V429" s="10">
        <f t="shared" ref="V429:V492" si="15">J429</f>
        <v>0</v>
      </c>
    </row>
    <row r="430" spans="9:22" x14ac:dyDescent="0.25">
      <c r="I430" s="2">
        <f>'Raw Data Hotspot'!A132</f>
        <v>0</v>
      </c>
      <c r="J430" s="2">
        <f>'Raw Data Hotspot'!B132</f>
        <v>0</v>
      </c>
      <c r="K430" s="2">
        <f>'Raw Data Hotspot'!C132</f>
        <v>0</v>
      </c>
      <c r="L430" s="2">
        <f>'Raw Data Hotspot'!D132</f>
        <v>0</v>
      </c>
      <c r="M430" s="2">
        <f>'Raw Data Hotspot'!E132</f>
        <v>0</v>
      </c>
      <c r="N430" s="2">
        <f>'Raw Data Hotspot'!G132</f>
        <v>0</v>
      </c>
      <c r="O430" s="2">
        <f>'Raw Data Hotspot'!H132</f>
        <v>0</v>
      </c>
      <c r="P430" s="2">
        <f>'Raw Data Hotspot'!I132</f>
        <v>0</v>
      </c>
      <c r="Q430" s="2">
        <f>'Raw Data Hotspot'!J132</f>
        <v>0</v>
      </c>
      <c r="R430" s="2">
        <f>'Raw Data Hotspot'!K132</f>
        <v>0</v>
      </c>
      <c r="S430" s="2">
        <f>'Raw Data Hotspot'!N132</f>
        <v>0</v>
      </c>
      <c r="T430" s="2">
        <f t="shared" si="14"/>
        <v>0</v>
      </c>
      <c r="U430" s="10" t="str">
        <f>IF($S430=0, "", IF(COUNTIF(Table1[Amino Acid Change], $S430)=0, "Missing", "Y"))</f>
        <v/>
      </c>
      <c r="V430" s="10">
        <f t="shared" si="15"/>
        <v>0</v>
      </c>
    </row>
    <row r="431" spans="9:22" x14ac:dyDescent="0.25">
      <c r="I431" s="2">
        <f>'Raw Data Hotspot'!A133</f>
        <v>0</v>
      </c>
      <c r="J431" s="2">
        <f>'Raw Data Hotspot'!B133</f>
        <v>0</v>
      </c>
      <c r="K431" s="2">
        <f>'Raw Data Hotspot'!C133</f>
        <v>0</v>
      </c>
      <c r="L431" s="2">
        <f>'Raw Data Hotspot'!D133</f>
        <v>0</v>
      </c>
      <c r="M431" s="2">
        <f>'Raw Data Hotspot'!E133</f>
        <v>0</v>
      </c>
      <c r="N431" s="2">
        <f>'Raw Data Hotspot'!G133</f>
        <v>0</v>
      </c>
      <c r="O431" s="2">
        <f>'Raw Data Hotspot'!H133</f>
        <v>0</v>
      </c>
      <c r="P431" s="2">
        <f>'Raw Data Hotspot'!I133</f>
        <v>0</v>
      </c>
      <c r="Q431" s="2">
        <f>'Raw Data Hotspot'!J133</f>
        <v>0</v>
      </c>
      <c r="R431" s="2">
        <f>'Raw Data Hotspot'!K133</f>
        <v>0</v>
      </c>
      <c r="S431" s="2">
        <f>'Raw Data Hotspot'!N133</f>
        <v>0</v>
      </c>
      <c r="T431" s="2">
        <f t="shared" si="14"/>
        <v>0</v>
      </c>
      <c r="U431" s="10" t="str">
        <f>IF($S431=0, "", IF(COUNTIF(Table1[Amino Acid Change], $S431)=0, "Missing", "Y"))</f>
        <v/>
      </c>
      <c r="V431" s="10">
        <f t="shared" si="15"/>
        <v>0</v>
      </c>
    </row>
    <row r="432" spans="9:22" x14ac:dyDescent="0.25">
      <c r="I432" s="2">
        <f>'Raw Data Hotspot'!A134</f>
        <v>0</v>
      </c>
      <c r="J432" s="2">
        <f>'Raw Data Hotspot'!B134</f>
        <v>0</v>
      </c>
      <c r="K432" s="2">
        <f>'Raw Data Hotspot'!C134</f>
        <v>0</v>
      </c>
      <c r="L432" s="2">
        <f>'Raw Data Hotspot'!D134</f>
        <v>0</v>
      </c>
      <c r="M432" s="2">
        <f>'Raw Data Hotspot'!E134</f>
        <v>0</v>
      </c>
      <c r="N432" s="2">
        <f>'Raw Data Hotspot'!G134</f>
        <v>0</v>
      </c>
      <c r="O432" s="2">
        <f>'Raw Data Hotspot'!H134</f>
        <v>0</v>
      </c>
      <c r="P432" s="2">
        <f>'Raw Data Hotspot'!I134</f>
        <v>0</v>
      </c>
      <c r="Q432" s="2">
        <f>'Raw Data Hotspot'!J134</f>
        <v>0</v>
      </c>
      <c r="R432" s="2">
        <f>'Raw Data Hotspot'!K134</f>
        <v>0</v>
      </c>
      <c r="S432" s="2">
        <f>'Raw Data Hotspot'!N134</f>
        <v>0</v>
      </c>
      <c r="T432" s="2">
        <f t="shared" si="14"/>
        <v>0</v>
      </c>
      <c r="U432" s="10" t="str">
        <f>IF($S432=0, "", IF(COUNTIF(Table1[Amino Acid Change], $S432)=0, "Missing", "Y"))</f>
        <v/>
      </c>
      <c r="V432" s="10">
        <f t="shared" si="15"/>
        <v>0</v>
      </c>
    </row>
    <row r="433" spans="9:22" x14ac:dyDescent="0.25">
      <c r="I433" s="2">
        <f>'Raw Data Hotspot'!A135</f>
        <v>0</v>
      </c>
      <c r="J433" s="2">
        <f>'Raw Data Hotspot'!B135</f>
        <v>0</v>
      </c>
      <c r="K433" s="2">
        <f>'Raw Data Hotspot'!C135</f>
        <v>0</v>
      </c>
      <c r="L433" s="2">
        <f>'Raw Data Hotspot'!D135</f>
        <v>0</v>
      </c>
      <c r="M433" s="2">
        <f>'Raw Data Hotspot'!E135</f>
        <v>0</v>
      </c>
      <c r="N433" s="2">
        <f>'Raw Data Hotspot'!G135</f>
        <v>0</v>
      </c>
      <c r="O433" s="2">
        <f>'Raw Data Hotspot'!H135</f>
        <v>0</v>
      </c>
      <c r="P433" s="2">
        <f>'Raw Data Hotspot'!I135</f>
        <v>0</v>
      </c>
      <c r="Q433" s="2">
        <f>'Raw Data Hotspot'!J135</f>
        <v>0</v>
      </c>
      <c r="R433" s="2">
        <f>'Raw Data Hotspot'!K135</f>
        <v>0</v>
      </c>
      <c r="S433" s="2">
        <f>'Raw Data Hotspot'!N135</f>
        <v>0</v>
      </c>
      <c r="T433" s="2">
        <f t="shared" si="14"/>
        <v>0</v>
      </c>
      <c r="U433" s="10" t="str">
        <f>IF($S433=0, "", IF(COUNTIF(Table1[Amino Acid Change], $S433)=0, "Missing", "Y"))</f>
        <v/>
      </c>
      <c r="V433" s="10">
        <f t="shared" si="15"/>
        <v>0</v>
      </c>
    </row>
    <row r="434" spans="9:22" x14ac:dyDescent="0.25">
      <c r="I434" s="2">
        <f>'Raw Data Hotspot'!A136</f>
        <v>0</v>
      </c>
      <c r="J434" s="2">
        <f>'Raw Data Hotspot'!B136</f>
        <v>0</v>
      </c>
      <c r="K434" s="2">
        <f>'Raw Data Hotspot'!C136</f>
        <v>0</v>
      </c>
      <c r="L434" s="2">
        <f>'Raw Data Hotspot'!D136</f>
        <v>0</v>
      </c>
      <c r="M434" s="2">
        <f>'Raw Data Hotspot'!E136</f>
        <v>0</v>
      </c>
      <c r="N434" s="2">
        <f>'Raw Data Hotspot'!G136</f>
        <v>0</v>
      </c>
      <c r="O434" s="2">
        <f>'Raw Data Hotspot'!H136</f>
        <v>0</v>
      </c>
      <c r="P434" s="2">
        <f>'Raw Data Hotspot'!I136</f>
        <v>0</v>
      </c>
      <c r="Q434" s="2">
        <f>'Raw Data Hotspot'!J136</f>
        <v>0</v>
      </c>
      <c r="R434" s="2">
        <f>'Raw Data Hotspot'!K136</f>
        <v>0</v>
      </c>
      <c r="S434" s="2">
        <f>'Raw Data Hotspot'!N136</f>
        <v>0</v>
      </c>
      <c r="T434" s="2">
        <f t="shared" si="14"/>
        <v>0</v>
      </c>
      <c r="U434" s="10" t="str">
        <f>IF($S434=0, "", IF(COUNTIF(Table1[Amino Acid Change], $S434)=0, "Missing", "Y"))</f>
        <v/>
      </c>
      <c r="V434" s="10">
        <f t="shared" si="15"/>
        <v>0</v>
      </c>
    </row>
    <row r="435" spans="9:22" x14ac:dyDescent="0.25">
      <c r="I435" s="2">
        <f>'Raw Data Hotspot'!A137</f>
        <v>0</v>
      </c>
      <c r="J435" s="2">
        <f>'Raw Data Hotspot'!B137</f>
        <v>0</v>
      </c>
      <c r="K435" s="2">
        <f>'Raw Data Hotspot'!C137</f>
        <v>0</v>
      </c>
      <c r="L435" s="2">
        <f>'Raw Data Hotspot'!D137</f>
        <v>0</v>
      </c>
      <c r="M435" s="2">
        <f>'Raw Data Hotspot'!E137</f>
        <v>0</v>
      </c>
      <c r="N435" s="2">
        <f>'Raw Data Hotspot'!G137</f>
        <v>0</v>
      </c>
      <c r="O435" s="2">
        <f>'Raw Data Hotspot'!H137</f>
        <v>0</v>
      </c>
      <c r="P435" s="2">
        <f>'Raw Data Hotspot'!I137</f>
        <v>0</v>
      </c>
      <c r="Q435" s="2">
        <f>'Raw Data Hotspot'!J137</f>
        <v>0</v>
      </c>
      <c r="R435" s="2">
        <f>'Raw Data Hotspot'!K137</f>
        <v>0</v>
      </c>
      <c r="S435" s="2">
        <f>'Raw Data Hotspot'!N137</f>
        <v>0</v>
      </c>
      <c r="T435" s="2">
        <f t="shared" si="14"/>
        <v>0</v>
      </c>
      <c r="U435" s="10" t="str">
        <f>IF($S435=0, "", IF(COUNTIF(Table1[Amino Acid Change], $S435)=0, "Missing", "Y"))</f>
        <v/>
      </c>
      <c r="V435" s="10">
        <f t="shared" si="15"/>
        <v>0</v>
      </c>
    </row>
    <row r="436" spans="9:22" x14ac:dyDescent="0.25">
      <c r="I436" s="2">
        <f>'Raw Data Hotspot'!A138</f>
        <v>0</v>
      </c>
      <c r="J436" s="2">
        <f>'Raw Data Hotspot'!B138</f>
        <v>0</v>
      </c>
      <c r="K436" s="2">
        <f>'Raw Data Hotspot'!C138</f>
        <v>0</v>
      </c>
      <c r="L436" s="2">
        <f>'Raw Data Hotspot'!D138</f>
        <v>0</v>
      </c>
      <c r="M436" s="2">
        <f>'Raw Data Hotspot'!E138</f>
        <v>0</v>
      </c>
      <c r="N436" s="2">
        <f>'Raw Data Hotspot'!G138</f>
        <v>0</v>
      </c>
      <c r="O436" s="2">
        <f>'Raw Data Hotspot'!H138</f>
        <v>0</v>
      </c>
      <c r="P436" s="2">
        <f>'Raw Data Hotspot'!I138</f>
        <v>0</v>
      </c>
      <c r="Q436" s="2">
        <f>'Raw Data Hotspot'!J138</f>
        <v>0</v>
      </c>
      <c r="R436" s="2">
        <f>'Raw Data Hotspot'!K138</f>
        <v>0</v>
      </c>
      <c r="S436" s="2">
        <f>'Raw Data Hotspot'!N138</f>
        <v>0</v>
      </c>
      <c r="T436" s="2">
        <f t="shared" si="14"/>
        <v>0</v>
      </c>
      <c r="U436" s="10" t="str">
        <f>IF($S436=0, "", IF(COUNTIF(Table1[Amino Acid Change], $S436)=0, "Missing", "Y"))</f>
        <v/>
      </c>
      <c r="V436" s="10">
        <f t="shared" si="15"/>
        <v>0</v>
      </c>
    </row>
    <row r="437" spans="9:22" x14ac:dyDescent="0.25">
      <c r="I437" s="2">
        <f>'Raw Data Hotspot'!A139</f>
        <v>0</v>
      </c>
      <c r="J437" s="2">
        <f>'Raw Data Hotspot'!B139</f>
        <v>0</v>
      </c>
      <c r="K437" s="2">
        <f>'Raw Data Hotspot'!C139</f>
        <v>0</v>
      </c>
      <c r="L437" s="2">
        <f>'Raw Data Hotspot'!D139</f>
        <v>0</v>
      </c>
      <c r="M437" s="2">
        <f>'Raw Data Hotspot'!E139</f>
        <v>0</v>
      </c>
      <c r="N437" s="2">
        <f>'Raw Data Hotspot'!G139</f>
        <v>0</v>
      </c>
      <c r="O437" s="2">
        <f>'Raw Data Hotspot'!H139</f>
        <v>0</v>
      </c>
      <c r="P437" s="2">
        <f>'Raw Data Hotspot'!I139</f>
        <v>0</v>
      </c>
      <c r="Q437" s="2">
        <f>'Raw Data Hotspot'!J139</f>
        <v>0</v>
      </c>
      <c r="R437" s="2">
        <f>'Raw Data Hotspot'!K139</f>
        <v>0</v>
      </c>
      <c r="S437" s="2">
        <f>'Raw Data Hotspot'!N139</f>
        <v>0</v>
      </c>
      <c r="T437" s="2">
        <f t="shared" si="14"/>
        <v>0</v>
      </c>
      <c r="U437" s="10" t="str">
        <f>IF($S437=0, "", IF(COUNTIF(Table1[Amino Acid Change], $S437)=0, "Missing", "Y"))</f>
        <v/>
      </c>
      <c r="V437" s="10">
        <f t="shared" si="15"/>
        <v>0</v>
      </c>
    </row>
    <row r="438" spans="9:22" x14ac:dyDescent="0.25">
      <c r="I438" s="2">
        <f>'Raw Data Hotspot'!A140</f>
        <v>0</v>
      </c>
      <c r="J438" s="2">
        <f>'Raw Data Hotspot'!B140</f>
        <v>0</v>
      </c>
      <c r="K438" s="2">
        <f>'Raw Data Hotspot'!C140</f>
        <v>0</v>
      </c>
      <c r="L438" s="2">
        <f>'Raw Data Hotspot'!D140</f>
        <v>0</v>
      </c>
      <c r="M438" s="2">
        <f>'Raw Data Hotspot'!E140</f>
        <v>0</v>
      </c>
      <c r="N438" s="2">
        <f>'Raw Data Hotspot'!G140</f>
        <v>0</v>
      </c>
      <c r="O438" s="2">
        <f>'Raw Data Hotspot'!H140</f>
        <v>0</v>
      </c>
      <c r="P438" s="2">
        <f>'Raw Data Hotspot'!I140</f>
        <v>0</v>
      </c>
      <c r="Q438" s="2">
        <f>'Raw Data Hotspot'!J140</f>
        <v>0</v>
      </c>
      <c r="R438" s="2">
        <f>'Raw Data Hotspot'!K140</f>
        <v>0</v>
      </c>
      <c r="S438" s="2">
        <f>'Raw Data Hotspot'!N140</f>
        <v>0</v>
      </c>
      <c r="T438" s="2">
        <f t="shared" si="14"/>
        <v>0</v>
      </c>
      <c r="U438" s="10" t="str">
        <f>IF($S438=0, "", IF(COUNTIF(Table1[Amino Acid Change], $S438)=0, "Missing", "Y"))</f>
        <v/>
      </c>
      <c r="V438" s="10">
        <f t="shared" si="15"/>
        <v>0</v>
      </c>
    </row>
    <row r="439" spans="9:22" x14ac:dyDescent="0.25">
      <c r="I439" s="2">
        <f>'Raw Data Hotspot'!A141</f>
        <v>0</v>
      </c>
      <c r="J439" s="2">
        <f>'Raw Data Hotspot'!B141</f>
        <v>0</v>
      </c>
      <c r="K439" s="2">
        <f>'Raw Data Hotspot'!C141</f>
        <v>0</v>
      </c>
      <c r="L439" s="2">
        <f>'Raw Data Hotspot'!D141</f>
        <v>0</v>
      </c>
      <c r="M439" s="2">
        <f>'Raw Data Hotspot'!E141</f>
        <v>0</v>
      </c>
      <c r="N439" s="2">
        <f>'Raw Data Hotspot'!G141</f>
        <v>0</v>
      </c>
      <c r="O439" s="2">
        <f>'Raw Data Hotspot'!H141</f>
        <v>0</v>
      </c>
      <c r="P439" s="2">
        <f>'Raw Data Hotspot'!I141</f>
        <v>0</v>
      </c>
      <c r="Q439" s="2">
        <f>'Raw Data Hotspot'!J141</f>
        <v>0</v>
      </c>
      <c r="R439" s="2">
        <f>'Raw Data Hotspot'!K141</f>
        <v>0</v>
      </c>
      <c r="S439" s="2">
        <f>'Raw Data Hotspot'!N141</f>
        <v>0</v>
      </c>
      <c r="T439" s="2">
        <f t="shared" si="14"/>
        <v>0</v>
      </c>
      <c r="U439" s="10" t="str">
        <f>IF($S439=0, "", IF(COUNTIF(Table1[Amino Acid Change], $S439)=0, "Missing", "Y"))</f>
        <v/>
      </c>
      <c r="V439" s="10">
        <f t="shared" si="15"/>
        <v>0</v>
      </c>
    </row>
    <row r="440" spans="9:22" x14ac:dyDescent="0.25">
      <c r="I440" s="2">
        <f>'Raw Data Hotspot'!A142</f>
        <v>0</v>
      </c>
      <c r="J440" s="2">
        <f>'Raw Data Hotspot'!B142</f>
        <v>0</v>
      </c>
      <c r="K440" s="2">
        <f>'Raw Data Hotspot'!C142</f>
        <v>0</v>
      </c>
      <c r="L440" s="2">
        <f>'Raw Data Hotspot'!D142</f>
        <v>0</v>
      </c>
      <c r="M440" s="2">
        <f>'Raw Data Hotspot'!E142</f>
        <v>0</v>
      </c>
      <c r="N440" s="2">
        <f>'Raw Data Hotspot'!G142</f>
        <v>0</v>
      </c>
      <c r="O440" s="2">
        <f>'Raw Data Hotspot'!H142</f>
        <v>0</v>
      </c>
      <c r="P440" s="2">
        <f>'Raw Data Hotspot'!I142</f>
        <v>0</v>
      </c>
      <c r="Q440" s="2">
        <f>'Raw Data Hotspot'!J142</f>
        <v>0</v>
      </c>
      <c r="R440" s="2">
        <f>'Raw Data Hotspot'!K142</f>
        <v>0</v>
      </c>
      <c r="S440" s="2">
        <f>'Raw Data Hotspot'!N142</f>
        <v>0</v>
      </c>
      <c r="T440" s="2">
        <f t="shared" si="14"/>
        <v>0</v>
      </c>
      <c r="U440" s="10" t="str">
        <f>IF($S440=0, "", IF(COUNTIF(Table1[Amino Acid Change], $S440)=0, "Missing", "Y"))</f>
        <v/>
      </c>
      <c r="V440" s="10">
        <f t="shared" si="15"/>
        <v>0</v>
      </c>
    </row>
    <row r="441" spans="9:22" x14ac:dyDescent="0.25">
      <c r="I441" s="2">
        <f>'Raw Data Hotspot'!A143</f>
        <v>0</v>
      </c>
      <c r="J441" s="2">
        <f>'Raw Data Hotspot'!B143</f>
        <v>0</v>
      </c>
      <c r="K441" s="2">
        <f>'Raw Data Hotspot'!C143</f>
        <v>0</v>
      </c>
      <c r="L441" s="2">
        <f>'Raw Data Hotspot'!D143</f>
        <v>0</v>
      </c>
      <c r="M441" s="2">
        <f>'Raw Data Hotspot'!E143</f>
        <v>0</v>
      </c>
      <c r="N441" s="2">
        <f>'Raw Data Hotspot'!G143</f>
        <v>0</v>
      </c>
      <c r="O441" s="2">
        <f>'Raw Data Hotspot'!H143</f>
        <v>0</v>
      </c>
      <c r="P441" s="2">
        <f>'Raw Data Hotspot'!I143</f>
        <v>0</v>
      </c>
      <c r="Q441" s="2">
        <f>'Raw Data Hotspot'!J143</f>
        <v>0</v>
      </c>
      <c r="R441" s="2">
        <f>'Raw Data Hotspot'!K143</f>
        <v>0</v>
      </c>
      <c r="S441" s="2">
        <f>'Raw Data Hotspot'!N143</f>
        <v>0</v>
      </c>
      <c r="T441" s="2">
        <f t="shared" si="14"/>
        <v>0</v>
      </c>
      <c r="U441" s="10" t="str">
        <f>IF($S441=0, "", IF(COUNTIF(Table1[Amino Acid Change], $S441)=0, "Missing", "Y"))</f>
        <v/>
      </c>
      <c r="V441" s="10">
        <f t="shared" si="15"/>
        <v>0</v>
      </c>
    </row>
    <row r="442" spans="9:22" x14ac:dyDescent="0.25">
      <c r="I442" s="2">
        <f>'Raw Data Hotspot'!A144</f>
        <v>0</v>
      </c>
      <c r="J442" s="2">
        <f>'Raw Data Hotspot'!B144</f>
        <v>0</v>
      </c>
      <c r="K442" s="2">
        <f>'Raw Data Hotspot'!C144</f>
        <v>0</v>
      </c>
      <c r="L442" s="2">
        <f>'Raw Data Hotspot'!D144</f>
        <v>0</v>
      </c>
      <c r="M442" s="2">
        <f>'Raw Data Hotspot'!E144</f>
        <v>0</v>
      </c>
      <c r="N442" s="2">
        <f>'Raw Data Hotspot'!G144</f>
        <v>0</v>
      </c>
      <c r="O442" s="2">
        <f>'Raw Data Hotspot'!H144</f>
        <v>0</v>
      </c>
      <c r="P442" s="2">
        <f>'Raw Data Hotspot'!I144</f>
        <v>0</v>
      </c>
      <c r="Q442" s="2">
        <f>'Raw Data Hotspot'!J144</f>
        <v>0</v>
      </c>
      <c r="R442" s="2">
        <f>'Raw Data Hotspot'!K144</f>
        <v>0</v>
      </c>
      <c r="S442" s="2">
        <f>'Raw Data Hotspot'!N144</f>
        <v>0</v>
      </c>
      <c r="T442" s="2">
        <f t="shared" si="14"/>
        <v>0</v>
      </c>
      <c r="U442" s="10" t="str">
        <f>IF($S442=0, "", IF(COUNTIF(Table1[Amino Acid Change], $S442)=0, "Missing", "Y"))</f>
        <v/>
      </c>
      <c r="V442" s="10">
        <f t="shared" si="15"/>
        <v>0</v>
      </c>
    </row>
    <row r="443" spans="9:22" x14ac:dyDescent="0.25">
      <c r="I443" s="2">
        <f>'Raw Data Hotspot'!A145</f>
        <v>0</v>
      </c>
      <c r="J443" s="2">
        <f>'Raw Data Hotspot'!B145</f>
        <v>0</v>
      </c>
      <c r="K443" s="2">
        <f>'Raw Data Hotspot'!C145</f>
        <v>0</v>
      </c>
      <c r="L443" s="2">
        <f>'Raw Data Hotspot'!D145</f>
        <v>0</v>
      </c>
      <c r="M443" s="2">
        <f>'Raw Data Hotspot'!E145</f>
        <v>0</v>
      </c>
      <c r="N443" s="2">
        <f>'Raw Data Hotspot'!G145</f>
        <v>0</v>
      </c>
      <c r="O443" s="2">
        <f>'Raw Data Hotspot'!H145</f>
        <v>0</v>
      </c>
      <c r="P443" s="2">
        <f>'Raw Data Hotspot'!I145</f>
        <v>0</v>
      </c>
      <c r="Q443" s="2">
        <f>'Raw Data Hotspot'!J145</f>
        <v>0</v>
      </c>
      <c r="R443" s="2">
        <f>'Raw Data Hotspot'!K145</f>
        <v>0</v>
      </c>
      <c r="S443" s="2">
        <f>'Raw Data Hotspot'!N145</f>
        <v>0</v>
      </c>
      <c r="T443" s="2">
        <f t="shared" si="14"/>
        <v>0</v>
      </c>
      <c r="U443" s="10" t="str">
        <f>IF($S443=0, "", IF(COUNTIF(Table1[Amino Acid Change], $S443)=0, "Missing", "Y"))</f>
        <v/>
      </c>
      <c r="V443" s="10">
        <f t="shared" si="15"/>
        <v>0</v>
      </c>
    </row>
    <row r="444" spans="9:22" x14ac:dyDescent="0.25">
      <c r="I444" s="2">
        <f>'Raw Data Hotspot'!A146</f>
        <v>0</v>
      </c>
      <c r="J444" s="2">
        <f>'Raw Data Hotspot'!B146</f>
        <v>0</v>
      </c>
      <c r="K444" s="2">
        <f>'Raw Data Hotspot'!C146</f>
        <v>0</v>
      </c>
      <c r="L444" s="2">
        <f>'Raw Data Hotspot'!D146</f>
        <v>0</v>
      </c>
      <c r="M444" s="2">
        <f>'Raw Data Hotspot'!E146</f>
        <v>0</v>
      </c>
      <c r="N444" s="2">
        <f>'Raw Data Hotspot'!G146</f>
        <v>0</v>
      </c>
      <c r="O444" s="2">
        <f>'Raw Data Hotspot'!H146</f>
        <v>0</v>
      </c>
      <c r="P444" s="2">
        <f>'Raw Data Hotspot'!I146</f>
        <v>0</v>
      </c>
      <c r="Q444" s="2">
        <f>'Raw Data Hotspot'!J146</f>
        <v>0</v>
      </c>
      <c r="R444" s="2">
        <f>'Raw Data Hotspot'!K146</f>
        <v>0</v>
      </c>
      <c r="S444" s="2">
        <f>'Raw Data Hotspot'!N146</f>
        <v>0</v>
      </c>
      <c r="T444" s="2">
        <f t="shared" si="14"/>
        <v>0</v>
      </c>
      <c r="U444" s="10" t="str">
        <f>IF($S444=0, "", IF(COUNTIF(Table1[Amino Acid Change], $S444)=0, "Missing", "Y"))</f>
        <v/>
      </c>
      <c r="V444" s="10">
        <f t="shared" si="15"/>
        <v>0</v>
      </c>
    </row>
    <row r="445" spans="9:22" x14ac:dyDescent="0.25">
      <c r="I445" s="2">
        <f>'Raw Data Hotspot'!A147</f>
        <v>0</v>
      </c>
      <c r="J445" s="2">
        <f>'Raw Data Hotspot'!B147</f>
        <v>0</v>
      </c>
      <c r="K445" s="2">
        <f>'Raw Data Hotspot'!C147</f>
        <v>0</v>
      </c>
      <c r="L445" s="2">
        <f>'Raw Data Hotspot'!D147</f>
        <v>0</v>
      </c>
      <c r="M445" s="2">
        <f>'Raw Data Hotspot'!E147</f>
        <v>0</v>
      </c>
      <c r="N445" s="2">
        <f>'Raw Data Hotspot'!G147</f>
        <v>0</v>
      </c>
      <c r="O445" s="2">
        <f>'Raw Data Hotspot'!H147</f>
        <v>0</v>
      </c>
      <c r="P445" s="2">
        <f>'Raw Data Hotspot'!I147</f>
        <v>0</v>
      </c>
      <c r="Q445" s="2">
        <f>'Raw Data Hotspot'!J147</f>
        <v>0</v>
      </c>
      <c r="R445" s="2">
        <f>'Raw Data Hotspot'!K147</f>
        <v>0</v>
      </c>
      <c r="S445" s="2">
        <f>'Raw Data Hotspot'!N147</f>
        <v>0</v>
      </c>
      <c r="T445" s="2">
        <f t="shared" si="14"/>
        <v>0</v>
      </c>
      <c r="U445" s="10" t="str">
        <f>IF($S445=0, "", IF(COUNTIF(Table1[Amino Acid Change], $S445)=0, "Missing", "Y"))</f>
        <v/>
      </c>
      <c r="V445" s="10">
        <f t="shared" si="15"/>
        <v>0</v>
      </c>
    </row>
    <row r="446" spans="9:22" x14ac:dyDescent="0.25">
      <c r="I446" s="2">
        <f>'Raw Data Hotspot'!A148</f>
        <v>0</v>
      </c>
      <c r="J446" s="2">
        <f>'Raw Data Hotspot'!B148</f>
        <v>0</v>
      </c>
      <c r="K446" s="2">
        <f>'Raw Data Hotspot'!C148</f>
        <v>0</v>
      </c>
      <c r="L446" s="2">
        <f>'Raw Data Hotspot'!D148</f>
        <v>0</v>
      </c>
      <c r="M446" s="2">
        <f>'Raw Data Hotspot'!E148</f>
        <v>0</v>
      </c>
      <c r="N446" s="2">
        <f>'Raw Data Hotspot'!G148</f>
        <v>0</v>
      </c>
      <c r="O446" s="2">
        <f>'Raw Data Hotspot'!H148</f>
        <v>0</v>
      </c>
      <c r="P446" s="2">
        <f>'Raw Data Hotspot'!I148</f>
        <v>0</v>
      </c>
      <c r="Q446" s="2">
        <f>'Raw Data Hotspot'!J148</f>
        <v>0</v>
      </c>
      <c r="R446" s="2">
        <f>'Raw Data Hotspot'!K148</f>
        <v>0</v>
      </c>
      <c r="S446" s="2">
        <f>'Raw Data Hotspot'!N148</f>
        <v>0</v>
      </c>
      <c r="T446" s="2">
        <f t="shared" si="14"/>
        <v>0</v>
      </c>
      <c r="U446" s="10" t="str">
        <f>IF($S446=0, "", IF(COUNTIF(Table1[Amino Acid Change], $S446)=0, "Missing", "Y"))</f>
        <v/>
      </c>
      <c r="V446" s="10">
        <f t="shared" si="15"/>
        <v>0</v>
      </c>
    </row>
    <row r="447" spans="9:22" x14ac:dyDescent="0.25">
      <c r="I447" s="2">
        <f>'Raw Data Hotspot'!A149</f>
        <v>0</v>
      </c>
      <c r="J447" s="2">
        <f>'Raw Data Hotspot'!B149</f>
        <v>0</v>
      </c>
      <c r="K447" s="2">
        <f>'Raw Data Hotspot'!C149</f>
        <v>0</v>
      </c>
      <c r="L447" s="2">
        <f>'Raw Data Hotspot'!D149</f>
        <v>0</v>
      </c>
      <c r="M447" s="2">
        <f>'Raw Data Hotspot'!E149</f>
        <v>0</v>
      </c>
      <c r="N447" s="2">
        <f>'Raw Data Hotspot'!G149</f>
        <v>0</v>
      </c>
      <c r="O447" s="2">
        <f>'Raw Data Hotspot'!H149</f>
        <v>0</v>
      </c>
      <c r="P447" s="2">
        <f>'Raw Data Hotspot'!I149</f>
        <v>0</v>
      </c>
      <c r="Q447" s="2">
        <f>'Raw Data Hotspot'!J149</f>
        <v>0</v>
      </c>
      <c r="R447" s="2">
        <f>'Raw Data Hotspot'!K149</f>
        <v>0</v>
      </c>
      <c r="S447" s="2">
        <f>'Raw Data Hotspot'!N149</f>
        <v>0</v>
      </c>
      <c r="T447" s="2">
        <f t="shared" si="14"/>
        <v>0</v>
      </c>
      <c r="U447" s="10" t="str">
        <f>IF($S447=0, "", IF(COUNTIF(Table1[Amino Acid Change], $S447)=0, "Missing", "Y"))</f>
        <v/>
      </c>
      <c r="V447" s="10">
        <f t="shared" si="15"/>
        <v>0</v>
      </c>
    </row>
    <row r="448" spans="9:22" x14ac:dyDescent="0.25">
      <c r="I448" s="2">
        <f>'Raw Data Hotspot'!A150</f>
        <v>0</v>
      </c>
      <c r="J448" s="2">
        <f>'Raw Data Hotspot'!B150</f>
        <v>0</v>
      </c>
      <c r="K448" s="2">
        <f>'Raw Data Hotspot'!C150</f>
        <v>0</v>
      </c>
      <c r="L448" s="2">
        <f>'Raw Data Hotspot'!D150</f>
        <v>0</v>
      </c>
      <c r="M448" s="2">
        <f>'Raw Data Hotspot'!E150</f>
        <v>0</v>
      </c>
      <c r="N448" s="2">
        <f>'Raw Data Hotspot'!G150</f>
        <v>0</v>
      </c>
      <c r="O448" s="2">
        <f>'Raw Data Hotspot'!H150</f>
        <v>0</v>
      </c>
      <c r="P448" s="2">
        <f>'Raw Data Hotspot'!I150</f>
        <v>0</v>
      </c>
      <c r="Q448" s="2">
        <f>'Raw Data Hotspot'!J150</f>
        <v>0</v>
      </c>
      <c r="R448" s="2">
        <f>'Raw Data Hotspot'!K150</f>
        <v>0</v>
      </c>
      <c r="S448" s="2">
        <f>'Raw Data Hotspot'!N150</f>
        <v>0</v>
      </c>
      <c r="T448" s="2">
        <f t="shared" si="14"/>
        <v>0</v>
      </c>
      <c r="U448" s="10" t="str">
        <f>IF($S448=0, "", IF(COUNTIF(Table1[Amino Acid Change], $S448)=0, "Missing", "Y"))</f>
        <v/>
      </c>
      <c r="V448" s="10">
        <f t="shared" si="15"/>
        <v>0</v>
      </c>
    </row>
    <row r="449" spans="9:22" x14ac:dyDescent="0.25">
      <c r="I449" s="2">
        <f>'Raw Data Hotspot'!A151</f>
        <v>0</v>
      </c>
      <c r="J449" s="2">
        <f>'Raw Data Hotspot'!B151</f>
        <v>0</v>
      </c>
      <c r="K449" s="2">
        <f>'Raw Data Hotspot'!C151</f>
        <v>0</v>
      </c>
      <c r="L449" s="2">
        <f>'Raw Data Hotspot'!D151</f>
        <v>0</v>
      </c>
      <c r="M449" s="2">
        <f>'Raw Data Hotspot'!E151</f>
        <v>0</v>
      </c>
      <c r="N449" s="2">
        <f>'Raw Data Hotspot'!G151</f>
        <v>0</v>
      </c>
      <c r="O449" s="2">
        <f>'Raw Data Hotspot'!H151</f>
        <v>0</v>
      </c>
      <c r="P449" s="2">
        <f>'Raw Data Hotspot'!I151</f>
        <v>0</v>
      </c>
      <c r="Q449" s="2">
        <f>'Raw Data Hotspot'!J151</f>
        <v>0</v>
      </c>
      <c r="R449" s="2">
        <f>'Raw Data Hotspot'!K151</f>
        <v>0</v>
      </c>
      <c r="S449" s="2">
        <f>'Raw Data Hotspot'!N151</f>
        <v>0</v>
      </c>
      <c r="T449" s="2">
        <f t="shared" si="14"/>
        <v>0</v>
      </c>
      <c r="U449" s="10" t="str">
        <f>IF($S449=0, "", IF(COUNTIF(Table1[Amino Acid Change], $S449)=0, "Missing", "Y"))</f>
        <v/>
      </c>
      <c r="V449" s="10">
        <f t="shared" si="15"/>
        <v>0</v>
      </c>
    </row>
    <row r="450" spans="9:22" x14ac:dyDescent="0.25">
      <c r="I450" s="2">
        <f>'Raw Data Hotspot'!A152</f>
        <v>0</v>
      </c>
      <c r="J450" s="2">
        <f>'Raw Data Hotspot'!B152</f>
        <v>0</v>
      </c>
      <c r="K450" s="2">
        <f>'Raw Data Hotspot'!C152</f>
        <v>0</v>
      </c>
      <c r="L450" s="2">
        <f>'Raw Data Hotspot'!D152</f>
        <v>0</v>
      </c>
      <c r="M450" s="2">
        <f>'Raw Data Hotspot'!E152</f>
        <v>0</v>
      </c>
      <c r="N450" s="2">
        <f>'Raw Data Hotspot'!G152</f>
        <v>0</v>
      </c>
      <c r="O450" s="2">
        <f>'Raw Data Hotspot'!H152</f>
        <v>0</v>
      </c>
      <c r="P450" s="2">
        <f>'Raw Data Hotspot'!I152</f>
        <v>0</v>
      </c>
      <c r="Q450" s="2">
        <f>'Raw Data Hotspot'!J152</f>
        <v>0</v>
      </c>
      <c r="R450" s="2">
        <f>'Raw Data Hotspot'!K152</f>
        <v>0</v>
      </c>
      <c r="S450" s="2">
        <f>'Raw Data Hotspot'!N152</f>
        <v>0</v>
      </c>
      <c r="T450" s="2">
        <f t="shared" si="14"/>
        <v>0</v>
      </c>
      <c r="U450" s="10" t="str">
        <f>IF($S450=0, "", IF(COUNTIF(Table1[Amino Acid Change], $S450)=0, "Missing", "Y"))</f>
        <v/>
      </c>
      <c r="V450" s="10">
        <f t="shared" si="15"/>
        <v>0</v>
      </c>
    </row>
    <row r="451" spans="9:22" x14ac:dyDescent="0.25">
      <c r="I451" s="2">
        <f>'Raw Data Hotspot'!A153</f>
        <v>0</v>
      </c>
      <c r="J451" s="2">
        <f>'Raw Data Hotspot'!B153</f>
        <v>0</v>
      </c>
      <c r="K451" s="2">
        <f>'Raw Data Hotspot'!C153</f>
        <v>0</v>
      </c>
      <c r="L451" s="2">
        <f>'Raw Data Hotspot'!D153</f>
        <v>0</v>
      </c>
      <c r="M451" s="2">
        <f>'Raw Data Hotspot'!E153</f>
        <v>0</v>
      </c>
      <c r="N451" s="2">
        <f>'Raw Data Hotspot'!G153</f>
        <v>0</v>
      </c>
      <c r="O451" s="2">
        <f>'Raw Data Hotspot'!H153</f>
        <v>0</v>
      </c>
      <c r="P451" s="2">
        <f>'Raw Data Hotspot'!I153</f>
        <v>0</v>
      </c>
      <c r="Q451" s="2">
        <f>'Raw Data Hotspot'!J153</f>
        <v>0</v>
      </c>
      <c r="R451" s="2">
        <f>'Raw Data Hotspot'!K153</f>
        <v>0</v>
      </c>
      <c r="S451" s="2">
        <f>'Raw Data Hotspot'!N153</f>
        <v>0</v>
      </c>
      <c r="T451" s="2">
        <f t="shared" si="14"/>
        <v>0</v>
      </c>
      <c r="U451" s="10" t="str">
        <f>IF($S451=0, "", IF(COUNTIF(Table1[Amino Acid Change], $S451)=0, "Missing", "Y"))</f>
        <v/>
      </c>
      <c r="V451" s="10">
        <f t="shared" si="15"/>
        <v>0</v>
      </c>
    </row>
    <row r="452" spans="9:22" x14ac:dyDescent="0.25">
      <c r="I452" s="2">
        <f>'Raw Data Hotspot'!A154</f>
        <v>0</v>
      </c>
      <c r="J452" s="2">
        <f>'Raw Data Hotspot'!B154</f>
        <v>0</v>
      </c>
      <c r="K452" s="2">
        <f>'Raw Data Hotspot'!C154</f>
        <v>0</v>
      </c>
      <c r="L452" s="2">
        <f>'Raw Data Hotspot'!D154</f>
        <v>0</v>
      </c>
      <c r="M452" s="2">
        <f>'Raw Data Hotspot'!E154</f>
        <v>0</v>
      </c>
      <c r="N452" s="2">
        <f>'Raw Data Hotspot'!G154</f>
        <v>0</v>
      </c>
      <c r="O452" s="2">
        <f>'Raw Data Hotspot'!H154</f>
        <v>0</v>
      </c>
      <c r="P452" s="2">
        <f>'Raw Data Hotspot'!I154</f>
        <v>0</v>
      </c>
      <c r="Q452" s="2">
        <f>'Raw Data Hotspot'!J154</f>
        <v>0</v>
      </c>
      <c r="R452" s="2">
        <f>'Raw Data Hotspot'!K154</f>
        <v>0</v>
      </c>
      <c r="S452" s="2">
        <f>'Raw Data Hotspot'!N154</f>
        <v>0</v>
      </c>
      <c r="T452" s="2">
        <f t="shared" si="14"/>
        <v>0</v>
      </c>
      <c r="U452" s="10" t="str">
        <f>IF($S452=0, "", IF(COUNTIF(Table1[Amino Acid Change], $S452)=0, "Missing", "Y"))</f>
        <v/>
      </c>
      <c r="V452" s="10">
        <f t="shared" si="15"/>
        <v>0</v>
      </c>
    </row>
    <row r="453" spans="9:22" x14ac:dyDescent="0.25">
      <c r="I453" s="2">
        <f>'Raw Data Hotspot'!A155</f>
        <v>0</v>
      </c>
      <c r="J453" s="2">
        <f>'Raw Data Hotspot'!B155</f>
        <v>0</v>
      </c>
      <c r="K453" s="2">
        <f>'Raw Data Hotspot'!C155</f>
        <v>0</v>
      </c>
      <c r="L453" s="2">
        <f>'Raw Data Hotspot'!D155</f>
        <v>0</v>
      </c>
      <c r="M453" s="2">
        <f>'Raw Data Hotspot'!E155</f>
        <v>0</v>
      </c>
      <c r="N453" s="2">
        <f>'Raw Data Hotspot'!G155</f>
        <v>0</v>
      </c>
      <c r="O453" s="2">
        <f>'Raw Data Hotspot'!H155</f>
        <v>0</v>
      </c>
      <c r="P453" s="2">
        <f>'Raw Data Hotspot'!I155</f>
        <v>0</v>
      </c>
      <c r="Q453" s="2">
        <f>'Raw Data Hotspot'!J155</f>
        <v>0</v>
      </c>
      <c r="R453" s="2">
        <f>'Raw Data Hotspot'!K155</f>
        <v>0</v>
      </c>
      <c r="S453" s="2">
        <f>'Raw Data Hotspot'!N155</f>
        <v>0</v>
      </c>
      <c r="T453" s="2">
        <f t="shared" si="14"/>
        <v>0</v>
      </c>
      <c r="U453" s="10" t="str">
        <f>IF($S453=0, "", IF(COUNTIF(Table1[Amino Acid Change], $S453)=0, "Missing", "Y"))</f>
        <v/>
      </c>
      <c r="V453" s="10">
        <f t="shared" si="15"/>
        <v>0</v>
      </c>
    </row>
    <row r="454" spans="9:22" x14ac:dyDescent="0.25">
      <c r="I454" s="2">
        <f>'Raw Data Hotspot'!A156</f>
        <v>0</v>
      </c>
      <c r="J454" s="2">
        <f>'Raw Data Hotspot'!B156</f>
        <v>0</v>
      </c>
      <c r="K454" s="2">
        <f>'Raw Data Hotspot'!C156</f>
        <v>0</v>
      </c>
      <c r="L454" s="2">
        <f>'Raw Data Hotspot'!D156</f>
        <v>0</v>
      </c>
      <c r="M454" s="2">
        <f>'Raw Data Hotspot'!E156</f>
        <v>0</v>
      </c>
      <c r="N454" s="2">
        <f>'Raw Data Hotspot'!G156</f>
        <v>0</v>
      </c>
      <c r="O454" s="2">
        <f>'Raw Data Hotspot'!H156</f>
        <v>0</v>
      </c>
      <c r="P454" s="2">
        <f>'Raw Data Hotspot'!I156</f>
        <v>0</v>
      </c>
      <c r="Q454" s="2">
        <f>'Raw Data Hotspot'!J156</f>
        <v>0</v>
      </c>
      <c r="R454" s="2">
        <f>'Raw Data Hotspot'!K156</f>
        <v>0</v>
      </c>
      <c r="S454" s="2">
        <f>'Raw Data Hotspot'!N156</f>
        <v>0</v>
      </c>
      <c r="T454" s="2">
        <f t="shared" si="14"/>
        <v>0</v>
      </c>
      <c r="U454" s="10" t="str">
        <f>IF($S454=0, "", IF(COUNTIF(Table1[Amino Acid Change], $S454)=0, "Missing", "Y"))</f>
        <v/>
      </c>
      <c r="V454" s="10">
        <f t="shared" si="15"/>
        <v>0</v>
      </c>
    </row>
    <row r="455" spans="9:22" x14ac:dyDescent="0.25">
      <c r="I455" s="2">
        <f>'Raw Data Hotspot'!A157</f>
        <v>0</v>
      </c>
      <c r="J455" s="2">
        <f>'Raw Data Hotspot'!B157</f>
        <v>0</v>
      </c>
      <c r="K455" s="2">
        <f>'Raw Data Hotspot'!C157</f>
        <v>0</v>
      </c>
      <c r="L455" s="2">
        <f>'Raw Data Hotspot'!D157</f>
        <v>0</v>
      </c>
      <c r="M455" s="2">
        <f>'Raw Data Hotspot'!E157</f>
        <v>0</v>
      </c>
      <c r="N455" s="2">
        <f>'Raw Data Hotspot'!G157</f>
        <v>0</v>
      </c>
      <c r="O455" s="2">
        <f>'Raw Data Hotspot'!H157</f>
        <v>0</v>
      </c>
      <c r="P455" s="2">
        <f>'Raw Data Hotspot'!I157</f>
        <v>0</v>
      </c>
      <c r="Q455" s="2">
        <f>'Raw Data Hotspot'!J157</f>
        <v>0</v>
      </c>
      <c r="R455" s="2">
        <f>'Raw Data Hotspot'!K157</f>
        <v>0</v>
      </c>
      <c r="S455" s="2">
        <f>'Raw Data Hotspot'!N157</f>
        <v>0</v>
      </c>
      <c r="T455" s="2">
        <f t="shared" si="14"/>
        <v>0</v>
      </c>
      <c r="U455" s="10" t="str">
        <f>IF($S455=0, "", IF(COUNTIF(Table1[Amino Acid Change], $S455)=0, "Missing", "Y"))</f>
        <v/>
      </c>
      <c r="V455" s="10">
        <f t="shared" si="15"/>
        <v>0</v>
      </c>
    </row>
    <row r="456" spans="9:22" x14ac:dyDescent="0.25">
      <c r="I456" s="2">
        <f>'Raw Data Hotspot'!A158</f>
        <v>0</v>
      </c>
      <c r="J456" s="2">
        <f>'Raw Data Hotspot'!B158</f>
        <v>0</v>
      </c>
      <c r="K456" s="2">
        <f>'Raw Data Hotspot'!C158</f>
        <v>0</v>
      </c>
      <c r="L456" s="2">
        <f>'Raw Data Hotspot'!D158</f>
        <v>0</v>
      </c>
      <c r="M456" s="2">
        <f>'Raw Data Hotspot'!E158</f>
        <v>0</v>
      </c>
      <c r="N456" s="2">
        <f>'Raw Data Hotspot'!G158</f>
        <v>0</v>
      </c>
      <c r="O456" s="2">
        <f>'Raw Data Hotspot'!H158</f>
        <v>0</v>
      </c>
      <c r="P456" s="2">
        <f>'Raw Data Hotspot'!I158</f>
        <v>0</v>
      </c>
      <c r="Q456" s="2">
        <f>'Raw Data Hotspot'!J158</f>
        <v>0</v>
      </c>
      <c r="R456" s="2">
        <f>'Raw Data Hotspot'!K158</f>
        <v>0</v>
      </c>
      <c r="S456" s="2">
        <f>'Raw Data Hotspot'!N158</f>
        <v>0</v>
      </c>
      <c r="T456" s="2">
        <f t="shared" si="14"/>
        <v>0</v>
      </c>
      <c r="U456" s="10" t="str">
        <f>IF($S456=0, "", IF(COUNTIF(Table1[Amino Acid Change], $S456)=0, "Missing", "Y"))</f>
        <v/>
      </c>
      <c r="V456" s="10">
        <f t="shared" si="15"/>
        <v>0</v>
      </c>
    </row>
    <row r="457" spans="9:22" x14ac:dyDescent="0.25">
      <c r="I457" s="2">
        <f>'Raw Data Hotspot'!A159</f>
        <v>0</v>
      </c>
      <c r="J457" s="2">
        <f>'Raw Data Hotspot'!B159</f>
        <v>0</v>
      </c>
      <c r="K457" s="2">
        <f>'Raw Data Hotspot'!C159</f>
        <v>0</v>
      </c>
      <c r="L457" s="2">
        <f>'Raw Data Hotspot'!D159</f>
        <v>0</v>
      </c>
      <c r="M457" s="2">
        <f>'Raw Data Hotspot'!E159</f>
        <v>0</v>
      </c>
      <c r="N457" s="2">
        <f>'Raw Data Hotspot'!G159</f>
        <v>0</v>
      </c>
      <c r="O457" s="2">
        <f>'Raw Data Hotspot'!H159</f>
        <v>0</v>
      </c>
      <c r="P457" s="2">
        <f>'Raw Data Hotspot'!I159</f>
        <v>0</v>
      </c>
      <c r="Q457" s="2">
        <f>'Raw Data Hotspot'!J159</f>
        <v>0</v>
      </c>
      <c r="R457" s="2">
        <f>'Raw Data Hotspot'!K159</f>
        <v>0</v>
      </c>
      <c r="S457" s="2">
        <f>'Raw Data Hotspot'!N159</f>
        <v>0</v>
      </c>
      <c r="T457" s="2">
        <f t="shared" si="14"/>
        <v>0</v>
      </c>
      <c r="U457" s="10" t="str">
        <f>IF($S457=0, "", IF(COUNTIF(Table1[Amino Acid Change], $S457)=0, "Missing", "Y"))</f>
        <v/>
      </c>
      <c r="V457" s="10">
        <f t="shared" si="15"/>
        <v>0</v>
      </c>
    </row>
    <row r="458" spans="9:22" x14ac:dyDescent="0.25">
      <c r="I458" s="2">
        <f>'Raw Data Hotspot'!A160</f>
        <v>0</v>
      </c>
      <c r="J458" s="2">
        <f>'Raw Data Hotspot'!B160</f>
        <v>0</v>
      </c>
      <c r="K458" s="2">
        <f>'Raw Data Hotspot'!C160</f>
        <v>0</v>
      </c>
      <c r="L458" s="2">
        <f>'Raw Data Hotspot'!D160</f>
        <v>0</v>
      </c>
      <c r="M458" s="2">
        <f>'Raw Data Hotspot'!E160</f>
        <v>0</v>
      </c>
      <c r="N458" s="2">
        <f>'Raw Data Hotspot'!G160</f>
        <v>0</v>
      </c>
      <c r="O458" s="2">
        <f>'Raw Data Hotspot'!H160</f>
        <v>0</v>
      </c>
      <c r="P458" s="2">
        <f>'Raw Data Hotspot'!I160</f>
        <v>0</v>
      </c>
      <c r="Q458" s="2">
        <f>'Raw Data Hotspot'!J160</f>
        <v>0</v>
      </c>
      <c r="R458" s="2">
        <f>'Raw Data Hotspot'!K160</f>
        <v>0</v>
      </c>
      <c r="S458" s="2">
        <f>'Raw Data Hotspot'!N160</f>
        <v>0</v>
      </c>
      <c r="T458" s="2">
        <f t="shared" si="14"/>
        <v>0</v>
      </c>
      <c r="U458" s="10" t="str">
        <f>IF($S458=0, "", IF(COUNTIF(Table1[Amino Acid Change], $S458)=0, "Missing", "Y"))</f>
        <v/>
      </c>
      <c r="V458" s="10">
        <f t="shared" si="15"/>
        <v>0</v>
      </c>
    </row>
    <row r="459" spans="9:22" x14ac:dyDescent="0.25">
      <c r="I459" s="2">
        <f>'Raw Data Hotspot'!A161</f>
        <v>0</v>
      </c>
      <c r="J459" s="2">
        <f>'Raw Data Hotspot'!B161</f>
        <v>0</v>
      </c>
      <c r="K459" s="2">
        <f>'Raw Data Hotspot'!C161</f>
        <v>0</v>
      </c>
      <c r="L459" s="2">
        <f>'Raw Data Hotspot'!D161</f>
        <v>0</v>
      </c>
      <c r="M459" s="2">
        <f>'Raw Data Hotspot'!E161</f>
        <v>0</v>
      </c>
      <c r="N459" s="2">
        <f>'Raw Data Hotspot'!G161</f>
        <v>0</v>
      </c>
      <c r="O459" s="2">
        <f>'Raw Data Hotspot'!H161</f>
        <v>0</v>
      </c>
      <c r="P459" s="2">
        <f>'Raw Data Hotspot'!I161</f>
        <v>0</v>
      </c>
      <c r="Q459" s="2">
        <f>'Raw Data Hotspot'!J161</f>
        <v>0</v>
      </c>
      <c r="R459" s="2">
        <f>'Raw Data Hotspot'!K161</f>
        <v>0</v>
      </c>
      <c r="S459" s="2">
        <f>'Raw Data Hotspot'!N161</f>
        <v>0</v>
      </c>
      <c r="T459" s="2">
        <f t="shared" si="14"/>
        <v>0</v>
      </c>
      <c r="U459" s="10" t="str">
        <f>IF($S459=0, "", IF(COUNTIF(Table1[Amino Acid Change], $S459)=0, "Missing", "Y"))</f>
        <v/>
      </c>
      <c r="V459" s="10">
        <f t="shared" si="15"/>
        <v>0</v>
      </c>
    </row>
    <row r="460" spans="9:22" x14ac:dyDescent="0.25">
      <c r="I460" s="2">
        <f>'Raw Data Hotspot'!A162</f>
        <v>0</v>
      </c>
      <c r="J460" s="2">
        <f>'Raw Data Hotspot'!B162</f>
        <v>0</v>
      </c>
      <c r="K460" s="2">
        <f>'Raw Data Hotspot'!C162</f>
        <v>0</v>
      </c>
      <c r="L460" s="2">
        <f>'Raw Data Hotspot'!D162</f>
        <v>0</v>
      </c>
      <c r="M460" s="2">
        <f>'Raw Data Hotspot'!E162</f>
        <v>0</v>
      </c>
      <c r="N460" s="2">
        <f>'Raw Data Hotspot'!G162</f>
        <v>0</v>
      </c>
      <c r="O460" s="2">
        <f>'Raw Data Hotspot'!H162</f>
        <v>0</v>
      </c>
      <c r="P460" s="2">
        <f>'Raw Data Hotspot'!I162</f>
        <v>0</v>
      </c>
      <c r="Q460" s="2">
        <f>'Raw Data Hotspot'!J162</f>
        <v>0</v>
      </c>
      <c r="R460" s="2">
        <f>'Raw Data Hotspot'!K162</f>
        <v>0</v>
      </c>
      <c r="S460" s="2">
        <f>'Raw Data Hotspot'!N162</f>
        <v>0</v>
      </c>
      <c r="T460" s="2">
        <f t="shared" si="14"/>
        <v>0</v>
      </c>
      <c r="U460" s="10" t="str">
        <f>IF($S460=0, "", IF(COUNTIF(Table1[Amino Acid Change], $S460)=0, "Missing", "Y"))</f>
        <v/>
      </c>
      <c r="V460" s="10">
        <f t="shared" si="15"/>
        <v>0</v>
      </c>
    </row>
    <row r="461" spans="9:22" x14ac:dyDescent="0.25">
      <c r="I461" s="2">
        <f>'Raw Data Hotspot'!A163</f>
        <v>0</v>
      </c>
      <c r="J461" s="2">
        <f>'Raw Data Hotspot'!B163</f>
        <v>0</v>
      </c>
      <c r="K461" s="2">
        <f>'Raw Data Hotspot'!C163</f>
        <v>0</v>
      </c>
      <c r="L461" s="2">
        <f>'Raw Data Hotspot'!D163</f>
        <v>0</v>
      </c>
      <c r="M461" s="2">
        <f>'Raw Data Hotspot'!E163</f>
        <v>0</v>
      </c>
      <c r="N461" s="2">
        <f>'Raw Data Hotspot'!G163</f>
        <v>0</v>
      </c>
      <c r="O461" s="2">
        <f>'Raw Data Hotspot'!H163</f>
        <v>0</v>
      </c>
      <c r="P461" s="2">
        <f>'Raw Data Hotspot'!I163</f>
        <v>0</v>
      </c>
      <c r="Q461" s="2">
        <f>'Raw Data Hotspot'!J163</f>
        <v>0</v>
      </c>
      <c r="R461" s="2">
        <f>'Raw Data Hotspot'!K163</f>
        <v>0</v>
      </c>
      <c r="S461" s="2">
        <f>'Raw Data Hotspot'!N163</f>
        <v>0</v>
      </c>
      <c r="T461" s="2">
        <f t="shared" si="14"/>
        <v>0</v>
      </c>
      <c r="U461" s="10" t="str">
        <f>IF($S461=0, "", IF(COUNTIF(Table1[Amino Acid Change], $S461)=0, "Missing", "Y"))</f>
        <v/>
      </c>
      <c r="V461" s="10">
        <f t="shared" si="15"/>
        <v>0</v>
      </c>
    </row>
    <row r="462" spans="9:22" x14ac:dyDescent="0.25">
      <c r="I462" s="2">
        <f>'Raw Data Hotspot'!A164</f>
        <v>0</v>
      </c>
      <c r="J462" s="2">
        <f>'Raw Data Hotspot'!B164</f>
        <v>0</v>
      </c>
      <c r="K462" s="2">
        <f>'Raw Data Hotspot'!C164</f>
        <v>0</v>
      </c>
      <c r="L462" s="2">
        <f>'Raw Data Hotspot'!D164</f>
        <v>0</v>
      </c>
      <c r="M462" s="2">
        <f>'Raw Data Hotspot'!E164</f>
        <v>0</v>
      </c>
      <c r="N462" s="2">
        <f>'Raw Data Hotspot'!G164</f>
        <v>0</v>
      </c>
      <c r="O462" s="2">
        <f>'Raw Data Hotspot'!H164</f>
        <v>0</v>
      </c>
      <c r="P462" s="2">
        <f>'Raw Data Hotspot'!I164</f>
        <v>0</v>
      </c>
      <c r="Q462" s="2">
        <f>'Raw Data Hotspot'!J164</f>
        <v>0</v>
      </c>
      <c r="R462" s="2">
        <f>'Raw Data Hotspot'!K164</f>
        <v>0</v>
      </c>
      <c r="S462" s="2">
        <f>'Raw Data Hotspot'!N164</f>
        <v>0</v>
      </c>
      <c r="T462" s="2">
        <f t="shared" si="14"/>
        <v>0</v>
      </c>
      <c r="U462" s="10" t="str">
        <f>IF($S462=0, "", IF(COUNTIF(Table1[Amino Acid Change], $S462)=0, "Missing", "Y"))</f>
        <v/>
      </c>
      <c r="V462" s="10">
        <f t="shared" si="15"/>
        <v>0</v>
      </c>
    </row>
    <row r="463" spans="9:22" x14ac:dyDescent="0.25">
      <c r="I463" s="2">
        <f>'Raw Data Hotspot'!A165</f>
        <v>0</v>
      </c>
      <c r="J463" s="2">
        <f>'Raw Data Hotspot'!B165</f>
        <v>0</v>
      </c>
      <c r="K463" s="2">
        <f>'Raw Data Hotspot'!C165</f>
        <v>0</v>
      </c>
      <c r="L463" s="2">
        <f>'Raw Data Hotspot'!D165</f>
        <v>0</v>
      </c>
      <c r="M463" s="2">
        <f>'Raw Data Hotspot'!E165</f>
        <v>0</v>
      </c>
      <c r="N463" s="2">
        <f>'Raw Data Hotspot'!G165</f>
        <v>0</v>
      </c>
      <c r="O463" s="2">
        <f>'Raw Data Hotspot'!H165</f>
        <v>0</v>
      </c>
      <c r="P463" s="2">
        <f>'Raw Data Hotspot'!I165</f>
        <v>0</v>
      </c>
      <c r="Q463" s="2">
        <f>'Raw Data Hotspot'!J165</f>
        <v>0</v>
      </c>
      <c r="R463" s="2">
        <f>'Raw Data Hotspot'!K165</f>
        <v>0</v>
      </c>
      <c r="S463" s="2">
        <f>'Raw Data Hotspot'!N165</f>
        <v>0</v>
      </c>
      <c r="T463" s="2">
        <f t="shared" si="14"/>
        <v>0</v>
      </c>
      <c r="U463" s="10" t="str">
        <f>IF($S463=0, "", IF(COUNTIF(Table1[Amino Acid Change], $S463)=0, "Missing", "Y"))</f>
        <v/>
      </c>
      <c r="V463" s="10">
        <f t="shared" si="15"/>
        <v>0</v>
      </c>
    </row>
    <row r="464" spans="9:22" x14ac:dyDescent="0.25">
      <c r="I464" s="2">
        <f>'Raw Data Hotspot'!A166</f>
        <v>0</v>
      </c>
      <c r="J464" s="2">
        <f>'Raw Data Hotspot'!B166</f>
        <v>0</v>
      </c>
      <c r="K464" s="2">
        <f>'Raw Data Hotspot'!C166</f>
        <v>0</v>
      </c>
      <c r="L464" s="2">
        <f>'Raw Data Hotspot'!D166</f>
        <v>0</v>
      </c>
      <c r="M464" s="2">
        <f>'Raw Data Hotspot'!E166</f>
        <v>0</v>
      </c>
      <c r="N464" s="2">
        <f>'Raw Data Hotspot'!G166</f>
        <v>0</v>
      </c>
      <c r="O464" s="2">
        <f>'Raw Data Hotspot'!H166</f>
        <v>0</v>
      </c>
      <c r="P464" s="2">
        <f>'Raw Data Hotspot'!I166</f>
        <v>0</v>
      </c>
      <c r="Q464" s="2">
        <f>'Raw Data Hotspot'!J166</f>
        <v>0</v>
      </c>
      <c r="R464" s="2">
        <f>'Raw Data Hotspot'!K166</f>
        <v>0</v>
      </c>
      <c r="S464" s="2">
        <f>'Raw Data Hotspot'!N166</f>
        <v>0</v>
      </c>
      <c r="T464" s="2">
        <f t="shared" si="14"/>
        <v>0</v>
      </c>
      <c r="U464" s="10" t="str">
        <f>IF($S464=0, "", IF(COUNTIF(Table1[Amino Acid Change], $S464)=0, "Missing", "Y"))</f>
        <v/>
      </c>
      <c r="V464" s="10">
        <f t="shared" si="15"/>
        <v>0</v>
      </c>
    </row>
    <row r="465" spans="9:22" x14ac:dyDescent="0.25">
      <c r="I465" s="2">
        <f>'Raw Data Hotspot'!A167</f>
        <v>0</v>
      </c>
      <c r="J465" s="2">
        <f>'Raw Data Hotspot'!B167</f>
        <v>0</v>
      </c>
      <c r="K465" s="2">
        <f>'Raw Data Hotspot'!C167</f>
        <v>0</v>
      </c>
      <c r="L465" s="2">
        <f>'Raw Data Hotspot'!D167</f>
        <v>0</v>
      </c>
      <c r="M465" s="2">
        <f>'Raw Data Hotspot'!E167</f>
        <v>0</v>
      </c>
      <c r="N465" s="2">
        <f>'Raw Data Hotspot'!G167</f>
        <v>0</v>
      </c>
      <c r="O465" s="2">
        <f>'Raw Data Hotspot'!H167</f>
        <v>0</v>
      </c>
      <c r="P465" s="2">
        <f>'Raw Data Hotspot'!I167</f>
        <v>0</v>
      </c>
      <c r="Q465" s="2">
        <f>'Raw Data Hotspot'!J167</f>
        <v>0</v>
      </c>
      <c r="R465" s="2">
        <f>'Raw Data Hotspot'!K167</f>
        <v>0</v>
      </c>
      <c r="S465" s="2">
        <f>'Raw Data Hotspot'!N167</f>
        <v>0</v>
      </c>
      <c r="T465" s="2">
        <f t="shared" si="14"/>
        <v>0</v>
      </c>
      <c r="U465" s="10" t="str">
        <f>IF($S465=0, "", IF(COUNTIF(Table1[Amino Acid Change], $S465)=0, "Missing", "Y"))</f>
        <v/>
      </c>
      <c r="V465" s="10">
        <f t="shared" si="15"/>
        <v>0</v>
      </c>
    </row>
    <row r="466" spans="9:22" x14ac:dyDescent="0.25">
      <c r="I466" s="2">
        <f>'Raw Data Hotspot'!A168</f>
        <v>0</v>
      </c>
      <c r="J466" s="2">
        <f>'Raw Data Hotspot'!B168</f>
        <v>0</v>
      </c>
      <c r="K466" s="2">
        <f>'Raw Data Hotspot'!C168</f>
        <v>0</v>
      </c>
      <c r="L466" s="2">
        <f>'Raw Data Hotspot'!D168</f>
        <v>0</v>
      </c>
      <c r="M466" s="2">
        <f>'Raw Data Hotspot'!E168</f>
        <v>0</v>
      </c>
      <c r="N466" s="2">
        <f>'Raw Data Hotspot'!G168</f>
        <v>0</v>
      </c>
      <c r="O466" s="2">
        <f>'Raw Data Hotspot'!H168</f>
        <v>0</v>
      </c>
      <c r="P466" s="2">
        <f>'Raw Data Hotspot'!I168</f>
        <v>0</v>
      </c>
      <c r="Q466" s="2">
        <f>'Raw Data Hotspot'!J168</f>
        <v>0</v>
      </c>
      <c r="R466" s="2">
        <f>'Raw Data Hotspot'!K168</f>
        <v>0</v>
      </c>
      <c r="S466" s="2">
        <f>'Raw Data Hotspot'!N168</f>
        <v>0</v>
      </c>
      <c r="T466" s="2">
        <f t="shared" si="14"/>
        <v>0</v>
      </c>
      <c r="U466" s="10" t="str">
        <f>IF($S466=0, "", IF(COUNTIF(Table1[Amino Acid Change], $S466)=0, "Missing", "Y"))</f>
        <v/>
      </c>
      <c r="V466" s="10">
        <f t="shared" si="15"/>
        <v>0</v>
      </c>
    </row>
    <row r="467" spans="9:22" x14ac:dyDescent="0.25">
      <c r="I467" s="2">
        <f>'Raw Data Hotspot'!A169</f>
        <v>0</v>
      </c>
      <c r="J467" s="2">
        <f>'Raw Data Hotspot'!B169</f>
        <v>0</v>
      </c>
      <c r="K467" s="2">
        <f>'Raw Data Hotspot'!C169</f>
        <v>0</v>
      </c>
      <c r="L467" s="2">
        <f>'Raw Data Hotspot'!D169</f>
        <v>0</v>
      </c>
      <c r="M467" s="2">
        <f>'Raw Data Hotspot'!E169</f>
        <v>0</v>
      </c>
      <c r="N467" s="2">
        <f>'Raw Data Hotspot'!G169</f>
        <v>0</v>
      </c>
      <c r="O467" s="2">
        <f>'Raw Data Hotspot'!H169</f>
        <v>0</v>
      </c>
      <c r="P467" s="2">
        <f>'Raw Data Hotspot'!I169</f>
        <v>0</v>
      </c>
      <c r="Q467" s="2">
        <f>'Raw Data Hotspot'!J169</f>
        <v>0</v>
      </c>
      <c r="R467" s="2">
        <f>'Raw Data Hotspot'!K169</f>
        <v>0</v>
      </c>
      <c r="S467" s="2">
        <f>'Raw Data Hotspot'!N169</f>
        <v>0</v>
      </c>
      <c r="T467" s="2">
        <f t="shared" si="14"/>
        <v>0</v>
      </c>
      <c r="U467" s="10" t="str">
        <f>IF($S467=0, "", IF(COUNTIF(Table1[Amino Acid Change], $S467)=0, "Missing", "Y"))</f>
        <v/>
      </c>
      <c r="V467" s="10">
        <f t="shared" si="15"/>
        <v>0</v>
      </c>
    </row>
    <row r="468" spans="9:22" x14ac:dyDescent="0.25">
      <c r="I468" s="2">
        <f>'Raw Data Hotspot'!A170</f>
        <v>0</v>
      </c>
      <c r="J468" s="2">
        <f>'Raw Data Hotspot'!B170</f>
        <v>0</v>
      </c>
      <c r="K468" s="2">
        <f>'Raw Data Hotspot'!C170</f>
        <v>0</v>
      </c>
      <c r="L468" s="2">
        <f>'Raw Data Hotspot'!D170</f>
        <v>0</v>
      </c>
      <c r="M468" s="2">
        <f>'Raw Data Hotspot'!E170</f>
        <v>0</v>
      </c>
      <c r="N468" s="2">
        <f>'Raw Data Hotspot'!G170</f>
        <v>0</v>
      </c>
      <c r="O468" s="2">
        <f>'Raw Data Hotspot'!H170</f>
        <v>0</v>
      </c>
      <c r="P468" s="2">
        <f>'Raw Data Hotspot'!I170</f>
        <v>0</v>
      </c>
      <c r="Q468" s="2">
        <f>'Raw Data Hotspot'!J170</f>
        <v>0</v>
      </c>
      <c r="R468" s="2">
        <f>'Raw Data Hotspot'!K170</f>
        <v>0</v>
      </c>
      <c r="S468" s="2">
        <f>'Raw Data Hotspot'!N170</f>
        <v>0</v>
      </c>
      <c r="T468" s="2">
        <f t="shared" si="14"/>
        <v>0</v>
      </c>
      <c r="U468" s="10" t="str">
        <f>IF($S468=0, "", IF(COUNTIF(Table1[Amino Acid Change], $S468)=0, "Missing", "Y"))</f>
        <v/>
      </c>
      <c r="V468" s="10">
        <f t="shared" si="15"/>
        <v>0</v>
      </c>
    </row>
    <row r="469" spans="9:22" x14ac:dyDescent="0.25">
      <c r="I469" s="2">
        <f>'Raw Data Hotspot'!A171</f>
        <v>0</v>
      </c>
      <c r="J469" s="2">
        <f>'Raw Data Hotspot'!B171</f>
        <v>0</v>
      </c>
      <c r="K469" s="2">
        <f>'Raw Data Hotspot'!C171</f>
        <v>0</v>
      </c>
      <c r="L469" s="2">
        <f>'Raw Data Hotspot'!D171</f>
        <v>0</v>
      </c>
      <c r="M469" s="2">
        <f>'Raw Data Hotspot'!E171</f>
        <v>0</v>
      </c>
      <c r="N469" s="2">
        <f>'Raw Data Hotspot'!G171</f>
        <v>0</v>
      </c>
      <c r="O469" s="2">
        <f>'Raw Data Hotspot'!H171</f>
        <v>0</v>
      </c>
      <c r="P469" s="2">
        <f>'Raw Data Hotspot'!I171</f>
        <v>0</v>
      </c>
      <c r="Q469" s="2">
        <f>'Raw Data Hotspot'!J171</f>
        <v>0</v>
      </c>
      <c r="R469" s="2">
        <f>'Raw Data Hotspot'!K171</f>
        <v>0</v>
      </c>
      <c r="S469" s="2">
        <f>'Raw Data Hotspot'!N171</f>
        <v>0</v>
      </c>
      <c r="T469" s="2">
        <f t="shared" si="14"/>
        <v>0</v>
      </c>
      <c r="U469" s="10" t="str">
        <f>IF($S469=0, "", IF(COUNTIF(Table1[Amino Acid Change], $S469)=0, "Missing", "Y"))</f>
        <v/>
      </c>
      <c r="V469" s="10">
        <f t="shared" si="15"/>
        <v>0</v>
      </c>
    </row>
    <row r="470" spans="9:22" x14ac:dyDescent="0.25">
      <c r="I470" s="2">
        <f>'Raw Data Hotspot'!A172</f>
        <v>0</v>
      </c>
      <c r="J470" s="2">
        <f>'Raw Data Hotspot'!B172</f>
        <v>0</v>
      </c>
      <c r="K470" s="2">
        <f>'Raw Data Hotspot'!C172</f>
        <v>0</v>
      </c>
      <c r="L470" s="2">
        <f>'Raw Data Hotspot'!D172</f>
        <v>0</v>
      </c>
      <c r="M470" s="2">
        <f>'Raw Data Hotspot'!E172</f>
        <v>0</v>
      </c>
      <c r="N470" s="2">
        <f>'Raw Data Hotspot'!G172</f>
        <v>0</v>
      </c>
      <c r="O470" s="2">
        <f>'Raw Data Hotspot'!H172</f>
        <v>0</v>
      </c>
      <c r="P470" s="2">
        <f>'Raw Data Hotspot'!I172</f>
        <v>0</v>
      </c>
      <c r="Q470" s="2">
        <f>'Raw Data Hotspot'!J172</f>
        <v>0</v>
      </c>
      <c r="R470" s="2">
        <f>'Raw Data Hotspot'!K172</f>
        <v>0</v>
      </c>
      <c r="S470" s="2">
        <f>'Raw Data Hotspot'!N172</f>
        <v>0</v>
      </c>
      <c r="T470" s="2">
        <f t="shared" si="14"/>
        <v>0</v>
      </c>
      <c r="U470" s="10" t="str">
        <f>IF($S470=0, "", IF(COUNTIF(Table1[Amino Acid Change], $S470)=0, "Missing", "Y"))</f>
        <v/>
      </c>
      <c r="V470" s="10">
        <f t="shared" si="15"/>
        <v>0</v>
      </c>
    </row>
    <row r="471" spans="9:22" x14ac:dyDescent="0.25">
      <c r="I471" s="2">
        <f>'Raw Data Hotspot'!A173</f>
        <v>0</v>
      </c>
      <c r="J471" s="2">
        <f>'Raw Data Hotspot'!B173</f>
        <v>0</v>
      </c>
      <c r="K471" s="2">
        <f>'Raw Data Hotspot'!C173</f>
        <v>0</v>
      </c>
      <c r="L471" s="2">
        <f>'Raw Data Hotspot'!D173</f>
        <v>0</v>
      </c>
      <c r="M471" s="2">
        <f>'Raw Data Hotspot'!E173</f>
        <v>0</v>
      </c>
      <c r="N471" s="2">
        <f>'Raw Data Hotspot'!G173</f>
        <v>0</v>
      </c>
      <c r="O471" s="2">
        <f>'Raw Data Hotspot'!H173</f>
        <v>0</v>
      </c>
      <c r="P471" s="2">
        <f>'Raw Data Hotspot'!I173</f>
        <v>0</v>
      </c>
      <c r="Q471" s="2">
        <f>'Raw Data Hotspot'!J173</f>
        <v>0</v>
      </c>
      <c r="R471" s="2">
        <f>'Raw Data Hotspot'!K173</f>
        <v>0</v>
      </c>
      <c r="S471" s="2">
        <f>'Raw Data Hotspot'!N173</f>
        <v>0</v>
      </c>
      <c r="T471" s="2">
        <f t="shared" si="14"/>
        <v>0</v>
      </c>
      <c r="U471" s="10" t="str">
        <f>IF($S471=0, "", IF(COUNTIF(Table1[Amino Acid Change], $S471)=0, "Missing", "Y"))</f>
        <v/>
      </c>
      <c r="V471" s="10">
        <f t="shared" si="15"/>
        <v>0</v>
      </c>
    </row>
    <row r="472" spans="9:22" x14ac:dyDescent="0.25">
      <c r="I472" s="2">
        <f>'Raw Data Hotspot'!A174</f>
        <v>0</v>
      </c>
      <c r="J472" s="2">
        <f>'Raw Data Hotspot'!B174</f>
        <v>0</v>
      </c>
      <c r="K472" s="2">
        <f>'Raw Data Hotspot'!C174</f>
        <v>0</v>
      </c>
      <c r="L472" s="2">
        <f>'Raw Data Hotspot'!D174</f>
        <v>0</v>
      </c>
      <c r="M472" s="2">
        <f>'Raw Data Hotspot'!E174</f>
        <v>0</v>
      </c>
      <c r="N472" s="2">
        <f>'Raw Data Hotspot'!G174</f>
        <v>0</v>
      </c>
      <c r="O472" s="2">
        <f>'Raw Data Hotspot'!H174</f>
        <v>0</v>
      </c>
      <c r="P472" s="2">
        <f>'Raw Data Hotspot'!I174</f>
        <v>0</v>
      </c>
      <c r="Q472" s="2">
        <f>'Raw Data Hotspot'!J174</f>
        <v>0</v>
      </c>
      <c r="R472" s="2">
        <f>'Raw Data Hotspot'!K174</f>
        <v>0</v>
      </c>
      <c r="S472" s="2">
        <f>'Raw Data Hotspot'!N174</f>
        <v>0</v>
      </c>
      <c r="T472" s="2">
        <f t="shared" si="14"/>
        <v>0</v>
      </c>
      <c r="U472" s="10" t="str">
        <f>IF($S472=0, "", IF(COUNTIF(Table1[Amino Acid Change], $S472)=0, "Missing", "Y"))</f>
        <v/>
      </c>
      <c r="V472" s="10">
        <f t="shared" si="15"/>
        <v>0</v>
      </c>
    </row>
    <row r="473" spans="9:22" x14ac:dyDescent="0.25">
      <c r="I473" s="2">
        <f>'Raw Data Hotspot'!A175</f>
        <v>0</v>
      </c>
      <c r="J473" s="2">
        <f>'Raw Data Hotspot'!B175</f>
        <v>0</v>
      </c>
      <c r="K473" s="2">
        <f>'Raw Data Hotspot'!C175</f>
        <v>0</v>
      </c>
      <c r="L473" s="2">
        <f>'Raw Data Hotspot'!D175</f>
        <v>0</v>
      </c>
      <c r="M473" s="2">
        <f>'Raw Data Hotspot'!E175</f>
        <v>0</v>
      </c>
      <c r="N473" s="2">
        <f>'Raw Data Hotspot'!G175</f>
        <v>0</v>
      </c>
      <c r="O473" s="2">
        <f>'Raw Data Hotspot'!H175</f>
        <v>0</v>
      </c>
      <c r="P473" s="2">
        <f>'Raw Data Hotspot'!I175</f>
        <v>0</v>
      </c>
      <c r="Q473" s="2">
        <f>'Raw Data Hotspot'!J175</f>
        <v>0</v>
      </c>
      <c r="R473" s="2">
        <f>'Raw Data Hotspot'!K175</f>
        <v>0</v>
      </c>
      <c r="S473" s="2">
        <f>'Raw Data Hotspot'!N175</f>
        <v>0</v>
      </c>
      <c r="T473" s="2">
        <f t="shared" si="14"/>
        <v>0</v>
      </c>
      <c r="U473" s="10" t="str">
        <f>IF($S473=0, "", IF(COUNTIF(Table1[Amino Acid Change], $S473)=0, "Missing", "Y"))</f>
        <v/>
      </c>
      <c r="V473" s="10">
        <f t="shared" si="15"/>
        <v>0</v>
      </c>
    </row>
    <row r="474" spans="9:22" x14ac:dyDescent="0.25">
      <c r="I474" s="2">
        <f>'Raw Data Hotspot'!A176</f>
        <v>0</v>
      </c>
      <c r="J474" s="2">
        <f>'Raw Data Hotspot'!B176</f>
        <v>0</v>
      </c>
      <c r="K474" s="2">
        <f>'Raw Data Hotspot'!C176</f>
        <v>0</v>
      </c>
      <c r="L474" s="2">
        <f>'Raw Data Hotspot'!D176</f>
        <v>0</v>
      </c>
      <c r="M474" s="2">
        <f>'Raw Data Hotspot'!E176</f>
        <v>0</v>
      </c>
      <c r="N474" s="2">
        <f>'Raw Data Hotspot'!G176</f>
        <v>0</v>
      </c>
      <c r="O474" s="2">
        <f>'Raw Data Hotspot'!H176</f>
        <v>0</v>
      </c>
      <c r="P474" s="2">
        <f>'Raw Data Hotspot'!I176</f>
        <v>0</v>
      </c>
      <c r="Q474" s="2">
        <f>'Raw Data Hotspot'!J176</f>
        <v>0</v>
      </c>
      <c r="R474" s="2">
        <f>'Raw Data Hotspot'!K176</f>
        <v>0</v>
      </c>
      <c r="S474" s="2">
        <f>'Raw Data Hotspot'!N176</f>
        <v>0</v>
      </c>
      <c r="T474" s="2">
        <f t="shared" si="14"/>
        <v>0</v>
      </c>
      <c r="U474" s="10" t="str">
        <f>IF($S474=0, "", IF(COUNTIF(Table1[Amino Acid Change], $S474)=0, "Missing", "Y"))</f>
        <v/>
      </c>
      <c r="V474" s="10">
        <f t="shared" si="15"/>
        <v>0</v>
      </c>
    </row>
    <row r="475" spans="9:22" x14ac:dyDescent="0.25">
      <c r="I475" s="2">
        <f>'Raw Data Hotspot'!A177</f>
        <v>0</v>
      </c>
      <c r="J475" s="2">
        <f>'Raw Data Hotspot'!B177</f>
        <v>0</v>
      </c>
      <c r="K475" s="2">
        <f>'Raw Data Hotspot'!C177</f>
        <v>0</v>
      </c>
      <c r="L475" s="2">
        <f>'Raw Data Hotspot'!D177</f>
        <v>0</v>
      </c>
      <c r="M475" s="2">
        <f>'Raw Data Hotspot'!E177</f>
        <v>0</v>
      </c>
      <c r="N475" s="2">
        <f>'Raw Data Hotspot'!G177</f>
        <v>0</v>
      </c>
      <c r="O475" s="2">
        <f>'Raw Data Hotspot'!H177</f>
        <v>0</v>
      </c>
      <c r="P475" s="2">
        <f>'Raw Data Hotspot'!I177</f>
        <v>0</v>
      </c>
      <c r="Q475" s="2">
        <f>'Raw Data Hotspot'!J177</f>
        <v>0</v>
      </c>
      <c r="R475" s="2">
        <f>'Raw Data Hotspot'!K177</f>
        <v>0</v>
      </c>
      <c r="S475" s="2">
        <f>'Raw Data Hotspot'!N177</f>
        <v>0</v>
      </c>
      <c r="T475" s="2">
        <f t="shared" si="14"/>
        <v>0</v>
      </c>
      <c r="U475" s="10" t="str">
        <f>IF($S475=0, "", IF(COUNTIF(Table1[Amino Acid Change], $S475)=0, "Missing", "Y"))</f>
        <v/>
      </c>
      <c r="V475" s="10">
        <f t="shared" si="15"/>
        <v>0</v>
      </c>
    </row>
    <row r="476" spans="9:22" x14ac:dyDescent="0.25">
      <c r="I476" s="2">
        <f>'Raw Data Hotspot'!A178</f>
        <v>0</v>
      </c>
      <c r="J476" s="2">
        <f>'Raw Data Hotspot'!B178</f>
        <v>0</v>
      </c>
      <c r="K476" s="2">
        <f>'Raw Data Hotspot'!C178</f>
        <v>0</v>
      </c>
      <c r="L476" s="2">
        <f>'Raw Data Hotspot'!D178</f>
        <v>0</v>
      </c>
      <c r="M476" s="2">
        <f>'Raw Data Hotspot'!E178</f>
        <v>0</v>
      </c>
      <c r="N476" s="2">
        <f>'Raw Data Hotspot'!G178</f>
        <v>0</v>
      </c>
      <c r="O476" s="2">
        <f>'Raw Data Hotspot'!H178</f>
        <v>0</v>
      </c>
      <c r="P476" s="2">
        <f>'Raw Data Hotspot'!I178</f>
        <v>0</v>
      </c>
      <c r="Q476" s="2">
        <f>'Raw Data Hotspot'!J178</f>
        <v>0</v>
      </c>
      <c r="R476" s="2">
        <f>'Raw Data Hotspot'!K178</f>
        <v>0</v>
      </c>
      <c r="S476" s="2">
        <f>'Raw Data Hotspot'!N178</f>
        <v>0</v>
      </c>
      <c r="T476" s="2">
        <f t="shared" si="14"/>
        <v>0</v>
      </c>
      <c r="U476" s="10" t="str">
        <f>IF($S476=0, "", IF(COUNTIF(Table1[Amino Acid Change], $S476)=0, "Missing", "Y"))</f>
        <v/>
      </c>
      <c r="V476" s="10">
        <f t="shared" si="15"/>
        <v>0</v>
      </c>
    </row>
    <row r="477" spans="9:22" x14ac:dyDescent="0.25">
      <c r="I477" s="2">
        <f>'Raw Data Hotspot'!A179</f>
        <v>0</v>
      </c>
      <c r="J477" s="2">
        <f>'Raw Data Hotspot'!B179</f>
        <v>0</v>
      </c>
      <c r="K477" s="2">
        <f>'Raw Data Hotspot'!C179</f>
        <v>0</v>
      </c>
      <c r="L477" s="2">
        <f>'Raw Data Hotspot'!D179</f>
        <v>0</v>
      </c>
      <c r="M477" s="2">
        <f>'Raw Data Hotspot'!E179</f>
        <v>0</v>
      </c>
      <c r="N477" s="2">
        <f>'Raw Data Hotspot'!G179</f>
        <v>0</v>
      </c>
      <c r="O477" s="2">
        <f>'Raw Data Hotspot'!H179</f>
        <v>0</v>
      </c>
      <c r="P477" s="2">
        <f>'Raw Data Hotspot'!I179</f>
        <v>0</v>
      </c>
      <c r="Q477" s="2">
        <f>'Raw Data Hotspot'!J179</f>
        <v>0</v>
      </c>
      <c r="R477" s="2">
        <f>'Raw Data Hotspot'!K179</f>
        <v>0</v>
      </c>
      <c r="S477" s="2">
        <f>'Raw Data Hotspot'!N179</f>
        <v>0</v>
      </c>
      <c r="T477" s="2">
        <f t="shared" si="14"/>
        <v>0</v>
      </c>
      <c r="U477" s="10" t="str">
        <f>IF($S477=0, "", IF(COUNTIF(Table1[Amino Acid Change], $S477)=0, "Missing", "Y"))</f>
        <v/>
      </c>
      <c r="V477" s="10">
        <f t="shared" si="15"/>
        <v>0</v>
      </c>
    </row>
    <row r="478" spans="9:22" x14ac:dyDescent="0.25">
      <c r="I478" s="2">
        <f>'Raw Data Hotspot'!A180</f>
        <v>0</v>
      </c>
      <c r="J478" s="2">
        <f>'Raw Data Hotspot'!B180</f>
        <v>0</v>
      </c>
      <c r="K478" s="2">
        <f>'Raw Data Hotspot'!C180</f>
        <v>0</v>
      </c>
      <c r="L478" s="2">
        <f>'Raw Data Hotspot'!D180</f>
        <v>0</v>
      </c>
      <c r="M478" s="2">
        <f>'Raw Data Hotspot'!E180</f>
        <v>0</v>
      </c>
      <c r="N478" s="2">
        <f>'Raw Data Hotspot'!G180</f>
        <v>0</v>
      </c>
      <c r="O478" s="2">
        <f>'Raw Data Hotspot'!H180</f>
        <v>0</v>
      </c>
      <c r="P478" s="2">
        <f>'Raw Data Hotspot'!I180</f>
        <v>0</v>
      </c>
      <c r="Q478" s="2">
        <f>'Raw Data Hotspot'!J180</f>
        <v>0</v>
      </c>
      <c r="R478" s="2">
        <f>'Raw Data Hotspot'!K180</f>
        <v>0</v>
      </c>
      <c r="S478" s="2">
        <f>'Raw Data Hotspot'!N180</f>
        <v>0</v>
      </c>
      <c r="T478" s="2">
        <f t="shared" si="14"/>
        <v>0</v>
      </c>
      <c r="U478" s="10" t="str">
        <f>IF($S478=0, "", IF(COUNTIF(Table1[Amino Acid Change], $S478)=0, "Missing", "Y"))</f>
        <v/>
      </c>
      <c r="V478" s="10">
        <f t="shared" si="15"/>
        <v>0</v>
      </c>
    </row>
    <row r="479" spans="9:22" x14ac:dyDescent="0.25">
      <c r="I479" s="2">
        <f>'Raw Data Hotspot'!A181</f>
        <v>0</v>
      </c>
      <c r="J479" s="2">
        <f>'Raw Data Hotspot'!B181</f>
        <v>0</v>
      </c>
      <c r="K479" s="2">
        <f>'Raw Data Hotspot'!C181</f>
        <v>0</v>
      </c>
      <c r="L479" s="2">
        <f>'Raw Data Hotspot'!D181</f>
        <v>0</v>
      </c>
      <c r="M479" s="2">
        <f>'Raw Data Hotspot'!E181</f>
        <v>0</v>
      </c>
      <c r="N479" s="2">
        <f>'Raw Data Hotspot'!G181</f>
        <v>0</v>
      </c>
      <c r="O479" s="2">
        <f>'Raw Data Hotspot'!H181</f>
        <v>0</v>
      </c>
      <c r="P479" s="2">
        <f>'Raw Data Hotspot'!I181</f>
        <v>0</v>
      </c>
      <c r="Q479" s="2">
        <f>'Raw Data Hotspot'!J181</f>
        <v>0</v>
      </c>
      <c r="R479" s="2">
        <f>'Raw Data Hotspot'!K181</f>
        <v>0</v>
      </c>
      <c r="S479" s="2">
        <f>'Raw Data Hotspot'!N181</f>
        <v>0</v>
      </c>
      <c r="T479" s="2">
        <f t="shared" si="14"/>
        <v>0</v>
      </c>
      <c r="U479" s="10" t="str">
        <f>IF($S479=0, "", IF(COUNTIF(Table1[Amino Acid Change], $S479)=0, "Missing", "Y"))</f>
        <v/>
      </c>
      <c r="V479" s="10">
        <f t="shared" si="15"/>
        <v>0</v>
      </c>
    </row>
    <row r="480" spans="9:22" x14ac:dyDescent="0.25">
      <c r="I480" s="2">
        <f>'Raw Data Hotspot'!A182</f>
        <v>0</v>
      </c>
      <c r="J480" s="2">
        <f>'Raw Data Hotspot'!B182</f>
        <v>0</v>
      </c>
      <c r="K480" s="2">
        <f>'Raw Data Hotspot'!C182</f>
        <v>0</v>
      </c>
      <c r="L480" s="2">
        <f>'Raw Data Hotspot'!D182</f>
        <v>0</v>
      </c>
      <c r="M480" s="2">
        <f>'Raw Data Hotspot'!E182</f>
        <v>0</v>
      </c>
      <c r="N480" s="2">
        <f>'Raw Data Hotspot'!G182</f>
        <v>0</v>
      </c>
      <c r="O480" s="2">
        <f>'Raw Data Hotspot'!H182</f>
        <v>0</v>
      </c>
      <c r="P480" s="2">
        <f>'Raw Data Hotspot'!I182</f>
        <v>0</v>
      </c>
      <c r="Q480" s="2">
        <f>'Raw Data Hotspot'!J182</f>
        <v>0</v>
      </c>
      <c r="R480" s="2">
        <f>'Raw Data Hotspot'!K182</f>
        <v>0</v>
      </c>
      <c r="S480" s="2">
        <f>'Raw Data Hotspot'!N182</f>
        <v>0</v>
      </c>
      <c r="T480" s="2">
        <f t="shared" si="14"/>
        <v>0</v>
      </c>
      <c r="U480" s="10" t="str">
        <f>IF($S480=0, "", IF(COUNTIF(Table1[Amino Acid Change], $S480)=0, "Missing", "Y"))</f>
        <v/>
      </c>
      <c r="V480" s="10">
        <f t="shared" si="15"/>
        <v>0</v>
      </c>
    </row>
    <row r="481" spans="9:22" x14ac:dyDescent="0.25">
      <c r="I481" s="2">
        <f>'Raw Data Hotspot'!A183</f>
        <v>0</v>
      </c>
      <c r="J481" s="2">
        <f>'Raw Data Hotspot'!B183</f>
        <v>0</v>
      </c>
      <c r="K481" s="2">
        <f>'Raw Data Hotspot'!C183</f>
        <v>0</v>
      </c>
      <c r="L481" s="2">
        <f>'Raw Data Hotspot'!D183</f>
        <v>0</v>
      </c>
      <c r="M481" s="2">
        <f>'Raw Data Hotspot'!E183</f>
        <v>0</v>
      </c>
      <c r="N481" s="2">
        <f>'Raw Data Hotspot'!G183</f>
        <v>0</v>
      </c>
      <c r="O481" s="2">
        <f>'Raw Data Hotspot'!H183</f>
        <v>0</v>
      </c>
      <c r="P481" s="2">
        <f>'Raw Data Hotspot'!I183</f>
        <v>0</v>
      </c>
      <c r="Q481" s="2">
        <f>'Raw Data Hotspot'!J183</f>
        <v>0</v>
      </c>
      <c r="R481" s="2">
        <f>'Raw Data Hotspot'!K183</f>
        <v>0</v>
      </c>
      <c r="S481" s="2">
        <f>'Raw Data Hotspot'!N183</f>
        <v>0</v>
      </c>
      <c r="T481" s="2">
        <f t="shared" si="14"/>
        <v>0</v>
      </c>
      <c r="U481" s="10" t="str">
        <f>IF($S481=0, "", IF(COUNTIF(Table1[Amino Acid Change], $S481)=0, "Missing", "Y"))</f>
        <v/>
      </c>
      <c r="V481" s="10">
        <f t="shared" si="15"/>
        <v>0</v>
      </c>
    </row>
    <row r="482" spans="9:22" x14ac:dyDescent="0.25">
      <c r="I482" s="2">
        <f>'Raw Data Hotspot'!A184</f>
        <v>0</v>
      </c>
      <c r="J482" s="2">
        <f>'Raw Data Hotspot'!B184</f>
        <v>0</v>
      </c>
      <c r="K482" s="2">
        <f>'Raw Data Hotspot'!C184</f>
        <v>0</v>
      </c>
      <c r="L482" s="2">
        <f>'Raw Data Hotspot'!D184</f>
        <v>0</v>
      </c>
      <c r="M482" s="2">
        <f>'Raw Data Hotspot'!E184</f>
        <v>0</v>
      </c>
      <c r="N482" s="2">
        <f>'Raw Data Hotspot'!G184</f>
        <v>0</v>
      </c>
      <c r="O482" s="2">
        <f>'Raw Data Hotspot'!H184</f>
        <v>0</v>
      </c>
      <c r="P482" s="2">
        <f>'Raw Data Hotspot'!I184</f>
        <v>0</v>
      </c>
      <c r="Q482" s="2">
        <f>'Raw Data Hotspot'!J184</f>
        <v>0</v>
      </c>
      <c r="R482" s="2">
        <f>'Raw Data Hotspot'!K184</f>
        <v>0</v>
      </c>
      <c r="S482" s="2">
        <f>'Raw Data Hotspot'!N184</f>
        <v>0</v>
      </c>
      <c r="T482" s="2">
        <f t="shared" si="14"/>
        <v>0</v>
      </c>
      <c r="U482" s="10" t="str">
        <f>IF($S482=0, "", IF(COUNTIF(Table1[Amino Acid Change], $S482)=0, "Missing", "Y"))</f>
        <v/>
      </c>
      <c r="V482" s="10">
        <f t="shared" si="15"/>
        <v>0</v>
      </c>
    </row>
    <row r="483" spans="9:22" x14ac:dyDescent="0.25">
      <c r="I483" s="2">
        <f>'Raw Data Hotspot'!A185</f>
        <v>0</v>
      </c>
      <c r="J483" s="2">
        <f>'Raw Data Hotspot'!B185</f>
        <v>0</v>
      </c>
      <c r="K483" s="2">
        <f>'Raw Data Hotspot'!C185</f>
        <v>0</v>
      </c>
      <c r="L483" s="2">
        <f>'Raw Data Hotspot'!D185</f>
        <v>0</v>
      </c>
      <c r="M483" s="2">
        <f>'Raw Data Hotspot'!E185</f>
        <v>0</v>
      </c>
      <c r="N483" s="2">
        <f>'Raw Data Hotspot'!G185</f>
        <v>0</v>
      </c>
      <c r="O483" s="2">
        <f>'Raw Data Hotspot'!H185</f>
        <v>0</v>
      </c>
      <c r="P483" s="2">
        <f>'Raw Data Hotspot'!I185</f>
        <v>0</v>
      </c>
      <c r="Q483" s="2">
        <f>'Raw Data Hotspot'!J185</f>
        <v>0</v>
      </c>
      <c r="R483" s="2">
        <f>'Raw Data Hotspot'!K185</f>
        <v>0</v>
      </c>
      <c r="S483" s="2">
        <f>'Raw Data Hotspot'!N185</f>
        <v>0</v>
      </c>
      <c r="T483" s="2">
        <f t="shared" si="14"/>
        <v>0</v>
      </c>
      <c r="U483" s="10" t="str">
        <f>IF($S483=0, "", IF(COUNTIF(Table1[Amino Acid Change], $S483)=0, "Missing", "Y"))</f>
        <v/>
      </c>
      <c r="V483" s="10">
        <f t="shared" si="15"/>
        <v>0</v>
      </c>
    </row>
    <row r="484" spans="9:22" x14ac:dyDescent="0.25">
      <c r="I484" s="2">
        <f>'Raw Data Hotspot'!A186</f>
        <v>0</v>
      </c>
      <c r="J484" s="2">
        <f>'Raw Data Hotspot'!B186</f>
        <v>0</v>
      </c>
      <c r="K484" s="2">
        <f>'Raw Data Hotspot'!C186</f>
        <v>0</v>
      </c>
      <c r="L484" s="2">
        <f>'Raw Data Hotspot'!D186</f>
        <v>0</v>
      </c>
      <c r="M484" s="2">
        <f>'Raw Data Hotspot'!E186</f>
        <v>0</v>
      </c>
      <c r="N484" s="2">
        <f>'Raw Data Hotspot'!G186</f>
        <v>0</v>
      </c>
      <c r="O484" s="2">
        <f>'Raw Data Hotspot'!H186</f>
        <v>0</v>
      </c>
      <c r="P484" s="2">
        <f>'Raw Data Hotspot'!I186</f>
        <v>0</v>
      </c>
      <c r="Q484" s="2">
        <f>'Raw Data Hotspot'!J186</f>
        <v>0</v>
      </c>
      <c r="R484" s="2">
        <f>'Raw Data Hotspot'!K186</f>
        <v>0</v>
      </c>
      <c r="S484" s="2">
        <f>'Raw Data Hotspot'!N186</f>
        <v>0</v>
      </c>
      <c r="T484" s="2">
        <f t="shared" si="14"/>
        <v>0</v>
      </c>
      <c r="U484" s="10" t="str">
        <f>IF($S484=0, "", IF(COUNTIF(Table1[Amino Acid Change], $S484)=0, "Missing", "Y"))</f>
        <v/>
      </c>
      <c r="V484" s="10">
        <f t="shared" si="15"/>
        <v>0</v>
      </c>
    </row>
    <row r="485" spans="9:22" x14ac:dyDescent="0.25">
      <c r="I485" s="2">
        <f>'Raw Data Hotspot'!A187</f>
        <v>0</v>
      </c>
      <c r="J485" s="2">
        <f>'Raw Data Hotspot'!B187</f>
        <v>0</v>
      </c>
      <c r="K485" s="2">
        <f>'Raw Data Hotspot'!C187</f>
        <v>0</v>
      </c>
      <c r="L485" s="2">
        <f>'Raw Data Hotspot'!D187</f>
        <v>0</v>
      </c>
      <c r="M485" s="2">
        <f>'Raw Data Hotspot'!E187</f>
        <v>0</v>
      </c>
      <c r="N485" s="2">
        <f>'Raw Data Hotspot'!G187</f>
        <v>0</v>
      </c>
      <c r="O485" s="2">
        <f>'Raw Data Hotspot'!H187</f>
        <v>0</v>
      </c>
      <c r="P485" s="2">
        <f>'Raw Data Hotspot'!I187</f>
        <v>0</v>
      </c>
      <c r="Q485" s="2">
        <f>'Raw Data Hotspot'!J187</f>
        <v>0</v>
      </c>
      <c r="R485" s="2">
        <f>'Raw Data Hotspot'!K187</f>
        <v>0</v>
      </c>
      <c r="S485" s="2">
        <f>'Raw Data Hotspot'!N187</f>
        <v>0</v>
      </c>
      <c r="T485" s="2">
        <f t="shared" si="14"/>
        <v>0</v>
      </c>
      <c r="U485" s="10" t="str">
        <f>IF($S485=0, "", IF(COUNTIF(Table1[Amino Acid Change], $S485)=0, "Missing", "Y"))</f>
        <v/>
      </c>
      <c r="V485" s="10">
        <f t="shared" si="15"/>
        <v>0</v>
      </c>
    </row>
    <row r="486" spans="9:22" x14ac:dyDescent="0.25">
      <c r="I486" s="2">
        <f>'Raw Data Hotspot'!A188</f>
        <v>0</v>
      </c>
      <c r="J486" s="2">
        <f>'Raw Data Hotspot'!B188</f>
        <v>0</v>
      </c>
      <c r="K486" s="2">
        <f>'Raw Data Hotspot'!C188</f>
        <v>0</v>
      </c>
      <c r="L486" s="2">
        <f>'Raw Data Hotspot'!D188</f>
        <v>0</v>
      </c>
      <c r="M486" s="2">
        <f>'Raw Data Hotspot'!E188</f>
        <v>0</v>
      </c>
      <c r="N486" s="2">
        <f>'Raw Data Hotspot'!G188</f>
        <v>0</v>
      </c>
      <c r="O486" s="2">
        <f>'Raw Data Hotspot'!H188</f>
        <v>0</v>
      </c>
      <c r="P486" s="2">
        <f>'Raw Data Hotspot'!I188</f>
        <v>0</v>
      </c>
      <c r="Q486" s="2">
        <f>'Raw Data Hotspot'!J188</f>
        <v>0</v>
      </c>
      <c r="R486" s="2">
        <f>'Raw Data Hotspot'!K188</f>
        <v>0</v>
      </c>
      <c r="S486" s="2">
        <f>'Raw Data Hotspot'!N188</f>
        <v>0</v>
      </c>
      <c r="T486" s="2">
        <f t="shared" si="14"/>
        <v>0</v>
      </c>
      <c r="U486" s="10" t="str">
        <f>IF($S486=0, "", IF(COUNTIF(Table1[Amino Acid Change], $S486)=0, "Missing", "Y"))</f>
        <v/>
      </c>
      <c r="V486" s="10">
        <f t="shared" si="15"/>
        <v>0</v>
      </c>
    </row>
    <row r="487" spans="9:22" x14ac:dyDescent="0.25">
      <c r="I487" s="2">
        <f>'Raw Data Hotspot'!A189</f>
        <v>0</v>
      </c>
      <c r="J487" s="2">
        <f>'Raw Data Hotspot'!B189</f>
        <v>0</v>
      </c>
      <c r="K487" s="2">
        <f>'Raw Data Hotspot'!C189</f>
        <v>0</v>
      </c>
      <c r="L487" s="2">
        <f>'Raw Data Hotspot'!D189</f>
        <v>0</v>
      </c>
      <c r="M487" s="2">
        <f>'Raw Data Hotspot'!E189</f>
        <v>0</v>
      </c>
      <c r="N487" s="2">
        <f>'Raw Data Hotspot'!G189</f>
        <v>0</v>
      </c>
      <c r="O487" s="2">
        <f>'Raw Data Hotspot'!H189</f>
        <v>0</v>
      </c>
      <c r="P487" s="2">
        <f>'Raw Data Hotspot'!I189</f>
        <v>0</v>
      </c>
      <c r="Q487" s="2">
        <f>'Raw Data Hotspot'!J189</f>
        <v>0</v>
      </c>
      <c r="R487" s="2">
        <f>'Raw Data Hotspot'!K189</f>
        <v>0</v>
      </c>
      <c r="S487" s="2">
        <f>'Raw Data Hotspot'!N189</f>
        <v>0</v>
      </c>
      <c r="T487" s="2">
        <f t="shared" si="14"/>
        <v>0</v>
      </c>
      <c r="U487" s="10" t="str">
        <f>IF($S487=0, "", IF(COUNTIF(Table1[Amino Acid Change], $S487)=0, "Missing", "Y"))</f>
        <v/>
      </c>
      <c r="V487" s="10">
        <f t="shared" si="15"/>
        <v>0</v>
      </c>
    </row>
    <row r="488" spans="9:22" x14ac:dyDescent="0.25">
      <c r="I488" s="2">
        <f>'Raw Data Hotspot'!A190</f>
        <v>0</v>
      </c>
      <c r="J488" s="2">
        <f>'Raw Data Hotspot'!B190</f>
        <v>0</v>
      </c>
      <c r="K488" s="2">
        <f>'Raw Data Hotspot'!C190</f>
        <v>0</v>
      </c>
      <c r="L488" s="2">
        <f>'Raw Data Hotspot'!D190</f>
        <v>0</v>
      </c>
      <c r="M488" s="2">
        <f>'Raw Data Hotspot'!E190</f>
        <v>0</v>
      </c>
      <c r="N488" s="2">
        <f>'Raw Data Hotspot'!G190</f>
        <v>0</v>
      </c>
      <c r="O488" s="2">
        <f>'Raw Data Hotspot'!H190</f>
        <v>0</v>
      </c>
      <c r="P488" s="2">
        <f>'Raw Data Hotspot'!I190</f>
        <v>0</v>
      </c>
      <c r="Q488" s="2">
        <f>'Raw Data Hotspot'!J190</f>
        <v>0</v>
      </c>
      <c r="R488" s="2">
        <f>'Raw Data Hotspot'!K190</f>
        <v>0</v>
      </c>
      <c r="S488" s="2">
        <f>'Raw Data Hotspot'!N190</f>
        <v>0</v>
      </c>
      <c r="T488" s="2">
        <f t="shared" si="14"/>
        <v>0</v>
      </c>
      <c r="U488" s="10" t="str">
        <f>IF($S488=0, "", IF(COUNTIF(Table1[Amino Acid Change], $S488)=0, "Missing", "Y"))</f>
        <v/>
      </c>
      <c r="V488" s="10">
        <f t="shared" si="15"/>
        <v>0</v>
      </c>
    </row>
    <row r="489" spans="9:22" x14ac:dyDescent="0.25">
      <c r="I489" s="2">
        <f>'Raw Data Hotspot'!A191</f>
        <v>0</v>
      </c>
      <c r="J489" s="2">
        <f>'Raw Data Hotspot'!B191</f>
        <v>0</v>
      </c>
      <c r="K489" s="2">
        <f>'Raw Data Hotspot'!C191</f>
        <v>0</v>
      </c>
      <c r="L489" s="2">
        <f>'Raw Data Hotspot'!D191</f>
        <v>0</v>
      </c>
      <c r="M489" s="2">
        <f>'Raw Data Hotspot'!E191</f>
        <v>0</v>
      </c>
      <c r="N489" s="2">
        <f>'Raw Data Hotspot'!G191</f>
        <v>0</v>
      </c>
      <c r="O489" s="2">
        <f>'Raw Data Hotspot'!H191</f>
        <v>0</v>
      </c>
      <c r="P489" s="2">
        <f>'Raw Data Hotspot'!I191</f>
        <v>0</v>
      </c>
      <c r="Q489" s="2">
        <f>'Raw Data Hotspot'!J191</f>
        <v>0</v>
      </c>
      <c r="R489" s="2">
        <f>'Raw Data Hotspot'!K191</f>
        <v>0</v>
      </c>
      <c r="S489" s="2">
        <f>'Raw Data Hotspot'!N191</f>
        <v>0</v>
      </c>
      <c r="T489" s="2">
        <f t="shared" si="14"/>
        <v>0</v>
      </c>
      <c r="U489" s="10" t="str">
        <f>IF($S489=0, "", IF(COUNTIF(Table1[Amino Acid Change], $S489)=0, "Missing", "Y"))</f>
        <v/>
      </c>
      <c r="V489" s="10">
        <f t="shared" si="15"/>
        <v>0</v>
      </c>
    </row>
    <row r="490" spans="9:22" x14ac:dyDescent="0.25">
      <c r="I490" s="2">
        <f>'Raw Data Hotspot'!A192</f>
        <v>0</v>
      </c>
      <c r="J490" s="2">
        <f>'Raw Data Hotspot'!B192</f>
        <v>0</v>
      </c>
      <c r="K490" s="2">
        <f>'Raw Data Hotspot'!C192</f>
        <v>0</v>
      </c>
      <c r="L490" s="2">
        <f>'Raw Data Hotspot'!D192</f>
        <v>0</v>
      </c>
      <c r="M490" s="2">
        <f>'Raw Data Hotspot'!E192</f>
        <v>0</v>
      </c>
      <c r="N490" s="2">
        <f>'Raw Data Hotspot'!G192</f>
        <v>0</v>
      </c>
      <c r="O490" s="2">
        <f>'Raw Data Hotspot'!H192</f>
        <v>0</v>
      </c>
      <c r="P490" s="2">
        <f>'Raw Data Hotspot'!I192</f>
        <v>0</v>
      </c>
      <c r="Q490" s="2">
        <f>'Raw Data Hotspot'!J192</f>
        <v>0</v>
      </c>
      <c r="R490" s="2">
        <f>'Raw Data Hotspot'!K192</f>
        <v>0</v>
      </c>
      <c r="S490" s="2">
        <f>'Raw Data Hotspot'!N192</f>
        <v>0</v>
      </c>
      <c r="T490" s="2">
        <f t="shared" si="14"/>
        <v>0</v>
      </c>
      <c r="U490" s="10" t="str">
        <f>IF($S490=0, "", IF(COUNTIF(Table1[Amino Acid Change], $S490)=0, "Missing", "Y"))</f>
        <v/>
      </c>
      <c r="V490" s="10">
        <f t="shared" si="15"/>
        <v>0</v>
      </c>
    </row>
    <row r="491" spans="9:22" x14ac:dyDescent="0.25">
      <c r="I491" s="2">
        <f>'Raw Data Hotspot'!A193</f>
        <v>0</v>
      </c>
      <c r="J491" s="2">
        <f>'Raw Data Hotspot'!B193</f>
        <v>0</v>
      </c>
      <c r="K491" s="2">
        <f>'Raw Data Hotspot'!C193</f>
        <v>0</v>
      </c>
      <c r="L491" s="2">
        <f>'Raw Data Hotspot'!D193</f>
        <v>0</v>
      </c>
      <c r="M491" s="2">
        <f>'Raw Data Hotspot'!E193</f>
        <v>0</v>
      </c>
      <c r="N491" s="2">
        <f>'Raw Data Hotspot'!G193</f>
        <v>0</v>
      </c>
      <c r="O491" s="2">
        <f>'Raw Data Hotspot'!H193</f>
        <v>0</v>
      </c>
      <c r="P491" s="2">
        <f>'Raw Data Hotspot'!I193</f>
        <v>0</v>
      </c>
      <c r="Q491" s="2">
        <f>'Raw Data Hotspot'!J193</f>
        <v>0</v>
      </c>
      <c r="R491" s="2">
        <f>'Raw Data Hotspot'!K193</f>
        <v>0</v>
      </c>
      <c r="S491" s="2">
        <f>'Raw Data Hotspot'!N193</f>
        <v>0</v>
      </c>
      <c r="T491" s="2">
        <f t="shared" si="14"/>
        <v>0</v>
      </c>
      <c r="U491" s="10" t="str">
        <f>IF($S491=0, "", IF(COUNTIF(Table1[Amino Acid Change], $S491)=0, "Missing", "Y"))</f>
        <v/>
      </c>
      <c r="V491" s="10">
        <f t="shared" si="15"/>
        <v>0</v>
      </c>
    </row>
    <row r="492" spans="9:22" x14ac:dyDescent="0.25">
      <c r="I492" s="2">
        <f>'Raw Data Hotspot'!A194</f>
        <v>0</v>
      </c>
      <c r="J492" s="2">
        <f>'Raw Data Hotspot'!B194</f>
        <v>0</v>
      </c>
      <c r="K492" s="2">
        <f>'Raw Data Hotspot'!C194</f>
        <v>0</v>
      </c>
      <c r="L492" s="2">
        <f>'Raw Data Hotspot'!D194</f>
        <v>0</v>
      </c>
      <c r="M492" s="2">
        <f>'Raw Data Hotspot'!E194</f>
        <v>0</v>
      </c>
      <c r="N492" s="2">
        <f>'Raw Data Hotspot'!G194</f>
        <v>0</v>
      </c>
      <c r="O492" s="2">
        <f>'Raw Data Hotspot'!H194</f>
        <v>0</v>
      </c>
      <c r="P492" s="2">
        <f>'Raw Data Hotspot'!I194</f>
        <v>0</v>
      </c>
      <c r="Q492" s="2">
        <f>'Raw Data Hotspot'!J194</f>
        <v>0</v>
      </c>
      <c r="R492" s="2">
        <f>'Raw Data Hotspot'!K194</f>
        <v>0</v>
      </c>
      <c r="S492" s="2">
        <f>'Raw Data Hotspot'!N194</f>
        <v>0</v>
      </c>
      <c r="T492" s="2">
        <f t="shared" si="14"/>
        <v>0</v>
      </c>
      <c r="U492" s="10" t="str">
        <f>IF($S492=0, "", IF(COUNTIF(Table1[Amino Acid Change], $S492)=0, "Missing", "Y"))</f>
        <v/>
      </c>
      <c r="V492" s="10">
        <f t="shared" si="15"/>
        <v>0</v>
      </c>
    </row>
    <row r="493" spans="9:22" x14ac:dyDescent="0.25">
      <c r="I493" s="2">
        <f>'Raw Data Hotspot'!A195</f>
        <v>0</v>
      </c>
      <c r="J493" s="2">
        <f>'Raw Data Hotspot'!B195</f>
        <v>0</v>
      </c>
      <c r="K493" s="2">
        <f>'Raw Data Hotspot'!C195</f>
        <v>0</v>
      </c>
      <c r="L493" s="2">
        <f>'Raw Data Hotspot'!D195</f>
        <v>0</v>
      </c>
      <c r="M493" s="2">
        <f>'Raw Data Hotspot'!E195</f>
        <v>0</v>
      </c>
      <c r="N493" s="2">
        <f>'Raw Data Hotspot'!G195</f>
        <v>0</v>
      </c>
      <c r="O493" s="2">
        <f>'Raw Data Hotspot'!H195</f>
        <v>0</v>
      </c>
      <c r="P493" s="2">
        <f>'Raw Data Hotspot'!I195</f>
        <v>0</v>
      </c>
      <c r="Q493" s="2">
        <f>'Raw Data Hotspot'!J195</f>
        <v>0</v>
      </c>
      <c r="R493" s="2">
        <f>'Raw Data Hotspot'!K195</f>
        <v>0</v>
      </c>
      <c r="S493" s="2">
        <f>'Raw Data Hotspot'!N195</f>
        <v>0</v>
      </c>
      <c r="T493" s="2">
        <f t="shared" ref="T493:T502" si="16">P493</f>
        <v>0</v>
      </c>
      <c r="U493" s="10" t="str">
        <f>IF($S493=0, "", IF(COUNTIF(Table1[Amino Acid Change], $S493)=0, "Missing", "Y"))</f>
        <v/>
      </c>
      <c r="V493" s="10">
        <f t="shared" ref="V493:V502" si="17">J493</f>
        <v>0</v>
      </c>
    </row>
    <row r="494" spans="9:22" x14ac:dyDescent="0.25">
      <c r="I494" s="2">
        <f>'Raw Data Hotspot'!A196</f>
        <v>0</v>
      </c>
      <c r="J494" s="2">
        <f>'Raw Data Hotspot'!B196</f>
        <v>0</v>
      </c>
      <c r="K494" s="2">
        <f>'Raw Data Hotspot'!C196</f>
        <v>0</v>
      </c>
      <c r="L494" s="2">
        <f>'Raw Data Hotspot'!D196</f>
        <v>0</v>
      </c>
      <c r="M494" s="2">
        <f>'Raw Data Hotspot'!E196</f>
        <v>0</v>
      </c>
      <c r="N494" s="2">
        <f>'Raw Data Hotspot'!G196</f>
        <v>0</v>
      </c>
      <c r="O494" s="2">
        <f>'Raw Data Hotspot'!H196</f>
        <v>0</v>
      </c>
      <c r="P494" s="2">
        <f>'Raw Data Hotspot'!I196</f>
        <v>0</v>
      </c>
      <c r="Q494" s="2">
        <f>'Raw Data Hotspot'!J196</f>
        <v>0</v>
      </c>
      <c r="R494" s="2">
        <f>'Raw Data Hotspot'!K196</f>
        <v>0</v>
      </c>
      <c r="S494" s="2">
        <f>'Raw Data Hotspot'!N196</f>
        <v>0</v>
      </c>
      <c r="T494" s="2">
        <f t="shared" si="16"/>
        <v>0</v>
      </c>
      <c r="U494" s="10" t="str">
        <f>IF($S494=0, "", IF(COUNTIF(Table1[Amino Acid Change], $S494)=0, "Missing", "Y"))</f>
        <v/>
      </c>
      <c r="V494" s="10">
        <f t="shared" si="17"/>
        <v>0</v>
      </c>
    </row>
    <row r="495" spans="9:22" x14ac:dyDescent="0.25">
      <c r="I495" s="2">
        <f>'Raw Data Hotspot'!A197</f>
        <v>0</v>
      </c>
      <c r="J495" s="2">
        <f>'Raw Data Hotspot'!B197</f>
        <v>0</v>
      </c>
      <c r="K495" s="2">
        <f>'Raw Data Hotspot'!C197</f>
        <v>0</v>
      </c>
      <c r="L495" s="2">
        <f>'Raw Data Hotspot'!D197</f>
        <v>0</v>
      </c>
      <c r="M495" s="2">
        <f>'Raw Data Hotspot'!E197</f>
        <v>0</v>
      </c>
      <c r="N495" s="2">
        <f>'Raw Data Hotspot'!G197</f>
        <v>0</v>
      </c>
      <c r="O495" s="2">
        <f>'Raw Data Hotspot'!H197</f>
        <v>0</v>
      </c>
      <c r="P495" s="2">
        <f>'Raw Data Hotspot'!I197</f>
        <v>0</v>
      </c>
      <c r="Q495" s="2">
        <f>'Raw Data Hotspot'!J197</f>
        <v>0</v>
      </c>
      <c r="R495" s="2">
        <f>'Raw Data Hotspot'!K197</f>
        <v>0</v>
      </c>
      <c r="S495" s="2">
        <f>'Raw Data Hotspot'!N197</f>
        <v>0</v>
      </c>
      <c r="T495" s="2">
        <f t="shared" si="16"/>
        <v>0</v>
      </c>
      <c r="U495" s="10" t="str">
        <f>IF($S495=0, "", IF(COUNTIF(Table1[Amino Acid Change], $S495)=0, "Missing", "Y"))</f>
        <v/>
      </c>
      <c r="V495" s="10">
        <f t="shared" si="17"/>
        <v>0</v>
      </c>
    </row>
    <row r="496" spans="9:22" x14ac:dyDescent="0.25">
      <c r="I496" s="2">
        <f>'Raw Data Hotspot'!A198</f>
        <v>0</v>
      </c>
      <c r="J496" s="2">
        <f>'Raw Data Hotspot'!B198</f>
        <v>0</v>
      </c>
      <c r="K496" s="2">
        <f>'Raw Data Hotspot'!C198</f>
        <v>0</v>
      </c>
      <c r="L496" s="2">
        <f>'Raw Data Hotspot'!D198</f>
        <v>0</v>
      </c>
      <c r="M496" s="2">
        <f>'Raw Data Hotspot'!E198</f>
        <v>0</v>
      </c>
      <c r="N496" s="2">
        <f>'Raw Data Hotspot'!G198</f>
        <v>0</v>
      </c>
      <c r="O496" s="2">
        <f>'Raw Data Hotspot'!H198</f>
        <v>0</v>
      </c>
      <c r="P496" s="2">
        <f>'Raw Data Hotspot'!I198</f>
        <v>0</v>
      </c>
      <c r="Q496" s="2">
        <f>'Raw Data Hotspot'!J198</f>
        <v>0</v>
      </c>
      <c r="R496" s="2">
        <f>'Raw Data Hotspot'!K198</f>
        <v>0</v>
      </c>
      <c r="S496" s="2">
        <f>'Raw Data Hotspot'!N198</f>
        <v>0</v>
      </c>
      <c r="T496" s="2">
        <f t="shared" si="16"/>
        <v>0</v>
      </c>
      <c r="U496" s="10" t="str">
        <f>IF($S496=0, "", IF(COUNTIF(Table1[Amino Acid Change], $S496)=0, "Missing", "Y"))</f>
        <v/>
      </c>
      <c r="V496" s="10">
        <f t="shared" si="17"/>
        <v>0</v>
      </c>
    </row>
    <row r="497" spans="9:23" x14ac:dyDescent="0.25">
      <c r="I497" s="2">
        <f>'Raw Data Hotspot'!A199</f>
        <v>0</v>
      </c>
      <c r="J497" s="2">
        <f>'Raw Data Hotspot'!B199</f>
        <v>0</v>
      </c>
      <c r="K497" s="2">
        <f>'Raw Data Hotspot'!C199</f>
        <v>0</v>
      </c>
      <c r="L497" s="2">
        <f>'Raw Data Hotspot'!D199</f>
        <v>0</v>
      </c>
      <c r="M497" s="2">
        <f>'Raw Data Hotspot'!E199</f>
        <v>0</v>
      </c>
      <c r="N497" s="2">
        <f>'Raw Data Hotspot'!G199</f>
        <v>0</v>
      </c>
      <c r="O497" s="2">
        <f>'Raw Data Hotspot'!H199</f>
        <v>0</v>
      </c>
      <c r="P497" s="2">
        <f>'Raw Data Hotspot'!I199</f>
        <v>0</v>
      </c>
      <c r="Q497" s="2">
        <f>'Raw Data Hotspot'!J199</f>
        <v>0</v>
      </c>
      <c r="R497" s="2">
        <f>'Raw Data Hotspot'!K199</f>
        <v>0</v>
      </c>
      <c r="S497" s="2">
        <f>'Raw Data Hotspot'!N199</f>
        <v>0</v>
      </c>
      <c r="T497" s="2">
        <f t="shared" si="16"/>
        <v>0</v>
      </c>
      <c r="U497" s="10" t="str">
        <f>IF($S497=0, "", IF(COUNTIF(Table1[Amino Acid Change], $S497)=0, "Missing", "Y"))</f>
        <v/>
      </c>
      <c r="V497" s="10">
        <f t="shared" si="17"/>
        <v>0</v>
      </c>
    </row>
    <row r="498" spans="9:23" x14ac:dyDescent="0.25">
      <c r="I498" s="2">
        <f>'Raw Data Hotspot'!A200</f>
        <v>0</v>
      </c>
      <c r="J498" s="2">
        <f>'Raw Data Hotspot'!B200</f>
        <v>0</v>
      </c>
      <c r="K498" s="2">
        <f>'Raw Data Hotspot'!C200</f>
        <v>0</v>
      </c>
      <c r="L498" s="2">
        <f>'Raw Data Hotspot'!D200</f>
        <v>0</v>
      </c>
      <c r="M498" s="2">
        <f>'Raw Data Hotspot'!E200</f>
        <v>0</v>
      </c>
      <c r="N498" s="2">
        <f>'Raw Data Hotspot'!G200</f>
        <v>0</v>
      </c>
      <c r="O498" s="2">
        <f>'Raw Data Hotspot'!H200</f>
        <v>0</v>
      </c>
      <c r="P498" s="2">
        <f>'Raw Data Hotspot'!I200</f>
        <v>0</v>
      </c>
      <c r="Q498" s="2">
        <f>'Raw Data Hotspot'!J200</f>
        <v>0</v>
      </c>
      <c r="R498" s="2">
        <f>'Raw Data Hotspot'!K200</f>
        <v>0</v>
      </c>
      <c r="S498" s="2">
        <f>'Raw Data Hotspot'!N200</f>
        <v>0</v>
      </c>
      <c r="T498" s="2">
        <f t="shared" si="16"/>
        <v>0</v>
      </c>
      <c r="U498" s="10" t="str">
        <f>IF($S498=0, "", IF(COUNTIF(Table1[Amino Acid Change], $S498)=0, "Missing", "Y"))</f>
        <v/>
      </c>
      <c r="V498" s="10">
        <f t="shared" si="17"/>
        <v>0</v>
      </c>
    </row>
    <row r="499" spans="9:23" x14ac:dyDescent="0.25">
      <c r="I499" s="2">
        <f>'Raw Data Hotspot'!A201</f>
        <v>0</v>
      </c>
      <c r="J499" s="2">
        <f>'Raw Data Hotspot'!B201</f>
        <v>0</v>
      </c>
      <c r="K499" s="2">
        <f>'Raw Data Hotspot'!C201</f>
        <v>0</v>
      </c>
      <c r="L499" s="2">
        <f>'Raw Data Hotspot'!D201</f>
        <v>0</v>
      </c>
      <c r="M499" s="2">
        <f>'Raw Data Hotspot'!E201</f>
        <v>0</v>
      </c>
      <c r="N499" s="2">
        <f>'Raw Data Hotspot'!G201</f>
        <v>0</v>
      </c>
      <c r="O499" s="2">
        <f>'Raw Data Hotspot'!H201</f>
        <v>0</v>
      </c>
      <c r="P499" s="2">
        <f>'Raw Data Hotspot'!I201</f>
        <v>0</v>
      </c>
      <c r="Q499" s="2">
        <f>'Raw Data Hotspot'!J201</f>
        <v>0</v>
      </c>
      <c r="R499" s="2">
        <f>'Raw Data Hotspot'!K201</f>
        <v>0</v>
      </c>
      <c r="S499" s="2">
        <f>'Raw Data Hotspot'!N201</f>
        <v>0</v>
      </c>
      <c r="T499" s="2">
        <f t="shared" si="16"/>
        <v>0</v>
      </c>
      <c r="U499" s="10" t="str">
        <f>IF($S499=0, "", IF(COUNTIF(Table1[Amino Acid Change], $S499)=0, "Missing", "Y"))</f>
        <v/>
      </c>
      <c r="V499" s="10">
        <f t="shared" si="17"/>
        <v>0</v>
      </c>
    </row>
    <row r="500" spans="9:23" x14ac:dyDescent="0.25">
      <c r="I500" s="2">
        <f>'Raw Data Hotspot'!A202</f>
        <v>0</v>
      </c>
      <c r="J500" s="2">
        <f>'Raw Data Hotspot'!B202</f>
        <v>0</v>
      </c>
      <c r="K500" s="2">
        <f>'Raw Data Hotspot'!C202</f>
        <v>0</v>
      </c>
      <c r="L500" s="2">
        <f>'Raw Data Hotspot'!D202</f>
        <v>0</v>
      </c>
      <c r="M500" s="2">
        <f>'Raw Data Hotspot'!E202</f>
        <v>0</v>
      </c>
      <c r="N500" s="2">
        <f>'Raw Data Hotspot'!G202</f>
        <v>0</v>
      </c>
      <c r="O500" s="2">
        <f>'Raw Data Hotspot'!H202</f>
        <v>0</v>
      </c>
      <c r="P500" s="2">
        <f>'Raw Data Hotspot'!I202</f>
        <v>0</v>
      </c>
      <c r="Q500" s="2">
        <f>'Raw Data Hotspot'!J202</f>
        <v>0</v>
      </c>
      <c r="R500" s="2">
        <f>'Raw Data Hotspot'!K202</f>
        <v>0</v>
      </c>
      <c r="S500" s="2">
        <f>'Raw Data Hotspot'!N202</f>
        <v>0</v>
      </c>
      <c r="T500" s="2">
        <f t="shared" si="16"/>
        <v>0</v>
      </c>
      <c r="U500" s="10" t="str">
        <f>IF($S500=0, "", IF(COUNTIF(Table1[Amino Acid Change], $S500)=0, "Missing", "Y"))</f>
        <v/>
      </c>
      <c r="V500" s="10">
        <f t="shared" si="17"/>
        <v>0</v>
      </c>
    </row>
    <row r="501" spans="9:23" x14ac:dyDescent="0.25">
      <c r="I501" s="2">
        <f>'Raw Data Hotspot'!A203</f>
        <v>0</v>
      </c>
      <c r="J501" s="2">
        <f>'Raw Data Hotspot'!B203</f>
        <v>0</v>
      </c>
      <c r="K501" s="2">
        <f>'Raw Data Hotspot'!C203</f>
        <v>0</v>
      </c>
      <c r="L501" s="2">
        <f>'Raw Data Hotspot'!D203</f>
        <v>0</v>
      </c>
      <c r="M501" s="2">
        <f>'Raw Data Hotspot'!E203</f>
        <v>0</v>
      </c>
      <c r="N501" s="2">
        <f>'Raw Data Hotspot'!G203</f>
        <v>0</v>
      </c>
      <c r="O501" s="2">
        <f>'Raw Data Hotspot'!H203</f>
        <v>0</v>
      </c>
      <c r="P501" s="2">
        <f>'Raw Data Hotspot'!I203</f>
        <v>0</v>
      </c>
      <c r="Q501" s="2">
        <f>'Raw Data Hotspot'!J203</f>
        <v>0</v>
      </c>
      <c r="R501" s="2">
        <f>'Raw Data Hotspot'!K203</f>
        <v>0</v>
      </c>
      <c r="S501" s="2">
        <f>'Raw Data Hotspot'!N203</f>
        <v>0</v>
      </c>
      <c r="T501" s="2">
        <f t="shared" si="16"/>
        <v>0</v>
      </c>
      <c r="U501" s="10" t="str">
        <f>IF($S501=0, "", IF(COUNTIF(Table1[Amino Acid Change], $S501)=0, "Missing", "Y"))</f>
        <v/>
      </c>
      <c r="V501" s="10">
        <f t="shared" si="17"/>
        <v>0</v>
      </c>
    </row>
    <row r="502" spans="9:23" x14ac:dyDescent="0.25">
      <c r="I502" s="2">
        <f>Insertion!A2</f>
        <v>0</v>
      </c>
      <c r="J502" s="2">
        <f>Insertion!B2</f>
        <v>0</v>
      </c>
      <c r="K502" s="2">
        <f>Insertion!C2</f>
        <v>0</v>
      </c>
      <c r="L502" s="2">
        <f>Insertion!D2</f>
        <v>0</v>
      </c>
      <c r="M502" s="2">
        <f>Insertion!E2</f>
        <v>0</v>
      </c>
      <c r="N502" s="2">
        <f>Insertion!G2</f>
        <v>0</v>
      </c>
      <c r="O502" s="2">
        <f>Insertion!H2</f>
        <v>0</v>
      </c>
      <c r="P502" s="2">
        <f>Insertion!I2</f>
        <v>0</v>
      </c>
      <c r="Q502" s="2">
        <f>Insertion!J2</f>
        <v>0</v>
      </c>
      <c r="R502" s="2">
        <f>Insertion!K2</f>
        <v>0</v>
      </c>
      <c r="S502" s="2">
        <f>Insertion!N2</f>
        <v>0</v>
      </c>
      <c r="T502" s="2">
        <f t="shared" si="16"/>
        <v>0</v>
      </c>
      <c r="U502" s="10" t="str">
        <f>IF($S502=0, "", IF(COUNTIF(Table1[Amino Acid Change], $S502)=0, "Missing", "Y"))</f>
        <v/>
      </c>
      <c r="V502" s="10">
        <f t="shared" si="17"/>
        <v>0</v>
      </c>
      <c r="W502" s="3" t="s">
        <v>146</v>
      </c>
    </row>
    <row r="503" spans="9:23" x14ac:dyDescent="0.25">
      <c r="I503" s="2">
        <f>Insertion!A3</f>
        <v>0</v>
      </c>
      <c r="J503" s="2">
        <f>Insertion!B3</f>
        <v>0</v>
      </c>
      <c r="K503" s="2">
        <f>Insertion!C3</f>
        <v>0</v>
      </c>
      <c r="L503" s="2">
        <f>Insertion!D3</f>
        <v>0</v>
      </c>
      <c r="M503" s="2">
        <f>Insertion!E3</f>
        <v>0</v>
      </c>
      <c r="N503" s="2">
        <f>Insertion!G3</f>
        <v>0</v>
      </c>
      <c r="O503" s="2">
        <f>Insertion!H3</f>
        <v>0</v>
      </c>
      <c r="P503" s="2">
        <f>Insertion!I3</f>
        <v>0</v>
      </c>
      <c r="Q503" s="2">
        <f>Insertion!J3</f>
        <v>0</v>
      </c>
      <c r="R503" s="2">
        <f>Insertion!K3</f>
        <v>0</v>
      </c>
      <c r="S503" s="2">
        <f>Insertion!N3</f>
        <v>0</v>
      </c>
      <c r="T503" s="2">
        <f t="shared" ref="T503:T566" si="18">P503</f>
        <v>0</v>
      </c>
      <c r="U503" s="10" t="str">
        <f>IF($S503=0, "", IF(COUNTIF(Table1[Amino Acid Change], $S503)=0, "Missing", "Y"))</f>
        <v/>
      </c>
      <c r="V503" s="10">
        <f t="shared" ref="V503:V566" si="19">J503</f>
        <v>0</v>
      </c>
    </row>
    <row r="504" spans="9:23" x14ac:dyDescent="0.25">
      <c r="I504" s="2">
        <f>Insertion!A4</f>
        <v>0</v>
      </c>
      <c r="J504" s="2">
        <f>Insertion!B4</f>
        <v>0</v>
      </c>
      <c r="K504" s="2">
        <f>Insertion!C4</f>
        <v>0</v>
      </c>
      <c r="L504" s="2">
        <f>Insertion!D4</f>
        <v>0</v>
      </c>
      <c r="M504" s="2">
        <f>Insertion!E4</f>
        <v>0</v>
      </c>
      <c r="N504" s="2">
        <f>Insertion!G4</f>
        <v>0</v>
      </c>
      <c r="O504" s="2">
        <f>Insertion!H4</f>
        <v>0</v>
      </c>
      <c r="P504" s="2">
        <f>Insertion!I4</f>
        <v>0</v>
      </c>
      <c r="Q504" s="2">
        <f>Insertion!J4</f>
        <v>0</v>
      </c>
      <c r="R504" s="2">
        <f>Insertion!K4</f>
        <v>0</v>
      </c>
      <c r="S504" s="2">
        <f>Insertion!N4</f>
        <v>0</v>
      </c>
      <c r="T504" s="2">
        <f t="shared" si="18"/>
        <v>0</v>
      </c>
      <c r="U504" s="10" t="str">
        <f>IF($S504=0, "", IF(COUNTIF(Table1[Amino Acid Change], $S504)=0, "Missing", "Y"))</f>
        <v/>
      </c>
      <c r="V504" s="10">
        <f t="shared" si="19"/>
        <v>0</v>
      </c>
    </row>
    <row r="505" spans="9:23" x14ac:dyDescent="0.25">
      <c r="I505" s="2">
        <f>Insertion!A5</f>
        <v>0</v>
      </c>
      <c r="J505" s="2">
        <f>Insertion!B5</f>
        <v>0</v>
      </c>
      <c r="K505" s="2">
        <f>Insertion!C5</f>
        <v>0</v>
      </c>
      <c r="L505" s="2">
        <f>Insertion!D5</f>
        <v>0</v>
      </c>
      <c r="M505" s="2">
        <f>Insertion!E5</f>
        <v>0</v>
      </c>
      <c r="N505" s="2">
        <f>Insertion!G5</f>
        <v>0</v>
      </c>
      <c r="O505" s="2">
        <f>Insertion!H5</f>
        <v>0</v>
      </c>
      <c r="P505" s="2">
        <f>Insertion!I5</f>
        <v>0</v>
      </c>
      <c r="Q505" s="2">
        <f>Insertion!J5</f>
        <v>0</v>
      </c>
      <c r="R505" s="2">
        <f>Insertion!K5</f>
        <v>0</v>
      </c>
      <c r="S505" s="2">
        <f>Insertion!N5</f>
        <v>0</v>
      </c>
      <c r="T505" s="2">
        <f t="shared" si="18"/>
        <v>0</v>
      </c>
      <c r="U505" s="10" t="str">
        <f>IF($S505=0, "", IF(COUNTIF(Table1[Amino Acid Change], $S505)=0, "Missing", "Y"))</f>
        <v/>
      </c>
      <c r="V505" s="10">
        <f t="shared" si="19"/>
        <v>0</v>
      </c>
    </row>
    <row r="506" spans="9:23" x14ac:dyDescent="0.25">
      <c r="I506" s="2">
        <f>Insertion!A6</f>
        <v>0</v>
      </c>
      <c r="J506" s="2">
        <f>Insertion!B6</f>
        <v>0</v>
      </c>
      <c r="K506" s="2">
        <f>Insertion!C6</f>
        <v>0</v>
      </c>
      <c r="L506" s="2">
        <f>Insertion!D6</f>
        <v>0</v>
      </c>
      <c r="M506" s="2">
        <f>Insertion!E6</f>
        <v>0</v>
      </c>
      <c r="N506" s="2">
        <f>Insertion!G6</f>
        <v>0</v>
      </c>
      <c r="O506" s="2">
        <f>Insertion!H6</f>
        <v>0</v>
      </c>
      <c r="P506" s="2">
        <f>Insertion!I6</f>
        <v>0</v>
      </c>
      <c r="Q506" s="2">
        <f>Insertion!J6</f>
        <v>0</v>
      </c>
      <c r="R506" s="2">
        <f>Insertion!K6</f>
        <v>0</v>
      </c>
      <c r="S506" s="2">
        <f>Insertion!N6</f>
        <v>0</v>
      </c>
      <c r="T506" s="2">
        <f t="shared" si="18"/>
        <v>0</v>
      </c>
      <c r="U506" s="10" t="str">
        <f>IF($S506=0, "", IF(COUNTIF(Table1[Amino Acid Change], $S506)=0, "Missing", "Y"))</f>
        <v/>
      </c>
      <c r="V506" s="10">
        <f t="shared" si="19"/>
        <v>0</v>
      </c>
    </row>
    <row r="507" spans="9:23" x14ac:dyDescent="0.25">
      <c r="I507" s="2">
        <f>Insertion!A7</f>
        <v>0</v>
      </c>
      <c r="J507" s="2">
        <f>Insertion!B7</f>
        <v>0</v>
      </c>
      <c r="K507" s="2">
        <f>Insertion!C7</f>
        <v>0</v>
      </c>
      <c r="L507" s="2">
        <f>Insertion!D7</f>
        <v>0</v>
      </c>
      <c r="M507" s="2">
        <f>Insertion!E7</f>
        <v>0</v>
      </c>
      <c r="N507" s="2">
        <f>Insertion!G7</f>
        <v>0</v>
      </c>
      <c r="O507" s="2">
        <f>Insertion!H7</f>
        <v>0</v>
      </c>
      <c r="P507" s="2">
        <f>Insertion!I7</f>
        <v>0</v>
      </c>
      <c r="Q507" s="2">
        <f>Insertion!J7</f>
        <v>0</v>
      </c>
      <c r="R507" s="2">
        <f>Insertion!K7</f>
        <v>0</v>
      </c>
      <c r="S507" s="2">
        <f>Insertion!N7</f>
        <v>0</v>
      </c>
      <c r="T507" s="2">
        <f t="shared" si="18"/>
        <v>0</v>
      </c>
      <c r="U507" s="10" t="str">
        <f>IF($S507=0, "", IF(COUNTIF(Table1[Amino Acid Change], $S507)=0, "Missing", "Y"))</f>
        <v/>
      </c>
      <c r="V507" s="10">
        <f t="shared" si="19"/>
        <v>0</v>
      </c>
    </row>
    <row r="508" spans="9:23" x14ac:dyDescent="0.25">
      <c r="I508" s="2">
        <f>Insertion!A8</f>
        <v>0</v>
      </c>
      <c r="J508" s="2">
        <f>Insertion!B8</f>
        <v>0</v>
      </c>
      <c r="K508" s="2">
        <f>Insertion!C8</f>
        <v>0</v>
      </c>
      <c r="L508" s="2">
        <f>Insertion!D8</f>
        <v>0</v>
      </c>
      <c r="M508" s="2">
        <f>Insertion!E8</f>
        <v>0</v>
      </c>
      <c r="N508" s="2">
        <f>Insertion!G8</f>
        <v>0</v>
      </c>
      <c r="O508" s="2">
        <f>Insertion!H8</f>
        <v>0</v>
      </c>
      <c r="P508" s="2">
        <f>Insertion!I8</f>
        <v>0</v>
      </c>
      <c r="Q508" s="2">
        <f>Insertion!J8</f>
        <v>0</v>
      </c>
      <c r="R508" s="2">
        <f>Insertion!K8</f>
        <v>0</v>
      </c>
      <c r="S508" s="2">
        <f>Insertion!N8</f>
        <v>0</v>
      </c>
      <c r="T508" s="2">
        <f t="shared" si="18"/>
        <v>0</v>
      </c>
      <c r="U508" s="10" t="str">
        <f>IF($S508=0, "", IF(COUNTIF(Table1[Amino Acid Change], $S508)=0, "Missing", "Y"))</f>
        <v/>
      </c>
      <c r="V508" s="10">
        <f t="shared" si="19"/>
        <v>0</v>
      </c>
    </row>
    <row r="509" spans="9:23" x14ac:dyDescent="0.25">
      <c r="I509" s="2">
        <f>Insertion!A9</f>
        <v>0</v>
      </c>
      <c r="J509" s="2">
        <f>Insertion!B9</f>
        <v>0</v>
      </c>
      <c r="K509" s="2">
        <f>Insertion!C9</f>
        <v>0</v>
      </c>
      <c r="L509" s="2">
        <f>Insertion!D9</f>
        <v>0</v>
      </c>
      <c r="M509" s="2">
        <f>Insertion!E9</f>
        <v>0</v>
      </c>
      <c r="N509" s="2">
        <f>Insertion!G9</f>
        <v>0</v>
      </c>
      <c r="O509" s="2">
        <f>Insertion!H9</f>
        <v>0</v>
      </c>
      <c r="P509" s="2">
        <f>Insertion!I9</f>
        <v>0</v>
      </c>
      <c r="Q509" s="2">
        <f>Insertion!J9</f>
        <v>0</v>
      </c>
      <c r="R509" s="2">
        <f>Insertion!K9</f>
        <v>0</v>
      </c>
      <c r="S509" s="2">
        <f>Insertion!N9</f>
        <v>0</v>
      </c>
      <c r="T509" s="2">
        <f t="shared" si="18"/>
        <v>0</v>
      </c>
      <c r="U509" s="10" t="str">
        <f>IF($S509=0, "", IF(COUNTIF(Table1[Amino Acid Change], $S509)=0, "Missing", "Y"))</f>
        <v/>
      </c>
      <c r="V509" s="10">
        <f t="shared" si="19"/>
        <v>0</v>
      </c>
    </row>
    <row r="510" spans="9:23" x14ac:dyDescent="0.25">
      <c r="I510" s="2">
        <f>Insertion!A10</f>
        <v>0</v>
      </c>
      <c r="J510" s="2">
        <f>Insertion!B10</f>
        <v>0</v>
      </c>
      <c r="K510" s="2">
        <f>Insertion!C10</f>
        <v>0</v>
      </c>
      <c r="L510" s="2">
        <f>Insertion!D10</f>
        <v>0</v>
      </c>
      <c r="M510" s="2">
        <f>Insertion!E10</f>
        <v>0</v>
      </c>
      <c r="N510" s="2">
        <f>Insertion!G10</f>
        <v>0</v>
      </c>
      <c r="O510" s="2">
        <f>Insertion!H10</f>
        <v>0</v>
      </c>
      <c r="P510" s="2">
        <f>Insertion!I10</f>
        <v>0</v>
      </c>
      <c r="Q510" s="2">
        <f>Insertion!J10</f>
        <v>0</v>
      </c>
      <c r="R510" s="2">
        <f>Insertion!K10</f>
        <v>0</v>
      </c>
      <c r="S510" s="2">
        <f>Insertion!N10</f>
        <v>0</v>
      </c>
      <c r="T510" s="2">
        <f t="shared" si="18"/>
        <v>0</v>
      </c>
      <c r="U510" s="10" t="str">
        <f>IF($S510=0, "", IF(COUNTIF(Table1[Amino Acid Change], $S510)=0, "Missing", "Y"))</f>
        <v/>
      </c>
      <c r="V510" s="10">
        <f t="shared" si="19"/>
        <v>0</v>
      </c>
    </row>
    <row r="511" spans="9:23" x14ac:dyDescent="0.25">
      <c r="I511" s="2">
        <f>Insertion!A11</f>
        <v>0</v>
      </c>
      <c r="J511" s="2">
        <f>Insertion!B11</f>
        <v>0</v>
      </c>
      <c r="K511" s="2">
        <f>Insertion!C11</f>
        <v>0</v>
      </c>
      <c r="L511" s="2">
        <f>Insertion!D11</f>
        <v>0</v>
      </c>
      <c r="M511" s="2">
        <f>Insertion!E11</f>
        <v>0</v>
      </c>
      <c r="N511" s="2">
        <f>Insertion!G11</f>
        <v>0</v>
      </c>
      <c r="O511" s="2">
        <f>Insertion!H11</f>
        <v>0</v>
      </c>
      <c r="P511" s="2">
        <f>Insertion!I11</f>
        <v>0</v>
      </c>
      <c r="Q511" s="2">
        <f>Insertion!J11</f>
        <v>0</v>
      </c>
      <c r="R511" s="2">
        <f>Insertion!K11</f>
        <v>0</v>
      </c>
      <c r="S511" s="2">
        <f>Insertion!N11</f>
        <v>0</v>
      </c>
      <c r="T511" s="2">
        <f t="shared" si="18"/>
        <v>0</v>
      </c>
      <c r="U511" s="10" t="str">
        <f>IF($S511=0, "", IF(COUNTIF(Table1[Amino Acid Change], $S511)=0, "Missing", "Y"))</f>
        <v/>
      </c>
      <c r="V511" s="10">
        <f t="shared" si="19"/>
        <v>0</v>
      </c>
    </row>
    <row r="512" spans="9:23" x14ac:dyDescent="0.25">
      <c r="I512" s="2">
        <f>Insertion!A12</f>
        <v>0</v>
      </c>
      <c r="J512" s="2">
        <f>Insertion!B12</f>
        <v>0</v>
      </c>
      <c r="K512" s="2">
        <f>Insertion!C12</f>
        <v>0</v>
      </c>
      <c r="L512" s="2">
        <f>Insertion!D12</f>
        <v>0</v>
      </c>
      <c r="M512" s="2">
        <f>Insertion!E12</f>
        <v>0</v>
      </c>
      <c r="N512" s="2">
        <f>Insertion!G12</f>
        <v>0</v>
      </c>
      <c r="O512" s="2">
        <f>Insertion!H12</f>
        <v>0</v>
      </c>
      <c r="P512" s="2">
        <f>Insertion!I12</f>
        <v>0</v>
      </c>
      <c r="Q512" s="2">
        <f>Insertion!J12</f>
        <v>0</v>
      </c>
      <c r="R512" s="2">
        <f>Insertion!K12</f>
        <v>0</v>
      </c>
      <c r="S512" s="2">
        <f>Insertion!N12</f>
        <v>0</v>
      </c>
      <c r="T512" s="2">
        <f t="shared" si="18"/>
        <v>0</v>
      </c>
      <c r="U512" s="10" t="str">
        <f>IF($S512=0, "", IF(COUNTIF(Table1[Amino Acid Change], $S512)=0, "Missing", "Y"))</f>
        <v/>
      </c>
      <c r="V512" s="10">
        <f t="shared" si="19"/>
        <v>0</v>
      </c>
    </row>
    <row r="513" spans="9:22" x14ac:dyDescent="0.25">
      <c r="I513" s="2">
        <f>Insertion!A13</f>
        <v>0</v>
      </c>
      <c r="J513" s="2">
        <f>Insertion!B13</f>
        <v>0</v>
      </c>
      <c r="K513" s="2">
        <f>Insertion!C13</f>
        <v>0</v>
      </c>
      <c r="L513" s="2">
        <f>Insertion!D13</f>
        <v>0</v>
      </c>
      <c r="M513" s="2">
        <f>Insertion!E13</f>
        <v>0</v>
      </c>
      <c r="N513" s="2">
        <f>Insertion!G13</f>
        <v>0</v>
      </c>
      <c r="O513" s="2">
        <f>Insertion!H13</f>
        <v>0</v>
      </c>
      <c r="P513" s="2">
        <f>Insertion!I13</f>
        <v>0</v>
      </c>
      <c r="Q513" s="2">
        <f>Insertion!J13</f>
        <v>0</v>
      </c>
      <c r="R513" s="2">
        <f>Insertion!K13</f>
        <v>0</v>
      </c>
      <c r="S513" s="2">
        <f>Insertion!N13</f>
        <v>0</v>
      </c>
      <c r="T513" s="2">
        <f t="shared" si="18"/>
        <v>0</v>
      </c>
      <c r="U513" s="10" t="str">
        <f>IF($S513=0, "", IF(COUNTIF(Table1[Amino Acid Change], $S513)=0, "Missing", "Y"))</f>
        <v/>
      </c>
      <c r="V513" s="10">
        <f t="shared" si="19"/>
        <v>0</v>
      </c>
    </row>
    <row r="514" spans="9:22" x14ac:dyDescent="0.25">
      <c r="I514" s="2">
        <f>Insertion!A14</f>
        <v>0</v>
      </c>
      <c r="J514" s="2">
        <f>Insertion!B14</f>
        <v>0</v>
      </c>
      <c r="K514" s="2">
        <f>Insertion!C14</f>
        <v>0</v>
      </c>
      <c r="L514" s="2">
        <f>Insertion!D14</f>
        <v>0</v>
      </c>
      <c r="M514" s="2">
        <f>Insertion!E14</f>
        <v>0</v>
      </c>
      <c r="N514" s="2">
        <f>Insertion!G14</f>
        <v>0</v>
      </c>
      <c r="O514" s="2">
        <f>Insertion!H14</f>
        <v>0</v>
      </c>
      <c r="P514" s="2">
        <f>Insertion!I14</f>
        <v>0</v>
      </c>
      <c r="Q514" s="2">
        <f>Insertion!J14</f>
        <v>0</v>
      </c>
      <c r="R514" s="2">
        <f>Insertion!K14</f>
        <v>0</v>
      </c>
      <c r="S514" s="2">
        <f>Insertion!N14</f>
        <v>0</v>
      </c>
      <c r="T514" s="2">
        <f t="shared" si="18"/>
        <v>0</v>
      </c>
      <c r="U514" s="10" t="str">
        <f>IF($S514=0, "", IF(COUNTIF(Table1[Amino Acid Change], $S514)=0, "Missing", "Y"))</f>
        <v/>
      </c>
      <c r="V514" s="10">
        <f t="shared" si="19"/>
        <v>0</v>
      </c>
    </row>
    <row r="515" spans="9:22" x14ac:dyDescent="0.25">
      <c r="I515" s="2">
        <f>Insertion!A15</f>
        <v>0</v>
      </c>
      <c r="J515" s="2">
        <f>Insertion!B15</f>
        <v>0</v>
      </c>
      <c r="K515" s="2">
        <f>Insertion!C15</f>
        <v>0</v>
      </c>
      <c r="L515" s="2">
        <f>Insertion!D15</f>
        <v>0</v>
      </c>
      <c r="M515" s="2">
        <f>Insertion!E15</f>
        <v>0</v>
      </c>
      <c r="N515" s="2">
        <f>Insertion!G15</f>
        <v>0</v>
      </c>
      <c r="O515" s="2">
        <f>Insertion!H15</f>
        <v>0</v>
      </c>
      <c r="P515" s="2">
        <f>Insertion!I15</f>
        <v>0</v>
      </c>
      <c r="Q515" s="2">
        <f>Insertion!J15</f>
        <v>0</v>
      </c>
      <c r="R515" s="2">
        <f>Insertion!K15</f>
        <v>0</v>
      </c>
      <c r="S515" s="2">
        <f>Insertion!N15</f>
        <v>0</v>
      </c>
      <c r="T515" s="2">
        <f t="shared" si="18"/>
        <v>0</v>
      </c>
      <c r="U515" s="10" t="str">
        <f>IF($S515=0, "", IF(COUNTIF(Table1[Amino Acid Change], $S515)=0, "Missing", "Y"))</f>
        <v/>
      </c>
      <c r="V515" s="10">
        <f t="shared" si="19"/>
        <v>0</v>
      </c>
    </row>
    <row r="516" spans="9:22" x14ac:dyDescent="0.25">
      <c r="I516" s="2">
        <f>Insertion!A16</f>
        <v>0</v>
      </c>
      <c r="J516" s="2">
        <f>Insertion!B16</f>
        <v>0</v>
      </c>
      <c r="K516" s="2">
        <f>Insertion!C16</f>
        <v>0</v>
      </c>
      <c r="L516" s="2">
        <f>Insertion!D16</f>
        <v>0</v>
      </c>
      <c r="M516" s="2">
        <f>Insertion!E16</f>
        <v>0</v>
      </c>
      <c r="N516" s="2">
        <f>Insertion!G16</f>
        <v>0</v>
      </c>
      <c r="O516" s="2">
        <f>Insertion!H16</f>
        <v>0</v>
      </c>
      <c r="P516" s="2">
        <f>Insertion!I16</f>
        <v>0</v>
      </c>
      <c r="Q516" s="2">
        <f>Insertion!J16</f>
        <v>0</v>
      </c>
      <c r="R516" s="2">
        <f>Insertion!K16</f>
        <v>0</v>
      </c>
      <c r="S516" s="2">
        <f>Insertion!N16</f>
        <v>0</v>
      </c>
      <c r="T516" s="2">
        <f t="shared" si="18"/>
        <v>0</v>
      </c>
      <c r="U516" s="10" t="str">
        <f>IF($S516=0, "", IF(COUNTIF(Table1[Amino Acid Change], $S516)=0, "Missing", "Y"))</f>
        <v/>
      </c>
      <c r="V516" s="10">
        <f t="shared" si="19"/>
        <v>0</v>
      </c>
    </row>
    <row r="517" spans="9:22" x14ac:dyDescent="0.25">
      <c r="I517" s="2">
        <f>Insertion!A17</f>
        <v>0</v>
      </c>
      <c r="J517" s="2">
        <f>Insertion!B17</f>
        <v>0</v>
      </c>
      <c r="K517" s="2">
        <f>Insertion!C17</f>
        <v>0</v>
      </c>
      <c r="L517" s="2">
        <f>Insertion!D17</f>
        <v>0</v>
      </c>
      <c r="M517" s="2">
        <f>Insertion!E17</f>
        <v>0</v>
      </c>
      <c r="N517" s="2">
        <f>Insertion!G17</f>
        <v>0</v>
      </c>
      <c r="O517" s="2">
        <f>Insertion!H17</f>
        <v>0</v>
      </c>
      <c r="P517" s="2">
        <f>Insertion!I17</f>
        <v>0</v>
      </c>
      <c r="Q517" s="2">
        <f>Insertion!J17</f>
        <v>0</v>
      </c>
      <c r="R517" s="2">
        <f>Insertion!K17</f>
        <v>0</v>
      </c>
      <c r="S517" s="2">
        <f>Insertion!N17</f>
        <v>0</v>
      </c>
      <c r="T517" s="2">
        <f t="shared" si="18"/>
        <v>0</v>
      </c>
      <c r="U517" s="10" t="str">
        <f>IF($S517=0, "", IF(COUNTIF(Table1[Amino Acid Change], $S517)=0, "Missing", "Y"))</f>
        <v/>
      </c>
      <c r="V517" s="10">
        <f t="shared" si="19"/>
        <v>0</v>
      </c>
    </row>
    <row r="518" spans="9:22" x14ac:dyDescent="0.25">
      <c r="I518" s="2">
        <f>Insertion!A18</f>
        <v>0</v>
      </c>
      <c r="J518" s="2">
        <f>Insertion!B18</f>
        <v>0</v>
      </c>
      <c r="K518" s="2">
        <f>Insertion!C18</f>
        <v>0</v>
      </c>
      <c r="L518" s="2">
        <f>Insertion!D18</f>
        <v>0</v>
      </c>
      <c r="M518" s="2">
        <f>Insertion!E18</f>
        <v>0</v>
      </c>
      <c r="N518" s="2">
        <f>Insertion!G18</f>
        <v>0</v>
      </c>
      <c r="O518" s="2">
        <f>Insertion!H18</f>
        <v>0</v>
      </c>
      <c r="P518" s="2">
        <f>Insertion!I18</f>
        <v>0</v>
      </c>
      <c r="Q518" s="2">
        <f>Insertion!J18</f>
        <v>0</v>
      </c>
      <c r="R518" s="2">
        <f>Insertion!K18</f>
        <v>0</v>
      </c>
      <c r="S518" s="2">
        <f>Insertion!N18</f>
        <v>0</v>
      </c>
      <c r="T518" s="2">
        <f t="shared" si="18"/>
        <v>0</v>
      </c>
      <c r="U518" s="10" t="str">
        <f>IF($S518=0, "", IF(COUNTIF(Table1[Amino Acid Change], $S518)=0, "Missing", "Y"))</f>
        <v/>
      </c>
      <c r="V518" s="10">
        <f t="shared" si="19"/>
        <v>0</v>
      </c>
    </row>
    <row r="519" spans="9:22" x14ac:dyDescent="0.25">
      <c r="I519" s="2">
        <f>Insertion!A19</f>
        <v>0</v>
      </c>
      <c r="J519" s="2">
        <f>Insertion!B19</f>
        <v>0</v>
      </c>
      <c r="K519" s="2">
        <f>Insertion!C19</f>
        <v>0</v>
      </c>
      <c r="L519" s="2">
        <f>Insertion!D19</f>
        <v>0</v>
      </c>
      <c r="M519" s="2">
        <f>Insertion!E19</f>
        <v>0</v>
      </c>
      <c r="N519" s="2">
        <f>Insertion!G19</f>
        <v>0</v>
      </c>
      <c r="O519" s="2">
        <f>Insertion!H19</f>
        <v>0</v>
      </c>
      <c r="P519" s="2">
        <f>Insertion!I19</f>
        <v>0</v>
      </c>
      <c r="Q519" s="2">
        <f>Insertion!J19</f>
        <v>0</v>
      </c>
      <c r="R519" s="2">
        <f>Insertion!K19</f>
        <v>0</v>
      </c>
      <c r="S519" s="2">
        <f>Insertion!N19</f>
        <v>0</v>
      </c>
      <c r="T519" s="2">
        <f t="shared" si="18"/>
        <v>0</v>
      </c>
      <c r="U519" s="10" t="str">
        <f>IF($S519=0, "", IF(COUNTIF(Table1[Amino Acid Change], $S519)=0, "Missing", "Y"))</f>
        <v/>
      </c>
      <c r="V519" s="10">
        <f t="shared" si="19"/>
        <v>0</v>
      </c>
    </row>
    <row r="520" spans="9:22" x14ac:dyDescent="0.25">
      <c r="I520" s="2">
        <f>Insertion!A20</f>
        <v>0</v>
      </c>
      <c r="J520" s="2">
        <f>Insertion!B20</f>
        <v>0</v>
      </c>
      <c r="K520" s="2">
        <f>Insertion!C20</f>
        <v>0</v>
      </c>
      <c r="L520" s="2">
        <f>Insertion!D20</f>
        <v>0</v>
      </c>
      <c r="M520" s="2">
        <f>Insertion!E20</f>
        <v>0</v>
      </c>
      <c r="N520" s="2">
        <f>Insertion!G20</f>
        <v>0</v>
      </c>
      <c r="O520" s="2">
        <f>Insertion!H20</f>
        <v>0</v>
      </c>
      <c r="P520" s="2">
        <f>Insertion!I20</f>
        <v>0</v>
      </c>
      <c r="Q520" s="2">
        <f>Insertion!J20</f>
        <v>0</v>
      </c>
      <c r="R520" s="2">
        <f>Insertion!K20</f>
        <v>0</v>
      </c>
      <c r="S520" s="2">
        <f>Insertion!N20</f>
        <v>0</v>
      </c>
      <c r="T520" s="2">
        <f t="shared" si="18"/>
        <v>0</v>
      </c>
      <c r="U520" s="10" t="str">
        <f>IF($S520=0, "", IF(COUNTIF(Table1[Amino Acid Change], $S520)=0, "Missing", "Y"))</f>
        <v/>
      </c>
      <c r="V520" s="10">
        <f t="shared" si="19"/>
        <v>0</v>
      </c>
    </row>
    <row r="521" spans="9:22" x14ac:dyDescent="0.25">
      <c r="I521" s="2">
        <f>Insertion!A21</f>
        <v>0</v>
      </c>
      <c r="J521" s="2">
        <f>Insertion!B21</f>
        <v>0</v>
      </c>
      <c r="K521" s="2">
        <f>Insertion!C21</f>
        <v>0</v>
      </c>
      <c r="L521" s="2">
        <f>Insertion!D21</f>
        <v>0</v>
      </c>
      <c r="M521" s="2">
        <f>Insertion!E21</f>
        <v>0</v>
      </c>
      <c r="N521" s="2">
        <f>Insertion!G21</f>
        <v>0</v>
      </c>
      <c r="O521" s="2">
        <f>Insertion!H21</f>
        <v>0</v>
      </c>
      <c r="P521" s="2">
        <f>Insertion!I21</f>
        <v>0</v>
      </c>
      <c r="Q521" s="2">
        <f>Insertion!J21</f>
        <v>0</v>
      </c>
      <c r="R521" s="2">
        <f>Insertion!K21</f>
        <v>0</v>
      </c>
      <c r="S521" s="2">
        <f>Insertion!N21</f>
        <v>0</v>
      </c>
      <c r="T521" s="2">
        <f t="shared" si="18"/>
        <v>0</v>
      </c>
      <c r="U521" s="10" t="str">
        <f>IF($S521=0, "", IF(COUNTIF(Table1[Amino Acid Change], $S521)=0, "Missing", "Y"))</f>
        <v/>
      </c>
      <c r="V521" s="10">
        <f t="shared" si="19"/>
        <v>0</v>
      </c>
    </row>
    <row r="522" spans="9:22" x14ac:dyDescent="0.25">
      <c r="I522" s="2">
        <f>Insertion!A22</f>
        <v>0</v>
      </c>
      <c r="J522" s="2">
        <f>Insertion!B22</f>
        <v>0</v>
      </c>
      <c r="K522" s="2">
        <f>Insertion!C22</f>
        <v>0</v>
      </c>
      <c r="L522" s="2">
        <f>Insertion!D22</f>
        <v>0</v>
      </c>
      <c r="M522" s="2">
        <f>Insertion!E22</f>
        <v>0</v>
      </c>
      <c r="N522" s="2">
        <f>Insertion!G22</f>
        <v>0</v>
      </c>
      <c r="O522" s="2">
        <f>Insertion!H22</f>
        <v>0</v>
      </c>
      <c r="P522" s="2">
        <f>Insertion!I22</f>
        <v>0</v>
      </c>
      <c r="Q522" s="2">
        <f>Insertion!J22</f>
        <v>0</v>
      </c>
      <c r="R522" s="2">
        <f>Insertion!K22</f>
        <v>0</v>
      </c>
      <c r="S522" s="2">
        <f>Insertion!N22</f>
        <v>0</v>
      </c>
      <c r="T522" s="2">
        <f t="shared" si="18"/>
        <v>0</v>
      </c>
      <c r="U522" s="10" t="str">
        <f>IF($S522=0, "", IF(COUNTIF(Table1[Amino Acid Change], $S522)=0, "Missing", "Y"))</f>
        <v/>
      </c>
      <c r="V522" s="10">
        <f t="shared" si="19"/>
        <v>0</v>
      </c>
    </row>
    <row r="523" spans="9:22" x14ac:dyDescent="0.25">
      <c r="I523" s="2">
        <f>Insertion!A23</f>
        <v>0</v>
      </c>
      <c r="J523" s="2">
        <f>Insertion!B23</f>
        <v>0</v>
      </c>
      <c r="K523" s="2">
        <f>Insertion!C23</f>
        <v>0</v>
      </c>
      <c r="L523" s="2">
        <f>Insertion!D23</f>
        <v>0</v>
      </c>
      <c r="M523" s="2">
        <f>Insertion!E23</f>
        <v>0</v>
      </c>
      <c r="N523" s="2">
        <f>Insertion!G23</f>
        <v>0</v>
      </c>
      <c r="O523" s="2">
        <f>Insertion!H23</f>
        <v>0</v>
      </c>
      <c r="P523" s="2">
        <f>Insertion!I23</f>
        <v>0</v>
      </c>
      <c r="Q523" s="2">
        <f>Insertion!J23</f>
        <v>0</v>
      </c>
      <c r="R523" s="2">
        <f>Insertion!K23</f>
        <v>0</v>
      </c>
      <c r="S523" s="2">
        <f>Insertion!N23</f>
        <v>0</v>
      </c>
      <c r="T523" s="2">
        <f t="shared" si="18"/>
        <v>0</v>
      </c>
      <c r="U523" s="10" t="str">
        <f>IF($S523=0, "", IF(COUNTIF(Table1[Amino Acid Change], $S523)=0, "Missing", "Y"))</f>
        <v/>
      </c>
      <c r="V523" s="10">
        <f t="shared" si="19"/>
        <v>0</v>
      </c>
    </row>
    <row r="524" spans="9:22" x14ac:dyDescent="0.25">
      <c r="I524" s="2">
        <f>Insertion!A24</f>
        <v>0</v>
      </c>
      <c r="J524" s="2">
        <f>Insertion!B24</f>
        <v>0</v>
      </c>
      <c r="K524" s="2">
        <f>Insertion!C24</f>
        <v>0</v>
      </c>
      <c r="L524" s="2">
        <f>Insertion!D24</f>
        <v>0</v>
      </c>
      <c r="M524" s="2">
        <f>Insertion!E24</f>
        <v>0</v>
      </c>
      <c r="N524" s="2">
        <f>Insertion!G24</f>
        <v>0</v>
      </c>
      <c r="O524" s="2">
        <f>Insertion!H24</f>
        <v>0</v>
      </c>
      <c r="P524" s="2">
        <f>Insertion!I24</f>
        <v>0</v>
      </c>
      <c r="Q524" s="2">
        <f>Insertion!J24</f>
        <v>0</v>
      </c>
      <c r="R524" s="2">
        <f>Insertion!K24</f>
        <v>0</v>
      </c>
      <c r="S524" s="2">
        <f>Insertion!N24</f>
        <v>0</v>
      </c>
      <c r="T524" s="2">
        <f t="shared" si="18"/>
        <v>0</v>
      </c>
      <c r="U524" s="10" t="str">
        <f>IF($S524=0, "", IF(COUNTIF(Table1[Amino Acid Change], $S524)=0, "Missing", "Y"))</f>
        <v/>
      </c>
      <c r="V524" s="10">
        <f t="shared" si="19"/>
        <v>0</v>
      </c>
    </row>
    <row r="525" spans="9:22" x14ac:dyDescent="0.25">
      <c r="I525" s="2">
        <f>Insertion!A25</f>
        <v>0</v>
      </c>
      <c r="J525" s="2">
        <f>Insertion!B25</f>
        <v>0</v>
      </c>
      <c r="K525" s="2">
        <f>Insertion!C25</f>
        <v>0</v>
      </c>
      <c r="L525" s="2">
        <f>Insertion!D25</f>
        <v>0</v>
      </c>
      <c r="M525" s="2">
        <f>Insertion!E25</f>
        <v>0</v>
      </c>
      <c r="N525" s="2">
        <f>Insertion!G25</f>
        <v>0</v>
      </c>
      <c r="O525" s="2">
        <f>Insertion!H25</f>
        <v>0</v>
      </c>
      <c r="P525" s="2">
        <f>Insertion!I25</f>
        <v>0</v>
      </c>
      <c r="Q525" s="2">
        <f>Insertion!J25</f>
        <v>0</v>
      </c>
      <c r="R525" s="2">
        <f>Insertion!K25</f>
        <v>0</v>
      </c>
      <c r="S525" s="2">
        <f>Insertion!N25</f>
        <v>0</v>
      </c>
      <c r="T525" s="2">
        <f t="shared" si="18"/>
        <v>0</v>
      </c>
      <c r="U525" s="10" t="str">
        <f>IF($S525=0, "", IF(COUNTIF(Table1[Amino Acid Change], $S525)=0, "Missing", "Y"))</f>
        <v/>
      </c>
      <c r="V525" s="10">
        <f t="shared" si="19"/>
        <v>0</v>
      </c>
    </row>
    <row r="526" spans="9:22" x14ac:dyDescent="0.25">
      <c r="I526" s="2">
        <f>Insertion!A26</f>
        <v>0</v>
      </c>
      <c r="J526" s="2">
        <f>Insertion!B26</f>
        <v>0</v>
      </c>
      <c r="K526" s="2">
        <f>Insertion!C26</f>
        <v>0</v>
      </c>
      <c r="L526" s="2">
        <f>Insertion!D26</f>
        <v>0</v>
      </c>
      <c r="M526" s="2">
        <f>Insertion!E26</f>
        <v>0</v>
      </c>
      <c r="N526" s="2">
        <f>Insertion!G26</f>
        <v>0</v>
      </c>
      <c r="O526" s="2">
        <f>Insertion!H26</f>
        <v>0</v>
      </c>
      <c r="P526" s="2">
        <f>Insertion!I26</f>
        <v>0</v>
      </c>
      <c r="Q526" s="2">
        <f>Insertion!J26</f>
        <v>0</v>
      </c>
      <c r="R526" s="2">
        <f>Insertion!K26</f>
        <v>0</v>
      </c>
      <c r="S526" s="2">
        <f>Insertion!N26</f>
        <v>0</v>
      </c>
      <c r="T526" s="2">
        <f t="shared" si="18"/>
        <v>0</v>
      </c>
      <c r="U526" s="10" t="str">
        <f>IF($S526=0, "", IF(COUNTIF(Table1[Amino Acid Change], $S526)=0, "Missing", "Y"))</f>
        <v/>
      </c>
      <c r="V526" s="10">
        <f t="shared" si="19"/>
        <v>0</v>
      </c>
    </row>
    <row r="527" spans="9:22" x14ac:dyDescent="0.25">
      <c r="I527" s="2">
        <f>Insertion!A27</f>
        <v>0</v>
      </c>
      <c r="J527" s="2">
        <f>Insertion!B27</f>
        <v>0</v>
      </c>
      <c r="K527" s="2">
        <f>Insertion!C27</f>
        <v>0</v>
      </c>
      <c r="L527" s="2">
        <f>Insertion!D27</f>
        <v>0</v>
      </c>
      <c r="M527" s="2">
        <f>Insertion!E27</f>
        <v>0</v>
      </c>
      <c r="N527" s="2">
        <f>Insertion!G27</f>
        <v>0</v>
      </c>
      <c r="O527" s="2">
        <f>Insertion!H27</f>
        <v>0</v>
      </c>
      <c r="P527" s="2">
        <f>Insertion!I27</f>
        <v>0</v>
      </c>
      <c r="Q527" s="2">
        <f>Insertion!J27</f>
        <v>0</v>
      </c>
      <c r="R527" s="2">
        <f>Insertion!K27</f>
        <v>0</v>
      </c>
      <c r="S527" s="2">
        <f>Insertion!N27</f>
        <v>0</v>
      </c>
      <c r="T527" s="2">
        <f t="shared" si="18"/>
        <v>0</v>
      </c>
      <c r="U527" s="10" t="str">
        <f>IF($S527=0, "", IF(COUNTIF(Table1[Amino Acid Change], $S527)=0, "Missing", "Y"))</f>
        <v/>
      </c>
      <c r="V527" s="10">
        <f t="shared" si="19"/>
        <v>0</v>
      </c>
    </row>
    <row r="528" spans="9:22" x14ac:dyDescent="0.25">
      <c r="I528" s="2">
        <f>Insertion!A28</f>
        <v>0</v>
      </c>
      <c r="J528" s="2">
        <f>Insertion!B28</f>
        <v>0</v>
      </c>
      <c r="K528" s="2">
        <f>Insertion!C28</f>
        <v>0</v>
      </c>
      <c r="L528" s="2">
        <f>Insertion!D28</f>
        <v>0</v>
      </c>
      <c r="M528" s="2">
        <f>Insertion!E28</f>
        <v>0</v>
      </c>
      <c r="N528" s="2">
        <f>Insertion!G28</f>
        <v>0</v>
      </c>
      <c r="O528" s="2">
        <f>Insertion!H28</f>
        <v>0</v>
      </c>
      <c r="P528" s="2">
        <f>Insertion!I28</f>
        <v>0</v>
      </c>
      <c r="Q528" s="2">
        <f>Insertion!J28</f>
        <v>0</v>
      </c>
      <c r="R528" s="2">
        <f>Insertion!K28</f>
        <v>0</v>
      </c>
      <c r="S528" s="2">
        <f>Insertion!N28</f>
        <v>0</v>
      </c>
      <c r="T528" s="2">
        <f t="shared" si="18"/>
        <v>0</v>
      </c>
      <c r="U528" s="10" t="str">
        <f>IF($S528=0, "", IF(COUNTIF(Table1[Amino Acid Change], $S528)=0, "Missing", "Y"))</f>
        <v/>
      </c>
      <c r="V528" s="10">
        <f t="shared" si="19"/>
        <v>0</v>
      </c>
    </row>
    <row r="529" spans="9:22" x14ac:dyDescent="0.25">
      <c r="I529" s="2">
        <f>Insertion!A29</f>
        <v>0</v>
      </c>
      <c r="J529" s="2">
        <f>Insertion!B29</f>
        <v>0</v>
      </c>
      <c r="K529" s="2">
        <f>Insertion!C29</f>
        <v>0</v>
      </c>
      <c r="L529" s="2">
        <f>Insertion!D29</f>
        <v>0</v>
      </c>
      <c r="M529" s="2">
        <f>Insertion!E29</f>
        <v>0</v>
      </c>
      <c r="N529" s="2">
        <f>Insertion!G29</f>
        <v>0</v>
      </c>
      <c r="O529" s="2">
        <f>Insertion!H29</f>
        <v>0</v>
      </c>
      <c r="P529" s="2">
        <f>Insertion!I29</f>
        <v>0</v>
      </c>
      <c r="Q529" s="2">
        <f>Insertion!J29</f>
        <v>0</v>
      </c>
      <c r="R529" s="2">
        <f>Insertion!K29</f>
        <v>0</v>
      </c>
      <c r="S529" s="2">
        <f>Insertion!N29</f>
        <v>0</v>
      </c>
      <c r="T529" s="2">
        <f t="shared" si="18"/>
        <v>0</v>
      </c>
      <c r="U529" s="10" t="str">
        <f>IF($S529=0, "", IF(COUNTIF(Table1[Amino Acid Change], $S529)=0, "Missing", "Y"))</f>
        <v/>
      </c>
      <c r="V529" s="10">
        <f t="shared" si="19"/>
        <v>0</v>
      </c>
    </row>
    <row r="530" spans="9:22" x14ac:dyDescent="0.25">
      <c r="I530" s="2">
        <f>Insertion!A30</f>
        <v>0</v>
      </c>
      <c r="J530" s="2">
        <f>Insertion!B30</f>
        <v>0</v>
      </c>
      <c r="K530" s="2">
        <f>Insertion!C30</f>
        <v>0</v>
      </c>
      <c r="L530" s="2">
        <f>Insertion!D30</f>
        <v>0</v>
      </c>
      <c r="M530" s="2">
        <f>Insertion!E30</f>
        <v>0</v>
      </c>
      <c r="N530" s="2">
        <f>Insertion!G30</f>
        <v>0</v>
      </c>
      <c r="O530" s="2">
        <f>Insertion!H30</f>
        <v>0</v>
      </c>
      <c r="P530" s="2">
        <f>Insertion!I30</f>
        <v>0</v>
      </c>
      <c r="Q530" s="2">
        <f>Insertion!J30</f>
        <v>0</v>
      </c>
      <c r="R530" s="2">
        <f>Insertion!K30</f>
        <v>0</v>
      </c>
      <c r="S530" s="2">
        <f>Insertion!N30</f>
        <v>0</v>
      </c>
      <c r="T530" s="2">
        <f t="shared" si="18"/>
        <v>0</v>
      </c>
      <c r="U530" s="10" t="str">
        <f>IF($S530=0, "", IF(COUNTIF(Table1[Amino Acid Change], $S530)=0, "Missing", "Y"))</f>
        <v/>
      </c>
      <c r="V530" s="10">
        <f t="shared" si="19"/>
        <v>0</v>
      </c>
    </row>
    <row r="531" spans="9:22" x14ac:dyDescent="0.25">
      <c r="I531" s="2">
        <f>Insertion!A31</f>
        <v>0</v>
      </c>
      <c r="J531" s="2">
        <f>Insertion!B31</f>
        <v>0</v>
      </c>
      <c r="K531" s="2">
        <f>Insertion!C31</f>
        <v>0</v>
      </c>
      <c r="L531" s="2">
        <f>Insertion!D31</f>
        <v>0</v>
      </c>
      <c r="M531" s="2">
        <f>Insertion!E31</f>
        <v>0</v>
      </c>
      <c r="N531" s="2">
        <f>Insertion!G31</f>
        <v>0</v>
      </c>
      <c r="O531" s="2">
        <f>Insertion!H31</f>
        <v>0</v>
      </c>
      <c r="P531" s="2">
        <f>Insertion!I31</f>
        <v>0</v>
      </c>
      <c r="Q531" s="2">
        <f>Insertion!J31</f>
        <v>0</v>
      </c>
      <c r="R531" s="2">
        <f>Insertion!K31</f>
        <v>0</v>
      </c>
      <c r="S531" s="2">
        <f>Insertion!N31</f>
        <v>0</v>
      </c>
      <c r="T531" s="2">
        <f t="shared" si="18"/>
        <v>0</v>
      </c>
      <c r="U531" s="10" t="str">
        <f>IF($S531=0, "", IF(COUNTIF(Table1[Amino Acid Change], $S531)=0, "Missing", "Y"))</f>
        <v/>
      </c>
      <c r="V531" s="10">
        <f t="shared" si="19"/>
        <v>0</v>
      </c>
    </row>
    <row r="532" spans="9:22" x14ac:dyDescent="0.25">
      <c r="I532" s="2">
        <f>Insertion!A32</f>
        <v>0</v>
      </c>
      <c r="J532" s="2">
        <f>Insertion!B32</f>
        <v>0</v>
      </c>
      <c r="K532" s="2">
        <f>Insertion!C32</f>
        <v>0</v>
      </c>
      <c r="L532" s="2">
        <f>Insertion!D32</f>
        <v>0</v>
      </c>
      <c r="M532" s="2">
        <f>Insertion!E32</f>
        <v>0</v>
      </c>
      <c r="N532" s="2">
        <f>Insertion!G32</f>
        <v>0</v>
      </c>
      <c r="O532" s="2">
        <f>Insertion!H32</f>
        <v>0</v>
      </c>
      <c r="P532" s="2">
        <f>Insertion!I32</f>
        <v>0</v>
      </c>
      <c r="Q532" s="2">
        <f>Insertion!J32</f>
        <v>0</v>
      </c>
      <c r="R532" s="2">
        <f>Insertion!K32</f>
        <v>0</v>
      </c>
      <c r="S532" s="2">
        <f>Insertion!N32</f>
        <v>0</v>
      </c>
      <c r="T532" s="2">
        <f t="shared" si="18"/>
        <v>0</v>
      </c>
      <c r="U532" s="10" t="str">
        <f>IF($S532=0, "", IF(COUNTIF(Table1[Amino Acid Change], $S532)=0, "Missing", "Y"))</f>
        <v/>
      </c>
      <c r="V532" s="10">
        <f t="shared" si="19"/>
        <v>0</v>
      </c>
    </row>
    <row r="533" spans="9:22" x14ac:dyDescent="0.25">
      <c r="I533" s="2">
        <f>Insertion!A33</f>
        <v>0</v>
      </c>
      <c r="J533" s="2">
        <f>Insertion!B33</f>
        <v>0</v>
      </c>
      <c r="K533" s="2">
        <f>Insertion!C33</f>
        <v>0</v>
      </c>
      <c r="L533" s="2">
        <f>Insertion!D33</f>
        <v>0</v>
      </c>
      <c r="M533" s="2">
        <f>Insertion!E33</f>
        <v>0</v>
      </c>
      <c r="N533" s="2">
        <f>Insertion!G33</f>
        <v>0</v>
      </c>
      <c r="O533" s="2">
        <f>Insertion!H33</f>
        <v>0</v>
      </c>
      <c r="P533" s="2">
        <f>Insertion!I33</f>
        <v>0</v>
      </c>
      <c r="Q533" s="2">
        <f>Insertion!J33</f>
        <v>0</v>
      </c>
      <c r="R533" s="2">
        <f>Insertion!K33</f>
        <v>0</v>
      </c>
      <c r="S533" s="2">
        <f>Insertion!N33</f>
        <v>0</v>
      </c>
      <c r="T533" s="2">
        <f t="shared" si="18"/>
        <v>0</v>
      </c>
      <c r="U533" s="10" t="str">
        <f>IF($S533=0, "", IF(COUNTIF(Table1[Amino Acid Change], $S533)=0, "Missing", "Y"))</f>
        <v/>
      </c>
      <c r="V533" s="10">
        <f t="shared" si="19"/>
        <v>0</v>
      </c>
    </row>
    <row r="534" spans="9:22" x14ac:dyDescent="0.25">
      <c r="I534" s="2">
        <f>Insertion!A34</f>
        <v>0</v>
      </c>
      <c r="J534" s="2">
        <f>Insertion!B34</f>
        <v>0</v>
      </c>
      <c r="K534" s="2">
        <f>Insertion!C34</f>
        <v>0</v>
      </c>
      <c r="L534" s="2">
        <f>Insertion!D34</f>
        <v>0</v>
      </c>
      <c r="M534" s="2">
        <f>Insertion!E34</f>
        <v>0</v>
      </c>
      <c r="N534" s="2">
        <f>Insertion!G34</f>
        <v>0</v>
      </c>
      <c r="O534" s="2">
        <f>Insertion!H34</f>
        <v>0</v>
      </c>
      <c r="P534" s="2">
        <f>Insertion!I34</f>
        <v>0</v>
      </c>
      <c r="Q534" s="2">
        <f>Insertion!J34</f>
        <v>0</v>
      </c>
      <c r="R534" s="2">
        <f>Insertion!K34</f>
        <v>0</v>
      </c>
      <c r="S534" s="2">
        <f>Insertion!N34</f>
        <v>0</v>
      </c>
      <c r="T534" s="2">
        <f t="shared" si="18"/>
        <v>0</v>
      </c>
      <c r="U534" s="10" t="str">
        <f>IF($S534=0, "", IF(COUNTIF(Table1[Amino Acid Change], $S534)=0, "Missing", "Y"))</f>
        <v/>
      </c>
      <c r="V534" s="10">
        <f t="shared" si="19"/>
        <v>0</v>
      </c>
    </row>
    <row r="535" spans="9:22" x14ac:dyDescent="0.25">
      <c r="I535" s="2">
        <f>Insertion!A35</f>
        <v>0</v>
      </c>
      <c r="J535" s="2">
        <f>Insertion!B35</f>
        <v>0</v>
      </c>
      <c r="K535" s="2">
        <f>Insertion!C35</f>
        <v>0</v>
      </c>
      <c r="L535" s="2">
        <f>Insertion!D35</f>
        <v>0</v>
      </c>
      <c r="M535" s="2">
        <f>Insertion!E35</f>
        <v>0</v>
      </c>
      <c r="N535" s="2">
        <f>Insertion!G35</f>
        <v>0</v>
      </c>
      <c r="O535" s="2">
        <f>Insertion!H35</f>
        <v>0</v>
      </c>
      <c r="P535" s="2">
        <f>Insertion!I35</f>
        <v>0</v>
      </c>
      <c r="Q535" s="2">
        <f>Insertion!J35</f>
        <v>0</v>
      </c>
      <c r="R535" s="2">
        <f>Insertion!K35</f>
        <v>0</v>
      </c>
      <c r="S535" s="2">
        <f>Insertion!N35</f>
        <v>0</v>
      </c>
      <c r="T535" s="2">
        <f t="shared" si="18"/>
        <v>0</v>
      </c>
      <c r="U535" s="10" t="str">
        <f>IF($S535=0, "", IF(COUNTIF(Table1[Amino Acid Change], $S535)=0, "Missing", "Y"))</f>
        <v/>
      </c>
      <c r="V535" s="10">
        <f t="shared" si="19"/>
        <v>0</v>
      </c>
    </row>
    <row r="536" spans="9:22" x14ac:dyDescent="0.25">
      <c r="I536" s="2">
        <f>Insertion!A36</f>
        <v>0</v>
      </c>
      <c r="J536" s="2">
        <f>Insertion!B36</f>
        <v>0</v>
      </c>
      <c r="K536" s="2">
        <f>Insertion!C36</f>
        <v>0</v>
      </c>
      <c r="L536" s="2">
        <f>Insertion!D36</f>
        <v>0</v>
      </c>
      <c r="M536" s="2">
        <f>Insertion!E36</f>
        <v>0</v>
      </c>
      <c r="N536" s="2">
        <f>Insertion!G36</f>
        <v>0</v>
      </c>
      <c r="O536" s="2">
        <f>Insertion!H36</f>
        <v>0</v>
      </c>
      <c r="P536" s="2">
        <f>Insertion!I36</f>
        <v>0</v>
      </c>
      <c r="Q536" s="2">
        <f>Insertion!J36</f>
        <v>0</v>
      </c>
      <c r="R536" s="2">
        <f>Insertion!K36</f>
        <v>0</v>
      </c>
      <c r="S536" s="2">
        <f>Insertion!N36</f>
        <v>0</v>
      </c>
      <c r="T536" s="2">
        <f t="shared" si="18"/>
        <v>0</v>
      </c>
      <c r="U536" s="10" t="str">
        <f>IF($S536=0, "", IF(COUNTIF(Table1[Amino Acid Change], $S536)=0, "Missing", "Y"))</f>
        <v/>
      </c>
      <c r="V536" s="10">
        <f t="shared" si="19"/>
        <v>0</v>
      </c>
    </row>
    <row r="537" spans="9:22" x14ac:dyDescent="0.25">
      <c r="I537" s="2">
        <f>Insertion!A37</f>
        <v>0</v>
      </c>
      <c r="J537" s="2">
        <f>Insertion!B37</f>
        <v>0</v>
      </c>
      <c r="K537" s="2">
        <f>Insertion!C37</f>
        <v>0</v>
      </c>
      <c r="L537" s="2">
        <f>Insertion!D37</f>
        <v>0</v>
      </c>
      <c r="M537" s="2">
        <f>Insertion!E37</f>
        <v>0</v>
      </c>
      <c r="N537" s="2">
        <f>Insertion!G37</f>
        <v>0</v>
      </c>
      <c r="O537" s="2">
        <f>Insertion!H37</f>
        <v>0</v>
      </c>
      <c r="P537" s="2">
        <f>Insertion!I37</f>
        <v>0</v>
      </c>
      <c r="Q537" s="2">
        <f>Insertion!J37</f>
        <v>0</v>
      </c>
      <c r="R537" s="2">
        <f>Insertion!K37</f>
        <v>0</v>
      </c>
      <c r="S537" s="2">
        <f>Insertion!N37</f>
        <v>0</v>
      </c>
      <c r="T537" s="2">
        <f t="shared" si="18"/>
        <v>0</v>
      </c>
      <c r="U537" s="10" t="str">
        <f>IF($S537=0, "", IF(COUNTIF(Table1[Amino Acid Change], $S537)=0, "Missing", "Y"))</f>
        <v/>
      </c>
      <c r="V537" s="10">
        <f t="shared" si="19"/>
        <v>0</v>
      </c>
    </row>
    <row r="538" spans="9:22" x14ac:dyDescent="0.25">
      <c r="I538" s="2">
        <f>Insertion!A38</f>
        <v>0</v>
      </c>
      <c r="J538" s="2">
        <f>Insertion!B38</f>
        <v>0</v>
      </c>
      <c r="K538" s="2">
        <f>Insertion!C38</f>
        <v>0</v>
      </c>
      <c r="L538" s="2">
        <f>Insertion!D38</f>
        <v>0</v>
      </c>
      <c r="M538" s="2">
        <f>Insertion!E38</f>
        <v>0</v>
      </c>
      <c r="N538" s="2">
        <f>Insertion!G38</f>
        <v>0</v>
      </c>
      <c r="O538" s="2">
        <f>Insertion!H38</f>
        <v>0</v>
      </c>
      <c r="P538" s="2">
        <f>Insertion!I38</f>
        <v>0</v>
      </c>
      <c r="Q538" s="2">
        <f>Insertion!J38</f>
        <v>0</v>
      </c>
      <c r="R538" s="2">
        <f>Insertion!K38</f>
        <v>0</v>
      </c>
      <c r="S538" s="2">
        <f>Insertion!N38</f>
        <v>0</v>
      </c>
      <c r="T538" s="2">
        <f t="shared" si="18"/>
        <v>0</v>
      </c>
      <c r="U538" s="10" t="str">
        <f>IF($S538=0, "", IF(COUNTIF(Table1[Amino Acid Change], $S538)=0, "Missing", "Y"))</f>
        <v/>
      </c>
      <c r="V538" s="10">
        <f t="shared" si="19"/>
        <v>0</v>
      </c>
    </row>
    <row r="539" spans="9:22" x14ac:dyDescent="0.25">
      <c r="I539" s="2">
        <f>Insertion!A39</f>
        <v>0</v>
      </c>
      <c r="J539" s="2">
        <f>Insertion!B39</f>
        <v>0</v>
      </c>
      <c r="K539" s="2">
        <f>Insertion!C39</f>
        <v>0</v>
      </c>
      <c r="L539" s="2">
        <f>Insertion!D39</f>
        <v>0</v>
      </c>
      <c r="M539" s="2">
        <f>Insertion!E39</f>
        <v>0</v>
      </c>
      <c r="N539" s="2">
        <f>Insertion!G39</f>
        <v>0</v>
      </c>
      <c r="O539" s="2">
        <f>Insertion!H39</f>
        <v>0</v>
      </c>
      <c r="P539" s="2">
        <f>Insertion!I39</f>
        <v>0</v>
      </c>
      <c r="Q539" s="2">
        <f>Insertion!J39</f>
        <v>0</v>
      </c>
      <c r="R539" s="2">
        <f>Insertion!K39</f>
        <v>0</v>
      </c>
      <c r="S539" s="2">
        <f>Insertion!N39</f>
        <v>0</v>
      </c>
      <c r="T539" s="2">
        <f t="shared" si="18"/>
        <v>0</v>
      </c>
      <c r="U539" s="10" t="str">
        <f>IF($S539=0, "", IF(COUNTIF(Table1[Amino Acid Change], $S539)=0, "Missing", "Y"))</f>
        <v/>
      </c>
      <c r="V539" s="10">
        <f t="shared" si="19"/>
        <v>0</v>
      </c>
    </row>
    <row r="540" spans="9:22" x14ac:dyDescent="0.25">
      <c r="I540" s="2">
        <f>Insertion!A40</f>
        <v>0</v>
      </c>
      <c r="J540" s="2">
        <f>Insertion!B40</f>
        <v>0</v>
      </c>
      <c r="K540" s="2">
        <f>Insertion!C40</f>
        <v>0</v>
      </c>
      <c r="L540" s="2">
        <f>Insertion!D40</f>
        <v>0</v>
      </c>
      <c r="M540" s="2">
        <f>Insertion!E40</f>
        <v>0</v>
      </c>
      <c r="N540" s="2">
        <f>Insertion!G40</f>
        <v>0</v>
      </c>
      <c r="O540" s="2">
        <f>Insertion!H40</f>
        <v>0</v>
      </c>
      <c r="P540" s="2">
        <f>Insertion!I40</f>
        <v>0</v>
      </c>
      <c r="Q540" s="2">
        <f>Insertion!J40</f>
        <v>0</v>
      </c>
      <c r="R540" s="2">
        <f>Insertion!K40</f>
        <v>0</v>
      </c>
      <c r="S540" s="2">
        <f>Insertion!N40</f>
        <v>0</v>
      </c>
      <c r="T540" s="2">
        <f t="shared" si="18"/>
        <v>0</v>
      </c>
      <c r="U540" s="10" t="str">
        <f>IF($S540=0, "", IF(COUNTIF(Table1[Amino Acid Change], $S540)=0, "Missing", "Y"))</f>
        <v/>
      </c>
      <c r="V540" s="10">
        <f t="shared" si="19"/>
        <v>0</v>
      </c>
    </row>
    <row r="541" spans="9:22" x14ac:dyDescent="0.25">
      <c r="I541" s="2">
        <f>Insertion!A41</f>
        <v>0</v>
      </c>
      <c r="J541" s="2">
        <f>Insertion!B41</f>
        <v>0</v>
      </c>
      <c r="K541" s="2">
        <f>Insertion!C41</f>
        <v>0</v>
      </c>
      <c r="L541" s="2">
        <f>Insertion!D41</f>
        <v>0</v>
      </c>
      <c r="M541" s="2">
        <f>Insertion!E41</f>
        <v>0</v>
      </c>
      <c r="N541" s="2">
        <f>Insertion!G41</f>
        <v>0</v>
      </c>
      <c r="O541" s="2">
        <f>Insertion!H41</f>
        <v>0</v>
      </c>
      <c r="P541" s="2">
        <f>Insertion!I41</f>
        <v>0</v>
      </c>
      <c r="Q541" s="2">
        <f>Insertion!J41</f>
        <v>0</v>
      </c>
      <c r="R541" s="2">
        <f>Insertion!K41</f>
        <v>0</v>
      </c>
      <c r="S541" s="2">
        <f>Insertion!N41</f>
        <v>0</v>
      </c>
      <c r="T541" s="2">
        <f t="shared" si="18"/>
        <v>0</v>
      </c>
      <c r="U541" s="10" t="str">
        <f>IF($S541=0, "", IF(COUNTIF(Table1[Amino Acid Change], $S541)=0, "Missing", "Y"))</f>
        <v/>
      </c>
      <c r="V541" s="10">
        <f t="shared" si="19"/>
        <v>0</v>
      </c>
    </row>
    <row r="542" spans="9:22" x14ac:dyDescent="0.25">
      <c r="I542" s="2">
        <f>Insertion!A42</f>
        <v>0</v>
      </c>
      <c r="J542" s="2">
        <f>Insertion!B42</f>
        <v>0</v>
      </c>
      <c r="K542" s="2">
        <f>Insertion!C42</f>
        <v>0</v>
      </c>
      <c r="L542" s="2">
        <f>Insertion!D42</f>
        <v>0</v>
      </c>
      <c r="M542" s="2">
        <f>Insertion!E42</f>
        <v>0</v>
      </c>
      <c r="N542" s="2">
        <f>Insertion!G42</f>
        <v>0</v>
      </c>
      <c r="O542" s="2">
        <f>Insertion!H42</f>
        <v>0</v>
      </c>
      <c r="P542" s="2">
        <f>Insertion!I42</f>
        <v>0</v>
      </c>
      <c r="Q542" s="2">
        <f>Insertion!J42</f>
        <v>0</v>
      </c>
      <c r="R542" s="2">
        <f>Insertion!K42</f>
        <v>0</v>
      </c>
      <c r="S542" s="2">
        <f>Insertion!N42</f>
        <v>0</v>
      </c>
      <c r="T542" s="2">
        <f t="shared" si="18"/>
        <v>0</v>
      </c>
      <c r="U542" s="10" t="str">
        <f>IF($S542=0, "", IF(COUNTIF(Table1[Amino Acid Change], $S542)=0, "Missing", "Y"))</f>
        <v/>
      </c>
      <c r="V542" s="10">
        <f t="shared" si="19"/>
        <v>0</v>
      </c>
    </row>
    <row r="543" spans="9:22" x14ac:dyDescent="0.25">
      <c r="I543" s="2">
        <f>Insertion!A43</f>
        <v>0</v>
      </c>
      <c r="J543" s="2">
        <f>Insertion!B43</f>
        <v>0</v>
      </c>
      <c r="K543" s="2">
        <f>Insertion!C43</f>
        <v>0</v>
      </c>
      <c r="L543" s="2">
        <f>Insertion!D43</f>
        <v>0</v>
      </c>
      <c r="M543" s="2">
        <f>Insertion!E43</f>
        <v>0</v>
      </c>
      <c r="N543" s="2">
        <f>Insertion!G43</f>
        <v>0</v>
      </c>
      <c r="O543" s="2">
        <f>Insertion!H43</f>
        <v>0</v>
      </c>
      <c r="P543" s="2">
        <f>Insertion!I43</f>
        <v>0</v>
      </c>
      <c r="Q543" s="2">
        <f>Insertion!J43</f>
        <v>0</v>
      </c>
      <c r="R543" s="2">
        <f>Insertion!K43</f>
        <v>0</v>
      </c>
      <c r="S543" s="2">
        <f>Insertion!N43</f>
        <v>0</v>
      </c>
      <c r="T543" s="2">
        <f t="shared" si="18"/>
        <v>0</v>
      </c>
      <c r="U543" s="10" t="str">
        <f>IF($S543=0, "", IF(COUNTIF(Table1[Amino Acid Change], $S543)=0, "Missing", "Y"))</f>
        <v/>
      </c>
      <c r="V543" s="10">
        <f t="shared" si="19"/>
        <v>0</v>
      </c>
    </row>
    <row r="544" spans="9:22" x14ac:dyDescent="0.25">
      <c r="I544" s="2">
        <f>Insertion!A44</f>
        <v>0</v>
      </c>
      <c r="J544" s="2">
        <f>Insertion!B44</f>
        <v>0</v>
      </c>
      <c r="K544" s="2">
        <f>Insertion!C44</f>
        <v>0</v>
      </c>
      <c r="L544" s="2">
        <f>Insertion!D44</f>
        <v>0</v>
      </c>
      <c r="M544" s="2">
        <f>Insertion!E44</f>
        <v>0</v>
      </c>
      <c r="N544" s="2">
        <f>Insertion!G44</f>
        <v>0</v>
      </c>
      <c r="O544" s="2">
        <f>Insertion!H44</f>
        <v>0</v>
      </c>
      <c r="P544" s="2">
        <f>Insertion!I44</f>
        <v>0</v>
      </c>
      <c r="Q544" s="2">
        <f>Insertion!J44</f>
        <v>0</v>
      </c>
      <c r="R544" s="2">
        <f>Insertion!K44</f>
        <v>0</v>
      </c>
      <c r="S544" s="2">
        <f>Insertion!N44</f>
        <v>0</v>
      </c>
      <c r="T544" s="2">
        <f t="shared" si="18"/>
        <v>0</v>
      </c>
      <c r="U544" s="10" t="str">
        <f>IF($S544=0, "", IF(COUNTIF(Table1[Amino Acid Change], $S544)=0, "Missing", "Y"))</f>
        <v/>
      </c>
      <c r="V544" s="10">
        <f t="shared" si="19"/>
        <v>0</v>
      </c>
    </row>
    <row r="545" spans="9:22" x14ac:dyDescent="0.25">
      <c r="I545" s="2">
        <f>Insertion!A45</f>
        <v>0</v>
      </c>
      <c r="J545" s="2">
        <f>Insertion!B45</f>
        <v>0</v>
      </c>
      <c r="K545" s="2">
        <f>Insertion!C45</f>
        <v>0</v>
      </c>
      <c r="L545" s="2">
        <f>Insertion!D45</f>
        <v>0</v>
      </c>
      <c r="M545" s="2">
        <f>Insertion!E45</f>
        <v>0</v>
      </c>
      <c r="N545" s="2">
        <f>Insertion!G45</f>
        <v>0</v>
      </c>
      <c r="O545" s="2">
        <f>Insertion!H45</f>
        <v>0</v>
      </c>
      <c r="P545" s="2">
        <f>Insertion!I45</f>
        <v>0</v>
      </c>
      <c r="Q545" s="2">
        <f>Insertion!J45</f>
        <v>0</v>
      </c>
      <c r="R545" s="2">
        <f>Insertion!K45</f>
        <v>0</v>
      </c>
      <c r="S545" s="2">
        <f>Insertion!N45</f>
        <v>0</v>
      </c>
      <c r="T545" s="2">
        <f t="shared" si="18"/>
        <v>0</v>
      </c>
      <c r="U545" s="10" t="str">
        <f>IF($S545=0, "", IF(COUNTIF(Table1[Amino Acid Change], $S545)=0, "Missing", "Y"))</f>
        <v/>
      </c>
      <c r="V545" s="10">
        <f t="shared" si="19"/>
        <v>0</v>
      </c>
    </row>
    <row r="546" spans="9:22" x14ac:dyDescent="0.25">
      <c r="I546" s="2">
        <f>Insertion!A46</f>
        <v>0</v>
      </c>
      <c r="J546" s="2">
        <f>Insertion!B46</f>
        <v>0</v>
      </c>
      <c r="K546" s="2">
        <f>Insertion!C46</f>
        <v>0</v>
      </c>
      <c r="L546" s="2">
        <f>Insertion!D46</f>
        <v>0</v>
      </c>
      <c r="M546" s="2">
        <f>Insertion!E46</f>
        <v>0</v>
      </c>
      <c r="N546" s="2">
        <f>Insertion!G46</f>
        <v>0</v>
      </c>
      <c r="O546" s="2">
        <f>Insertion!H46</f>
        <v>0</v>
      </c>
      <c r="P546" s="2">
        <f>Insertion!I46</f>
        <v>0</v>
      </c>
      <c r="Q546" s="2">
        <f>Insertion!J46</f>
        <v>0</v>
      </c>
      <c r="R546" s="2">
        <f>Insertion!K46</f>
        <v>0</v>
      </c>
      <c r="S546" s="2">
        <f>Insertion!N46</f>
        <v>0</v>
      </c>
      <c r="T546" s="2">
        <f t="shared" si="18"/>
        <v>0</v>
      </c>
      <c r="U546" s="10" t="str">
        <f>IF($S546=0, "", IF(COUNTIF(Table1[Amino Acid Change], $S546)=0, "Missing", "Y"))</f>
        <v/>
      </c>
      <c r="V546" s="10">
        <f t="shared" si="19"/>
        <v>0</v>
      </c>
    </row>
    <row r="547" spans="9:22" x14ac:dyDescent="0.25">
      <c r="I547" s="2">
        <f>Insertion!A47</f>
        <v>0</v>
      </c>
      <c r="J547" s="2">
        <f>Insertion!B47</f>
        <v>0</v>
      </c>
      <c r="K547" s="2">
        <f>Insertion!C47</f>
        <v>0</v>
      </c>
      <c r="L547" s="2">
        <f>Insertion!D47</f>
        <v>0</v>
      </c>
      <c r="M547" s="2">
        <f>Insertion!E47</f>
        <v>0</v>
      </c>
      <c r="N547" s="2">
        <f>Insertion!G47</f>
        <v>0</v>
      </c>
      <c r="O547" s="2">
        <f>Insertion!H47</f>
        <v>0</v>
      </c>
      <c r="P547" s="2">
        <f>Insertion!I47</f>
        <v>0</v>
      </c>
      <c r="Q547" s="2">
        <f>Insertion!J47</f>
        <v>0</v>
      </c>
      <c r="R547" s="2">
        <f>Insertion!K47</f>
        <v>0</v>
      </c>
      <c r="S547" s="2">
        <f>Insertion!N47</f>
        <v>0</v>
      </c>
      <c r="T547" s="2">
        <f t="shared" si="18"/>
        <v>0</v>
      </c>
      <c r="U547" s="10" t="str">
        <f>IF($S547=0, "", IF(COUNTIF(Table1[Amino Acid Change], $S547)=0, "Missing", "Y"))</f>
        <v/>
      </c>
      <c r="V547" s="10">
        <f t="shared" si="19"/>
        <v>0</v>
      </c>
    </row>
    <row r="548" spans="9:22" x14ac:dyDescent="0.25">
      <c r="I548" s="2">
        <f>Insertion!A48</f>
        <v>0</v>
      </c>
      <c r="J548" s="2">
        <f>Insertion!B48</f>
        <v>0</v>
      </c>
      <c r="K548" s="2">
        <f>Insertion!C48</f>
        <v>0</v>
      </c>
      <c r="L548" s="2">
        <f>Insertion!D48</f>
        <v>0</v>
      </c>
      <c r="M548" s="2">
        <f>Insertion!E48</f>
        <v>0</v>
      </c>
      <c r="N548" s="2">
        <f>Insertion!G48</f>
        <v>0</v>
      </c>
      <c r="O548" s="2">
        <f>Insertion!H48</f>
        <v>0</v>
      </c>
      <c r="P548" s="2">
        <f>Insertion!I48</f>
        <v>0</v>
      </c>
      <c r="Q548" s="2">
        <f>Insertion!J48</f>
        <v>0</v>
      </c>
      <c r="R548" s="2">
        <f>Insertion!K48</f>
        <v>0</v>
      </c>
      <c r="S548" s="2">
        <f>Insertion!N48</f>
        <v>0</v>
      </c>
      <c r="T548" s="2">
        <f t="shared" si="18"/>
        <v>0</v>
      </c>
      <c r="U548" s="10" t="str">
        <f>IF($S548=0, "", IF(COUNTIF(Table1[Amino Acid Change], $S548)=0, "Missing", "Y"))</f>
        <v/>
      </c>
      <c r="V548" s="10">
        <f t="shared" si="19"/>
        <v>0</v>
      </c>
    </row>
    <row r="549" spans="9:22" x14ac:dyDescent="0.25">
      <c r="I549" s="2">
        <f>Insertion!A49</f>
        <v>0</v>
      </c>
      <c r="J549" s="2">
        <f>Insertion!B49</f>
        <v>0</v>
      </c>
      <c r="K549" s="2">
        <f>Insertion!C49</f>
        <v>0</v>
      </c>
      <c r="L549" s="2">
        <f>Insertion!D49</f>
        <v>0</v>
      </c>
      <c r="M549" s="2">
        <f>Insertion!E49</f>
        <v>0</v>
      </c>
      <c r="N549" s="2">
        <f>Insertion!G49</f>
        <v>0</v>
      </c>
      <c r="O549" s="2">
        <f>Insertion!H49</f>
        <v>0</v>
      </c>
      <c r="P549" s="2">
        <f>Insertion!I49</f>
        <v>0</v>
      </c>
      <c r="Q549" s="2">
        <f>Insertion!J49</f>
        <v>0</v>
      </c>
      <c r="R549" s="2">
        <f>Insertion!K49</f>
        <v>0</v>
      </c>
      <c r="S549" s="2">
        <f>Insertion!N49</f>
        <v>0</v>
      </c>
      <c r="T549" s="2">
        <f t="shared" si="18"/>
        <v>0</v>
      </c>
      <c r="U549" s="10" t="str">
        <f>IF($S549=0, "", IF(COUNTIF(Table1[Amino Acid Change], $S549)=0, "Missing", "Y"))</f>
        <v/>
      </c>
      <c r="V549" s="10">
        <f t="shared" si="19"/>
        <v>0</v>
      </c>
    </row>
    <row r="550" spans="9:22" x14ac:dyDescent="0.25">
      <c r="I550" s="2">
        <f>Insertion!A50</f>
        <v>0</v>
      </c>
      <c r="J550" s="2">
        <f>Insertion!B50</f>
        <v>0</v>
      </c>
      <c r="K550" s="2">
        <f>Insertion!C50</f>
        <v>0</v>
      </c>
      <c r="L550" s="2">
        <f>Insertion!D50</f>
        <v>0</v>
      </c>
      <c r="M550" s="2">
        <f>Insertion!E50</f>
        <v>0</v>
      </c>
      <c r="N550" s="2">
        <f>Insertion!G50</f>
        <v>0</v>
      </c>
      <c r="O550" s="2">
        <f>Insertion!H50</f>
        <v>0</v>
      </c>
      <c r="P550" s="2">
        <f>Insertion!I50</f>
        <v>0</v>
      </c>
      <c r="Q550" s="2">
        <f>Insertion!J50</f>
        <v>0</v>
      </c>
      <c r="R550" s="2">
        <f>Insertion!K50</f>
        <v>0</v>
      </c>
      <c r="S550" s="2">
        <f>Insertion!N50</f>
        <v>0</v>
      </c>
      <c r="T550" s="2">
        <f t="shared" si="18"/>
        <v>0</v>
      </c>
      <c r="U550" s="10" t="str">
        <f>IF($S550=0, "", IF(COUNTIF(Table1[Amino Acid Change], $S550)=0, "Missing", "Y"))</f>
        <v/>
      </c>
      <c r="V550" s="10">
        <f t="shared" si="19"/>
        <v>0</v>
      </c>
    </row>
    <row r="551" spans="9:22" x14ac:dyDescent="0.25">
      <c r="I551" s="2">
        <f>Insertion!A51</f>
        <v>0</v>
      </c>
      <c r="J551" s="2">
        <f>Insertion!B51</f>
        <v>0</v>
      </c>
      <c r="K551" s="2">
        <f>Insertion!C51</f>
        <v>0</v>
      </c>
      <c r="L551" s="2">
        <f>Insertion!D51</f>
        <v>0</v>
      </c>
      <c r="M551" s="2">
        <f>Insertion!E51</f>
        <v>0</v>
      </c>
      <c r="N551" s="2">
        <f>Insertion!G51</f>
        <v>0</v>
      </c>
      <c r="O551" s="2">
        <f>Insertion!H51</f>
        <v>0</v>
      </c>
      <c r="P551" s="2">
        <f>Insertion!I51</f>
        <v>0</v>
      </c>
      <c r="Q551" s="2">
        <f>Insertion!J51</f>
        <v>0</v>
      </c>
      <c r="R551" s="2">
        <f>Insertion!K51</f>
        <v>0</v>
      </c>
      <c r="S551" s="2">
        <f>Insertion!N51</f>
        <v>0</v>
      </c>
      <c r="T551" s="2">
        <f t="shared" si="18"/>
        <v>0</v>
      </c>
      <c r="U551" s="10" t="str">
        <f>IF($S551=0, "", IF(COUNTIF(Table1[Amino Acid Change], $S551)=0, "Missing", "Y"))</f>
        <v/>
      </c>
      <c r="V551" s="10">
        <f t="shared" si="19"/>
        <v>0</v>
      </c>
    </row>
    <row r="552" spans="9:22" x14ac:dyDescent="0.25">
      <c r="I552" s="2">
        <f>Insertion!A52</f>
        <v>0</v>
      </c>
      <c r="J552" s="2">
        <f>Insertion!B52</f>
        <v>0</v>
      </c>
      <c r="K552" s="2">
        <f>Insertion!C52</f>
        <v>0</v>
      </c>
      <c r="L552" s="2">
        <f>Insertion!D52</f>
        <v>0</v>
      </c>
      <c r="M552" s="2">
        <f>Insertion!E52</f>
        <v>0</v>
      </c>
      <c r="N552" s="2">
        <f>Insertion!G52</f>
        <v>0</v>
      </c>
      <c r="O552" s="2">
        <f>Insertion!H52</f>
        <v>0</v>
      </c>
      <c r="P552" s="2">
        <f>Insertion!I52</f>
        <v>0</v>
      </c>
      <c r="Q552" s="2">
        <f>Insertion!J52</f>
        <v>0</v>
      </c>
      <c r="R552" s="2">
        <f>Insertion!K52</f>
        <v>0</v>
      </c>
      <c r="S552" s="2">
        <f>Insertion!N52</f>
        <v>0</v>
      </c>
      <c r="T552" s="2">
        <f t="shared" si="18"/>
        <v>0</v>
      </c>
      <c r="U552" s="10" t="str">
        <f>IF($S552=0, "", IF(COUNTIF(Table1[Amino Acid Change], $S552)=0, "Missing", "Y"))</f>
        <v/>
      </c>
      <c r="V552" s="10">
        <f t="shared" si="19"/>
        <v>0</v>
      </c>
    </row>
    <row r="553" spans="9:22" x14ac:dyDescent="0.25">
      <c r="I553" s="2">
        <f>Insertion!A53</f>
        <v>0</v>
      </c>
      <c r="J553" s="2">
        <f>Insertion!B53</f>
        <v>0</v>
      </c>
      <c r="K553" s="2">
        <f>Insertion!C53</f>
        <v>0</v>
      </c>
      <c r="L553" s="2">
        <f>Insertion!D53</f>
        <v>0</v>
      </c>
      <c r="M553" s="2">
        <f>Insertion!E53</f>
        <v>0</v>
      </c>
      <c r="N553" s="2">
        <f>Insertion!G53</f>
        <v>0</v>
      </c>
      <c r="O553" s="2">
        <f>Insertion!H53</f>
        <v>0</v>
      </c>
      <c r="P553" s="2">
        <f>Insertion!I53</f>
        <v>0</v>
      </c>
      <c r="Q553" s="2">
        <f>Insertion!J53</f>
        <v>0</v>
      </c>
      <c r="R553" s="2">
        <f>Insertion!K53</f>
        <v>0</v>
      </c>
      <c r="S553" s="2">
        <f>Insertion!N53</f>
        <v>0</v>
      </c>
      <c r="T553" s="2">
        <f t="shared" si="18"/>
        <v>0</v>
      </c>
      <c r="U553" s="10" t="str">
        <f>IF($S553=0, "", IF(COUNTIF(Table1[Amino Acid Change], $S553)=0, "Missing", "Y"))</f>
        <v/>
      </c>
      <c r="V553" s="10">
        <f t="shared" si="19"/>
        <v>0</v>
      </c>
    </row>
    <row r="554" spans="9:22" x14ac:dyDescent="0.25">
      <c r="I554" s="2">
        <f>Insertion!A54</f>
        <v>0</v>
      </c>
      <c r="J554" s="2">
        <f>Insertion!B54</f>
        <v>0</v>
      </c>
      <c r="K554" s="2">
        <f>Insertion!C54</f>
        <v>0</v>
      </c>
      <c r="L554" s="2">
        <f>Insertion!D54</f>
        <v>0</v>
      </c>
      <c r="M554" s="2">
        <f>Insertion!E54</f>
        <v>0</v>
      </c>
      <c r="N554" s="2">
        <f>Insertion!G54</f>
        <v>0</v>
      </c>
      <c r="O554" s="2">
        <f>Insertion!H54</f>
        <v>0</v>
      </c>
      <c r="P554" s="2">
        <f>Insertion!I54</f>
        <v>0</v>
      </c>
      <c r="Q554" s="2">
        <f>Insertion!J54</f>
        <v>0</v>
      </c>
      <c r="R554" s="2">
        <f>Insertion!K54</f>
        <v>0</v>
      </c>
      <c r="S554" s="2">
        <f>Insertion!N54</f>
        <v>0</v>
      </c>
      <c r="T554" s="2">
        <f t="shared" si="18"/>
        <v>0</v>
      </c>
      <c r="U554" s="10" t="str">
        <f>IF($S554=0, "", IF(COUNTIF(Table1[Amino Acid Change], $S554)=0, "Missing", "Y"))</f>
        <v/>
      </c>
      <c r="V554" s="10">
        <f t="shared" si="19"/>
        <v>0</v>
      </c>
    </row>
    <row r="555" spans="9:22" x14ac:dyDescent="0.25">
      <c r="I555" s="2">
        <f>Insertion!A55</f>
        <v>0</v>
      </c>
      <c r="J555" s="2">
        <f>Insertion!B55</f>
        <v>0</v>
      </c>
      <c r="K555" s="2">
        <f>Insertion!C55</f>
        <v>0</v>
      </c>
      <c r="L555" s="2">
        <f>Insertion!D55</f>
        <v>0</v>
      </c>
      <c r="M555" s="2">
        <f>Insertion!E55</f>
        <v>0</v>
      </c>
      <c r="N555" s="2">
        <f>Insertion!G55</f>
        <v>0</v>
      </c>
      <c r="O555" s="2">
        <f>Insertion!H55</f>
        <v>0</v>
      </c>
      <c r="P555" s="2">
        <f>Insertion!I55</f>
        <v>0</v>
      </c>
      <c r="Q555" s="2">
        <f>Insertion!J55</f>
        <v>0</v>
      </c>
      <c r="R555" s="2">
        <f>Insertion!K55</f>
        <v>0</v>
      </c>
      <c r="S555" s="2">
        <f>Insertion!N55</f>
        <v>0</v>
      </c>
      <c r="T555" s="2">
        <f t="shared" si="18"/>
        <v>0</v>
      </c>
      <c r="U555" s="10" t="str">
        <f>IF($S555=0, "", IF(COUNTIF(Table1[Amino Acid Change], $S555)=0, "Missing", "Y"))</f>
        <v/>
      </c>
      <c r="V555" s="10">
        <f t="shared" si="19"/>
        <v>0</v>
      </c>
    </row>
    <row r="556" spans="9:22" x14ac:dyDescent="0.25">
      <c r="I556" s="2">
        <f>Insertion!A56</f>
        <v>0</v>
      </c>
      <c r="J556" s="2">
        <f>Insertion!B56</f>
        <v>0</v>
      </c>
      <c r="K556" s="2">
        <f>Insertion!C56</f>
        <v>0</v>
      </c>
      <c r="L556" s="2">
        <f>Insertion!D56</f>
        <v>0</v>
      </c>
      <c r="M556" s="2">
        <f>Insertion!E56</f>
        <v>0</v>
      </c>
      <c r="N556" s="2">
        <f>Insertion!G56</f>
        <v>0</v>
      </c>
      <c r="O556" s="2">
        <f>Insertion!H56</f>
        <v>0</v>
      </c>
      <c r="P556" s="2">
        <f>Insertion!I56</f>
        <v>0</v>
      </c>
      <c r="Q556" s="2">
        <f>Insertion!J56</f>
        <v>0</v>
      </c>
      <c r="R556" s="2">
        <f>Insertion!K56</f>
        <v>0</v>
      </c>
      <c r="S556" s="2">
        <f>Insertion!N56</f>
        <v>0</v>
      </c>
      <c r="T556" s="2">
        <f t="shared" si="18"/>
        <v>0</v>
      </c>
      <c r="U556" s="10" t="str">
        <f>IF($S556=0, "", IF(COUNTIF(Table1[Amino Acid Change], $S556)=0, "Missing", "Y"))</f>
        <v/>
      </c>
      <c r="V556" s="10">
        <f t="shared" si="19"/>
        <v>0</v>
      </c>
    </row>
    <row r="557" spans="9:22" x14ac:dyDescent="0.25">
      <c r="I557" s="2">
        <f>Insertion!A57</f>
        <v>0</v>
      </c>
      <c r="J557" s="2">
        <f>Insertion!B57</f>
        <v>0</v>
      </c>
      <c r="K557" s="2">
        <f>Insertion!C57</f>
        <v>0</v>
      </c>
      <c r="L557" s="2">
        <f>Insertion!D57</f>
        <v>0</v>
      </c>
      <c r="M557" s="2">
        <f>Insertion!E57</f>
        <v>0</v>
      </c>
      <c r="N557" s="2">
        <f>Insertion!G57</f>
        <v>0</v>
      </c>
      <c r="O557" s="2">
        <f>Insertion!H57</f>
        <v>0</v>
      </c>
      <c r="P557" s="2">
        <f>Insertion!I57</f>
        <v>0</v>
      </c>
      <c r="Q557" s="2">
        <f>Insertion!J57</f>
        <v>0</v>
      </c>
      <c r="R557" s="2">
        <f>Insertion!K57</f>
        <v>0</v>
      </c>
      <c r="S557" s="2">
        <f>Insertion!N57</f>
        <v>0</v>
      </c>
      <c r="T557" s="2">
        <f t="shared" si="18"/>
        <v>0</v>
      </c>
      <c r="U557" s="10" t="str">
        <f>IF($S557=0, "", IF(COUNTIF(Table1[Amino Acid Change], $S557)=0, "Missing", "Y"))</f>
        <v/>
      </c>
      <c r="V557" s="10">
        <f t="shared" si="19"/>
        <v>0</v>
      </c>
    </row>
    <row r="558" spans="9:22" x14ac:dyDescent="0.25">
      <c r="I558" s="2">
        <f>Insertion!A58</f>
        <v>0</v>
      </c>
      <c r="J558" s="2">
        <f>Insertion!B58</f>
        <v>0</v>
      </c>
      <c r="K558" s="2">
        <f>Insertion!C58</f>
        <v>0</v>
      </c>
      <c r="L558" s="2">
        <f>Insertion!D58</f>
        <v>0</v>
      </c>
      <c r="M558" s="2">
        <f>Insertion!E58</f>
        <v>0</v>
      </c>
      <c r="N558" s="2">
        <f>Insertion!G58</f>
        <v>0</v>
      </c>
      <c r="O558" s="2">
        <f>Insertion!H58</f>
        <v>0</v>
      </c>
      <c r="P558" s="2">
        <f>Insertion!I58</f>
        <v>0</v>
      </c>
      <c r="Q558" s="2">
        <f>Insertion!J58</f>
        <v>0</v>
      </c>
      <c r="R558" s="2">
        <f>Insertion!K58</f>
        <v>0</v>
      </c>
      <c r="S558" s="2">
        <f>Insertion!N58</f>
        <v>0</v>
      </c>
      <c r="T558" s="2">
        <f t="shared" si="18"/>
        <v>0</v>
      </c>
      <c r="U558" s="10" t="str">
        <f>IF($S558=0, "", IF(COUNTIF(Table1[Amino Acid Change], $S558)=0, "Missing", "Y"))</f>
        <v/>
      </c>
      <c r="V558" s="10">
        <f t="shared" si="19"/>
        <v>0</v>
      </c>
    </row>
    <row r="559" spans="9:22" x14ac:dyDescent="0.25">
      <c r="I559" s="2">
        <f>Insertion!A59</f>
        <v>0</v>
      </c>
      <c r="J559" s="2">
        <f>Insertion!B59</f>
        <v>0</v>
      </c>
      <c r="K559" s="2">
        <f>Insertion!C59</f>
        <v>0</v>
      </c>
      <c r="L559" s="2">
        <f>Insertion!D59</f>
        <v>0</v>
      </c>
      <c r="M559" s="2">
        <f>Insertion!E59</f>
        <v>0</v>
      </c>
      <c r="N559" s="2">
        <f>Insertion!G59</f>
        <v>0</v>
      </c>
      <c r="O559" s="2">
        <f>Insertion!H59</f>
        <v>0</v>
      </c>
      <c r="P559" s="2">
        <f>Insertion!I59</f>
        <v>0</v>
      </c>
      <c r="Q559" s="2">
        <f>Insertion!J59</f>
        <v>0</v>
      </c>
      <c r="R559" s="2">
        <f>Insertion!K59</f>
        <v>0</v>
      </c>
      <c r="S559" s="2">
        <f>Insertion!N59</f>
        <v>0</v>
      </c>
      <c r="T559" s="2">
        <f t="shared" si="18"/>
        <v>0</v>
      </c>
      <c r="U559" s="10" t="str">
        <f>IF($S559=0, "", IF(COUNTIF(Table1[Amino Acid Change], $S559)=0, "Missing", "Y"))</f>
        <v/>
      </c>
      <c r="V559" s="10">
        <f t="shared" si="19"/>
        <v>0</v>
      </c>
    </row>
    <row r="560" spans="9:22" x14ac:dyDescent="0.25">
      <c r="I560" s="2">
        <f>Insertion!A60</f>
        <v>0</v>
      </c>
      <c r="J560" s="2">
        <f>Insertion!B60</f>
        <v>0</v>
      </c>
      <c r="K560" s="2">
        <f>Insertion!C60</f>
        <v>0</v>
      </c>
      <c r="L560" s="2">
        <f>Insertion!D60</f>
        <v>0</v>
      </c>
      <c r="M560" s="2">
        <f>Insertion!E60</f>
        <v>0</v>
      </c>
      <c r="N560" s="2">
        <f>Insertion!G60</f>
        <v>0</v>
      </c>
      <c r="O560" s="2">
        <f>Insertion!H60</f>
        <v>0</v>
      </c>
      <c r="P560" s="2">
        <f>Insertion!I60</f>
        <v>0</v>
      </c>
      <c r="Q560" s="2">
        <f>Insertion!J60</f>
        <v>0</v>
      </c>
      <c r="R560" s="2">
        <f>Insertion!K60</f>
        <v>0</v>
      </c>
      <c r="S560" s="2">
        <f>Insertion!N60</f>
        <v>0</v>
      </c>
      <c r="T560" s="2">
        <f t="shared" si="18"/>
        <v>0</v>
      </c>
      <c r="U560" s="10" t="str">
        <f>IF($S560=0, "", IF(COUNTIF(Table1[Amino Acid Change], $S560)=0, "Missing", "Y"))</f>
        <v/>
      </c>
      <c r="V560" s="10">
        <f t="shared" si="19"/>
        <v>0</v>
      </c>
    </row>
    <row r="561" spans="9:22" x14ac:dyDescent="0.25">
      <c r="I561" s="2">
        <f>Insertion!A61</f>
        <v>0</v>
      </c>
      <c r="J561" s="2">
        <f>Insertion!B61</f>
        <v>0</v>
      </c>
      <c r="K561" s="2">
        <f>Insertion!C61</f>
        <v>0</v>
      </c>
      <c r="L561" s="2">
        <f>Insertion!D61</f>
        <v>0</v>
      </c>
      <c r="M561" s="2">
        <f>Insertion!E61</f>
        <v>0</v>
      </c>
      <c r="N561" s="2">
        <f>Insertion!G61</f>
        <v>0</v>
      </c>
      <c r="O561" s="2">
        <f>Insertion!H61</f>
        <v>0</v>
      </c>
      <c r="P561" s="2">
        <f>Insertion!I61</f>
        <v>0</v>
      </c>
      <c r="Q561" s="2">
        <f>Insertion!J61</f>
        <v>0</v>
      </c>
      <c r="R561" s="2">
        <f>Insertion!K61</f>
        <v>0</v>
      </c>
      <c r="S561" s="2">
        <f>Insertion!N61</f>
        <v>0</v>
      </c>
      <c r="T561" s="2">
        <f t="shared" si="18"/>
        <v>0</v>
      </c>
      <c r="U561" s="10" t="str">
        <f>IF($S561=0, "", IF(COUNTIF(Table1[Amino Acid Change], $S561)=0, "Missing", "Y"))</f>
        <v/>
      </c>
      <c r="V561" s="10">
        <f t="shared" si="19"/>
        <v>0</v>
      </c>
    </row>
    <row r="562" spans="9:22" x14ac:dyDescent="0.25">
      <c r="I562" s="2">
        <f>Insertion!A62</f>
        <v>0</v>
      </c>
      <c r="J562" s="2">
        <f>Insertion!B62</f>
        <v>0</v>
      </c>
      <c r="K562" s="2">
        <f>Insertion!C62</f>
        <v>0</v>
      </c>
      <c r="L562" s="2">
        <f>Insertion!D62</f>
        <v>0</v>
      </c>
      <c r="M562" s="2">
        <f>Insertion!E62</f>
        <v>0</v>
      </c>
      <c r="N562" s="2">
        <f>Insertion!G62</f>
        <v>0</v>
      </c>
      <c r="O562" s="2">
        <f>Insertion!H62</f>
        <v>0</v>
      </c>
      <c r="P562" s="2">
        <f>Insertion!I62</f>
        <v>0</v>
      </c>
      <c r="Q562" s="2">
        <f>Insertion!J62</f>
        <v>0</v>
      </c>
      <c r="R562" s="2">
        <f>Insertion!K62</f>
        <v>0</v>
      </c>
      <c r="S562" s="2">
        <f>Insertion!N62</f>
        <v>0</v>
      </c>
      <c r="T562" s="2">
        <f t="shared" si="18"/>
        <v>0</v>
      </c>
      <c r="U562" s="10" t="str">
        <f>IF($S562=0, "", IF(COUNTIF(Table1[Amino Acid Change], $S562)=0, "Missing", "Y"))</f>
        <v/>
      </c>
      <c r="V562" s="10">
        <f t="shared" si="19"/>
        <v>0</v>
      </c>
    </row>
    <row r="563" spans="9:22" x14ac:dyDescent="0.25">
      <c r="I563" s="2">
        <f>Insertion!A63</f>
        <v>0</v>
      </c>
      <c r="J563" s="2">
        <f>Insertion!B63</f>
        <v>0</v>
      </c>
      <c r="K563" s="2">
        <f>Insertion!C63</f>
        <v>0</v>
      </c>
      <c r="L563" s="2">
        <f>Insertion!D63</f>
        <v>0</v>
      </c>
      <c r="M563" s="2">
        <f>Insertion!E63</f>
        <v>0</v>
      </c>
      <c r="N563" s="2">
        <f>Insertion!G63</f>
        <v>0</v>
      </c>
      <c r="O563" s="2">
        <f>Insertion!H63</f>
        <v>0</v>
      </c>
      <c r="P563" s="2">
        <f>Insertion!I63</f>
        <v>0</v>
      </c>
      <c r="Q563" s="2">
        <f>Insertion!J63</f>
        <v>0</v>
      </c>
      <c r="R563" s="2">
        <f>Insertion!K63</f>
        <v>0</v>
      </c>
      <c r="S563" s="2">
        <f>Insertion!N63</f>
        <v>0</v>
      </c>
      <c r="T563" s="2">
        <f t="shared" si="18"/>
        <v>0</v>
      </c>
      <c r="U563" s="10" t="str">
        <f>IF($S563=0, "", IF(COUNTIF(Table1[Amino Acid Change], $S563)=0, "Missing", "Y"))</f>
        <v/>
      </c>
      <c r="V563" s="10">
        <f t="shared" si="19"/>
        <v>0</v>
      </c>
    </row>
    <row r="564" spans="9:22" x14ac:dyDescent="0.25">
      <c r="I564" s="2">
        <f>Insertion!A64</f>
        <v>0</v>
      </c>
      <c r="J564" s="2">
        <f>Insertion!B64</f>
        <v>0</v>
      </c>
      <c r="K564" s="2">
        <f>Insertion!C64</f>
        <v>0</v>
      </c>
      <c r="L564" s="2">
        <f>Insertion!D64</f>
        <v>0</v>
      </c>
      <c r="M564" s="2">
        <f>Insertion!E64</f>
        <v>0</v>
      </c>
      <c r="N564" s="2">
        <f>Insertion!G64</f>
        <v>0</v>
      </c>
      <c r="O564" s="2">
        <f>Insertion!H64</f>
        <v>0</v>
      </c>
      <c r="P564" s="2">
        <f>Insertion!I64</f>
        <v>0</v>
      </c>
      <c r="Q564" s="2">
        <f>Insertion!J64</f>
        <v>0</v>
      </c>
      <c r="R564" s="2">
        <f>Insertion!K64</f>
        <v>0</v>
      </c>
      <c r="S564" s="2">
        <f>Insertion!N64</f>
        <v>0</v>
      </c>
      <c r="T564" s="2">
        <f t="shared" si="18"/>
        <v>0</v>
      </c>
      <c r="U564" s="10" t="str">
        <f>IF($S564=0, "", IF(COUNTIF(Table1[Amino Acid Change], $S564)=0, "Missing", "Y"))</f>
        <v/>
      </c>
      <c r="V564" s="10">
        <f t="shared" si="19"/>
        <v>0</v>
      </c>
    </row>
    <row r="565" spans="9:22" x14ac:dyDescent="0.25">
      <c r="I565" s="2">
        <f>Insertion!A65</f>
        <v>0</v>
      </c>
      <c r="J565" s="2">
        <f>Insertion!B65</f>
        <v>0</v>
      </c>
      <c r="K565" s="2">
        <f>Insertion!C65</f>
        <v>0</v>
      </c>
      <c r="L565" s="2">
        <f>Insertion!D65</f>
        <v>0</v>
      </c>
      <c r="M565" s="2">
        <f>Insertion!E65</f>
        <v>0</v>
      </c>
      <c r="N565" s="2">
        <f>Insertion!G65</f>
        <v>0</v>
      </c>
      <c r="O565" s="2">
        <f>Insertion!H65</f>
        <v>0</v>
      </c>
      <c r="P565" s="2">
        <f>Insertion!I65</f>
        <v>0</v>
      </c>
      <c r="Q565" s="2">
        <f>Insertion!J65</f>
        <v>0</v>
      </c>
      <c r="R565" s="2">
        <f>Insertion!K65</f>
        <v>0</v>
      </c>
      <c r="S565" s="2">
        <f>Insertion!N65</f>
        <v>0</v>
      </c>
      <c r="T565" s="2">
        <f t="shared" si="18"/>
        <v>0</v>
      </c>
      <c r="U565" s="10" t="str">
        <f>IF($S565=0, "", IF(COUNTIF(Table1[Amino Acid Change], $S565)=0, "Missing", "Y"))</f>
        <v/>
      </c>
      <c r="V565" s="10">
        <f t="shared" si="19"/>
        <v>0</v>
      </c>
    </row>
    <row r="566" spans="9:22" x14ac:dyDescent="0.25">
      <c r="I566" s="2">
        <f>Insertion!A66</f>
        <v>0</v>
      </c>
      <c r="J566" s="2">
        <f>Insertion!B66</f>
        <v>0</v>
      </c>
      <c r="K566" s="2">
        <f>Insertion!C66</f>
        <v>0</v>
      </c>
      <c r="L566" s="2">
        <f>Insertion!D66</f>
        <v>0</v>
      </c>
      <c r="M566" s="2">
        <f>Insertion!E66</f>
        <v>0</v>
      </c>
      <c r="N566" s="2">
        <f>Insertion!G66</f>
        <v>0</v>
      </c>
      <c r="O566" s="2">
        <f>Insertion!H66</f>
        <v>0</v>
      </c>
      <c r="P566" s="2">
        <f>Insertion!I66</f>
        <v>0</v>
      </c>
      <c r="Q566" s="2">
        <f>Insertion!J66</f>
        <v>0</v>
      </c>
      <c r="R566" s="2">
        <f>Insertion!K66</f>
        <v>0</v>
      </c>
      <c r="S566" s="2">
        <f>Insertion!N66</f>
        <v>0</v>
      </c>
      <c r="T566" s="2">
        <f t="shared" si="18"/>
        <v>0</v>
      </c>
      <c r="U566" s="10" t="str">
        <f>IF($S566=0, "", IF(COUNTIF(Table1[Amino Acid Change], $S566)=0, "Missing", "Y"))</f>
        <v/>
      </c>
      <c r="V566" s="10">
        <f t="shared" si="19"/>
        <v>0</v>
      </c>
    </row>
    <row r="567" spans="9:22" x14ac:dyDescent="0.25">
      <c r="I567" s="2">
        <f>Insertion!A67</f>
        <v>0</v>
      </c>
      <c r="J567" s="2">
        <f>Insertion!B67</f>
        <v>0</v>
      </c>
      <c r="K567" s="2">
        <f>Insertion!C67</f>
        <v>0</v>
      </c>
      <c r="L567" s="2">
        <f>Insertion!D67</f>
        <v>0</v>
      </c>
      <c r="M567" s="2">
        <f>Insertion!E67</f>
        <v>0</v>
      </c>
      <c r="N567" s="2">
        <f>Insertion!G67</f>
        <v>0</v>
      </c>
      <c r="O567" s="2">
        <f>Insertion!H67</f>
        <v>0</v>
      </c>
      <c r="P567" s="2">
        <f>Insertion!I67</f>
        <v>0</v>
      </c>
      <c r="Q567" s="2">
        <f>Insertion!J67</f>
        <v>0</v>
      </c>
      <c r="R567" s="2">
        <f>Insertion!K67</f>
        <v>0</v>
      </c>
      <c r="S567" s="2">
        <f>Insertion!N67</f>
        <v>0</v>
      </c>
      <c r="T567" s="2">
        <f t="shared" ref="T567:T630" si="20">P567</f>
        <v>0</v>
      </c>
      <c r="U567" s="10" t="str">
        <f>IF($S567=0, "", IF(COUNTIF(Table1[Amino Acid Change], $S567)=0, "Missing", "Y"))</f>
        <v/>
      </c>
      <c r="V567" s="10">
        <f t="shared" ref="V567:V630" si="21">J567</f>
        <v>0</v>
      </c>
    </row>
    <row r="568" spans="9:22" x14ac:dyDescent="0.25">
      <c r="I568" s="2">
        <f>Insertion!A68</f>
        <v>0</v>
      </c>
      <c r="J568" s="2">
        <f>Insertion!B68</f>
        <v>0</v>
      </c>
      <c r="K568" s="2">
        <f>Insertion!C68</f>
        <v>0</v>
      </c>
      <c r="L568" s="2">
        <f>Insertion!D68</f>
        <v>0</v>
      </c>
      <c r="M568" s="2">
        <f>Insertion!E68</f>
        <v>0</v>
      </c>
      <c r="N568" s="2">
        <f>Insertion!G68</f>
        <v>0</v>
      </c>
      <c r="O568" s="2">
        <f>Insertion!H68</f>
        <v>0</v>
      </c>
      <c r="P568" s="2">
        <f>Insertion!I68</f>
        <v>0</v>
      </c>
      <c r="Q568" s="2">
        <f>Insertion!J68</f>
        <v>0</v>
      </c>
      <c r="R568" s="2">
        <f>Insertion!K68</f>
        <v>0</v>
      </c>
      <c r="S568" s="2">
        <f>Insertion!N68</f>
        <v>0</v>
      </c>
      <c r="T568" s="2">
        <f t="shared" si="20"/>
        <v>0</v>
      </c>
      <c r="U568" s="10" t="str">
        <f>IF($S568=0, "", IF(COUNTIF(Table1[Amino Acid Change], $S568)=0, "Missing", "Y"))</f>
        <v/>
      </c>
      <c r="V568" s="10">
        <f t="shared" si="21"/>
        <v>0</v>
      </c>
    </row>
    <row r="569" spans="9:22" x14ac:dyDescent="0.25">
      <c r="I569" s="2">
        <f>Insertion!A69</f>
        <v>0</v>
      </c>
      <c r="J569" s="2">
        <f>Insertion!B69</f>
        <v>0</v>
      </c>
      <c r="K569" s="2">
        <f>Insertion!C69</f>
        <v>0</v>
      </c>
      <c r="L569" s="2">
        <f>Insertion!D69</f>
        <v>0</v>
      </c>
      <c r="M569" s="2">
        <f>Insertion!E69</f>
        <v>0</v>
      </c>
      <c r="N569" s="2">
        <f>Insertion!G69</f>
        <v>0</v>
      </c>
      <c r="O569" s="2">
        <f>Insertion!H69</f>
        <v>0</v>
      </c>
      <c r="P569" s="2">
        <f>Insertion!I69</f>
        <v>0</v>
      </c>
      <c r="Q569" s="2">
        <f>Insertion!J69</f>
        <v>0</v>
      </c>
      <c r="R569" s="2">
        <f>Insertion!K69</f>
        <v>0</v>
      </c>
      <c r="S569" s="2">
        <f>Insertion!N69</f>
        <v>0</v>
      </c>
      <c r="T569" s="2">
        <f t="shared" si="20"/>
        <v>0</v>
      </c>
      <c r="U569" s="10" t="str">
        <f>IF($S569=0, "", IF(COUNTIF(Table1[Amino Acid Change], $S569)=0, "Missing", "Y"))</f>
        <v/>
      </c>
      <c r="V569" s="10">
        <f t="shared" si="21"/>
        <v>0</v>
      </c>
    </row>
    <row r="570" spans="9:22" x14ac:dyDescent="0.25">
      <c r="I570" s="2">
        <f>Insertion!A70</f>
        <v>0</v>
      </c>
      <c r="J570" s="2">
        <f>Insertion!B70</f>
        <v>0</v>
      </c>
      <c r="K570" s="2">
        <f>Insertion!C70</f>
        <v>0</v>
      </c>
      <c r="L570" s="2">
        <f>Insertion!D70</f>
        <v>0</v>
      </c>
      <c r="M570" s="2">
        <f>Insertion!E70</f>
        <v>0</v>
      </c>
      <c r="N570" s="2">
        <f>Insertion!G70</f>
        <v>0</v>
      </c>
      <c r="O570" s="2">
        <f>Insertion!H70</f>
        <v>0</v>
      </c>
      <c r="P570" s="2">
        <f>Insertion!I70</f>
        <v>0</v>
      </c>
      <c r="Q570" s="2">
        <f>Insertion!J70</f>
        <v>0</v>
      </c>
      <c r="R570" s="2">
        <f>Insertion!K70</f>
        <v>0</v>
      </c>
      <c r="S570" s="2">
        <f>Insertion!N70</f>
        <v>0</v>
      </c>
      <c r="T570" s="2">
        <f t="shared" si="20"/>
        <v>0</v>
      </c>
      <c r="U570" s="10" t="str">
        <f>IF($S570=0, "", IF(COUNTIF(Table1[Amino Acid Change], $S570)=0, "Missing", "Y"))</f>
        <v/>
      </c>
      <c r="V570" s="10">
        <f t="shared" si="21"/>
        <v>0</v>
      </c>
    </row>
    <row r="571" spans="9:22" x14ac:dyDescent="0.25">
      <c r="I571" s="2">
        <f>Insertion!A71</f>
        <v>0</v>
      </c>
      <c r="J571" s="2">
        <f>Insertion!B71</f>
        <v>0</v>
      </c>
      <c r="K571" s="2">
        <f>Insertion!C71</f>
        <v>0</v>
      </c>
      <c r="L571" s="2">
        <f>Insertion!D71</f>
        <v>0</v>
      </c>
      <c r="M571" s="2">
        <f>Insertion!E71</f>
        <v>0</v>
      </c>
      <c r="N571" s="2">
        <f>Insertion!G71</f>
        <v>0</v>
      </c>
      <c r="O571" s="2">
        <f>Insertion!H71</f>
        <v>0</v>
      </c>
      <c r="P571" s="2">
        <f>Insertion!I71</f>
        <v>0</v>
      </c>
      <c r="Q571" s="2">
        <f>Insertion!J71</f>
        <v>0</v>
      </c>
      <c r="R571" s="2">
        <f>Insertion!K71</f>
        <v>0</v>
      </c>
      <c r="S571" s="2">
        <f>Insertion!N71</f>
        <v>0</v>
      </c>
      <c r="T571" s="2">
        <f t="shared" si="20"/>
        <v>0</v>
      </c>
      <c r="U571" s="10" t="str">
        <f>IF($S571=0, "", IF(COUNTIF(Table1[Amino Acid Change], $S571)=0, "Missing", "Y"))</f>
        <v/>
      </c>
      <c r="V571" s="10">
        <f t="shared" si="21"/>
        <v>0</v>
      </c>
    </row>
    <row r="572" spans="9:22" x14ac:dyDescent="0.25">
      <c r="I572" s="2">
        <f>Insertion!A72</f>
        <v>0</v>
      </c>
      <c r="J572" s="2">
        <f>Insertion!B72</f>
        <v>0</v>
      </c>
      <c r="K572" s="2">
        <f>Insertion!C72</f>
        <v>0</v>
      </c>
      <c r="L572" s="2">
        <f>Insertion!D72</f>
        <v>0</v>
      </c>
      <c r="M572" s="2">
        <f>Insertion!E72</f>
        <v>0</v>
      </c>
      <c r="N572" s="2">
        <f>Insertion!G72</f>
        <v>0</v>
      </c>
      <c r="O572" s="2">
        <f>Insertion!H72</f>
        <v>0</v>
      </c>
      <c r="P572" s="2">
        <f>Insertion!I72</f>
        <v>0</v>
      </c>
      <c r="Q572" s="2">
        <f>Insertion!J72</f>
        <v>0</v>
      </c>
      <c r="R572" s="2">
        <f>Insertion!K72</f>
        <v>0</v>
      </c>
      <c r="S572" s="2">
        <f>Insertion!N72</f>
        <v>0</v>
      </c>
      <c r="T572" s="2">
        <f t="shared" si="20"/>
        <v>0</v>
      </c>
      <c r="U572" s="10" t="str">
        <f>IF($S572=0, "", IF(COUNTIF(Table1[Amino Acid Change], $S572)=0, "Missing", "Y"))</f>
        <v/>
      </c>
      <c r="V572" s="10">
        <f t="shared" si="21"/>
        <v>0</v>
      </c>
    </row>
    <row r="573" spans="9:22" x14ac:dyDescent="0.25">
      <c r="I573" s="2">
        <f>Insertion!A73</f>
        <v>0</v>
      </c>
      <c r="J573" s="2">
        <f>Insertion!B73</f>
        <v>0</v>
      </c>
      <c r="K573" s="2">
        <f>Insertion!C73</f>
        <v>0</v>
      </c>
      <c r="L573" s="2">
        <f>Insertion!D73</f>
        <v>0</v>
      </c>
      <c r="M573" s="2">
        <f>Insertion!E73</f>
        <v>0</v>
      </c>
      <c r="N573" s="2">
        <f>Insertion!G73</f>
        <v>0</v>
      </c>
      <c r="O573" s="2">
        <f>Insertion!H73</f>
        <v>0</v>
      </c>
      <c r="P573" s="2">
        <f>Insertion!I73</f>
        <v>0</v>
      </c>
      <c r="Q573" s="2">
        <f>Insertion!J73</f>
        <v>0</v>
      </c>
      <c r="R573" s="2">
        <f>Insertion!K73</f>
        <v>0</v>
      </c>
      <c r="S573" s="2">
        <f>Insertion!N73</f>
        <v>0</v>
      </c>
      <c r="T573" s="2">
        <f t="shared" si="20"/>
        <v>0</v>
      </c>
      <c r="U573" s="10" t="str">
        <f>IF($S573=0, "", IF(COUNTIF(Table1[Amino Acid Change], $S573)=0, "Missing", "Y"))</f>
        <v/>
      </c>
      <c r="V573" s="10">
        <f t="shared" si="21"/>
        <v>0</v>
      </c>
    </row>
    <row r="574" spans="9:22" x14ac:dyDescent="0.25">
      <c r="I574" s="2">
        <f>Insertion!A74</f>
        <v>0</v>
      </c>
      <c r="J574" s="2">
        <f>Insertion!B74</f>
        <v>0</v>
      </c>
      <c r="K574" s="2">
        <f>Insertion!C74</f>
        <v>0</v>
      </c>
      <c r="L574" s="2">
        <f>Insertion!D74</f>
        <v>0</v>
      </c>
      <c r="M574" s="2">
        <f>Insertion!E74</f>
        <v>0</v>
      </c>
      <c r="N574" s="2">
        <f>Insertion!G74</f>
        <v>0</v>
      </c>
      <c r="O574" s="2">
        <f>Insertion!H74</f>
        <v>0</v>
      </c>
      <c r="P574" s="2">
        <f>Insertion!I74</f>
        <v>0</v>
      </c>
      <c r="Q574" s="2">
        <f>Insertion!J74</f>
        <v>0</v>
      </c>
      <c r="R574" s="2">
        <f>Insertion!K74</f>
        <v>0</v>
      </c>
      <c r="S574" s="2">
        <f>Insertion!N74</f>
        <v>0</v>
      </c>
      <c r="T574" s="2">
        <f t="shared" si="20"/>
        <v>0</v>
      </c>
      <c r="U574" s="10" t="str">
        <f>IF($S574=0, "", IF(COUNTIF(Table1[Amino Acid Change], $S574)=0, "Missing", "Y"))</f>
        <v/>
      </c>
      <c r="V574" s="10">
        <f t="shared" si="21"/>
        <v>0</v>
      </c>
    </row>
    <row r="575" spans="9:22" x14ac:dyDescent="0.25">
      <c r="I575" s="2">
        <f>Insertion!A75</f>
        <v>0</v>
      </c>
      <c r="J575" s="2">
        <f>Insertion!B75</f>
        <v>0</v>
      </c>
      <c r="K575" s="2">
        <f>Insertion!C75</f>
        <v>0</v>
      </c>
      <c r="L575" s="2">
        <f>Insertion!D75</f>
        <v>0</v>
      </c>
      <c r="M575" s="2">
        <f>Insertion!E75</f>
        <v>0</v>
      </c>
      <c r="N575" s="2">
        <f>Insertion!G75</f>
        <v>0</v>
      </c>
      <c r="O575" s="2">
        <f>Insertion!H75</f>
        <v>0</v>
      </c>
      <c r="P575" s="2">
        <f>Insertion!I75</f>
        <v>0</v>
      </c>
      <c r="Q575" s="2">
        <f>Insertion!J75</f>
        <v>0</v>
      </c>
      <c r="R575" s="2">
        <f>Insertion!K75</f>
        <v>0</v>
      </c>
      <c r="S575" s="2">
        <f>Insertion!N75</f>
        <v>0</v>
      </c>
      <c r="T575" s="2">
        <f t="shared" si="20"/>
        <v>0</v>
      </c>
      <c r="U575" s="10" t="str">
        <f>IF($S575=0, "", IF(COUNTIF(Table1[Amino Acid Change], $S575)=0, "Missing", "Y"))</f>
        <v/>
      </c>
      <c r="V575" s="10">
        <f t="shared" si="21"/>
        <v>0</v>
      </c>
    </row>
    <row r="576" spans="9:22" x14ac:dyDescent="0.25">
      <c r="I576" s="2">
        <f>Insertion!A76</f>
        <v>0</v>
      </c>
      <c r="J576" s="2">
        <f>Insertion!B76</f>
        <v>0</v>
      </c>
      <c r="K576" s="2">
        <f>Insertion!C76</f>
        <v>0</v>
      </c>
      <c r="L576" s="2">
        <f>Insertion!D76</f>
        <v>0</v>
      </c>
      <c r="M576" s="2">
        <f>Insertion!E76</f>
        <v>0</v>
      </c>
      <c r="N576" s="2">
        <f>Insertion!G76</f>
        <v>0</v>
      </c>
      <c r="O576" s="2">
        <f>Insertion!H76</f>
        <v>0</v>
      </c>
      <c r="P576" s="2">
        <f>Insertion!I76</f>
        <v>0</v>
      </c>
      <c r="Q576" s="2">
        <f>Insertion!J76</f>
        <v>0</v>
      </c>
      <c r="R576" s="2">
        <f>Insertion!K76</f>
        <v>0</v>
      </c>
      <c r="S576" s="2">
        <f>Insertion!N76</f>
        <v>0</v>
      </c>
      <c r="T576" s="2">
        <f t="shared" si="20"/>
        <v>0</v>
      </c>
      <c r="U576" s="10" t="str">
        <f>IF($S576=0, "", IF(COUNTIF(Table1[Amino Acid Change], $S576)=0, "Missing", "Y"))</f>
        <v/>
      </c>
      <c r="V576" s="10">
        <f t="shared" si="21"/>
        <v>0</v>
      </c>
    </row>
    <row r="577" spans="9:22" x14ac:dyDescent="0.25">
      <c r="I577" s="2">
        <f>Insertion!A77</f>
        <v>0</v>
      </c>
      <c r="J577" s="2">
        <f>Insertion!B77</f>
        <v>0</v>
      </c>
      <c r="K577" s="2">
        <f>Insertion!C77</f>
        <v>0</v>
      </c>
      <c r="L577" s="2">
        <f>Insertion!D77</f>
        <v>0</v>
      </c>
      <c r="M577" s="2">
        <f>Insertion!E77</f>
        <v>0</v>
      </c>
      <c r="N577" s="2">
        <f>Insertion!G77</f>
        <v>0</v>
      </c>
      <c r="O577" s="2">
        <f>Insertion!H77</f>
        <v>0</v>
      </c>
      <c r="P577" s="2">
        <f>Insertion!I77</f>
        <v>0</v>
      </c>
      <c r="Q577" s="2">
        <f>Insertion!J77</f>
        <v>0</v>
      </c>
      <c r="R577" s="2">
        <f>Insertion!K77</f>
        <v>0</v>
      </c>
      <c r="S577" s="2">
        <f>Insertion!N77</f>
        <v>0</v>
      </c>
      <c r="T577" s="2">
        <f t="shared" si="20"/>
        <v>0</v>
      </c>
      <c r="U577" s="10" t="str">
        <f>IF($S577=0, "", IF(COUNTIF(Table1[Amino Acid Change], $S577)=0, "Missing", "Y"))</f>
        <v/>
      </c>
      <c r="V577" s="10">
        <f t="shared" si="21"/>
        <v>0</v>
      </c>
    </row>
    <row r="578" spans="9:22" x14ac:dyDescent="0.25">
      <c r="I578" s="2">
        <f>Insertion!A78</f>
        <v>0</v>
      </c>
      <c r="J578" s="2">
        <f>Insertion!B78</f>
        <v>0</v>
      </c>
      <c r="K578" s="2">
        <f>Insertion!C78</f>
        <v>0</v>
      </c>
      <c r="L578" s="2">
        <f>Insertion!D78</f>
        <v>0</v>
      </c>
      <c r="M578" s="2">
        <f>Insertion!E78</f>
        <v>0</v>
      </c>
      <c r="N578" s="2">
        <f>Insertion!G78</f>
        <v>0</v>
      </c>
      <c r="O578" s="2">
        <f>Insertion!H78</f>
        <v>0</v>
      </c>
      <c r="P578" s="2">
        <f>Insertion!I78</f>
        <v>0</v>
      </c>
      <c r="Q578" s="2">
        <f>Insertion!J78</f>
        <v>0</v>
      </c>
      <c r="R578" s="2">
        <f>Insertion!K78</f>
        <v>0</v>
      </c>
      <c r="S578" s="2">
        <f>Insertion!N78</f>
        <v>0</v>
      </c>
      <c r="T578" s="2">
        <f t="shared" si="20"/>
        <v>0</v>
      </c>
      <c r="U578" s="10" t="str">
        <f>IF($S578=0, "", IF(COUNTIF(Table1[Amino Acid Change], $S578)=0, "Missing", "Y"))</f>
        <v/>
      </c>
      <c r="V578" s="10">
        <f t="shared" si="21"/>
        <v>0</v>
      </c>
    </row>
    <row r="579" spans="9:22" x14ac:dyDescent="0.25">
      <c r="I579" s="2">
        <f>Insertion!A79</f>
        <v>0</v>
      </c>
      <c r="J579" s="2">
        <f>Insertion!B79</f>
        <v>0</v>
      </c>
      <c r="K579" s="2">
        <f>Insertion!C79</f>
        <v>0</v>
      </c>
      <c r="L579" s="2">
        <f>Insertion!D79</f>
        <v>0</v>
      </c>
      <c r="M579" s="2">
        <f>Insertion!E79</f>
        <v>0</v>
      </c>
      <c r="N579" s="2">
        <f>Insertion!G79</f>
        <v>0</v>
      </c>
      <c r="O579" s="2">
        <f>Insertion!H79</f>
        <v>0</v>
      </c>
      <c r="P579" s="2">
        <f>Insertion!I79</f>
        <v>0</v>
      </c>
      <c r="Q579" s="2">
        <f>Insertion!J79</f>
        <v>0</v>
      </c>
      <c r="R579" s="2">
        <f>Insertion!K79</f>
        <v>0</v>
      </c>
      <c r="S579" s="2">
        <f>Insertion!N79</f>
        <v>0</v>
      </c>
      <c r="T579" s="2">
        <f t="shared" si="20"/>
        <v>0</v>
      </c>
      <c r="U579" s="10" t="str">
        <f>IF($S579=0, "", IF(COUNTIF(Table1[Amino Acid Change], $S579)=0, "Missing", "Y"))</f>
        <v/>
      </c>
      <c r="V579" s="10">
        <f t="shared" si="21"/>
        <v>0</v>
      </c>
    </row>
    <row r="580" spans="9:22" x14ac:dyDescent="0.25">
      <c r="I580" s="2">
        <f>Insertion!A80</f>
        <v>0</v>
      </c>
      <c r="J580" s="2">
        <f>Insertion!B80</f>
        <v>0</v>
      </c>
      <c r="K580" s="2">
        <f>Insertion!C80</f>
        <v>0</v>
      </c>
      <c r="L580" s="2">
        <f>Insertion!D80</f>
        <v>0</v>
      </c>
      <c r="M580" s="2">
        <f>Insertion!E80</f>
        <v>0</v>
      </c>
      <c r="N580" s="2">
        <f>Insertion!G80</f>
        <v>0</v>
      </c>
      <c r="O580" s="2">
        <f>Insertion!H80</f>
        <v>0</v>
      </c>
      <c r="P580" s="2">
        <f>Insertion!I80</f>
        <v>0</v>
      </c>
      <c r="Q580" s="2">
        <f>Insertion!J80</f>
        <v>0</v>
      </c>
      <c r="R580" s="2">
        <f>Insertion!K80</f>
        <v>0</v>
      </c>
      <c r="S580" s="2">
        <f>Insertion!N80</f>
        <v>0</v>
      </c>
      <c r="T580" s="2">
        <f t="shared" si="20"/>
        <v>0</v>
      </c>
      <c r="U580" s="10" t="str">
        <f>IF($S580=0, "", IF(COUNTIF(Table1[Amino Acid Change], $S580)=0, "Missing", "Y"))</f>
        <v/>
      </c>
      <c r="V580" s="10">
        <f t="shared" si="21"/>
        <v>0</v>
      </c>
    </row>
    <row r="581" spans="9:22" x14ac:dyDescent="0.25">
      <c r="I581" s="2">
        <f>Insertion!A81</f>
        <v>0</v>
      </c>
      <c r="J581" s="2">
        <f>Insertion!B81</f>
        <v>0</v>
      </c>
      <c r="K581" s="2">
        <f>Insertion!C81</f>
        <v>0</v>
      </c>
      <c r="L581" s="2">
        <f>Insertion!D81</f>
        <v>0</v>
      </c>
      <c r="M581" s="2">
        <f>Insertion!E81</f>
        <v>0</v>
      </c>
      <c r="N581" s="2">
        <f>Insertion!G81</f>
        <v>0</v>
      </c>
      <c r="O581" s="2">
        <f>Insertion!H81</f>
        <v>0</v>
      </c>
      <c r="P581" s="2">
        <f>Insertion!I81</f>
        <v>0</v>
      </c>
      <c r="Q581" s="2">
        <f>Insertion!J81</f>
        <v>0</v>
      </c>
      <c r="R581" s="2">
        <f>Insertion!K81</f>
        <v>0</v>
      </c>
      <c r="S581" s="2">
        <f>Insertion!N81</f>
        <v>0</v>
      </c>
      <c r="T581" s="2">
        <f t="shared" si="20"/>
        <v>0</v>
      </c>
      <c r="U581" s="10" t="str">
        <f>IF($S581=0, "", IF(COUNTIF(Table1[Amino Acid Change], $S581)=0, "Missing", "Y"))</f>
        <v/>
      </c>
      <c r="V581" s="10">
        <f t="shared" si="21"/>
        <v>0</v>
      </c>
    </row>
    <row r="582" spans="9:22" x14ac:dyDescent="0.25">
      <c r="I582" s="2">
        <f>Insertion!A82</f>
        <v>0</v>
      </c>
      <c r="J582" s="2">
        <f>Insertion!B82</f>
        <v>0</v>
      </c>
      <c r="K582" s="2">
        <f>Insertion!C82</f>
        <v>0</v>
      </c>
      <c r="L582" s="2">
        <f>Insertion!D82</f>
        <v>0</v>
      </c>
      <c r="M582" s="2">
        <f>Insertion!E82</f>
        <v>0</v>
      </c>
      <c r="N582" s="2">
        <f>Insertion!G82</f>
        <v>0</v>
      </c>
      <c r="O582" s="2">
        <f>Insertion!H82</f>
        <v>0</v>
      </c>
      <c r="P582" s="2">
        <f>Insertion!I82</f>
        <v>0</v>
      </c>
      <c r="Q582" s="2">
        <f>Insertion!J82</f>
        <v>0</v>
      </c>
      <c r="R582" s="2">
        <f>Insertion!K82</f>
        <v>0</v>
      </c>
      <c r="S582" s="2">
        <f>Insertion!N82</f>
        <v>0</v>
      </c>
      <c r="T582" s="2">
        <f t="shared" si="20"/>
        <v>0</v>
      </c>
      <c r="U582" s="10" t="str">
        <f>IF($S582=0, "", IF(COUNTIF(Table1[Amino Acid Change], $S582)=0, "Missing", "Y"))</f>
        <v/>
      </c>
      <c r="V582" s="10">
        <f t="shared" si="21"/>
        <v>0</v>
      </c>
    </row>
    <row r="583" spans="9:22" x14ac:dyDescent="0.25">
      <c r="I583" s="2">
        <f>Insertion!A83</f>
        <v>0</v>
      </c>
      <c r="J583" s="2">
        <f>Insertion!B83</f>
        <v>0</v>
      </c>
      <c r="K583" s="2">
        <f>Insertion!C83</f>
        <v>0</v>
      </c>
      <c r="L583" s="2">
        <f>Insertion!D83</f>
        <v>0</v>
      </c>
      <c r="M583" s="2">
        <f>Insertion!E83</f>
        <v>0</v>
      </c>
      <c r="N583" s="2">
        <f>Insertion!G83</f>
        <v>0</v>
      </c>
      <c r="O583" s="2">
        <f>Insertion!H83</f>
        <v>0</v>
      </c>
      <c r="P583" s="2">
        <f>Insertion!I83</f>
        <v>0</v>
      </c>
      <c r="Q583" s="2">
        <f>Insertion!J83</f>
        <v>0</v>
      </c>
      <c r="R583" s="2">
        <f>Insertion!K83</f>
        <v>0</v>
      </c>
      <c r="S583" s="2">
        <f>Insertion!N83</f>
        <v>0</v>
      </c>
      <c r="T583" s="2">
        <f t="shared" si="20"/>
        <v>0</v>
      </c>
      <c r="U583" s="10" t="str">
        <f>IF($S583=0, "", IF(COUNTIF(Table1[Amino Acid Change], $S583)=0, "Missing", "Y"))</f>
        <v/>
      </c>
      <c r="V583" s="10">
        <f t="shared" si="21"/>
        <v>0</v>
      </c>
    </row>
    <row r="584" spans="9:22" x14ac:dyDescent="0.25">
      <c r="I584" s="2">
        <f>Insertion!A84</f>
        <v>0</v>
      </c>
      <c r="J584" s="2">
        <f>Insertion!B84</f>
        <v>0</v>
      </c>
      <c r="K584" s="2">
        <f>Insertion!C84</f>
        <v>0</v>
      </c>
      <c r="L584" s="2">
        <f>Insertion!D84</f>
        <v>0</v>
      </c>
      <c r="M584" s="2">
        <f>Insertion!E84</f>
        <v>0</v>
      </c>
      <c r="N584" s="2">
        <f>Insertion!G84</f>
        <v>0</v>
      </c>
      <c r="O584" s="2">
        <f>Insertion!H84</f>
        <v>0</v>
      </c>
      <c r="P584" s="2">
        <f>Insertion!I84</f>
        <v>0</v>
      </c>
      <c r="Q584" s="2">
        <f>Insertion!J84</f>
        <v>0</v>
      </c>
      <c r="R584" s="2">
        <f>Insertion!K84</f>
        <v>0</v>
      </c>
      <c r="S584" s="2">
        <f>Insertion!N84</f>
        <v>0</v>
      </c>
      <c r="T584" s="2">
        <f t="shared" si="20"/>
        <v>0</v>
      </c>
      <c r="U584" s="10" t="str">
        <f>IF($S584=0, "", IF(COUNTIF(Table1[Amino Acid Change], $S584)=0, "Missing", "Y"))</f>
        <v/>
      </c>
      <c r="V584" s="10">
        <f t="shared" si="21"/>
        <v>0</v>
      </c>
    </row>
    <row r="585" spans="9:22" x14ac:dyDescent="0.25">
      <c r="I585" s="2">
        <f>Insertion!A85</f>
        <v>0</v>
      </c>
      <c r="J585" s="2">
        <f>Insertion!B85</f>
        <v>0</v>
      </c>
      <c r="K585" s="2">
        <f>Insertion!C85</f>
        <v>0</v>
      </c>
      <c r="L585" s="2">
        <f>Insertion!D85</f>
        <v>0</v>
      </c>
      <c r="M585" s="2">
        <f>Insertion!E85</f>
        <v>0</v>
      </c>
      <c r="N585" s="2">
        <f>Insertion!G85</f>
        <v>0</v>
      </c>
      <c r="O585" s="2">
        <f>Insertion!H85</f>
        <v>0</v>
      </c>
      <c r="P585" s="2">
        <f>Insertion!I85</f>
        <v>0</v>
      </c>
      <c r="Q585" s="2">
        <f>Insertion!J85</f>
        <v>0</v>
      </c>
      <c r="R585" s="2">
        <f>Insertion!K85</f>
        <v>0</v>
      </c>
      <c r="S585" s="2">
        <f>Insertion!N85</f>
        <v>0</v>
      </c>
      <c r="T585" s="2">
        <f t="shared" si="20"/>
        <v>0</v>
      </c>
      <c r="U585" s="10" t="str">
        <f>IF($S585=0, "", IF(COUNTIF(Table1[Amino Acid Change], $S585)=0, "Missing", "Y"))</f>
        <v/>
      </c>
      <c r="V585" s="10">
        <f t="shared" si="21"/>
        <v>0</v>
      </c>
    </row>
    <row r="586" spans="9:22" x14ac:dyDescent="0.25">
      <c r="I586" s="2">
        <f>Insertion!A86</f>
        <v>0</v>
      </c>
      <c r="J586" s="2">
        <f>Insertion!B86</f>
        <v>0</v>
      </c>
      <c r="K586" s="2">
        <f>Insertion!C86</f>
        <v>0</v>
      </c>
      <c r="L586" s="2">
        <f>Insertion!D86</f>
        <v>0</v>
      </c>
      <c r="M586" s="2">
        <f>Insertion!E86</f>
        <v>0</v>
      </c>
      <c r="N586" s="2">
        <f>Insertion!G86</f>
        <v>0</v>
      </c>
      <c r="O586" s="2">
        <f>Insertion!H86</f>
        <v>0</v>
      </c>
      <c r="P586" s="2">
        <f>Insertion!I86</f>
        <v>0</v>
      </c>
      <c r="Q586" s="2">
        <f>Insertion!J86</f>
        <v>0</v>
      </c>
      <c r="R586" s="2">
        <f>Insertion!K86</f>
        <v>0</v>
      </c>
      <c r="S586" s="2">
        <f>Insertion!N86</f>
        <v>0</v>
      </c>
      <c r="T586" s="2">
        <f t="shared" si="20"/>
        <v>0</v>
      </c>
      <c r="U586" s="10" t="str">
        <f>IF($S586=0, "", IF(COUNTIF(Table1[Amino Acid Change], $S586)=0, "Missing", "Y"))</f>
        <v/>
      </c>
      <c r="V586" s="10">
        <f t="shared" si="21"/>
        <v>0</v>
      </c>
    </row>
    <row r="587" spans="9:22" x14ac:dyDescent="0.25">
      <c r="I587" s="2">
        <f>Insertion!A87</f>
        <v>0</v>
      </c>
      <c r="J587" s="2">
        <f>Insertion!B87</f>
        <v>0</v>
      </c>
      <c r="K587" s="2">
        <f>Insertion!C87</f>
        <v>0</v>
      </c>
      <c r="L587" s="2">
        <f>Insertion!D87</f>
        <v>0</v>
      </c>
      <c r="M587" s="2">
        <f>Insertion!E87</f>
        <v>0</v>
      </c>
      <c r="N587" s="2">
        <f>Insertion!G87</f>
        <v>0</v>
      </c>
      <c r="O587" s="2">
        <f>Insertion!H87</f>
        <v>0</v>
      </c>
      <c r="P587" s="2">
        <f>Insertion!I87</f>
        <v>0</v>
      </c>
      <c r="Q587" s="2">
        <f>Insertion!J87</f>
        <v>0</v>
      </c>
      <c r="R587" s="2">
        <f>Insertion!K87</f>
        <v>0</v>
      </c>
      <c r="S587" s="2">
        <f>Insertion!N87</f>
        <v>0</v>
      </c>
      <c r="T587" s="2">
        <f t="shared" si="20"/>
        <v>0</v>
      </c>
      <c r="U587" s="10" t="str">
        <f>IF($S587=0, "", IF(COUNTIF(Table1[Amino Acid Change], $S587)=0, "Missing", "Y"))</f>
        <v/>
      </c>
      <c r="V587" s="10">
        <f t="shared" si="21"/>
        <v>0</v>
      </c>
    </row>
    <row r="588" spans="9:22" x14ac:dyDescent="0.25">
      <c r="I588" s="2">
        <f>Insertion!A88</f>
        <v>0</v>
      </c>
      <c r="J588" s="2">
        <f>Insertion!B88</f>
        <v>0</v>
      </c>
      <c r="K588" s="2">
        <f>Insertion!C88</f>
        <v>0</v>
      </c>
      <c r="L588" s="2">
        <f>Insertion!D88</f>
        <v>0</v>
      </c>
      <c r="M588" s="2">
        <f>Insertion!E88</f>
        <v>0</v>
      </c>
      <c r="N588" s="2">
        <f>Insertion!G88</f>
        <v>0</v>
      </c>
      <c r="O588" s="2">
        <f>Insertion!H88</f>
        <v>0</v>
      </c>
      <c r="P588" s="2">
        <f>Insertion!I88</f>
        <v>0</v>
      </c>
      <c r="Q588" s="2">
        <f>Insertion!J88</f>
        <v>0</v>
      </c>
      <c r="R588" s="2">
        <f>Insertion!K88</f>
        <v>0</v>
      </c>
      <c r="S588" s="2">
        <f>Insertion!N88</f>
        <v>0</v>
      </c>
      <c r="T588" s="2">
        <f t="shared" si="20"/>
        <v>0</v>
      </c>
      <c r="U588" s="10" t="str">
        <f>IF($S588=0, "", IF(COUNTIF(Table1[Amino Acid Change], $S588)=0, "Missing", "Y"))</f>
        <v/>
      </c>
      <c r="V588" s="10">
        <f t="shared" si="21"/>
        <v>0</v>
      </c>
    </row>
    <row r="589" spans="9:22" x14ac:dyDescent="0.25">
      <c r="I589" s="2">
        <f>Insertion!A89</f>
        <v>0</v>
      </c>
      <c r="J589" s="2">
        <f>Insertion!B89</f>
        <v>0</v>
      </c>
      <c r="K589" s="2">
        <f>Insertion!C89</f>
        <v>0</v>
      </c>
      <c r="L589" s="2">
        <f>Insertion!D89</f>
        <v>0</v>
      </c>
      <c r="M589" s="2">
        <f>Insertion!E89</f>
        <v>0</v>
      </c>
      <c r="N589" s="2">
        <f>Insertion!G89</f>
        <v>0</v>
      </c>
      <c r="O589" s="2">
        <f>Insertion!H89</f>
        <v>0</v>
      </c>
      <c r="P589" s="2">
        <f>Insertion!I89</f>
        <v>0</v>
      </c>
      <c r="Q589" s="2">
        <f>Insertion!J89</f>
        <v>0</v>
      </c>
      <c r="R589" s="2">
        <f>Insertion!K89</f>
        <v>0</v>
      </c>
      <c r="S589" s="2">
        <f>Insertion!N89</f>
        <v>0</v>
      </c>
      <c r="T589" s="2">
        <f t="shared" si="20"/>
        <v>0</v>
      </c>
      <c r="U589" s="10" t="str">
        <f>IF($S589=0, "", IF(COUNTIF(Table1[Amino Acid Change], $S589)=0, "Missing", "Y"))</f>
        <v/>
      </c>
      <c r="V589" s="10">
        <f t="shared" si="21"/>
        <v>0</v>
      </c>
    </row>
    <row r="590" spans="9:22" x14ac:dyDescent="0.25">
      <c r="I590" s="2">
        <f>Insertion!A90</f>
        <v>0</v>
      </c>
      <c r="J590" s="2">
        <f>Insertion!B90</f>
        <v>0</v>
      </c>
      <c r="K590" s="2">
        <f>Insertion!C90</f>
        <v>0</v>
      </c>
      <c r="L590" s="2">
        <f>Insertion!D90</f>
        <v>0</v>
      </c>
      <c r="M590" s="2">
        <f>Insertion!E90</f>
        <v>0</v>
      </c>
      <c r="N590" s="2">
        <f>Insertion!G90</f>
        <v>0</v>
      </c>
      <c r="O590" s="2">
        <f>Insertion!H90</f>
        <v>0</v>
      </c>
      <c r="P590" s="2">
        <f>Insertion!I90</f>
        <v>0</v>
      </c>
      <c r="Q590" s="2">
        <f>Insertion!J90</f>
        <v>0</v>
      </c>
      <c r="R590" s="2">
        <f>Insertion!K90</f>
        <v>0</v>
      </c>
      <c r="S590" s="2">
        <f>Insertion!N90</f>
        <v>0</v>
      </c>
      <c r="T590" s="2">
        <f t="shared" si="20"/>
        <v>0</v>
      </c>
      <c r="U590" s="10" t="str">
        <f>IF($S590=0, "", IF(COUNTIF(Table1[Amino Acid Change], $S590)=0, "Missing", "Y"))</f>
        <v/>
      </c>
      <c r="V590" s="10">
        <f t="shared" si="21"/>
        <v>0</v>
      </c>
    </row>
    <row r="591" spans="9:22" x14ac:dyDescent="0.25">
      <c r="I591" s="2">
        <f>Insertion!A91</f>
        <v>0</v>
      </c>
      <c r="J591" s="2">
        <f>Insertion!B91</f>
        <v>0</v>
      </c>
      <c r="K591" s="2">
        <f>Insertion!C91</f>
        <v>0</v>
      </c>
      <c r="L591" s="2">
        <f>Insertion!D91</f>
        <v>0</v>
      </c>
      <c r="M591" s="2">
        <f>Insertion!E91</f>
        <v>0</v>
      </c>
      <c r="N591" s="2">
        <f>Insertion!G91</f>
        <v>0</v>
      </c>
      <c r="O591" s="2">
        <f>Insertion!H91</f>
        <v>0</v>
      </c>
      <c r="P591" s="2">
        <f>Insertion!I91</f>
        <v>0</v>
      </c>
      <c r="Q591" s="2">
        <f>Insertion!J91</f>
        <v>0</v>
      </c>
      <c r="R591" s="2">
        <f>Insertion!K91</f>
        <v>0</v>
      </c>
      <c r="S591" s="2">
        <f>Insertion!N91</f>
        <v>0</v>
      </c>
      <c r="T591" s="2">
        <f t="shared" si="20"/>
        <v>0</v>
      </c>
      <c r="U591" s="10" t="str">
        <f>IF($S591=0, "", IF(COUNTIF(Table1[Amino Acid Change], $S591)=0, "Missing", "Y"))</f>
        <v/>
      </c>
      <c r="V591" s="10">
        <f t="shared" si="21"/>
        <v>0</v>
      </c>
    </row>
    <row r="592" spans="9:22" x14ac:dyDescent="0.25">
      <c r="I592" s="2">
        <f>Insertion!A92</f>
        <v>0</v>
      </c>
      <c r="J592" s="2">
        <f>Insertion!B92</f>
        <v>0</v>
      </c>
      <c r="K592" s="2">
        <f>Insertion!C92</f>
        <v>0</v>
      </c>
      <c r="L592" s="2">
        <f>Insertion!D92</f>
        <v>0</v>
      </c>
      <c r="M592" s="2">
        <f>Insertion!E92</f>
        <v>0</v>
      </c>
      <c r="N592" s="2">
        <f>Insertion!G92</f>
        <v>0</v>
      </c>
      <c r="O592" s="2">
        <f>Insertion!H92</f>
        <v>0</v>
      </c>
      <c r="P592" s="2">
        <f>Insertion!I92</f>
        <v>0</v>
      </c>
      <c r="Q592" s="2">
        <f>Insertion!J92</f>
        <v>0</v>
      </c>
      <c r="R592" s="2">
        <f>Insertion!K92</f>
        <v>0</v>
      </c>
      <c r="S592" s="2">
        <f>Insertion!N92</f>
        <v>0</v>
      </c>
      <c r="T592" s="2">
        <f t="shared" si="20"/>
        <v>0</v>
      </c>
      <c r="U592" s="10" t="str">
        <f>IF($S592=0, "", IF(COUNTIF(Table1[Amino Acid Change], $S592)=0, "Missing", "Y"))</f>
        <v/>
      </c>
      <c r="V592" s="10">
        <f t="shared" si="21"/>
        <v>0</v>
      </c>
    </row>
    <row r="593" spans="9:22" x14ac:dyDescent="0.25">
      <c r="I593" s="2">
        <f>Insertion!A93</f>
        <v>0</v>
      </c>
      <c r="J593" s="2">
        <f>Insertion!B93</f>
        <v>0</v>
      </c>
      <c r="K593" s="2">
        <f>Insertion!C93</f>
        <v>0</v>
      </c>
      <c r="L593" s="2">
        <f>Insertion!D93</f>
        <v>0</v>
      </c>
      <c r="M593" s="2">
        <f>Insertion!E93</f>
        <v>0</v>
      </c>
      <c r="N593" s="2">
        <f>Insertion!G93</f>
        <v>0</v>
      </c>
      <c r="O593" s="2">
        <f>Insertion!H93</f>
        <v>0</v>
      </c>
      <c r="P593" s="2">
        <f>Insertion!I93</f>
        <v>0</v>
      </c>
      <c r="Q593" s="2">
        <f>Insertion!J93</f>
        <v>0</v>
      </c>
      <c r="R593" s="2">
        <f>Insertion!K93</f>
        <v>0</v>
      </c>
      <c r="S593" s="2">
        <f>Insertion!N93</f>
        <v>0</v>
      </c>
      <c r="T593" s="2">
        <f t="shared" si="20"/>
        <v>0</v>
      </c>
      <c r="U593" s="10" t="str">
        <f>IF($S593=0, "", IF(COUNTIF(Table1[Amino Acid Change], $S593)=0, "Missing", "Y"))</f>
        <v/>
      </c>
      <c r="V593" s="10">
        <f t="shared" si="21"/>
        <v>0</v>
      </c>
    </row>
    <row r="594" spans="9:22" x14ac:dyDescent="0.25">
      <c r="I594" s="2">
        <f>Insertion!A94</f>
        <v>0</v>
      </c>
      <c r="J594" s="2">
        <f>Insertion!B94</f>
        <v>0</v>
      </c>
      <c r="K594" s="2">
        <f>Insertion!C94</f>
        <v>0</v>
      </c>
      <c r="L594" s="2">
        <f>Insertion!D94</f>
        <v>0</v>
      </c>
      <c r="M594" s="2">
        <f>Insertion!E94</f>
        <v>0</v>
      </c>
      <c r="N594" s="2">
        <f>Insertion!G94</f>
        <v>0</v>
      </c>
      <c r="O594" s="2">
        <f>Insertion!H94</f>
        <v>0</v>
      </c>
      <c r="P594" s="2">
        <f>Insertion!I94</f>
        <v>0</v>
      </c>
      <c r="Q594" s="2">
        <f>Insertion!J94</f>
        <v>0</v>
      </c>
      <c r="R594" s="2">
        <f>Insertion!K94</f>
        <v>0</v>
      </c>
      <c r="S594" s="2">
        <f>Insertion!N94</f>
        <v>0</v>
      </c>
      <c r="T594" s="2">
        <f t="shared" si="20"/>
        <v>0</v>
      </c>
      <c r="U594" s="10" t="str">
        <f>IF($S594=0, "", IF(COUNTIF(Table1[Amino Acid Change], $S594)=0, "Missing", "Y"))</f>
        <v/>
      </c>
      <c r="V594" s="10">
        <f t="shared" si="21"/>
        <v>0</v>
      </c>
    </row>
    <row r="595" spans="9:22" x14ac:dyDescent="0.25">
      <c r="I595" s="2">
        <f>Insertion!A95</f>
        <v>0</v>
      </c>
      <c r="J595" s="2">
        <f>Insertion!B95</f>
        <v>0</v>
      </c>
      <c r="K595" s="2">
        <f>Insertion!C95</f>
        <v>0</v>
      </c>
      <c r="L595" s="2">
        <f>Insertion!D95</f>
        <v>0</v>
      </c>
      <c r="M595" s="2">
        <f>Insertion!E95</f>
        <v>0</v>
      </c>
      <c r="N595" s="2">
        <f>Insertion!G95</f>
        <v>0</v>
      </c>
      <c r="O595" s="2">
        <f>Insertion!H95</f>
        <v>0</v>
      </c>
      <c r="P595" s="2">
        <f>Insertion!I95</f>
        <v>0</v>
      </c>
      <c r="Q595" s="2">
        <f>Insertion!J95</f>
        <v>0</v>
      </c>
      <c r="R595" s="2">
        <f>Insertion!K95</f>
        <v>0</v>
      </c>
      <c r="S595" s="2">
        <f>Insertion!N95</f>
        <v>0</v>
      </c>
      <c r="T595" s="2">
        <f t="shared" si="20"/>
        <v>0</v>
      </c>
      <c r="U595" s="10" t="str">
        <f>IF($S595=0, "", IF(COUNTIF(Table1[Amino Acid Change], $S595)=0, "Missing", "Y"))</f>
        <v/>
      </c>
      <c r="V595" s="10">
        <f t="shared" si="21"/>
        <v>0</v>
      </c>
    </row>
    <row r="596" spans="9:22" x14ac:dyDescent="0.25">
      <c r="I596" s="2">
        <f>Insertion!A96</f>
        <v>0</v>
      </c>
      <c r="J596" s="2">
        <f>Insertion!B96</f>
        <v>0</v>
      </c>
      <c r="K596" s="2">
        <f>Insertion!C96</f>
        <v>0</v>
      </c>
      <c r="L596" s="2">
        <f>Insertion!D96</f>
        <v>0</v>
      </c>
      <c r="M596" s="2">
        <f>Insertion!E96</f>
        <v>0</v>
      </c>
      <c r="N596" s="2">
        <f>Insertion!G96</f>
        <v>0</v>
      </c>
      <c r="O596" s="2">
        <f>Insertion!H96</f>
        <v>0</v>
      </c>
      <c r="P596" s="2">
        <f>Insertion!I96</f>
        <v>0</v>
      </c>
      <c r="Q596" s="2">
        <f>Insertion!J96</f>
        <v>0</v>
      </c>
      <c r="R596" s="2">
        <f>Insertion!K96</f>
        <v>0</v>
      </c>
      <c r="S596" s="2">
        <f>Insertion!N96</f>
        <v>0</v>
      </c>
      <c r="T596" s="2">
        <f t="shared" si="20"/>
        <v>0</v>
      </c>
      <c r="U596" s="10" t="str">
        <f>IF($S596=0, "", IF(COUNTIF(Table1[Amino Acid Change], $S596)=0, "Missing", "Y"))</f>
        <v/>
      </c>
      <c r="V596" s="10">
        <f t="shared" si="21"/>
        <v>0</v>
      </c>
    </row>
    <row r="597" spans="9:22" x14ac:dyDescent="0.25">
      <c r="I597" s="2">
        <f>Insertion!A97</f>
        <v>0</v>
      </c>
      <c r="J597" s="2">
        <f>Insertion!B97</f>
        <v>0</v>
      </c>
      <c r="K597" s="2">
        <f>Insertion!C97</f>
        <v>0</v>
      </c>
      <c r="L597" s="2">
        <f>Insertion!D97</f>
        <v>0</v>
      </c>
      <c r="M597" s="2">
        <f>Insertion!E97</f>
        <v>0</v>
      </c>
      <c r="N597" s="2">
        <f>Insertion!G97</f>
        <v>0</v>
      </c>
      <c r="O597" s="2">
        <f>Insertion!H97</f>
        <v>0</v>
      </c>
      <c r="P597" s="2">
        <f>Insertion!I97</f>
        <v>0</v>
      </c>
      <c r="Q597" s="2">
        <f>Insertion!J97</f>
        <v>0</v>
      </c>
      <c r="R597" s="2">
        <f>Insertion!K97</f>
        <v>0</v>
      </c>
      <c r="S597" s="2">
        <f>Insertion!N97</f>
        <v>0</v>
      </c>
      <c r="T597" s="2">
        <f t="shared" si="20"/>
        <v>0</v>
      </c>
      <c r="U597" s="10" t="str">
        <f>IF($S597=0, "", IF(COUNTIF(Table1[Amino Acid Change], $S597)=0, "Missing", "Y"))</f>
        <v/>
      </c>
      <c r="V597" s="10">
        <f t="shared" si="21"/>
        <v>0</v>
      </c>
    </row>
    <row r="598" spans="9:22" x14ac:dyDescent="0.25">
      <c r="I598" s="2">
        <f>Insertion!A98</f>
        <v>0</v>
      </c>
      <c r="J598" s="2">
        <f>Insertion!B98</f>
        <v>0</v>
      </c>
      <c r="K598" s="2">
        <f>Insertion!C98</f>
        <v>0</v>
      </c>
      <c r="L598" s="2">
        <f>Insertion!D98</f>
        <v>0</v>
      </c>
      <c r="M598" s="2">
        <f>Insertion!E98</f>
        <v>0</v>
      </c>
      <c r="N598" s="2">
        <f>Insertion!G98</f>
        <v>0</v>
      </c>
      <c r="O598" s="2">
        <f>Insertion!H98</f>
        <v>0</v>
      </c>
      <c r="P598" s="2">
        <f>Insertion!I98</f>
        <v>0</v>
      </c>
      <c r="Q598" s="2">
        <f>Insertion!J98</f>
        <v>0</v>
      </c>
      <c r="R598" s="2">
        <f>Insertion!K98</f>
        <v>0</v>
      </c>
      <c r="S598" s="2">
        <f>Insertion!N98</f>
        <v>0</v>
      </c>
      <c r="T598" s="2">
        <f t="shared" si="20"/>
        <v>0</v>
      </c>
      <c r="U598" s="10" t="str">
        <f>IF($S598=0, "", IF(COUNTIF(Table1[Amino Acid Change], $S598)=0, "Missing", "Y"))</f>
        <v/>
      </c>
      <c r="V598" s="10">
        <f t="shared" si="21"/>
        <v>0</v>
      </c>
    </row>
    <row r="599" spans="9:22" x14ac:dyDescent="0.25">
      <c r="I599" s="2">
        <f>Insertion!A99</f>
        <v>0</v>
      </c>
      <c r="J599" s="2">
        <f>Insertion!B99</f>
        <v>0</v>
      </c>
      <c r="K599" s="2">
        <f>Insertion!C99</f>
        <v>0</v>
      </c>
      <c r="L599" s="2">
        <f>Insertion!D99</f>
        <v>0</v>
      </c>
      <c r="M599" s="2">
        <f>Insertion!E99</f>
        <v>0</v>
      </c>
      <c r="N599" s="2">
        <f>Insertion!G99</f>
        <v>0</v>
      </c>
      <c r="O599" s="2">
        <f>Insertion!H99</f>
        <v>0</v>
      </c>
      <c r="P599" s="2">
        <f>Insertion!I99</f>
        <v>0</v>
      </c>
      <c r="Q599" s="2">
        <f>Insertion!J99</f>
        <v>0</v>
      </c>
      <c r="R599" s="2">
        <f>Insertion!K99</f>
        <v>0</v>
      </c>
      <c r="S599" s="2">
        <f>Insertion!N99</f>
        <v>0</v>
      </c>
      <c r="T599" s="2">
        <f t="shared" si="20"/>
        <v>0</v>
      </c>
      <c r="U599" s="10" t="str">
        <f>IF($S599=0, "", IF(COUNTIF(Table1[Amino Acid Change], $S599)=0, "Missing", "Y"))</f>
        <v/>
      </c>
      <c r="V599" s="10">
        <f t="shared" si="21"/>
        <v>0</v>
      </c>
    </row>
    <row r="600" spans="9:22" x14ac:dyDescent="0.25">
      <c r="I600" s="2">
        <f>Insertion!A100</f>
        <v>0</v>
      </c>
      <c r="J600" s="2">
        <f>Insertion!B100</f>
        <v>0</v>
      </c>
      <c r="K600" s="2">
        <f>Insertion!C100</f>
        <v>0</v>
      </c>
      <c r="L600" s="2">
        <f>Insertion!D100</f>
        <v>0</v>
      </c>
      <c r="M600" s="2">
        <f>Insertion!E100</f>
        <v>0</v>
      </c>
      <c r="N600" s="2">
        <f>Insertion!G100</f>
        <v>0</v>
      </c>
      <c r="O600" s="2">
        <f>Insertion!H100</f>
        <v>0</v>
      </c>
      <c r="P600" s="2">
        <f>Insertion!I100</f>
        <v>0</v>
      </c>
      <c r="Q600" s="2">
        <f>Insertion!J100</f>
        <v>0</v>
      </c>
      <c r="R600" s="2">
        <f>Insertion!K100</f>
        <v>0</v>
      </c>
      <c r="S600" s="2">
        <f>Insertion!N100</f>
        <v>0</v>
      </c>
      <c r="T600" s="2">
        <f t="shared" si="20"/>
        <v>0</v>
      </c>
      <c r="U600" s="10" t="str">
        <f>IF($S600=0, "", IF(COUNTIF(Table1[Amino Acid Change], $S600)=0, "Missing", "Y"))</f>
        <v/>
      </c>
      <c r="V600" s="10">
        <f t="shared" si="21"/>
        <v>0</v>
      </c>
    </row>
    <row r="601" spans="9:22" x14ac:dyDescent="0.25">
      <c r="I601" s="2">
        <f>Insertion!A101</f>
        <v>0</v>
      </c>
      <c r="J601" s="2">
        <f>Insertion!B101</f>
        <v>0</v>
      </c>
      <c r="K601" s="2">
        <f>Insertion!C101</f>
        <v>0</v>
      </c>
      <c r="L601" s="2">
        <f>Insertion!D101</f>
        <v>0</v>
      </c>
      <c r="M601" s="2">
        <f>Insertion!E101</f>
        <v>0</v>
      </c>
      <c r="N601" s="2">
        <f>Insertion!G101</f>
        <v>0</v>
      </c>
      <c r="O601" s="2">
        <f>Insertion!H101</f>
        <v>0</v>
      </c>
      <c r="P601" s="2">
        <f>Insertion!I101</f>
        <v>0</v>
      </c>
      <c r="Q601" s="2">
        <f>Insertion!J101</f>
        <v>0</v>
      </c>
      <c r="R601" s="2">
        <f>Insertion!K101</f>
        <v>0</v>
      </c>
      <c r="S601" s="2">
        <f>Insertion!N101</f>
        <v>0</v>
      </c>
      <c r="T601" s="2">
        <f t="shared" si="20"/>
        <v>0</v>
      </c>
      <c r="U601" s="10" t="str">
        <f>IF($S601=0, "", IF(COUNTIF(Table1[Amino Acid Change], $S601)=0, "Missing", "Y"))</f>
        <v/>
      </c>
      <c r="V601" s="10">
        <f t="shared" si="21"/>
        <v>0</v>
      </c>
    </row>
    <row r="602" spans="9:22" x14ac:dyDescent="0.25">
      <c r="I602" s="2">
        <f>Insertion!A102</f>
        <v>0</v>
      </c>
      <c r="J602" s="2">
        <f>Insertion!B102</f>
        <v>0</v>
      </c>
      <c r="K602" s="2">
        <f>Insertion!C102</f>
        <v>0</v>
      </c>
      <c r="L602" s="2">
        <f>Insertion!D102</f>
        <v>0</v>
      </c>
      <c r="M602" s="2">
        <f>Insertion!E102</f>
        <v>0</v>
      </c>
      <c r="N602" s="2">
        <f>Insertion!G102</f>
        <v>0</v>
      </c>
      <c r="O602" s="2">
        <f>Insertion!H102</f>
        <v>0</v>
      </c>
      <c r="P602" s="2">
        <f>Insertion!I102</f>
        <v>0</v>
      </c>
      <c r="Q602" s="2">
        <f>Insertion!J102</f>
        <v>0</v>
      </c>
      <c r="R602" s="2">
        <f>Insertion!K102</f>
        <v>0</v>
      </c>
      <c r="S602" s="2">
        <f>Insertion!N102</f>
        <v>0</v>
      </c>
      <c r="T602" s="2">
        <f t="shared" si="20"/>
        <v>0</v>
      </c>
      <c r="U602" s="10" t="str">
        <f>IF($S602=0, "", IF(COUNTIF(Table1[Amino Acid Change], $S602)=0, "Missing", "Y"))</f>
        <v/>
      </c>
      <c r="V602" s="10">
        <f t="shared" si="21"/>
        <v>0</v>
      </c>
    </row>
    <row r="603" spans="9:22" x14ac:dyDescent="0.25">
      <c r="I603" s="2">
        <f>Insertion!A103</f>
        <v>0</v>
      </c>
      <c r="J603" s="2">
        <f>Insertion!B103</f>
        <v>0</v>
      </c>
      <c r="K603" s="2">
        <f>Insertion!C103</f>
        <v>0</v>
      </c>
      <c r="L603" s="2">
        <f>Insertion!D103</f>
        <v>0</v>
      </c>
      <c r="M603" s="2">
        <f>Insertion!E103</f>
        <v>0</v>
      </c>
      <c r="N603" s="2">
        <f>Insertion!G103</f>
        <v>0</v>
      </c>
      <c r="O603" s="2">
        <f>Insertion!H103</f>
        <v>0</v>
      </c>
      <c r="P603" s="2">
        <f>Insertion!I103</f>
        <v>0</v>
      </c>
      <c r="Q603" s="2">
        <f>Insertion!J103</f>
        <v>0</v>
      </c>
      <c r="R603" s="2">
        <f>Insertion!K103</f>
        <v>0</v>
      </c>
      <c r="S603" s="2">
        <f>Insertion!N103</f>
        <v>0</v>
      </c>
      <c r="T603" s="2">
        <f t="shared" si="20"/>
        <v>0</v>
      </c>
      <c r="U603" s="10" t="str">
        <f>IF($S603=0, "", IF(COUNTIF(Table1[Amino Acid Change], $S603)=0, "Missing", "Y"))</f>
        <v/>
      </c>
      <c r="V603" s="10">
        <f t="shared" si="21"/>
        <v>0</v>
      </c>
    </row>
    <row r="604" spans="9:22" x14ac:dyDescent="0.25">
      <c r="I604" s="2">
        <f>Insertion!A104</f>
        <v>0</v>
      </c>
      <c r="J604" s="2">
        <f>Insertion!B104</f>
        <v>0</v>
      </c>
      <c r="K604" s="2">
        <f>Insertion!C104</f>
        <v>0</v>
      </c>
      <c r="L604" s="2">
        <f>Insertion!D104</f>
        <v>0</v>
      </c>
      <c r="M604" s="2">
        <f>Insertion!E104</f>
        <v>0</v>
      </c>
      <c r="N604" s="2">
        <f>Insertion!G104</f>
        <v>0</v>
      </c>
      <c r="O604" s="2">
        <f>Insertion!H104</f>
        <v>0</v>
      </c>
      <c r="P604" s="2">
        <f>Insertion!I104</f>
        <v>0</v>
      </c>
      <c r="Q604" s="2">
        <f>Insertion!J104</f>
        <v>0</v>
      </c>
      <c r="R604" s="2">
        <f>Insertion!K104</f>
        <v>0</v>
      </c>
      <c r="S604" s="2">
        <f>Insertion!N104</f>
        <v>0</v>
      </c>
      <c r="T604" s="2">
        <f t="shared" si="20"/>
        <v>0</v>
      </c>
      <c r="U604" s="10" t="str">
        <f>IF($S604=0, "", IF(COUNTIF(Table1[Amino Acid Change], $S604)=0, "Missing", "Y"))</f>
        <v/>
      </c>
      <c r="V604" s="10">
        <f t="shared" si="21"/>
        <v>0</v>
      </c>
    </row>
    <row r="605" spans="9:22" x14ac:dyDescent="0.25">
      <c r="I605" s="2">
        <f>Insertion!A105</f>
        <v>0</v>
      </c>
      <c r="J605" s="2">
        <f>Insertion!B105</f>
        <v>0</v>
      </c>
      <c r="K605" s="2">
        <f>Insertion!C105</f>
        <v>0</v>
      </c>
      <c r="L605" s="2">
        <f>Insertion!D105</f>
        <v>0</v>
      </c>
      <c r="M605" s="2">
        <f>Insertion!E105</f>
        <v>0</v>
      </c>
      <c r="N605" s="2">
        <f>Insertion!G105</f>
        <v>0</v>
      </c>
      <c r="O605" s="2">
        <f>Insertion!H105</f>
        <v>0</v>
      </c>
      <c r="P605" s="2">
        <f>Insertion!I105</f>
        <v>0</v>
      </c>
      <c r="Q605" s="2">
        <f>Insertion!J105</f>
        <v>0</v>
      </c>
      <c r="R605" s="2">
        <f>Insertion!K105</f>
        <v>0</v>
      </c>
      <c r="S605" s="2">
        <f>Insertion!N105</f>
        <v>0</v>
      </c>
      <c r="T605" s="2">
        <f t="shared" si="20"/>
        <v>0</v>
      </c>
      <c r="U605" s="10" t="str">
        <f>IF($S605=0, "", IF(COUNTIF(Table1[Amino Acid Change], $S605)=0, "Missing", "Y"))</f>
        <v/>
      </c>
      <c r="V605" s="10">
        <f t="shared" si="21"/>
        <v>0</v>
      </c>
    </row>
    <row r="606" spans="9:22" x14ac:dyDescent="0.25">
      <c r="I606" s="2">
        <f>Insertion!A106</f>
        <v>0</v>
      </c>
      <c r="J606" s="2">
        <f>Insertion!B106</f>
        <v>0</v>
      </c>
      <c r="K606" s="2">
        <f>Insertion!C106</f>
        <v>0</v>
      </c>
      <c r="L606" s="2">
        <f>Insertion!D106</f>
        <v>0</v>
      </c>
      <c r="M606" s="2">
        <f>Insertion!E106</f>
        <v>0</v>
      </c>
      <c r="N606" s="2">
        <f>Insertion!G106</f>
        <v>0</v>
      </c>
      <c r="O606" s="2">
        <f>Insertion!H106</f>
        <v>0</v>
      </c>
      <c r="P606" s="2">
        <f>Insertion!I106</f>
        <v>0</v>
      </c>
      <c r="Q606" s="2">
        <f>Insertion!J106</f>
        <v>0</v>
      </c>
      <c r="R606" s="2">
        <f>Insertion!K106</f>
        <v>0</v>
      </c>
      <c r="S606" s="2">
        <f>Insertion!N106</f>
        <v>0</v>
      </c>
      <c r="T606" s="2">
        <f t="shared" si="20"/>
        <v>0</v>
      </c>
      <c r="U606" s="10" t="str">
        <f>IF($S606=0, "", IF(COUNTIF(Table1[Amino Acid Change], $S606)=0, "Missing", "Y"))</f>
        <v/>
      </c>
      <c r="V606" s="10">
        <f t="shared" si="21"/>
        <v>0</v>
      </c>
    </row>
    <row r="607" spans="9:22" x14ac:dyDescent="0.25">
      <c r="I607" s="2">
        <f>Insertion!A107</f>
        <v>0</v>
      </c>
      <c r="J607" s="2">
        <f>Insertion!B107</f>
        <v>0</v>
      </c>
      <c r="K607" s="2">
        <f>Insertion!C107</f>
        <v>0</v>
      </c>
      <c r="L607" s="2">
        <f>Insertion!D107</f>
        <v>0</v>
      </c>
      <c r="M607" s="2">
        <f>Insertion!E107</f>
        <v>0</v>
      </c>
      <c r="N607" s="2">
        <f>Insertion!G107</f>
        <v>0</v>
      </c>
      <c r="O607" s="2">
        <f>Insertion!H107</f>
        <v>0</v>
      </c>
      <c r="P607" s="2">
        <f>Insertion!I107</f>
        <v>0</v>
      </c>
      <c r="Q607" s="2">
        <f>Insertion!J107</f>
        <v>0</v>
      </c>
      <c r="R607" s="2">
        <f>Insertion!K107</f>
        <v>0</v>
      </c>
      <c r="S607" s="2">
        <f>Insertion!N107</f>
        <v>0</v>
      </c>
      <c r="T607" s="2">
        <f t="shared" si="20"/>
        <v>0</v>
      </c>
      <c r="U607" s="10" t="str">
        <f>IF($S607=0, "", IF(COUNTIF(Table1[Amino Acid Change], $S607)=0, "Missing", "Y"))</f>
        <v/>
      </c>
      <c r="V607" s="10">
        <f t="shared" si="21"/>
        <v>0</v>
      </c>
    </row>
    <row r="608" spans="9:22" x14ac:dyDescent="0.25">
      <c r="I608" s="2">
        <f>Insertion!A108</f>
        <v>0</v>
      </c>
      <c r="J608" s="2">
        <f>Insertion!B108</f>
        <v>0</v>
      </c>
      <c r="K608" s="2">
        <f>Insertion!C108</f>
        <v>0</v>
      </c>
      <c r="L608" s="2">
        <f>Insertion!D108</f>
        <v>0</v>
      </c>
      <c r="M608" s="2">
        <f>Insertion!E108</f>
        <v>0</v>
      </c>
      <c r="N608" s="2">
        <f>Insertion!G108</f>
        <v>0</v>
      </c>
      <c r="O608" s="2">
        <f>Insertion!H108</f>
        <v>0</v>
      </c>
      <c r="P608" s="2">
        <f>Insertion!I108</f>
        <v>0</v>
      </c>
      <c r="Q608" s="2">
        <f>Insertion!J108</f>
        <v>0</v>
      </c>
      <c r="R608" s="2">
        <f>Insertion!K108</f>
        <v>0</v>
      </c>
      <c r="S608" s="2">
        <f>Insertion!N108</f>
        <v>0</v>
      </c>
      <c r="T608" s="2">
        <f t="shared" si="20"/>
        <v>0</v>
      </c>
      <c r="U608" s="10" t="str">
        <f>IF($S608=0, "", IF(COUNTIF(Table1[Amino Acid Change], $S608)=0, "Missing", "Y"))</f>
        <v/>
      </c>
      <c r="V608" s="10">
        <f t="shared" si="21"/>
        <v>0</v>
      </c>
    </row>
    <row r="609" spans="9:22" x14ac:dyDescent="0.25">
      <c r="I609" s="2">
        <f>Insertion!A109</f>
        <v>0</v>
      </c>
      <c r="J609" s="2">
        <f>Insertion!B109</f>
        <v>0</v>
      </c>
      <c r="K609" s="2">
        <f>Insertion!C109</f>
        <v>0</v>
      </c>
      <c r="L609" s="2">
        <f>Insertion!D109</f>
        <v>0</v>
      </c>
      <c r="M609" s="2">
        <f>Insertion!E109</f>
        <v>0</v>
      </c>
      <c r="N609" s="2">
        <f>Insertion!G109</f>
        <v>0</v>
      </c>
      <c r="O609" s="2">
        <f>Insertion!H109</f>
        <v>0</v>
      </c>
      <c r="P609" s="2">
        <f>Insertion!I109</f>
        <v>0</v>
      </c>
      <c r="Q609" s="2">
        <f>Insertion!J109</f>
        <v>0</v>
      </c>
      <c r="R609" s="2">
        <f>Insertion!K109</f>
        <v>0</v>
      </c>
      <c r="S609" s="2">
        <f>Insertion!N109</f>
        <v>0</v>
      </c>
      <c r="T609" s="2">
        <f t="shared" si="20"/>
        <v>0</v>
      </c>
      <c r="U609" s="10" t="str">
        <f>IF($S609=0, "", IF(COUNTIF(Table1[Amino Acid Change], $S609)=0, "Missing", "Y"))</f>
        <v/>
      </c>
      <c r="V609" s="10">
        <f t="shared" si="21"/>
        <v>0</v>
      </c>
    </row>
    <row r="610" spans="9:22" x14ac:dyDescent="0.25">
      <c r="I610" s="2">
        <f>Insertion!A110</f>
        <v>0</v>
      </c>
      <c r="J610" s="2">
        <f>Insertion!B110</f>
        <v>0</v>
      </c>
      <c r="K610" s="2">
        <f>Insertion!C110</f>
        <v>0</v>
      </c>
      <c r="L610" s="2">
        <f>Insertion!D110</f>
        <v>0</v>
      </c>
      <c r="M610" s="2">
        <f>Insertion!E110</f>
        <v>0</v>
      </c>
      <c r="N610" s="2">
        <f>Insertion!G110</f>
        <v>0</v>
      </c>
      <c r="O610" s="2">
        <f>Insertion!H110</f>
        <v>0</v>
      </c>
      <c r="P610" s="2">
        <f>Insertion!I110</f>
        <v>0</v>
      </c>
      <c r="Q610" s="2">
        <f>Insertion!J110</f>
        <v>0</v>
      </c>
      <c r="R610" s="2">
        <f>Insertion!K110</f>
        <v>0</v>
      </c>
      <c r="S610" s="2">
        <f>Insertion!N110</f>
        <v>0</v>
      </c>
      <c r="T610" s="2">
        <f t="shared" si="20"/>
        <v>0</v>
      </c>
      <c r="U610" s="10" t="str">
        <f>IF($S610=0, "", IF(COUNTIF(Table1[Amino Acid Change], $S610)=0, "Missing", "Y"))</f>
        <v/>
      </c>
      <c r="V610" s="10">
        <f t="shared" si="21"/>
        <v>0</v>
      </c>
    </row>
    <row r="611" spans="9:22" x14ac:dyDescent="0.25">
      <c r="I611" s="2">
        <f>Insertion!A111</f>
        <v>0</v>
      </c>
      <c r="J611" s="2">
        <f>Insertion!B111</f>
        <v>0</v>
      </c>
      <c r="K611" s="2">
        <f>Insertion!C111</f>
        <v>0</v>
      </c>
      <c r="L611" s="2">
        <f>Insertion!D111</f>
        <v>0</v>
      </c>
      <c r="M611" s="2">
        <f>Insertion!E111</f>
        <v>0</v>
      </c>
      <c r="N611" s="2">
        <f>Insertion!G111</f>
        <v>0</v>
      </c>
      <c r="O611" s="2">
        <f>Insertion!H111</f>
        <v>0</v>
      </c>
      <c r="P611" s="2">
        <f>Insertion!I111</f>
        <v>0</v>
      </c>
      <c r="Q611" s="2">
        <f>Insertion!J111</f>
        <v>0</v>
      </c>
      <c r="R611" s="2">
        <f>Insertion!K111</f>
        <v>0</v>
      </c>
      <c r="S611" s="2">
        <f>Insertion!N111</f>
        <v>0</v>
      </c>
      <c r="T611" s="2">
        <f t="shared" si="20"/>
        <v>0</v>
      </c>
      <c r="U611" s="10" t="str">
        <f>IF($S611=0, "", IF(COUNTIF(Table1[Amino Acid Change], $S611)=0, "Missing", "Y"))</f>
        <v/>
      </c>
      <c r="V611" s="10">
        <f t="shared" si="21"/>
        <v>0</v>
      </c>
    </row>
    <row r="612" spans="9:22" x14ac:dyDescent="0.25">
      <c r="I612" s="2">
        <f>Insertion!A112</f>
        <v>0</v>
      </c>
      <c r="J612" s="2">
        <f>Insertion!B112</f>
        <v>0</v>
      </c>
      <c r="K612" s="2">
        <f>Insertion!C112</f>
        <v>0</v>
      </c>
      <c r="L612" s="2">
        <f>Insertion!D112</f>
        <v>0</v>
      </c>
      <c r="M612" s="2">
        <f>Insertion!E112</f>
        <v>0</v>
      </c>
      <c r="N612" s="2">
        <f>Insertion!G112</f>
        <v>0</v>
      </c>
      <c r="O612" s="2">
        <f>Insertion!H112</f>
        <v>0</v>
      </c>
      <c r="P612" s="2">
        <f>Insertion!I112</f>
        <v>0</v>
      </c>
      <c r="Q612" s="2">
        <f>Insertion!J112</f>
        <v>0</v>
      </c>
      <c r="R612" s="2">
        <f>Insertion!K112</f>
        <v>0</v>
      </c>
      <c r="S612" s="2">
        <f>Insertion!N112</f>
        <v>0</v>
      </c>
      <c r="T612" s="2">
        <f t="shared" si="20"/>
        <v>0</v>
      </c>
      <c r="U612" s="10" t="str">
        <f>IF($S612=0, "", IF(COUNTIF(Table1[Amino Acid Change], $S612)=0, "Missing", "Y"))</f>
        <v/>
      </c>
      <c r="V612" s="10">
        <f t="shared" si="21"/>
        <v>0</v>
      </c>
    </row>
    <row r="613" spans="9:22" x14ac:dyDescent="0.25">
      <c r="I613" s="2">
        <f>Insertion!A113</f>
        <v>0</v>
      </c>
      <c r="J613" s="2">
        <f>Insertion!B113</f>
        <v>0</v>
      </c>
      <c r="K613" s="2">
        <f>Insertion!C113</f>
        <v>0</v>
      </c>
      <c r="L613" s="2">
        <f>Insertion!D113</f>
        <v>0</v>
      </c>
      <c r="M613" s="2">
        <f>Insertion!E113</f>
        <v>0</v>
      </c>
      <c r="N613" s="2">
        <f>Insertion!G113</f>
        <v>0</v>
      </c>
      <c r="O613" s="2">
        <f>Insertion!H113</f>
        <v>0</v>
      </c>
      <c r="P613" s="2">
        <f>Insertion!I113</f>
        <v>0</v>
      </c>
      <c r="Q613" s="2">
        <f>Insertion!J113</f>
        <v>0</v>
      </c>
      <c r="R613" s="2">
        <f>Insertion!K113</f>
        <v>0</v>
      </c>
      <c r="S613" s="2">
        <f>Insertion!N113</f>
        <v>0</v>
      </c>
      <c r="T613" s="2">
        <f t="shared" si="20"/>
        <v>0</v>
      </c>
      <c r="U613" s="10" t="str">
        <f>IF($S613=0, "", IF(COUNTIF(Table1[Amino Acid Change], $S613)=0, "Missing", "Y"))</f>
        <v/>
      </c>
      <c r="V613" s="10">
        <f t="shared" si="21"/>
        <v>0</v>
      </c>
    </row>
    <row r="614" spans="9:22" x14ac:dyDescent="0.25">
      <c r="I614" s="2">
        <f>Insertion!A114</f>
        <v>0</v>
      </c>
      <c r="J614" s="2">
        <f>Insertion!B114</f>
        <v>0</v>
      </c>
      <c r="K614" s="2">
        <f>Insertion!C114</f>
        <v>0</v>
      </c>
      <c r="L614" s="2">
        <f>Insertion!D114</f>
        <v>0</v>
      </c>
      <c r="M614" s="2">
        <f>Insertion!E114</f>
        <v>0</v>
      </c>
      <c r="N614" s="2">
        <f>Insertion!G114</f>
        <v>0</v>
      </c>
      <c r="O614" s="2">
        <f>Insertion!H114</f>
        <v>0</v>
      </c>
      <c r="P614" s="2">
        <f>Insertion!I114</f>
        <v>0</v>
      </c>
      <c r="Q614" s="2">
        <f>Insertion!J114</f>
        <v>0</v>
      </c>
      <c r="R614" s="2">
        <f>Insertion!K114</f>
        <v>0</v>
      </c>
      <c r="S614" s="2">
        <f>Insertion!N114</f>
        <v>0</v>
      </c>
      <c r="T614" s="2">
        <f t="shared" si="20"/>
        <v>0</v>
      </c>
      <c r="U614" s="10" t="str">
        <f>IF($S614=0, "", IF(COUNTIF(Table1[Amino Acid Change], $S614)=0, "Missing", "Y"))</f>
        <v/>
      </c>
      <c r="V614" s="10">
        <f t="shared" si="21"/>
        <v>0</v>
      </c>
    </row>
    <row r="615" spans="9:22" x14ac:dyDescent="0.25">
      <c r="I615" s="2">
        <f>Insertion!A115</f>
        <v>0</v>
      </c>
      <c r="J615" s="2">
        <f>Insertion!B115</f>
        <v>0</v>
      </c>
      <c r="K615" s="2">
        <f>Insertion!C115</f>
        <v>0</v>
      </c>
      <c r="L615" s="2">
        <f>Insertion!D115</f>
        <v>0</v>
      </c>
      <c r="M615" s="2">
        <f>Insertion!E115</f>
        <v>0</v>
      </c>
      <c r="N615" s="2">
        <f>Insertion!G115</f>
        <v>0</v>
      </c>
      <c r="O615" s="2">
        <f>Insertion!H115</f>
        <v>0</v>
      </c>
      <c r="P615" s="2">
        <f>Insertion!I115</f>
        <v>0</v>
      </c>
      <c r="Q615" s="2">
        <f>Insertion!J115</f>
        <v>0</v>
      </c>
      <c r="R615" s="2">
        <f>Insertion!K115</f>
        <v>0</v>
      </c>
      <c r="S615" s="2">
        <f>Insertion!N115</f>
        <v>0</v>
      </c>
      <c r="T615" s="2">
        <f t="shared" si="20"/>
        <v>0</v>
      </c>
      <c r="U615" s="10" t="str">
        <f>IF($S615=0, "", IF(COUNTIF(Table1[Amino Acid Change], $S615)=0, "Missing", "Y"))</f>
        <v/>
      </c>
      <c r="V615" s="10">
        <f t="shared" si="21"/>
        <v>0</v>
      </c>
    </row>
    <row r="616" spans="9:22" x14ac:dyDescent="0.25">
      <c r="I616" s="2">
        <f>Insertion!A116</f>
        <v>0</v>
      </c>
      <c r="J616" s="2">
        <f>Insertion!B116</f>
        <v>0</v>
      </c>
      <c r="K616" s="2">
        <f>Insertion!C116</f>
        <v>0</v>
      </c>
      <c r="L616" s="2">
        <f>Insertion!D116</f>
        <v>0</v>
      </c>
      <c r="M616" s="2">
        <f>Insertion!E116</f>
        <v>0</v>
      </c>
      <c r="N616" s="2">
        <f>Insertion!G116</f>
        <v>0</v>
      </c>
      <c r="O616" s="2">
        <f>Insertion!H116</f>
        <v>0</v>
      </c>
      <c r="P616" s="2">
        <f>Insertion!I116</f>
        <v>0</v>
      </c>
      <c r="Q616" s="2">
        <f>Insertion!J116</f>
        <v>0</v>
      </c>
      <c r="R616" s="2">
        <f>Insertion!K116</f>
        <v>0</v>
      </c>
      <c r="S616" s="2">
        <f>Insertion!N116</f>
        <v>0</v>
      </c>
      <c r="T616" s="2">
        <f t="shared" si="20"/>
        <v>0</v>
      </c>
      <c r="U616" s="10" t="str">
        <f>IF($S616=0, "", IF(COUNTIF(Table1[Amino Acid Change], $S616)=0, "Missing", "Y"))</f>
        <v/>
      </c>
      <c r="V616" s="10">
        <f t="shared" si="21"/>
        <v>0</v>
      </c>
    </row>
    <row r="617" spans="9:22" x14ac:dyDescent="0.25">
      <c r="I617" s="2">
        <f>Insertion!A117</f>
        <v>0</v>
      </c>
      <c r="J617" s="2">
        <f>Insertion!B117</f>
        <v>0</v>
      </c>
      <c r="K617" s="2">
        <f>Insertion!C117</f>
        <v>0</v>
      </c>
      <c r="L617" s="2">
        <f>Insertion!D117</f>
        <v>0</v>
      </c>
      <c r="M617" s="2">
        <f>Insertion!E117</f>
        <v>0</v>
      </c>
      <c r="N617" s="2">
        <f>Insertion!G117</f>
        <v>0</v>
      </c>
      <c r="O617" s="2">
        <f>Insertion!H117</f>
        <v>0</v>
      </c>
      <c r="P617" s="2">
        <f>Insertion!I117</f>
        <v>0</v>
      </c>
      <c r="Q617" s="2">
        <f>Insertion!J117</f>
        <v>0</v>
      </c>
      <c r="R617" s="2">
        <f>Insertion!K117</f>
        <v>0</v>
      </c>
      <c r="S617" s="2">
        <f>Insertion!N117</f>
        <v>0</v>
      </c>
      <c r="T617" s="2">
        <f t="shared" si="20"/>
        <v>0</v>
      </c>
      <c r="U617" s="10" t="str">
        <f>IF($S617=0, "", IF(COUNTIF(Table1[Amino Acid Change], $S617)=0, "Missing", "Y"))</f>
        <v/>
      </c>
      <c r="V617" s="10">
        <f t="shared" si="21"/>
        <v>0</v>
      </c>
    </row>
    <row r="618" spans="9:22" x14ac:dyDescent="0.25">
      <c r="I618" s="2">
        <f>Insertion!A118</f>
        <v>0</v>
      </c>
      <c r="J618" s="2">
        <f>Insertion!B118</f>
        <v>0</v>
      </c>
      <c r="K618" s="2">
        <f>Insertion!C118</f>
        <v>0</v>
      </c>
      <c r="L618" s="2">
        <f>Insertion!D118</f>
        <v>0</v>
      </c>
      <c r="M618" s="2">
        <f>Insertion!E118</f>
        <v>0</v>
      </c>
      <c r="N618" s="2">
        <f>Insertion!G118</f>
        <v>0</v>
      </c>
      <c r="O618" s="2">
        <f>Insertion!H118</f>
        <v>0</v>
      </c>
      <c r="P618" s="2">
        <f>Insertion!I118</f>
        <v>0</v>
      </c>
      <c r="Q618" s="2">
        <f>Insertion!J118</f>
        <v>0</v>
      </c>
      <c r="R618" s="2">
        <f>Insertion!K118</f>
        <v>0</v>
      </c>
      <c r="S618" s="2">
        <f>Insertion!N118</f>
        <v>0</v>
      </c>
      <c r="T618" s="2">
        <f t="shared" si="20"/>
        <v>0</v>
      </c>
      <c r="U618" s="10" t="str">
        <f>IF($S618=0, "", IF(COUNTIF(Table1[Amino Acid Change], $S618)=0, "Missing", "Y"))</f>
        <v/>
      </c>
      <c r="V618" s="10">
        <f t="shared" si="21"/>
        <v>0</v>
      </c>
    </row>
    <row r="619" spans="9:22" x14ac:dyDescent="0.25">
      <c r="I619" s="2">
        <f>Insertion!A119</f>
        <v>0</v>
      </c>
      <c r="J619" s="2">
        <f>Insertion!B119</f>
        <v>0</v>
      </c>
      <c r="K619" s="2">
        <f>Insertion!C119</f>
        <v>0</v>
      </c>
      <c r="L619" s="2">
        <f>Insertion!D119</f>
        <v>0</v>
      </c>
      <c r="M619" s="2">
        <f>Insertion!E119</f>
        <v>0</v>
      </c>
      <c r="N619" s="2">
        <f>Insertion!G119</f>
        <v>0</v>
      </c>
      <c r="O619" s="2">
        <f>Insertion!H119</f>
        <v>0</v>
      </c>
      <c r="P619" s="2">
        <f>Insertion!I119</f>
        <v>0</v>
      </c>
      <c r="Q619" s="2">
        <f>Insertion!J119</f>
        <v>0</v>
      </c>
      <c r="R619" s="2">
        <f>Insertion!K119</f>
        <v>0</v>
      </c>
      <c r="S619" s="2">
        <f>Insertion!N119</f>
        <v>0</v>
      </c>
      <c r="T619" s="2">
        <f t="shared" si="20"/>
        <v>0</v>
      </c>
      <c r="U619" s="10" t="str">
        <f>IF($S619=0, "", IF(COUNTIF(Table1[Amino Acid Change], $S619)=0, "Missing", "Y"))</f>
        <v/>
      </c>
      <c r="V619" s="10">
        <f t="shared" si="21"/>
        <v>0</v>
      </c>
    </row>
    <row r="620" spans="9:22" x14ac:dyDescent="0.25">
      <c r="I620" s="2">
        <f>Insertion!A120</f>
        <v>0</v>
      </c>
      <c r="J620" s="2">
        <f>Insertion!B120</f>
        <v>0</v>
      </c>
      <c r="K620" s="2">
        <f>Insertion!C120</f>
        <v>0</v>
      </c>
      <c r="L620" s="2">
        <f>Insertion!D120</f>
        <v>0</v>
      </c>
      <c r="M620" s="2">
        <f>Insertion!E120</f>
        <v>0</v>
      </c>
      <c r="N620" s="2">
        <f>Insertion!G120</f>
        <v>0</v>
      </c>
      <c r="O620" s="2">
        <f>Insertion!H120</f>
        <v>0</v>
      </c>
      <c r="P620" s="2">
        <f>Insertion!I120</f>
        <v>0</v>
      </c>
      <c r="Q620" s="2">
        <f>Insertion!J120</f>
        <v>0</v>
      </c>
      <c r="R620" s="2">
        <f>Insertion!K120</f>
        <v>0</v>
      </c>
      <c r="S620" s="2">
        <f>Insertion!N120</f>
        <v>0</v>
      </c>
      <c r="T620" s="2">
        <f t="shared" si="20"/>
        <v>0</v>
      </c>
      <c r="U620" s="10" t="str">
        <f>IF($S620=0, "", IF(COUNTIF(Table1[Amino Acid Change], $S620)=0, "Missing", "Y"))</f>
        <v/>
      </c>
      <c r="V620" s="10">
        <f t="shared" si="21"/>
        <v>0</v>
      </c>
    </row>
    <row r="621" spans="9:22" x14ac:dyDescent="0.25">
      <c r="I621" s="2">
        <f>Insertion!A121</f>
        <v>0</v>
      </c>
      <c r="J621" s="2">
        <f>Insertion!B121</f>
        <v>0</v>
      </c>
      <c r="K621" s="2">
        <f>Insertion!C121</f>
        <v>0</v>
      </c>
      <c r="L621" s="2">
        <f>Insertion!D121</f>
        <v>0</v>
      </c>
      <c r="M621" s="2">
        <f>Insertion!E121</f>
        <v>0</v>
      </c>
      <c r="N621" s="2">
        <f>Insertion!G121</f>
        <v>0</v>
      </c>
      <c r="O621" s="2">
        <f>Insertion!H121</f>
        <v>0</v>
      </c>
      <c r="P621" s="2">
        <f>Insertion!I121</f>
        <v>0</v>
      </c>
      <c r="Q621" s="2">
        <f>Insertion!J121</f>
        <v>0</v>
      </c>
      <c r="R621" s="2">
        <f>Insertion!K121</f>
        <v>0</v>
      </c>
      <c r="S621" s="2">
        <f>Insertion!N121</f>
        <v>0</v>
      </c>
      <c r="T621" s="2">
        <f t="shared" si="20"/>
        <v>0</v>
      </c>
      <c r="U621" s="10" t="str">
        <f>IF($S621=0, "", IF(COUNTIF(Table1[Amino Acid Change], $S621)=0, "Missing", "Y"))</f>
        <v/>
      </c>
      <c r="V621" s="10">
        <f t="shared" si="21"/>
        <v>0</v>
      </c>
    </row>
    <row r="622" spans="9:22" x14ac:dyDescent="0.25">
      <c r="I622" s="2">
        <f>Insertion!A122</f>
        <v>0</v>
      </c>
      <c r="J622" s="2">
        <f>Insertion!B122</f>
        <v>0</v>
      </c>
      <c r="K622" s="2">
        <f>Insertion!C122</f>
        <v>0</v>
      </c>
      <c r="L622" s="2">
        <f>Insertion!D122</f>
        <v>0</v>
      </c>
      <c r="M622" s="2">
        <f>Insertion!E122</f>
        <v>0</v>
      </c>
      <c r="N622" s="2">
        <f>Insertion!G122</f>
        <v>0</v>
      </c>
      <c r="O622" s="2">
        <f>Insertion!H122</f>
        <v>0</v>
      </c>
      <c r="P622" s="2">
        <f>Insertion!I122</f>
        <v>0</v>
      </c>
      <c r="Q622" s="2">
        <f>Insertion!J122</f>
        <v>0</v>
      </c>
      <c r="R622" s="2">
        <f>Insertion!K122</f>
        <v>0</v>
      </c>
      <c r="S622" s="2">
        <f>Insertion!N122</f>
        <v>0</v>
      </c>
      <c r="T622" s="2">
        <f t="shared" si="20"/>
        <v>0</v>
      </c>
      <c r="U622" s="10" t="str">
        <f>IF($S622=0, "", IF(COUNTIF(Table1[Amino Acid Change], $S622)=0, "Missing", "Y"))</f>
        <v/>
      </c>
      <c r="V622" s="10">
        <f t="shared" si="21"/>
        <v>0</v>
      </c>
    </row>
    <row r="623" spans="9:22" x14ac:dyDescent="0.25">
      <c r="I623" s="2">
        <f>Insertion!A123</f>
        <v>0</v>
      </c>
      <c r="J623" s="2">
        <f>Insertion!B123</f>
        <v>0</v>
      </c>
      <c r="K623" s="2">
        <f>Insertion!C123</f>
        <v>0</v>
      </c>
      <c r="L623" s="2">
        <f>Insertion!D123</f>
        <v>0</v>
      </c>
      <c r="M623" s="2">
        <f>Insertion!E123</f>
        <v>0</v>
      </c>
      <c r="N623" s="2">
        <f>Insertion!G123</f>
        <v>0</v>
      </c>
      <c r="O623" s="2">
        <f>Insertion!H123</f>
        <v>0</v>
      </c>
      <c r="P623" s="2">
        <f>Insertion!I123</f>
        <v>0</v>
      </c>
      <c r="Q623" s="2">
        <f>Insertion!J123</f>
        <v>0</v>
      </c>
      <c r="R623" s="2">
        <f>Insertion!K123</f>
        <v>0</v>
      </c>
      <c r="S623" s="2">
        <f>Insertion!N123</f>
        <v>0</v>
      </c>
      <c r="T623" s="2">
        <f t="shared" si="20"/>
        <v>0</v>
      </c>
      <c r="U623" s="10" t="str">
        <f>IF($S623=0, "", IF(COUNTIF(Table1[Amino Acid Change], $S623)=0, "Missing", "Y"))</f>
        <v/>
      </c>
      <c r="V623" s="10">
        <f t="shared" si="21"/>
        <v>0</v>
      </c>
    </row>
    <row r="624" spans="9:22" x14ac:dyDescent="0.25">
      <c r="I624" s="2">
        <f>Insertion!A124</f>
        <v>0</v>
      </c>
      <c r="J624" s="2">
        <f>Insertion!B124</f>
        <v>0</v>
      </c>
      <c r="K624" s="2">
        <f>Insertion!C124</f>
        <v>0</v>
      </c>
      <c r="L624" s="2">
        <f>Insertion!D124</f>
        <v>0</v>
      </c>
      <c r="M624" s="2">
        <f>Insertion!E124</f>
        <v>0</v>
      </c>
      <c r="N624" s="2">
        <f>Insertion!G124</f>
        <v>0</v>
      </c>
      <c r="O624" s="2">
        <f>Insertion!H124</f>
        <v>0</v>
      </c>
      <c r="P624" s="2">
        <f>Insertion!I124</f>
        <v>0</v>
      </c>
      <c r="Q624" s="2">
        <f>Insertion!J124</f>
        <v>0</v>
      </c>
      <c r="R624" s="2">
        <f>Insertion!K124</f>
        <v>0</v>
      </c>
      <c r="S624" s="2">
        <f>Insertion!N124</f>
        <v>0</v>
      </c>
      <c r="T624" s="2">
        <f t="shared" si="20"/>
        <v>0</v>
      </c>
      <c r="U624" s="10" t="str">
        <f>IF($S624=0, "", IF(COUNTIF(Table1[Amino Acid Change], $S624)=0, "Missing", "Y"))</f>
        <v/>
      </c>
      <c r="V624" s="10">
        <f t="shared" si="21"/>
        <v>0</v>
      </c>
    </row>
    <row r="625" spans="9:22" x14ac:dyDescent="0.25">
      <c r="I625" s="2">
        <f>Insertion!A125</f>
        <v>0</v>
      </c>
      <c r="J625" s="2">
        <f>Insertion!B125</f>
        <v>0</v>
      </c>
      <c r="K625" s="2">
        <f>Insertion!C125</f>
        <v>0</v>
      </c>
      <c r="L625" s="2">
        <f>Insertion!D125</f>
        <v>0</v>
      </c>
      <c r="M625" s="2">
        <f>Insertion!E125</f>
        <v>0</v>
      </c>
      <c r="N625" s="2">
        <f>Insertion!G125</f>
        <v>0</v>
      </c>
      <c r="O625" s="2">
        <f>Insertion!H125</f>
        <v>0</v>
      </c>
      <c r="P625" s="2">
        <f>Insertion!I125</f>
        <v>0</v>
      </c>
      <c r="Q625" s="2">
        <f>Insertion!J125</f>
        <v>0</v>
      </c>
      <c r="R625" s="2">
        <f>Insertion!K125</f>
        <v>0</v>
      </c>
      <c r="S625" s="2">
        <f>Insertion!N125</f>
        <v>0</v>
      </c>
      <c r="T625" s="2">
        <f t="shared" si="20"/>
        <v>0</v>
      </c>
      <c r="U625" s="10" t="str">
        <f>IF($S625=0, "", IF(COUNTIF(Table1[Amino Acid Change], $S625)=0, "Missing", "Y"))</f>
        <v/>
      </c>
      <c r="V625" s="10">
        <f t="shared" si="21"/>
        <v>0</v>
      </c>
    </row>
    <row r="626" spans="9:22" x14ac:dyDescent="0.25">
      <c r="I626" s="2">
        <f>Insertion!A126</f>
        <v>0</v>
      </c>
      <c r="J626" s="2">
        <f>Insertion!B126</f>
        <v>0</v>
      </c>
      <c r="K626" s="2">
        <f>Insertion!C126</f>
        <v>0</v>
      </c>
      <c r="L626" s="2">
        <f>Insertion!D126</f>
        <v>0</v>
      </c>
      <c r="M626" s="2">
        <f>Insertion!E126</f>
        <v>0</v>
      </c>
      <c r="N626" s="2">
        <f>Insertion!G126</f>
        <v>0</v>
      </c>
      <c r="O626" s="2">
        <f>Insertion!H126</f>
        <v>0</v>
      </c>
      <c r="P626" s="2">
        <f>Insertion!I126</f>
        <v>0</v>
      </c>
      <c r="Q626" s="2">
        <f>Insertion!J126</f>
        <v>0</v>
      </c>
      <c r="R626" s="2">
        <f>Insertion!K126</f>
        <v>0</v>
      </c>
      <c r="S626" s="2">
        <f>Insertion!N126</f>
        <v>0</v>
      </c>
      <c r="T626" s="2">
        <f t="shared" si="20"/>
        <v>0</v>
      </c>
      <c r="U626" s="10" t="str">
        <f>IF($S626=0, "", IF(COUNTIF(Table1[Amino Acid Change], $S626)=0, "Missing", "Y"))</f>
        <v/>
      </c>
      <c r="V626" s="10">
        <f t="shared" si="21"/>
        <v>0</v>
      </c>
    </row>
    <row r="627" spans="9:22" x14ac:dyDescent="0.25">
      <c r="I627" s="2">
        <f>Insertion!A127</f>
        <v>0</v>
      </c>
      <c r="J627" s="2">
        <f>Insertion!B127</f>
        <v>0</v>
      </c>
      <c r="K627" s="2">
        <f>Insertion!C127</f>
        <v>0</v>
      </c>
      <c r="L627" s="2">
        <f>Insertion!D127</f>
        <v>0</v>
      </c>
      <c r="M627" s="2">
        <f>Insertion!E127</f>
        <v>0</v>
      </c>
      <c r="N627" s="2">
        <f>Insertion!G127</f>
        <v>0</v>
      </c>
      <c r="O627" s="2">
        <f>Insertion!H127</f>
        <v>0</v>
      </c>
      <c r="P627" s="2">
        <f>Insertion!I127</f>
        <v>0</v>
      </c>
      <c r="Q627" s="2">
        <f>Insertion!J127</f>
        <v>0</v>
      </c>
      <c r="R627" s="2">
        <f>Insertion!K127</f>
        <v>0</v>
      </c>
      <c r="S627" s="2">
        <f>Insertion!N127</f>
        <v>0</v>
      </c>
      <c r="T627" s="2">
        <f t="shared" si="20"/>
        <v>0</v>
      </c>
      <c r="U627" s="10" t="str">
        <f>IF($S627=0, "", IF(COUNTIF(Table1[Amino Acid Change], $S627)=0, "Missing", "Y"))</f>
        <v/>
      </c>
      <c r="V627" s="10">
        <f t="shared" si="21"/>
        <v>0</v>
      </c>
    </row>
    <row r="628" spans="9:22" x14ac:dyDescent="0.25">
      <c r="I628" s="2">
        <f>Insertion!A128</f>
        <v>0</v>
      </c>
      <c r="J628" s="2">
        <f>Insertion!B128</f>
        <v>0</v>
      </c>
      <c r="K628" s="2">
        <f>Insertion!C128</f>
        <v>0</v>
      </c>
      <c r="L628" s="2">
        <f>Insertion!D128</f>
        <v>0</v>
      </c>
      <c r="M628" s="2">
        <f>Insertion!E128</f>
        <v>0</v>
      </c>
      <c r="N628" s="2">
        <f>Insertion!G128</f>
        <v>0</v>
      </c>
      <c r="O628" s="2">
        <f>Insertion!H128</f>
        <v>0</v>
      </c>
      <c r="P628" s="2">
        <f>Insertion!I128</f>
        <v>0</v>
      </c>
      <c r="Q628" s="2">
        <f>Insertion!J128</f>
        <v>0</v>
      </c>
      <c r="R628" s="2">
        <f>Insertion!K128</f>
        <v>0</v>
      </c>
      <c r="S628" s="2">
        <f>Insertion!N128</f>
        <v>0</v>
      </c>
      <c r="T628" s="2">
        <f t="shared" si="20"/>
        <v>0</v>
      </c>
      <c r="U628" s="10" t="str">
        <f>IF($S628=0, "", IF(COUNTIF(Table1[Amino Acid Change], $S628)=0, "Missing", "Y"))</f>
        <v/>
      </c>
      <c r="V628" s="10">
        <f t="shared" si="21"/>
        <v>0</v>
      </c>
    </row>
    <row r="629" spans="9:22" x14ac:dyDescent="0.25">
      <c r="I629" s="2">
        <f>Insertion!A129</f>
        <v>0</v>
      </c>
      <c r="J629" s="2">
        <f>Insertion!B129</f>
        <v>0</v>
      </c>
      <c r="K629" s="2">
        <f>Insertion!C129</f>
        <v>0</v>
      </c>
      <c r="L629" s="2">
        <f>Insertion!D129</f>
        <v>0</v>
      </c>
      <c r="M629" s="2">
        <f>Insertion!E129</f>
        <v>0</v>
      </c>
      <c r="N629" s="2">
        <f>Insertion!G129</f>
        <v>0</v>
      </c>
      <c r="O629" s="2">
        <f>Insertion!H129</f>
        <v>0</v>
      </c>
      <c r="P629" s="2">
        <f>Insertion!I129</f>
        <v>0</v>
      </c>
      <c r="Q629" s="2">
        <f>Insertion!J129</f>
        <v>0</v>
      </c>
      <c r="R629" s="2">
        <f>Insertion!K129</f>
        <v>0</v>
      </c>
      <c r="S629" s="2">
        <f>Insertion!N129</f>
        <v>0</v>
      </c>
      <c r="T629" s="2">
        <f t="shared" si="20"/>
        <v>0</v>
      </c>
      <c r="U629" s="10" t="str">
        <f>IF($S629=0, "", IF(COUNTIF(Table1[Amino Acid Change], $S629)=0, "Missing", "Y"))</f>
        <v/>
      </c>
      <c r="V629" s="10">
        <f t="shared" si="21"/>
        <v>0</v>
      </c>
    </row>
    <row r="630" spans="9:22" x14ac:dyDescent="0.25">
      <c r="I630" s="2">
        <f>Insertion!A130</f>
        <v>0</v>
      </c>
      <c r="J630" s="2">
        <f>Insertion!B130</f>
        <v>0</v>
      </c>
      <c r="K630" s="2">
        <f>Insertion!C130</f>
        <v>0</v>
      </c>
      <c r="L630" s="2">
        <f>Insertion!D130</f>
        <v>0</v>
      </c>
      <c r="M630" s="2">
        <f>Insertion!E130</f>
        <v>0</v>
      </c>
      <c r="N630" s="2">
        <f>Insertion!G130</f>
        <v>0</v>
      </c>
      <c r="O630" s="2">
        <f>Insertion!H130</f>
        <v>0</v>
      </c>
      <c r="P630" s="2">
        <f>Insertion!I130</f>
        <v>0</v>
      </c>
      <c r="Q630" s="2">
        <f>Insertion!J130</f>
        <v>0</v>
      </c>
      <c r="R630" s="2">
        <f>Insertion!K130</f>
        <v>0</v>
      </c>
      <c r="S630" s="2">
        <f>Insertion!N130</f>
        <v>0</v>
      </c>
      <c r="T630" s="2">
        <f t="shared" si="20"/>
        <v>0</v>
      </c>
      <c r="U630" s="10" t="str">
        <f>IF($S630=0, "", IF(COUNTIF(Table1[Amino Acid Change], $S630)=0, "Missing", "Y"))</f>
        <v/>
      </c>
      <c r="V630" s="10">
        <f t="shared" si="21"/>
        <v>0</v>
      </c>
    </row>
    <row r="631" spans="9:22" x14ac:dyDescent="0.25">
      <c r="I631" s="2">
        <f>Insertion!A131</f>
        <v>0</v>
      </c>
      <c r="J631" s="2">
        <f>Insertion!B131</f>
        <v>0</v>
      </c>
      <c r="K631" s="2">
        <f>Insertion!C131</f>
        <v>0</v>
      </c>
      <c r="L631" s="2">
        <f>Insertion!D131</f>
        <v>0</v>
      </c>
      <c r="M631" s="2">
        <f>Insertion!E131</f>
        <v>0</v>
      </c>
      <c r="N631" s="2">
        <f>Insertion!G131</f>
        <v>0</v>
      </c>
      <c r="O631" s="2">
        <f>Insertion!H131</f>
        <v>0</v>
      </c>
      <c r="P631" s="2">
        <f>Insertion!I131</f>
        <v>0</v>
      </c>
      <c r="Q631" s="2">
        <f>Insertion!J131</f>
        <v>0</v>
      </c>
      <c r="R631" s="2">
        <f>Insertion!K131</f>
        <v>0</v>
      </c>
      <c r="S631" s="2">
        <f>Insertion!N131</f>
        <v>0</v>
      </c>
      <c r="T631" s="2">
        <f t="shared" ref="T631:T694" si="22">P631</f>
        <v>0</v>
      </c>
      <c r="U631" s="10" t="str">
        <f>IF($S631=0, "", IF(COUNTIF(Table1[Amino Acid Change], $S631)=0, "Missing", "Y"))</f>
        <v/>
      </c>
      <c r="V631" s="10">
        <f t="shared" ref="V631:V694" si="23">J631</f>
        <v>0</v>
      </c>
    </row>
    <row r="632" spans="9:22" x14ac:dyDescent="0.25">
      <c r="I632" s="2">
        <f>Insertion!A132</f>
        <v>0</v>
      </c>
      <c r="J632" s="2">
        <f>Insertion!B132</f>
        <v>0</v>
      </c>
      <c r="K632" s="2">
        <f>Insertion!C132</f>
        <v>0</v>
      </c>
      <c r="L632" s="2">
        <f>Insertion!D132</f>
        <v>0</v>
      </c>
      <c r="M632" s="2">
        <f>Insertion!E132</f>
        <v>0</v>
      </c>
      <c r="N632" s="2">
        <f>Insertion!G132</f>
        <v>0</v>
      </c>
      <c r="O632" s="2">
        <f>Insertion!H132</f>
        <v>0</v>
      </c>
      <c r="P632" s="2">
        <f>Insertion!I132</f>
        <v>0</v>
      </c>
      <c r="Q632" s="2">
        <f>Insertion!J132</f>
        <v>0</v>
      </c>
      <c r="R632" s="2">
        <f>Insertion!K132</f>
        <v>0</v>
      </c>
      <c r="S632" s="2">
        <f>Insertion!N132</f>
        <v>0</v>
      </c>
      <c r="T632" s="2">
        <f t="shared" si="22"/>
        <v>0</v>
      </c>
      <c r="U632" s="10" t="str">
        <f>IF($S632=0, "", IF(COUNTIF(Table1[Amino Acid Change], $S632)=0, "Missing", "Y"))</f>
        <v/>
      </c>
      <c r="V632" s="10">
        <f t="shared" si="23"/>
        <v>0</v>
      </c>
    </row>
    <row r="633" spans="9:22" x14ac:dyDescent="0.25">
      <c r="I633" s="2">
        <f>Insertion!A133</f>
        <v>0</v>
      </c>
      <c r="J633" s="2">
        <f>Insertion!B133</f>
        <v>0</v>
      </c>
      <c r="K633" s="2">
        <f>Insertion!C133</f>
        <v>0</v>
      </c>
      <c r="L633" s="2">
        <f>Insertion!D133</f>
        <v>0</v>
      </c>
      <c r="M633" s="2">
        <f>Insertion!E133</f>
        <v>0</v>
      </c>
      <c r="N633" s="2">
        <f>Insertion!G133</f>
        <v>0</v>
      </c>
      <c r="O633" s="2">
        <f>Insertion!H133</f>
        <v>0</v>
      </c>
      <c r="P633" s="2">
        <f>Insertion!I133</f>
        <v>0</v>
      </c>
      <c r="Q633" s="2">
        <f>Insertion!J133</f>
        <v>0</v>
      </c>
      <c r="R633" s="2">
        <f>Insertion!K133</f>
        <v>0</v>
      </c>
      <c r="S633" s="2">
        <f>Insertion!N133</f>
        <v>0</v>
      </c>
      <c r="T633" s="2">
        <f t="shared" si="22"/>
        <v>0</v>
      </c>
      <c r="U633" s="10" t="str">
        <f>IF($S633=0, "", IF(COUNTIF(Table1[Amino Acid Change], $S633)=0, "Missing", "Y"))</f>
        <v/>
      </c>
      <c r="V633" s="10">
        <f t="shared" si="23"/>
        <v>0</v>
      </c>
    </row>
    <row r="634" spans="9:22" x14ac:dyDescent="0.25">
      <c r="I634" s="2">
        <f>Insertion!A134</f>
        <v>0</v>
      </c>
      <c r="J634" s="2">
        <f>Insertion!B134</f>
        <v>0</v>
      </c>
      <c r="K634" s="2">
        <f>Insertion!C134</f>
        <v>0</v>
      </c>
      <c r="L634" s="2">
        <f>Insertion!D134</f>
        <v>0</v>
      </c>
      <c r="M634" s="2">
        <f>Insertion!E134</f>
        <v>0</v>
      </c>
      <c r="N634" s="2">
        <f>Insertion!G134</f>
        <v>0</v>
      </c>
      <c r="O634" s="2">
        <f>Insertion!H134</f>
        <v>0</v>
      </c>
      <c r="P634" s="2">
        <f>Insertion!I134</f>
        <v>0</v>
      </c>
      <c r="Q634" s="2">
        <f>Insertion!J134</f>
        <v>0</v>
      </c>
      <c r="R634" s="2">
        <f>Insertion!K134</f>
        <v>0</v>
      </c>
      <c r="S634" s="2">
        <f>Insertion!N134</f>
        <v>0</v>
      </c>
      <c r="T634" s="2">
        <f t="shared" si="22"/>
        <v>0</v>
      </c>
      <c r="U634" s="10" t="str">
        <f>IF($S634=0, "", IF(COUNTIF(Table1[Amino Acid Change], $S634)=0, "Missing", "Y"))</f>
        <v/>
      </c>
      <c r="V634" s="10">
        <f t="shared" si="23"/>
        <v>0</v>
      </c>
    </row>
    <row r="635" spans="9:22" x14ac:dyDescent="0.25">
      <c r="I635" s="2">
        <f>Insertion!A135</f>
        <v>0</v>
      </c>
      <c r="J635" s="2">
        <f>Insertion!B135</f>
        <v>0</v>
      </c>
      <c r="K635" s="2">
        <f>Insertion!C135</f>
        <v>0</v>
      </c>
      <c r="L635" s="2">
        <f>Insertion!D135</f>
        <v>0</v>
      </c>
      <c r="M635" s="2">
        <f>Insertion!E135</f>
        <v>0</v>
      </c>
      <c r="N635" s="2">
        <f>Insertion!G135</f>
        <v>0</v>
      </c>
      <c r="O635" s="2">
        <f>Insertion!H135</f>
        <v>0</v>
      </c>
      <c r="P635" s="2">
        <f>Insertion!I135</f>
        <v>0</v>
      </c>
      <c r="Q635" s="2">
        <f>Insertion!J135</f>
        <v>0</v>
      </c>
      <c r="R635" s="2">
        <f>Insertion!K135</f>
        <v>0</v>
      </c>
      <c r="S635" s="2">
        <f>Insertion!N135</f>
        <v>0</v>
      </c>
      <c r="T635" s="2">
        <f t="shared" si="22"/>
        <v>0</v>
      </c>
      <c r="U635" s="10" t="str">
        <f>IF($S635=0, "", IF(COUNTIF(Table1[Amino Acid Change], $S635)=0, "Missing", "Y"))</f>
        <v/>
      </c>
      <c r="V635" s="10">
        <f t="shared" si="23"/>
        <v>0</v>
      </c>
    </row>
    <row r="636" spans="9:22" x14ac:dyDescent="0.25">
      <c r="I636" s="2">
        <f>Insertion!A136</f>
        <v>0</v>
      </c>
      <c r="J636" s="2">
        <f>Insertion!B136</f>
        <v>0</v>
      </c>
      <c r="K636" s="2">
        <f>Insertion!C136</f>
        <v>0</v>
      </c>
      <c r="L636" s="2">
        <f>Insertion!D136</f>
        <v>0</v>
      </c>
      <c r="M636" s="2">
        <f>Insertion!E136</f>
        <v>0</v>
      </c>
      <c r="N636" s="2">
        <f>Insertion!G136</f>
        <v>0</v>
      </c>
      <c r="O636" s="2">
        <f>Insertion!H136</f>
        <v>0</v>
      </c>
      <c r="P636" s="2">
        <f>Insertion!I136</f>
        <v>0</v>
      </c>
      <c r="Q636" s="2">
        <f>Insertion!J136</f>
        <v>0</v>
      </c>
      <c r="R636" s="2">
        <f>Insertion!K136</f>
        <v>0</v>
      </c>
      <c r="S636" s="2">
        <f>Insertion!N136</f>
        <v>0</v>
      </c>
      <c r="T636" s="2">
        <f t="shared" si="22"/>
        <v>0</v>
      </c>
      <c r="U636" s="10" t="str">
        <f>IF($S636=0, "", IF(COUNTIF(Table1[Amino Acid Change], $S636)=0, "Missing", "Y"))</f>
        <v/>
      </c>
      <c r="V636" s="10">
        <f t="shared" si="23"/>
        <v>0</v>
      </c>
    </row>
    <row r="637" spans="9:22" x14ac:dyDescent="0.25">
      <c r="I637" s="2">
        <f>Insertion!A137</f>
        <v>0</v>
      </c>
      <c r="J637" s="2">
        <f>Insertion!B137</f>
        <v>0</v>
      </c>
      <c r="K637" s="2">
        <f>Insertion!C137</f>
        <v>0</v>
      </c>
      <c r="L637" s="2">
        <f>Insertion!D137</f>
        <v>0</v>
      </c>
      <c r="M637" s="2">
        <f>Insertion!E137</f>
        <v>0</v>
      </c>
      <c r="N637" s="2">
        <f>Insertion!G137</f>
        <v>0</v>
      </c>
      <c r="O637" s="2">
        <f>Insertion!H137</f>
        <v>0</v>
      </c>
      <c r="P637" s="2">
        <f>Insertion!I137</f>
        <v>0</v>
      </c>
      <c r="Q637" s="2">
        <f>Insertion!J137</f>
        <v>0</v>
      </c>
      <c r="R637" s="2">
        <f>Insertion!K137</f>
        <v>0</v>
      </c>
      <c r="S637" s="2">
        <f>Insertion!N137</f>
        <v>0</v>
      </c>
      <c r="T637" s="2">
        <f t="shared" si="22"/>
        <v>0</v>
      </c>
      <c r="U637" s="10" t="str">
        <f>IF($S637=0, "", IF(COUNTIF(Table1[Amino Acid Change], $S637)=0, "Missing", "Y"))</f>
        <v/>
      </c>
      <c r="V637" s="10">
        <f t="shared" si="23"/>
        <v>0</v>
      </c>
    </row>
    <row r="638" spans="9:22" x14ac:dyDescent="0.25">
      <c r="I638" s="2">
        <f>Insertion!A138</f>
        <v>0</v>
      </c>
      <c r="J638" s="2">
        <f>Insertion!B138</f>
        <v>0</v>
      </c>
      <c r="K638" s="2">
        <f>Insertion!C138</f>
        <v>0</v>
      </c>
      <c r="L638" s="2">
        <f>Insertion!D138</f>
        <v>0</v>
      </c>
      <c r="M638" s="2">
        <f>Insertion!E138</f>
        <v>0</v>
      </c>
      <c r="N638" s="2">
        <f>Insertion!G138</f>
        <v>0</v>
      </c>
      <c r="O638" s="2">
        <f>Insertion!H138</f>
        <v>0</v>
      </c>
      <c r="P638" s="2">
        <f>Insertion!I138</f>
        <v>0</v>
      </c>
      <c r="Q638" s="2">
        <f>Insertion!J138</f>
        <v>0</v>
      </c>
      <c r="R638" s="2">
        <f>Insertion!K138</f>
        <v>0</v>
      </c>
      <c r="S638" s="2">
        <f>Insertion!N138</f>
        <v>0</v>
      </c>
      <c r="T638" s="2">
        <f t="shared" si="22"/>
        <v>0</v>
      </c>
      <c r="U638" s="10" t="str">
        <f>IF($S638=0, "", IF(COUNTIF(Table1[Amino Acid Change], $S638)=0, "Missing", "Y"))</f>
        <v/>
      </c>
      <c r="V638" s="10">
        <f t="shared" si="23"/>
        <v>0</v>
      </c>
    </row>
    <row r="639" spans="9:22" x14ac:dyDescent="0.25">
      <c r="I639" s="2">
        <f>Insertion!A139</f>
        <v>0</v>
      </c>
      <c r="J639" s="2">
        <f>Insertion!B139</f>
        <v>0</v>
      </c>
      <c r="K639" s="2">
        <f>Insertion!C139</f>
        <v>0</v>
      </c>
      <c r="L639" s="2">
        <f>Insertion!D139</f>
        <v>0</v>
      </c>
      <c r="M639" s="2">
        <f>Insertion!E139</f>
        <v>0</v>
      </c>
      <c r="N639" s="2">
        <f>Insertion!G139</f>
        <v>0</v>
      </c>
      <c r="O639" s="2">
        <f>Insertion!H139</f>
        <v>0</v>
      </c>
      <c r="P639" s="2">
        <f>Insertion!I139</f>
        <v>0</v>
      </c>
      <c r="Q639" s="2">
        <f>Insertion!J139</f>
        <v>0</v>
      </c>
      <c r="R639" s="2">
        <f>Insertion!K139</f>
        <v>0</v>
      </c>
      <c r="S639" s="2">
        <f>Insertion!N139</f>
        <v>0</v>
      </c>
      <c r="T639" s="2">
        <f t="shared" si="22"/>
        <v>0</v>
      </c>
      <c r="U639" s="10" t="str">
        <f>IF($S639=0, "", IF(COUNTIF(Table1[Amino Acid Change], $S639)=0, "Missing", "Y"))</f>
        <v/>
      </c>
      <c r="V639" s="10">
        <f t="shared" si="23"/>
        <v>0</v>
      </c>
    </row>
    <row r="640" spans="9:22" x14ac:dyDescent="0.25">
      <c r="I640" s="2">
        <f>Insertion!A140</f>
        <v>0</v>
      </c>
      <c r="J640" s="2">
        <f>Insertion!B140</f>
        <v>0</v>
      </c>
      <c r="K640" s="2">
        <f>Insertion!C140</f>
        <v>0</v>
      </c>
      <c r="L640" s="2">
        <f>Insertion!D140</f>
        <v>0</v>
      </c>
      <c r="M640" s="2">
        <f>Insertion!E140</f>
        <v>0</v>
      </c>
      <c r="N640" s="2">
        <f>Insertion!G140</f>
        <v>0</v>
      </c>
      <c r="O640" s="2">
        <f>Insertion!H140</f>
        <v>0</v>
      </c>
      <c r="P640" s="2">
        <f>Insertion!I140</f>
        <v>0</v>
      </c>
      <c r="Q640" s="2">
        <f>Insertion!J140</f>
        <v>0</v>
      </c>
      <c r="R640" s="2">
        <f>Insertion!K140</f>
        <v>0</v>
      </c>
      <c r="S640" s="2">
        <f>Insertion!N140</f>
        <v>0</v>
      </c>
      <c r="T640" s="2">
        <f t="shared" si="22"/>
        <v>0</v>
      </c>
      <c r="U640" s="10" t="str">
        <f>IF($S640=0, "", IF(COUNTIF(Table1[Amino Acid Change], $S640)=0, "Missing", "Y"))</f>
        <v/>
      </c>
      <c r="V640" s="10">
        <f t="shared" si="23"/>
        <v>0</v>
      </c>
    </row>
    <row r="641" spans="9:22" x14ac:dyDescent="0.25">
      <c r="I641" s="2">
        <f>Insertion!A141</f>
        <v>0</v>
      </c>
      <c r="J641" s="2">
        <f>Insertion!B141</f>
        <v>0</v>
      </c>
      <c r="K641" s="2">
        <f>Insertion!C141</f>
        <v>0</v>
      </c>
      <c r="L641" s="2">
        <f>Insertion!D141</f>
        <v>0</v>
      </c>
      <c r="M641" s="2">
        <f>Insertion!E141</f>
        <v>0</v>
      </c>
      <c r="N641" s="2">
        <f>Insertion!G141</f>
        <v>0</v>
      </c>
      <c r="O641" s="2">
        <f>Insertion!H141</f>
        <v>0</v>
      </c>
      <c r="P641" s="2">
        <f>Insertion!I141</f>
        <v>0</v>
      </c>
      <c r="Q641" s="2">
        <f>Insertion!J141</f>
        <v>0</v>
      </c>
      <c r="R641" s="2">
        <f>Insertion!K141</f>
        <v>0</v>
      </c>
      <c r="S641" s="2">
        <f>Insertion!N141</f>
        <v>0</v>
      </c>
      <c r="T641" s="2">
        <f t="shared" si="22"/>
        <v>0</v>
      </c>
      <c r="U641" s="10" t="str">
        <f>IF($S641=0, "", IF(COUNTIF(Table1[Amino Acid Change], $S641)=0, "Missing", "Y"))</f>
        <v/>
      </c>
      <c r="V641" s="10">
        <f t="shared" si="23"/>
        <v>0</v>
      </c>
    </row>
    <row r="642" spans="9:22" x14ac:dyDescent="0.25">
      <c r="I642" s="2">
        <f>Insertion!A142</f>
        <v>0</v>
      </c>
      <c r="J642" s="2">
        <f>Insertion!B142</f>
        <v>0</v>
      </c>
      <c r="K642" s="2">
        <f>Insertion!C142</f>
        <v>0</v>
      </c>
      <c r="L642" s="2">
        <f>Insertion!D142</f>
        <v>0</v>
      </c>
      <c r="M642" s="2">
        <f>Insertion!E142</f>
        <v>0</v>
      </c>
      <c r="N642" s="2">
        <f>Insertion!G142</f>
        <v>0</v>
      </c>
      <c r="O642" s="2">
        <f>Insertion!H142</f>
        <v>0</v>
      </c>
      <c r="P642" s="2">
        <f>Insertion!I142</f>
        <v>0</v>
      </c>
      <c r="Q642" s="2">
        <f>Insertion!J142</f>
        <v>0</v>
      </c>
      <c r="R642" s="2">
        <f>Insertion!K142</f>
        <v>0</v>
      </c>
      <c r="S642" s="2">
        <f>Insertion!N142</f>
        <v>0</v>
      </c>
      <c r="T642" s="2">
        <f t="shared" si="22"/>
        <v>0</v>
      </c>
      <c r="U642" s="10" t="str">
        <f>IF($S642=0, "", IF(COUNTIF(Table1[Amino Acid Change], $S642)=0, "Missing", "Y"))</f>
        <v/>
      </c>
      <c r="V642" s="10">
        <f t="shared" si="23"/>
        <v>0</v>
      </c>
    </row>
    <row r="643" spans="9:22" x14ac:dyDescent="0.25">
      <c r="I643" s="2">
        <f>Insertion!A143</f>
        <v>0</v>
      </c>
      <c r="J643" s="2">
        <f>Insertion!B143</f>
        <v>0</v>
      </c>
      <c r="K643" s="2">
        <f>Insertion!C143</f>
        <v>0</v>
      </c>
      <c r="L643" s="2">
        <f>Insertion!D143</f>
        <v>0</v>
      </c>
      <c r="M643" s="2">
        <f>Insertion!E143</f>
        <v>0</v>
      </c>
      <c r="N643" s="2">
        <f>Insertion!G143</f>
        <v>0</v>
      </c>
      <c r="O643" s="2">
        <f>Insertion!H143</f>
        <v>0</v>
      </c>
      <c r="P643" s="2">
        <f>Insertion!I143</f>
        <v>0</v>
      </c>
      <c r="Q643" s="2">
        <f>Insertion!J143</f>
        <v>0</v>
      </c>
      <c r="R643" s="2">
        <f>Insertion!K143</f>
        <v>0</v>
      </c>
      <c r="S643" s="2">
        <f>Insertion!N143</f>
        <v>0</v>
      </c>
      <c r="T643" s="2">
        <f t="shared" si="22"/>
        <v>0</v>
      </c>
      <c r="U643" s="10" t="str">
        <f>IF($S643=0, "", IF(COUNTIF(Table1[Amino Acid Change], $S643)=0, "Missing", "Y"))</f>
        <v/>
      </c>
      <c r="V643" s="10">
        <f t="shared" si="23"/>
        <v>0</v>
      </c>
    </row>
    <row r="644" spans="9:22" x14ac:dyDescent="0.25">
      <c r="I644" s="2">
        <f>Insertion!A144</f>
        <v>0</v>
      </c>
      <c r="J644" s="2">
        <f>Insertion!B144</f>
        <v>0</v>
      </c>
      <c r="K644" s="2">
        <f>Insertion!C144</f>
        <v>0</v>
      </c>
      <c r="L644" s="2">
        <f>Insertion!D144</f>
        <v>0</v>
      </c>
      <c r="M644" s="2">
        <f>Insertion!E144</f>
        <v>0</v>
      </c>
      <c r="N644" s="2">
        <f>Insertion!G144</f>
        <v>0</v>
      </c>
      <c r="O644" s="2">
        <f>Insertion!H144</f>
        <v>0</v>
      </c>
      <c r="P644" s="2">
        <f>Insertion!I144</f>
        <v>0</v>
      </c>
      <c r="Q644" s="2">
        <f>Insertion!J144</f>
        <v>0</v>
      </c>
      <c r="R644" s="2">
        <f>Insertion!K144</f>
        <v>0</v>
      </c>
      <c r="S644" s="2">
        <f>Insertion!N144</f>
        <v>0</v>
      </c>
      <c r="T644" s="2">
        <f t="shared" si="22"/>
        <v>0</v>
      </c>
      <c r="U644" s="10" t="str">
        <f>IF($S644=0, "", IF(COUNTIF(Table1[Amino Acid Change], $S644)=0, "Missing", "Y"))</f>
        <v/>
      </c>
      <c r="V644" s="10">
        <f t="shared" si="23"/>
        <v>0</v>
      </c>
    </row>
    <row r="645" spans="9:22" x14ac:dyDescent="0.25">
      <c r="I645" s="2">
        <f>Insertion!A145</f>
        <v>0</v>
      </c>
      <c r="J645" s="2">
        <f>Insertion!B145</f>
        <v>0</v>
      </c>
      <c r="K645" s="2">
        <f>Insertion!C145</f>
        <v>0</v>
      </c>
      <c r="L645" s="2">
        <f>Insertion!D145</f>
        <v>0</v>
      </c>
      <c r="M645" s="2">
        <f>Insertion!E145</f>
        <v>0</v>
      </c>
      <c r="N645" s="2">
        <f>Insertion!G145</f>
        <v>0</v>
      </c>
      <c r="O645" s="2">
        <f>Insertion!H145</f>
        <v>0</v>
      </c>
      <c r="P645" s="2">
        <f>Insertion!I145</f>
        <v>0</v>
      </c>
      <c r="Q645" s="2">
        <f>Insertion!J145</f>
        <v>0</v>
      </c>
      <c r="R645" s="2">
        <f>Insertion!K145</f>
        <v>0</v>
      </c>
      <c r="S645" s="2">
        <f>Insertion!N145</f>
        <v>0</v>
      </c>
      <c r="T645" s="2">
        <f t="shared" si="22"/>
        <v>0</v>
      </c>
      <c r="U645" s="10" t="str">
        <f>IF($S645=0, "", IF(COUNTIF(Table1[Amino Acid Change], $S645)=0, "Missing", "Y"))</f>
        <v/>
      </c>
      <c r="V645" s="10">
        <f t="shared" si="23"/>
        <v>0</v>
      </c>
    </row>
    <row r="646" spans="9:22" x14ac:dyDescent="0.25">
      <c r="I646" s="2">
        <f>Insertion!A146</f>
        <v>0</v>
      </c>
      <c r="J646" s="2">
        <f>Insertion!B146</f>
        <v>0</v>
      </c>
      <c r="K646" s="2">
        <f>Insertion!C146</f>
        <v>0</v>
      </c>
      <c r="L646" s="2">
        <f>Insertion!D146</f>
        <v>0</v>
      </c>
      <c r="M646" s="2">
        <f>Insertion!E146</f>
        <v>0</v>
      </c>
      <c r="N646" s="2">
        <f>Insertion!G146</f>
        <v>0</v>
      </c>
      <c r="O646" s="2">
        <f>Insertion!H146</f>
        <v>0</v>
      </c>
      <c r="P646" s="2">
        <f>Insertion!I146</f>
        <v>0</v>
      </c>
      <c r="Q646" s="2">
        <f>Insertion!J146</f>
        <v>0</v>
      </c>
      <c r="R646" s="2">
        <f>Insertion!K146</f>
        <v>0</v>
      </c>
      <c r="S646" s="2">
        <f>Insertion!N146</f>
        <v>0</v>
      </c>
      <c r="T646" s="2">
        <f t="shared" si="22"/>
        <v>0</v>
      </c>
      <c r="U646" s="10" t="str">
        <f>IF($S646=0, "", IF(COUNTIF(Table1[Amino Acid Change], $S646)=0, "Missing", "Y"))</f>
        <v/>
      </c>
      <c r="V646" s="10">
        <f t="shared" si="23"/>
        <v>0</v>
      </c>
    </row>
    <row r="647" spans="9:22" x14ac:dyDescent="0.25">
      <c r="I647" s="2">
        <f>Insertion!A147</f>
        <v>0</v>
      </c>
      <c r="J647" s="2">
        <f>Insertion!B147</f>
        <v>0</v>
      </c>
      <c r="K647" s="2">
        <f>Insertion!C147</f>
        <v>0</v>
      </c>
      <c r="L647" s="2">
        <f>Insertion!D147</f>
        <v>0</v>
      </c>
      <c r="M647" s="2">
        <f>Insertion!E147</f>
        <v>0</v>
      </c>
      <c r="N647" s="2">
        <f>Insertion!G147</f>
        <v>0</v>
      </c>
      <c r="O647" s="2">
        <f>Insertion!H147</f>
        <v>0</v>
      </c>
      <c r="P647" s="2">
        <f>Insertion!I147</f>
        <v>0</v>
      </c>
      <c r="Q647" s="2">
        <f>Insertion!J147</f>
        <v>0</v>
      </c>
      <c r="R647" s="2">
        <f>Insertion!K147</f>
        <v>0</v>
      </c>
      <c r="S647" s="2">
        <f>Insertion!N147</f>
        <v>0</v>
      </c>
      <c r="T647" s="2">
        <f t="shared" si="22"/>
        <v>0</v>
      </c>
      <c r="U647" s="10" t="str">
        <f>IF($S647=0, "", IF(COUNTIF(Table1[Amino Acid Change], $S647)=0, "Missing", "Y"))</f>
        <v/>
      </c>
      <c r="V647" s="10">
        <f t="shared" si="23"/>
        <v>0</v>
      </c>
    </row>
    <row r="648" spans="9:22" x14ac:dyDescent="0.25">
      <c r="I648" s="2">
        <f>Insertion!A148</f>
        <v>0</v>
      </c>
      <c r="J648" s="2">
        <f>Insertion!B148</f>
        <v>0</v>
      </c>
      <c r="K648" s="2">
        <f>Insertion!C148</f>
        <v>0</v>
      </c>
      <c r="L648" s="2">
        <f>Insertion!D148</f>
        <v>0</v>
      </c>
      <c r="M648" s="2">
        <f>Insertion!E148</f>
        <v>0</v>
      </c>
      <c r="N648" s="2">
        <f>Insertion!G148</f>
        <v>0</v>
      </c>
      <c r="O648" s="2">
        <f>Insertion!H148</f>
        <v>0</v>
      </c>
      <c r="P648" s="2">
        <f>Insertion!I148</f>
        <v>0</v>
      </c>
      <c r="Q648" s="2">
        <f>Insertion!J148</f>
        <v>0</v>
      </c>
      <c r="R648" s="2">
        <f>Insertion!K148</f>
        <v>0</v>
      </c>
      <c r="S648" s="2">
        <f>Insertion!N148</f>
        <v>0</v>
      </c>
      <c r="T648" s="2">
        <f t="shared" si="22"/>
        <v>0</v>
      </c>
      <c r="U648" s="10" t="str">
        <f>IF($S648=0, "", IF(COUNTIF(Table1[Amino Acid Change], $S648)=0, "Missing", "Y"))</f>
        <v/>
      </c>
      <c r="V648" s="10">
        <f t="shared" si="23"/>
        <v>0</v>
      </c>
    </row>
    <row r="649" spans="9:22" x14ac:dyDescent="0.25">
      <c r="I649" s="2">
        <f>Insertion!A149</f>
        <v>0</v>
      </c>
      <c r="J649" s="2">
        <f>Insertion!B149</f>
        <v>0</v>
      </c>
      <c r="K649" s="2">
        <f>Insertion!C149</f>
        <v>0</v>
      </c>
      <c r="L649" s="2">
        <f>Insertion!D149</f>
        <v>0</v>
      </c>
      <c r="M649" s="2">
        <f>Insertion!E149</f>
        <v>0</v>
      </c>
      <c r="N649" s="2">
        <f>Insertion!G149</f>
        <v>0</v>
      </c>
      <c r="O649" s="2">
        <f>Insertion!H149</f>
        <v>0</v>
      </c>
      <c r="P649" s="2">
        <f>Insertion!I149</f>
        <v>0</v>
      </c>
      <c r="Q649" s="2">
        <f>Insertion!J149</f>
        <v>0</v>
      </c>
      <c r="R649" s="2">
        <f>Insertion!K149</f>
        <v>0</v>
      </c>
      <c r="S649" s="2">
        <f>Insertion!N149</f>
        <v>0</v>
      </c>
      <c r="T649" s="2">
        <f t="shared" si="22"/>
        <v>0</v>
      </c>
      <c r="U649" s="10" t="str">
        <f>IF($S649=0, "", IF(COUNTIF(Table1[Amino Acid Change], $S649)=0, "Missing", "Y"))</f>
        <v/>
      </c>
      <c r="V649" s="10">
        <f t="shared" si="23"/>
        <v>0</v>
      </c>
    </row>
    <row r="650" spans="9:22" x14ac:dyDescent="0.25">
      <c r="I650" s="2">
        <f>Insertion!A150</f>
        <v>0</v>
      </c>
      <c r="J650" s="2">
        <f>Insertion!B150</f>
        <v>0</v>
      </c>
      <c r="K650" s="2">
        <f>Insertion!C150</f>
        <v>0</v>
      </c>
      <c r="L650" s="2">
        <f>Insertion!D150</f>
        <v>0</v>
      </c>
      <c r="M650" s="2">
        <f>Insertion!E150</f>
        <v>0</v>
      </c>
      <c r="N650" s="2">
        <f>Insertion!G150</f>
        <v>0</v>
      </c>
      <c r="O650" s="2">
        <f>Insertion!H150</f>
        <v>0</v>
      </c>
      <c r="P650" s="2">
        <f>Insertion!I150</f>
        <v>0</v>
      </c>
      <c r="Q650" s="2">
        <f>Insertion!J150</f>
        <v>0</v>
      </c>
      <c r="R650" s="2">
        <f>Insertion!K150</f>
        <v>0</v>
      </c>
      <c r="S650" s="2">
        <f>Insertion!N150</f>
        <v>0</v>
      </c>
      <c r="T650" s="2">
        <f t="shared" si="22"/>
        <v>0</v>
      </c>
      <c r="U650" s="10" t="str">
        <f>IF($S650=0, "", IF(COUNTIF(Table1[Amino Acid Change], $S650)=0, "Missing", "Y"))</f>
        <v/>
      </c>
      <c r="V650" s="10">
        <f t="shared" si="23"/>
        <v>0</v>
      </c>
    </row>
    <row r="651" spans="9:22" x14ac:dyDescent="0.25">
      <c r="I651" s="2">
        <f>Insertion!A151</f>
        <v>0</v>
      </c>
      <c r="J651" s="2">
        <f>Insertion!B151</f>
        <v>0</v>
      </c>
      <c r="K651" s="2">
        <f>Insertion!C151</f>
        <v>0</v>
      </c>
      <c r="L651" s="2">
        <f>Insertion!D151</f>
        <v>0</v>
      </c>
      <c r="M651" s="2">
        <f>Insertion!E151</f>
        <v>0</v>
      </c>
      <c r="N651" s="2">
        <f>Insertion!G151</f>
        <v>0</v>
      </c>
      <c r="O651" s="2">
        <f>Insertion!H151</f>
        <v>0</v>
      </c>
      <c r="P651" s="2">
        <f>Insertion!I151</f>
        <v>0</v>
      </c>
      <c r="Q651" s="2">
        <f>Insertion!J151</f>
        <v>0</v>
      </c>
      <c r="R651" s="2">
        <f>Insertion!K151</f>
        <v>0</v>
      </c>
      <c r="S651" s="2">
        <f>Insertion!N151</f>
        <v>0</v>
      </c>
      <c r="T651" s="2">
        <f t="shared" si="22"/>
        <v>0</v>
      </c>
      <c r="U651" s="10" t="str">
        <f>IF($S651=0, "", IF(COUNTIF(Table1[Amino Acid Change], $S651)=0, "Missing", "Y"))</f>
        <v/>
      </c>
      <c r="V651" s="10">
        <f t="shared" si="23"/>
        <v>0</v>
      </c>
    </row>
    <row r="652" spans="9:22" x14ac:dyDescent="0.25">
      <c r="I652" s="2">
        <f>Insertion!A152</f>
        <v>0</v>
      </c>
      <c r="J652" s="2">
        <f>Insertion!B152</f>
        <v>0</v>
      </c>
      <c r="K652" s="2">
        <f>Insertion!C152</f>
        <v>0</v>
      </c>
      <c r="L652" s="2">
        <f>Insertion!D152</f>
        <v>0</v>
      </c>
      <c r="M652" s="2">
        <f>Insertion!E152</f>
        <v>0</v>
      </c>
      <c r="N652" s="2">
        <f>Insertion!G152</f>
        <v>0</v>
      </c>
      <c r="O652" s="2">
        <f>Insertion!H152</f>
        <v>0</v>
      </c>
      <c r="P652" s="2">
        <f>Insertion!I152</f>
        <v>0</v>
      </c>
      <c r="Q652" s="2">
        <f>Insertion!J152</f>
        <v>0</v>
      </c>
      <c r="R652" s="2">
        <f>Insertion!K152</f>
        <v>0</v>
      </c>
      <c r="S652" s="2">
        <f>Insertion!N152</f>
        <v>0</v>
      </c>
      <c r="T652" s="2">
        <f t="shared" si="22"/>
        <v>0</v>
      </c>
      <c r="U652" s="10" t="str">
        <f>IF($S652=0, "", IF(COUNTIF(Table1[Amino Acid Change], $S652)=0, "Missing", "Y"))</f>
        <v/>
      </c>
      <c r="V652" s="10">
        <f t="shared" si="23"/>
        <v>0</v>
      </c>
    </row>
    <row r="653" spans="9:22" x14ac:dyDescent="0.25">
      <c r="I653" s="2">
        <f>Insertion!A153</f>
        <v>0</v>
      </c>
      <c r="J653" s="2">
        <f>Insertion!B153</f>
        <v>0</v>
      </c>
      <c r="K653" s="2">
        <f>Insertion!C153</f>
        <v>0</v>
      </c>
      <c r="L653" s="2">
        <f>Insertion!D153</f>
        <v>0</v>
      </c>
      <c r="M653" s="2">
        <f>Insertion!E153</f>
        <v>0</v>
      </c>
      <c r="N653" s="2">
        <f>Insertion!G153</f>
        <v>0</v>
      </c>
      <c r="O653" s="2">
        <f>Insertion!H153</f>
        <v>0</v>
      </c>
      <c r="P653" s="2">
        <f>Insertion!I153</f>
        <v>0</v>
      </c>
      <c r="Q653" s="2">
        <f>Insertion!J153</f>
        <v>0</v>
      </c>
      <c r="R653" s="2">
        <f>Insertion!K153</f>
        <v>0</v>
      </c>
      <c r="S653" s="2">
        <f>Insertion!N153</f>
        <v>0</v>
      </c>
      <c r="T653" s="2">
        <f t="shared" si="22"/>
        <v>0</v>
      </c>
      <c r="U653" s="10" t="str">
        <f>IF($S653=0, "", IF(COUNTIF(Table1[Amino Acid Change], $S653)=0, "Missing", "Y"))</f>
        <v/>
      </c>
      <c r="V653" s="10">
        <f t="shared" si="23"/>
        <v>0</v>
      </c>
    </row>
    <row r="654" spans="9:22" x14ac:dyDescent="0.25">
      <c r="I654" s="2">
        <f>Insertion!A154</f>
        <v>0</v>
      </c>
      <c r="J654" s="2">
        <f>Insertion!B154</f>
        <v>0</v>
      </c>
      <c r="K654" s="2">
        <f>Insertion!C154</f>
        <v>0</v>
      </c>
      <c r="L654" s="2">
        <f>Insertion!D154</f>
        <v>0</v>
      </c>
      <c r="M654" s="2">
        <f>Insertion!E154</f>
        <v>0</v>
      </c>
      <c r="N654" s="2">
        <f>Insertion!G154</f>
        <v>0</v>
      </c>
      <c r="O654" s="2">
        <f>Insertion!H154</f>
        <v>0</v>
      </c>
      <c r="P654" s="2">
        <f>Insertion!I154</f>
        <v>0</v>
      </c>
      <c r="Q654" s="2">
        <f>Insertion!J154</f>
        <v>0</v>
      </c>
      <c r="R654" s="2">
        <f>Insertion!K154</f>
        <v>0</v>
      </c>
      <c r="S654" s="2">
        <f>Insertion!N154</f>
        <v>0</v>
      </c>
      <c r="T654" s="2">
        <f t="shared" si="22"/>
        <v>0</v>
      </c>
      <c r="U654" s="10" t="str">
        <f>IF($S654=0, "", IF(COUNTIF(Table1[Amino Acid Change], $S654)=0, "Missing", "Y"))</f>
        <v/>
      </c>
      <c r="V654" s="10">
        <f t="shared" si="23"/>
        <v>0</v>
      </c>
    </row>
    <row r="655" spans="9:22" x14ac:dyDescent="0.25">
      <c r="I655" s="2">
        <f>Insertion!A155</f>
        <v>0</v>
      </c>
      <c r="J655" s="2">
        <f>Insertion!B155</f>
        <v>0</v>
      </c>
      <c r="K655" s="2">
        <f>Insertion!C155</f>
        <v>0</v>
      </c>
      <c r="L655" s="2">
        <f>Insertion!D155</f>
        <v>0</v>
      </c>
      <c r="M655" s="2">
        <f>Insertion!E155</f>
        <v>0</v>
      </c>
      <c r="N655" s="2">
        <f>Insertion!G155</f>
        <v>0</v>
      </c>
      <c r="O655" s="2">
        <f>Insertion!H155</f>
        <v>0</v>
      </c>
      <c r="P655" s="2">
        <f>Insertion!I155</f>
        <v>0</v>
      </c>
      <c r="Q655" s="2">
        <f>Insertion!J155</f>
        <v>0</v>
      </c>
      <c r="R655" s="2">
        <f>Insertion!K155</f>
        <v>0</v>
      </c>
      <c r="S655" s="2">
        <f>Insertion!N155</f>
        <v>0</v>
      </c>
      <c r="T655" s="2">
        <f t="shared" si="22"/>
        <v>0</v>
      </c>
      <c r="U655" s="10" t="str">
        <f>IF($S655=0, "", IF(COUNTIF(Table1[Amino Acid Change], $S655)=0, "Missing", "Y"))</f>
        <v/>
      </c>
      <c r="V655" s="10">
        <f t="shared" si="23"/>
        <v>0</v>
      </c>
    </row>
    <row r="656" spans="9:22" x14ac:dyDescent="0.25">
      <c r="I656" s="2">
        <f>Insertion!A156</f>
        <v>0</v>
      </c>
      <c r="J656" s="2">
        <f>Insertion!B156</f>
        <v>0</v>
      </c>
      <c r="K656" s="2">
        <f>Insertion!C156</f>
        <v>0</v>
      </c>
      <c r="L656" s="2">
        <f>Insertion!D156</f>
        <v>0</v>
      </c>
      <c r="M656" s="2">
        <f>Insertion!E156</f>
        <v>0</v>
      </c>
      <c r="N656" s="2">
        <f>Insertion!G156</f>
        <v>0</v>
      </c>
      <c r="O656" s="2">
        <f>Insertion!H156</f>
        <v>0</v>
      </c>
      <c r="P656" s="2">
        <f>Insertion!I156</f>
        <v>0</v>
      </c>
      <c r="Q656" s="2">
        <f>Insertion!J156</f>
        <v>0</v>
      </c>
      <c r="R656" s="2">
        <f>Insertion!K156</f>
        <v>0</v>
      </c>
      <c r="S656" s="2">
        <f>Insertion!N156</f>
        <v>0</v>
      </c>
      <c r="T656" s="2">
        <f t="shared" si="22"/>
        <v>0</v>
      </c>
      <c r="U656" s="10" t="str">
        <f>IF($S656=0, "", IF(COUNTIF(Table1[Amino Acid Change], $S656)=0, "Missing", "Y"))</f>
        <v/>
      </c>
      <c r="V656" s="10">
        <f t="shared" si="23"/>
        <v>0</v>
      </c>
    </row>
    <row r="657" spans="9:22" x14ac:dyDescent="0.25">
      <c r="I657" s="2">
        <f>Insertion!A157</f>
        <v>0</v>
      </c>
      <c r="J657" s="2">
        <f>Insertion!B157</f>
        <v>0</v>
      </c>
      <c r="K657" s="2">
        <f>Insertion!C157</f>
        <v>0</v>
      </c>
      <c r="L657" s="2">
        <f>Insertion!D157</f>
        <v>0</v>
      </c>
      <c r="M657" s="2">
        <f>Insertion!E157</f>
        <v>0</v>
      </c>
      <c r="N657" s="2">
        <f>Insertion!G157</f>
        <v>0</v>
      </c>
      <c r="O657" s="2">
        <f>Insertion!H157</f>
        <v>0</v>
      </c>
      <c r="P657" s="2">
        <f>Insertion!I157</f>
        <v>0</v>
      </c>
      <c r="Q657" s="2">
        <f>Insertion!J157</f>
        <v>0</v>
      </c>
      <c r="R657" s="2">
        <f>Insertion!K157</f>
        <v>0</v>
      </c>
      <c r="S657" s="2">
        <f>Insertion!N157</f>
        <v>0</v>
      </c>
      <c r="T657" s="2">
        <f t="shared" si="22"/>
        <v>0</v>
      </c>
      <c r="U657" s="10" t="str">
        <f>IF($S657=0, "", IF(COUNTIF(Table1[Amino Acid Change], $S657)=0, "Missing", "Y"))</f>
        <v/>
      </c>
      <c r="V657" s="10">
        <f t="shared" si="23"/>
        <v>0</v>
      </c>
    </row>
    <row r="658" spans="9:22" x14ac:dyDescent="0.25">
      <c r="I658" s="2">
        <f>Insertion!A158</f>
        <v>0</v>
      </c>
      <c r="J658" s="2">
        <f>Insertion!B158</f>
        <v>0</v>
      </c>
      <c r="K658" s="2">
        <f>Insertion!C158</f>
        <v>0</v>
      </c>
      <c r="L658" s="2">
        <f>Insertion!D158</f>
        <v>0</v>
      </c>
      <c r="M658" s="2">
        <f>Insertion!E158</f>
        <v>0</v>
      </c>
      <c r="N658" s="2">
        <f>Insertion!G158</f>
        <v>0</v>
      </c>
      <c r="O658" s="2">
        <f>Insertion!H158</f>
        <v>0</v>
      </c>
      <c r="P658" s="2">
        <f>Insertion!I158</f>
        <v>0</v>
      </c>
      <c r="Q658" s="2">
        <f>Insertion!J158</f>
        <v>0</v>
      </c>
      <c r="R658" s="2">
        <f>Insertion!K158</f>
        <v>0</v>
      </c>
      <c r="S658" s="2">
        <f>Insertion!N158</f>
        <v>0</v>
      </c>
      <c r="T658" s="2">
        <f t="shared" si="22"/>
        <v>0</v>
      </c>
      <c r="U658" s="10" t="str">
        <f>IF($S658=0, "", IF(COUNTIF(Table1[Amino Acid Change], $S658)=0, "Missing", "Y"))</f>
        <v/>
      </c>
      <c r="V658" s="10">
        <f t="shared" si="23"/>
        <v>0</v>
      </c>
    </row>
    <row r="659" spans="9:22" x14ac:dyDescent="0.25">
      <c r="I659" s="2">
        <f>Insertion!A159</f>
        <v>0</v>
      </c>
      <c r="J659" s="2">
        <f>Insertion!B159</f>
        <v>0</v>
      </c>
      <c r="K659" s="2">
        <f>Insertion!C159</f>
        <v>0</v>
      </c>
      <c r="L659" s="2">
        <f>Insertion!D159</f>
        <v>0</v>
      </c>
      <c r="M659" s="2">
        <f>Insertion!E159</f>
        <v>0</v>
      </c>
      <c r="N659" s="2">
        <f>Insertion!G159</f>
        <v>0</v>
      </c>
      <c r="O659" s="2">
        <f>Insertion!H159</f>
        <v>0</v>
      </c>
      <c r="P659" s="2">
        <f>Insertion!I159</f>
        <v>0</v>
      </c>
      <c r="Q659" s="2">
        <f>Insertion!J159</f>
        <v>0</v>
      </c>
      <c r="R659" s="2">
        <f>Insertion!K159</f>
        <v>0</v>
      </c>
      <c r="S659" s="2">
        <f>Insertion!N159</f>
        <v>0</v>
      </c>
      <c r="T659" s="2">
        <f t="shared" si="22"/>
        <v>0</v>
      </c>
      <c r="U659" s="10" t="str">
        <f>IF($S659=0, "", IF(COUNTIF(Table1[Amino Acid Change], $S659)=0, "Missing", "Y"))</f>
        <v/>
      </c>
      <c r="V659" s="10">
        <f t="shared" si="23"/>
        <v>0</v>
      </c>
    </row>
    <row r="660" spans="9:22" x14ac:dyDescent="0.25">
      <c r="I660" s="2">
        <f>Insertion!A160</f>
        <v>0</v>
      </c>
      <c r="J660" s="2">
        <f>Insertion!B160</f>
        <v>0</v>
      </c>
      <c r="K660" s="2">
        <f>Insertion!C160</f>
        <v>0</v>
      </c>
      <c r="L660" s="2">
        <f>Insertion!D160</f>
        <v>0</v>
      </c>
      <c r="M660" s="2">
        <f>Insertion!E160</f>
        <v>0</v>
      </c>
      <c r="N660" s="2">
        <f>Insertion!G160</f>
        <v>0</v>
      </c>
      <c r="O660" s="2">
        <f>Insertion!H160</f>
        <v>0</v>
      </c>
      <c r="P660" s="2">
        <f>Insertion!I160</f>
        <v>0</v>
      </c>
      <c r="Q660" s="2">
        <f>Insertion!J160</f>
        <v>0</v>
      </c>
      <c r="R660" s="2">
        <f>Insertion!K160</f>
        <v>0</v>
      </c>
      <c r="S660" s="2">
        <f>Insertion!N160</f>
        <v>0</v>
      </c>
      <c r="T660" s="2">
        <f t="shared" si="22"/>
        <v>0</v>
      </c>
      <c r="U660" s="10" t="str">
        <f>IF($S660=0, "", IF(COUNTIF(Table1[Amino Acid Change], $S660)=0, "Missing", "Y"))</f>
        <v/>
      </c>
      <c r="V660" s="10">
        <f t="shared" si="23"/>
        <v>0</v>
      </c>
    </row>
    <row r="661" spans="9:22" x14ac:dyDescent="0.25">
      <c r="I661" s="2">
        <f>Insertion!A161</f>
        <v>0</v>
      </c>
      <c r="J661" s="2">
        <f>Insertion!B161</f>
        <v>0</v>
      </c>
      <c r="K661" s="2">
        <f>Insertion!C161</f>
        <v>0</v>
      </c>
      <c r="L661" s="2">
        <f>Insertion!D161</f>
        <v>0</v>
      </c>
      <c r="M661" s="2">
        <f>Insertion!E161</f>
        <v>0</v>
      </c>
      <c r="N661" s="2">
        <f>Insertion!G161</f>
        <v>0</v>
      </c>
      <c r="O661" s="2">
        <f>Insertion!H161</f>
        <v>0</v>
      </c>
      <c r="P661" s="2">
        <f>Insertion!I161</f>
        <v>0</v>
      </c>
      <c r="Q661" s="2">
        <f>Insertion!J161</f>
        <v>0</v>
      </c>
      <c r="R661" s="2">
        <f>Insertion!K161</f>
        <v>0</v>
      </c>
      <c r="S661" s="2">
        <f>Insertion!N161</f>
        <v>0</v>
      </c>
      <c r="T661" s="2">
        <f t="shared" si="22"/>
        <v>0</v>
      </c>
      <c r="U661" s="10" t="str">
        <f>IF($S661=0, "", IF(COUNTIF(Table1[Amino Acid Change], $S661)=0, "Missing", "Y"))</f>
        <v/>
      </c>
      <c r="V661" s="10">
        <f t="shared" si="23"/>
        <v>0</v>
      </c>
    </row>
    <row r="662" spans="9:22" x14ac:dyDescent="0.25">
      <c r="I662" s="2">
        <f>Insertion!A162</f>
        <v>0</v>
      </c>
      <c r="J662" s="2">
        <f>Insertion!B162</f>
        <v>0</v>
      </c>
      <c r="K662" s="2">
        <f>Insertion!C162</f>
        <v>0</v>
      </c>
      <c r="L662" s="2">
        <f>Insertion!D162</f>
        <v>0</v>
      </c>
      <c r="M662" s="2">
        <f>Insertion!E162</f>
        <v>0</v>
      </c>
      <c r="N662" s="2">
        <f>Insertion!G162</f>
        <v>0</v>
      </c>
      <c r="O662" s="2">
        <f>Insertion!H162</f>
        <v>0</v>
      </c>
      <c r="P662" s="2">
        <f>Insertion!I162</f>
        <v>0</v>
      </c>
      <c r="Q662" s="2">
        <f>Insertion!J162</f>
        <v>0</v>
      </c>
      <c r="R662" s="2">
        <f>Insertion!K162</f>
        <v>0</v>
      </c>
      <c r="S662" s="2">
        <f>Insertion!N162</f>
        <v>0</v>
      </c>
      <c r="T662" s="2">
        <f t="shared" si="22"/>
        <v>0</v>
      </c>
      <c r="U662" s="10" t="str">
        <f>IF($S662=0, "", IF(COUNTIF(Table1[Amino Acid Change], $S662)=0, "Missing", "Y"))</f>
        <v/>
      </c>
      <c r="V662" s="10">
        <f t="shared" si="23"/>
        <v>0</v>
      </c>
    </row>
    <row r="663" spans="9:22" x14ac:dyDescent="0.25">
      <c r="I663" s="2">
        <f>Insertion!A163</f>
        <v>0</v>
      </c>
      <c r="J663" s="2">
        <f>Insertion!B163</f>
        <v>0</v>
      </c>
      <c r="K663" s="2">
        <f>Insertion!C163</f>
        <v>0</v>
      </c>
      <c r="L663" s="2">
        <f>Insertion!D163</f>
        <v>0</v>
      </c>
      <c r="M663" s="2">
        <f>Insertion!E163</f>
        <v>0</v>
      </c>
      <c r="N663" s="2">
        <f>Insertion!G163</f>
        <v>0</v>
      </c>
      <c r="O663" s="2">
        <f>Insertion!H163</f>
        <v>0</v>
      </c>
      <c r="P663" s="2">
        <f>Insertion!I163</f>
        <v>0</v>
      </c>
      <c r="Q663" s="2">
        <f>Insertion!J163</f>
        <v>0</v>
      </c>
      <c r="R663" s="2">
        <f>Insertion!K163</f>
        <v>0</v>
      </c>
      <c r="S663" s="2">
        <f>Insertion!N163</f>
        <v>0</v>
      </c>
      <c r="T663" s="2">
        <f t="shared" si="22"/>
        <v>0</v>
      </c>
      <c r="U663" s="10" t="str">
        <f>IF($S663=0, "", IF(COUNTIF(Table1[Amino Acid Change], $S663)=0, "Missing", "Y"))</f>
        <v/>
      </c>
      <c r="V663" s="10">
        <f t="shared" si="23"/>
        <v>0</v>
      </c>
    </row>
    <row r="664" spans="9:22" x14ac:dyDescent="0.25">
      <c r="I664" s="2">
        <f>Insertion!A164</f>
        <v>0</v>
      </c>
      <c r="J664" s="2">
        <f>Insertion!B164</f>
        <v>0</v>
      </c>
      <c r="K664" s="2">
        <f>Insertion!C164</f>
        <v>0</v>
      </c>
      <c r="L664" s="2">
        <f>Insertion!D164</f>
        <v>0</v>
      </c>
      <c r="M664" s="2">
        <f>Insertion!E164</f>
        <v>0</v>
      </c>
      <c r="N664" s="2">
        <f>Insertion!G164</f>
        <v>0</v>
      </c>
      <c r="O664" s="2">
        <f>Insertion!H164</f>
        <v>0</v>
      </c>
      <c r="P664" s="2">
        <f>Insertion!I164</f>
        <v>0</v>
      </c>
      <c r="Q664" s="2">
        <f>Insertion!J164</f>
        <v>0</v>
      </c>
      <c r="R664" s="2">
        <f>Insertion!K164</f>
        <v>0</v>
      </c>
      <c r="S664" s="2">
        <f>Insertion!N164</f>
        <v>0</v>
      </c>
      <c r="T664" s="2">
        <f t="shared" si="22"/>
        <v>0</v>
      </c>
      <c r="U664" s="10" t="str">
        <f>IF($S664=0, "", IF(COUNTIF(Table1[Amino Acid Change], $S664)=0, "Missing", "Y"))</f>
        <v/>
      </c>
      <c r="V664" s="10">
        <f t="shared" si="23"/>
        <v>0</v>
      </c>
    </row>
    <row r="665" spans="9:22" x14ac:dyDescent="0.25">
      <c r="I665" s="2">
        <f>Insertion!A165</f>
        <v>0</v>
      </c>
      <c r="J665" s="2">
        <f>Insertion!B165</f>
        <v>0</v>
      </c>
      <c r="K665" s="2">
        <f>Insertion!C165</f>
        <v>0</v>
      </c>
      <c r="L665" s="2">
        <f>Insertion!D165</f>
        <v>0</v>
      </c>
      <c r="M665" s="2">
        <f>Insertion!E165</f>
        <v>0</v>
      </c>
      <c r="N665" s="2">
        <f>Insertion!G165</f>
        <v>0</v>
      </c>
      <c r="O665" s="2">
        <f>Insertion!H165</f>
        <v>0</v>
      </c>
      <c r="P665" s="2">
        <f>Insertion!I165</f>
        <v>0</v>
      </c>
      <c r="Q665" s="2">
        <f>Insertion!J165</f>
        <v>0</v>
      </c>
      <c r="R665" s="2">
        <f>Insertion!K165</f>
        <v>0</v>
      </c>
      <c r="S665" s="2">
        <f>Insertion!N165</f>
        <v>0</v>
      </c>
      <c r="T665" s="2">
        <f t="shared" si="22"/>
        <v>0</v>
      </c>
      <c r="U665" s="10" t="str">
        <f>IF($S665=0, "", IF(COUNTIF(Table1[Amino Acid Change], $S665)=0, "Missing", "Y"))</f>
        <v/>
      </c>
      <c r="V665" s="10">
        <f t="shared" si="23"/>
        <v>0</v>
      </c>
    </row>
    <row r="666" spans="9:22" x14ac:dyDescent="0.25">
      <c r="I666" s="2">
        <f>Insertion!A166</f>
        <v>0</v>
      </c>
      <c r="J666" s="2">
        <f>Insertion!B166</f>
        <v>0</v>
      </c>
      <c r="K666" s="2">
        <f>Insertion!C166</f>
        <v>0</v>
      </c>
      <c r="L666" s="2">
        <f>Insertion!D166</f>
        <v>0</v>
      </c>
      <c r="M666" s="2">
        <f>Insertion!E166</f>
        <v>0</v>
      </c>
      <c r="N666" s="2">
        <f>Insertion!G166</f>
        <v>0</v>
      </c>
      <c r="O666" s="2">
        <f>Insertion!H166</f>
        <v>0</v>
      </c>
      <c r="P666" s="2">
        <f>Insertion!I166</f>
        <v>0</v>
      </c>
      <c r="Q666" s="2">
        <f>Insertion!J166</f>
        <v>0</v>
      </c>
      <c r="R666" s="2">
        <f>Insertion!K166</f>
        <v>0</v>
      </c>
      <c r="S666" s="2">
        <f>Insertion!N166</f>
        <v>0</v>
      </c>
      <c r="T666" s="2">
        <f t="shared" si="22"/>
        <v>0</v>
      </c>
      <c r="U666" s="10" t="str">
        <f>IF($S666=0, "", IF(COUNTIF(Table1[Amino Acid Change], $S666)=0, "Missing", "Y"))</f>
        <v/>
      </c>
      <c r="V666" s="10">
        <f t="shared" si="23"/>
        <v>0</v>
      </c>
    </row>
    <row r="667" spans="9:22" x14ac:dyDescent="0.25">
      <c r="I667" s="2">
        <f>Insertion!A167</f>
        <v>0</v>
      </c>
      <c r="J667" s="2">
        <f>Insertion!B167</f>
        <v>0</v>
      </c>
      <c r="K667" s="2">
        <f>Insertion!C167</f>
        <v>0</v>
      </c>
      <c r="L667" s="2">
        <f>Insertion!D167</f>
        <v>0</v>
      </c>
      <c r="M667" s="2">
        <f>Insertion!E167</f>
        <v>0</v>
      </c>
      <c r="N667" s="2">
        <f>Insertion!G167</f>
        <v>0</v>
      </c>
      <c r="O667" s="2">
        <f>Insertion!H167</f>
        <v>0</v>
      </c>
      <c r="P667" s="2">
        <f>Insertion!I167</f>
        <v>0</v>
      </c>
      <c r="Q667" s="2">
        <f>Insertion!J167</f>
        <v>0</v>
      </c>
      <c r="R667" s="2">
        <f>Insertion!K167</f>
        <v>0</v>
      </c>
      <c r="S667" s="2">
        <f>Insertion!N167</f>
        <v>0</v>
      </c>
      <c r="T667" s="2">
        <f t="shared" si="22"/>
        <v>0</v>
      </c>
      <c r="U667" s="10" t="str">
        <f>IF($S667=0, "", IF(COUNTIF(Table1[Amino Acid Change], $S667)=0, "Missing", "Y"))</f>
        <v/>
      </c>
      <c r="V667" s="10">
        <f t="shared" si="23"/>
        <v>0</v>
      </c>
    </row>
    <row r="668" spans="9:22" x14ac:dyDescent="0.25">
      <c r="I668" s="2">
        <f>Insertion!A168</f>
        <v>0</v>
      </c>
      <c r="J668" s="2">
        <f>Insertion!B168</f>
        <v>0</v>
      </c>
      <c r="K668" s="2">
        <f>Insertion!C168</f>
        <v>0</v>
      </c>
      <c r="L668" s="2">
        <f>Insertion!D168</f>
        <v>0</v>
      </c>
      <c r="M668" s="2">
        <f>Insertion!E168</f>
        <v>0</v>
      </c>
      <c r="N668" s="2">
        <f>Insertion!G168</f>
        <v>0</v>
      </c>
      <c r="O668" s="2">
        <f>Insertion!H168</f>
        <v>0</v>
      </c>
      <c r="P668" s="2">
        <f>Insertion!I168</f>
        <v>0</v>
      </c>
      <c r="Q668" s="2">
        <f>Insertion!J168</f>
        <v>0</v>
      </c>
      <c r="R668" s="2">
        <f>Insertion!K168</f>
        <v>0</v>
      </c>
      <c r="S668" s="2">
        <f>Insertion!N168</f>
        <v>0</v>
      </c>
      <c r="T668" s="2">
        <f t="shared" si="22"/>
        <v>0</v>
      </c>
      <c r="U668" s="10" t="str">
        <f>IF($S668=0, "", IF(COUNTIF(Table1[Amino Acid Change], $S668)=0, "Missing", "Y"))</f>
        <v/>
      </c>
      <c r="V668" s="10">
        <f t="shared" si="23"/>
        <v>0</v>
      </c>
    </row>
    <row r="669" spans="9:22" x14ac:dyDescent="0.25">
      <c r="I669" s="2">
        <f>Insertion!A169</f>
        <v>0</v>
      </c>
      <c r="J669" s="2">
        <f>Insertion!B169</f>
        <v>0</v>
      </c>
      <c r="K669" s="2">
        <f>Insertion!C169</f>
        <v>0</v>
      </c>
      <c r="L669" s="2">
        <f>Insertion!D169</f>
        <v>0</v>
      </c>
      <c r="M669" s="2">
        <f>Insertion!E169</f>
        <v>0</v>
      </c>
      <c r="N669" s="2">
        <f>Insertion!G169</f>
        <v>0</v>
      </c>
      <c r="O669" s="2">
        <f>Insertion!H169</f>
        <v>0</v>
      </c>
      <c r="P669" s="2">
        <f>Insertion!I169</f>
        <v>0</v>
      </c>
      <c r="Q669" s="2">
        <f>Insertion!J169</f>
        <v>0</v>
      </c>
      <c r="R669" s="2">
        <f>Insertion!K169</f>
        <v>0</v>
      </c>
      <c r="S669" s="2">
        <f>Insertion!N169</f>
        <v>0</v>
      </c>
      <c r="T669" s="2">
        <f t="shared" si="22"/>
        <v>0</v>
      </c>
      <c r="U669" s="10" t="str">
        <f>IF($S669=0, "", IF(COUNTIF(Table1[Amino Acid Change], $S669)=0, "Missing", "Y"))</f>
        <v/>
      </c>
      <c r="V669" s="10">
        <f t="shared" si="23"/>
        <v>0</v>
      </c>
    </row>
    <row r="670" spans="9:22" x14ac:dyDescent="0.25">
      <c r="I670" s="2">
        <f>Insertion!A170</f>
        <v>0</v>
      </c>
      <c r="J670" s="2">
        <f>Insertion!B170</f>
        <v>0</v>
      </c>
      <c r="K670" s="2">
        <f>Insertion!C170</f>
        <v>0</v>
      </c>
      <c r="L670" s="2">
        <f>Insertion!D170</f>
        <v>0</v>
      </c>
      <c r="M670" s="2">
        <f>Insertion!E170</f>
        <v>0</v>
      </c>
      <c r="N670" s="2">
        <f>Insertion!G170</f>
        <v>0</v>
      </c>
      <c r="O670" s="2">
        <f>Insertion!H170</f>
        <v>0</v>
      </c>
      <c r="P670" s="2">
        <f>Insertion!I170</f>
        <v>0</v>
      </c>
      <c r="Q670" s="2">
        <f>Insertion!J170</f>
        <v>0</v>
      </c>
      <c r="R670" s="2">
        <f>Insertion!K170</f>
        <v>0</v>
      </c>
      <c r="S670" s="2">
        <f>Insertion!N170</f>
        <v>0</v>
      </c>
      <c r="T670" s="2">
        <f t="shared" si="22"/>
        <v>0</v>
      </c>
      <c r="U670" s="10" t="str">
        <f>IF($S670=0, "", IF(COUNTIF(Table1[Amino Acid Change], $S670)=0, "Missing", "Y"))</f>
        <v/>
      </c>
      <c r="V670" s="10">
        <f t="shared" si="23"/>
        <v>0</v>
      </c>
    </row>
    <row r="671" spans="9:22" x14ac:dyDescent="0.25">
      <c r="I671" s="2">
        <f>Insertion!A171</f>
        <v>0</v>
      </c>
      <c r="J671" s="2">
        <f>Insertion!B171</f>
        <v>0</v>
      </c>
      <c r="K671" s="2">
        <f>Insertion!C171</f>
        <v>0</v>
      </c>
      <c r="L671" s="2">
        <f>Insertion!D171</f>
        <v>0</v>
      </c>
      <c r="M671" s="2">
        <f>Insertion!E171</f>
        <v>0</v>
      </c>
      <c r="N671" s="2">
        <f>Insertion!G171</f>
        <v>0</v>
      </c>
      <c r="O671" s="2">
        <f>Insertion!H171</f>
        <v>0</v>
      </c>
      <c r="P671" s="2">
        <f>Insertion!I171</f>
        <v>0</v>
      </c>
      <c r="Q671" s="2">
        <f>Insertion!J171</f>
        <v>0</v>
      </c>
      <c r="R671" s="2">
        <f>Insertion!K171</f>
        <v>0</v>
      </c>
      <c r="S671" s="2">
        <f>Insertion!N171</f>
        <v>0</v>
      </c>
      <c r="T671" s="2">
        <f t="shared" si="22"/>
        <v>0</v>
      </c>
      <c r="U671" s="10" t="str">
        <f>IF($S671=0, "", IF(COUNTIF(Table1[Amino Acid Change], $S671)=0, "Missing", "Y"))</f>
        <v/>
      </c>
      <c r="V671" s="10">
        <f t="shared" si="23"/>
        <v>0</v>
      </c>
    </row>
    <row r="672" spans="9:22" x14ac:dyDescent="0.25">
      <c r="I672" s="2">
        <f>Insertion!A172</f>
        <v>0</v>
      </c>
      <c r="J672" s="2">
        <f>Insertion!B172</f>
        <v>0</v>
      </c>
      <c r="K672" s="2">
        <f>Insertion!C172</f>
        <v>0</v>
      </c>
      <c r="L672" s="2">
        <f>Insertion!D172</f>
        <v>0</v>
      </c>
      <c r="M672" s="2">
        <f>Insertion!E172</f>
        <v>0</v>
      </c>
      <c r="N672" s="2">
        <f>Insertion!G172</f>
        <v>0</v>
      </c>
      <c r="O672" s="2">
        <f>Insertion!H172</f>
        <v>0</v>
      </c>
      <c r="P672" s="2">
        <f>Insertion!I172</f>
        <v>0</v>
      </c>
      <c r="Q672" s="2">
        <f>Insertion!J172</f>
        <v>0</v>
      </c>
      <c r="R672" s="2">
        <f>Insertion!K172</f>
        <v>0</v>
      </c>
      <c r="S672" s="2">
        <f>Insertion!N172</f>
        <v>0</v>
      </c>
      <c r="T672" s="2">
        <f t="shared" si="22"/>
        <v>0</v>
      </c>
      <c r="U672" s="10" t="str">
        <f>IF($S672=0, "", IF(COUNTIF(Table1[Amino Acid Change], $S672)=0, "Missing", "Y"))</f>
        <v/>
      </c>
      <c r="V672" s="10">
        <f t="shared" si="23"/>
        <v>0</v>
      </c>
    </row>
    <row r="673" spans="9:22" x14ac:dyDescent="0.25">
      <c r="I673" s="2">
        <f>Insertion!A173</f>
        <v>0</v>
      </c>
      <c r="J673" s="2">
        <f>Insertion!B173</f>
        <v>0</v>
      </c>
      <c r="K673" s="2">
        <f>Insertion!C173</f>
        <v>0</v>
      </c>
      <c r="L673" s="2">
        <f>Insertion!D173</f>
        <v>0</v>
      </c>
      <c r="M673" s="2">
        <f>Insertion!E173</f>
        <v>0</v>
      </c>
      <c r="N673" s="2">
        <f>Insertion!G173</f>
        <v>0</v>
      </c>
      <c r="O673" s="2">
        <f>Insertion!H173</f>
        <v>0</v>
      </c>
      <c r="P673" s="2">
        <f>Insertion!I173</f>
        <v>0</v>
      </c>
      <c r="Q673" s="2">
        <f>Insertion!J173</f>
        <v>0</v>
      </c>
      <c r="R673" s="2">
        <f>Insertion!K173</f>
        <v>0</v>
      </c>
      <c r="S673" s="2">
        <f>Insertion!N173</f>
        <v>0</v>
      </c>
      <c r="T673" s="2">
        <f t="shared" si="22"/>
        <v>0</v>
      </c>
      <c r="U673" s="10" t="str">
        <f>IF($S673=0, "", IF(COUNTIF(Table1[Amino Acid Change], $S673)=0, "Missing", "Y"))</f>
        <v/>
      </c>
      <c r="V673" s="10">
        <f t="shared" si="23"/>
        <v>0</v>
      </c>
    </row>
    <row r="674" spans="9:22" x14ac:dyDescent="0.25">
      <c r="I674" s="2">
        <f>Insertion!A174</f>
        <v>0</v>
      </c>
      <c r="J674" s="2">
        <f>Insertion!B174</f>
        <v>0</v>
      </c>
      <c r="K674" s="2">
        <f>Insertion!C174</f>
        <v>0</v>
      </c>
      <c r="L674" s="2">
        <f>Insertion!D174</f>
        <v>0</v>
      </c>
      <c r="M674" s="2">
        <f>Insertion!E174</f>
        <v>0</v>
      </c>
      <c r="N674" s="2">
        <f>Insertion!G174</f>
        <v>0</v>
      </c>
      <c r="O674" s="2">
        <f>Insertion!H174</f>
        <v>0</v>
      </c>
      <c r="P674" s="2">
        <f>Insertion!I174</f>
        <v>0</v>
      </c>
      <c r="Q674" s="2">
        <f>Insertion!J174</f>
        <v>0</v>
      </c>
      <c r="R674" s="2">
        <f>Insertion!K174</f>
        <v>0</v>
      </c>
      <c r="S674" s="2">
        <f>Insertion!N174</f>
        <v>0</v>
      </c>
      <c r="T674" s="2">
        <f t="shared" si="22"/>
        <v>0</v>
      </c>
      <c r="U674" s="10" t="str">
        <f>IF($S674=0, "", IF(COUNTIF(Table1[Amino Acid Change], $S674)=0, "Missing", "Y"))</f>
        <v/>
      </c>
      <c r="V674" s="10">
        <f t="shared" si="23"/>
        <v>0</v>
      </c>
    </row>
    <row r="675" spans="9:22" x14ac:dyDescent="0.25">
      <c r="I675" s="2">
        <f>Insertion!A175</f>
        <v>0</v>
      </c>
      <c r="J675" s="2">
        <f>Insertion!B175</f>
        <v>0</v>
      </c>
      <c r="K675" s="2">
        <f>Insertion!C175</f>
        <v>0</v>
      </c>
      <c r="L675" s="2">
        <f>Insertion!D175</f>
        <v>0</v>
      </c>
      <c r="M675" s="2">
        <f>Insertion!E175</f>
        <v>0</v>
      </c>
      <c r="N675" s="2">
        <f>Insertion!G175</f>
        <v>0</v>
      </c>
      <c r="O675" s="2">
        <f>Insertion!H175</f>
        <v>0</v>
      </c>
      <c r="P675" s="2">
        <f>Insertion!I175</f>
        <v>0</v>
      </c>
      <c r="Q675" s="2">
        <f>Insertion!J175</f>
        <v>0</v>
      </c>
      <c r="R675" s="2">
        <f>Insertion!K175</f>
        <v>0</v>
      </c>
      <c r="S675" s="2">
        <f>Insertion!N175</f>
        <v>0</v>
      </c>
      <c r="T675" s="2">
        <f t="shared" si="22"/>
        <v>0</v>
      </c>
      <c r="U675" s="10" t="str">
        <f>IF($S675=0, "", IF(COUNTIF(Table1[Amino Acid Change], $S675)=0, "Missing", "Y"))</f>
        <v/>
      </c>
      <c r="V675" s="10">
        <f t="shared" si="23"/>
        <v>0</v>
      </c>
    </row>
    <row r="676" spans="9:22" x14ac:dyDescent="0.25">
      <c r="I676" s="2">
        <f>Insertion!A176</f>
        <v>0</v>
      </c>
      <c r="J676" s="2">
        <f>Insertion!B176</f>
        <v>0</v>
      </c>
      <c r="K676" s="2">
        <f>Insertion!C176</f>
        <v>0</v>
      </c>
      <c r="L676" s="2">
        <f>Insertion!D176</f>
        <v>0</v>
      </c>
      <c r="M676" s="2">
        <f>Insertion!E176</f>
        <v>0</v>
      </c>
      <c r="N676" s="2">
        <f>Insertion!G176</f>
        <v>0</v>
      </c>
      <c r="O676" s="2">
        <f>Insertion!H176</f>
        <v>0</v>
      </c>
      <c r="P676" s="2">
        <f>Insertion!I176</f>
        <v>0</v>
      </c>
      <c r="Q676" s="2">
        <f>Insertion!J176</f>
        <v>0</v>
      </c>
      <c r="R676" s="2">
        <f>Insertion!K176</f>
        <v>0</v>
      </c>
      <c r="S676" s="2">
        <f>Insertion!N176</f>
        <v>0</v>
      </c>
      <c r="T676" s="2">
        <f t="shared" si="22"/>
        <v>0</v>
      </c>
      <c r="U676" s="10" t="str">
        <f>IF($S676=0, "", IF(COUNTIF(Table1[Amino Acid Change], $S676)=0, "Missing", "Y"))</f>
        <v/>
      </c>
      <c r="V676" s="10">
        <f t="shared" si="23"/>
        <v>0</v>
      </c>
    </row>
    <row r="677" spans="9:22" x14ac:dyDescent="0.25">
      <c r="I677" s="2">
        <f>Insertion!A177</f>
        <v>0</v>
      </c>
      <c r="J677" s="2">
        <f>Insertion!B177</f>
        <v>0</v>
      </c>
      <c r="K677" s="2">
        <f>Insertion!C177</f>
        <v>0</v>
      </c>
      <c r="L677" s="2">
        <f>Insertion!D177</f>
        <v>0</v>
      </c>
      <c r="M677" s="2">
        <f>Insertion!E177</f>
        <v>0</v>
      </c>
      <c r="N677" s="2">
        <f>Insertion!G177</f>
        <v>0</v>
      </c>
      <c r="O677" s="2">
        <f>Insertion!H177</f>
        <v>0</v>
      </c>
      <c r="P677" s="2">
        <f>Insertion!I177</f>
        <v>0</v>
      </c>
      <c r="Q677" s="2">
        <f>Insertion!J177</f>
        <v>0</v>
      </c>
      <c r="R677" s="2">
        <f>Insertion!K177</f>
        <v>0</v>
      </c>
      <c r="S677" s="2">
        <f>Insertion!N177</f>
        <v>0</v>
      </c>
      <c r="T677" s="2">
        <f t="shared" si="22"/>
        <v>0</v>
      </c>
      <c r="U677" s="10" t="str">
        <f>IF($S677=0, "", IF(COUNTIF(Table1[Amino Acid Change], $S677)=0, "Missing", "Y"))</f>
        <v/>
      </c>
      <c r="V677" s="10">
        <f t="shared" si="23"/>
        <v>0</v>
      </c>
    </row>
    <row r="678" spans="9:22" x14ac:dyDescent="0.25">
      <c r="I678" s="2">
        <f>Insertion!A178</f>
        <v>0</v>
      </c>
      <c r="J678" s="2">
        <f>Insertion!B178</f>
        <v>0</v>
      </c>
      <c r="K678" s="2">
        <f>Insertion!C178</f>
        <v>0</v>
      </c>
      <c r="L678" s="2">
        <f>Insertion!D178</f>
        <v>0</v>
      </c>
      <c r="M678" s="2">
        <f>Insertion!E178</f>
        <v>0</v>
      </c>
      <c r="N678" s="2">
        <f>Insertion!G178</f>
        <v>0</v>
      </c>
      <c r="O678" s="2">
        <f>Insertion!H178</f>
        <v>0</v>
      </c>
      <c r="P678" s="2">
        <f>Insertion!I178</f>
        <v>0</v>
      </c>
      <c r="Q678" s="2">
        <f>Insertion!J178</f>
        <v>0</v>
      </c>
      <c r="R678" s="2">
        <f>Insertion!K178</f>
        <v>0</v>
      </c>
      <c r="S678" s="2">
        <f>Insertion!N178</f>
        <v>0</v>
      </c>
      <c r="T678" s="2">
        <f t="shared" si="22"/>
        <v>0</v>
      </c>
      <c r="U678" s="10" t="str">
        <f>IF($S678=0, "", IF(COUNTIF(Table1[Amino Acid Change], $S678)=0, "Missing", "Y"))</f>
        <v/>
      </c>
      <c r="V678" s="10">
        <f t="shared" si="23"/>
        <v>0</v>
      </c>
    </row>
    <row r="679" spans="9:22" x14ac:dyDescent="0.25">
      <c r="I679" s="2">
        <f>Insertion!A179</f>
        <v>0</v>
      </c>
      <c r="J679" s="2">
        <f>Insertion!B179</f>
        <v>0</v>
      </c>
      <c r="K679" s="2">
        <f>Insertion!C179</f>
        <v>0</v>
      </c>
      <c r="L679" s="2">
        <f>Insertion!D179</f>
        <v>0</v>
      </c>
      <c r="M679" s="2">
        <f>Insertion!E179</f>
        <v>0</v>
      </c>
      <c r="N679" s="2">
        <f>Insertion!G179</f>
        <v>0</v>
      </c>
      <c r="O679" s="2">
        <f>Insertion!H179</f>
        <v>0</v>
      </c>
      <c r="P679" s="2">
        <f>Insertion!I179</f>
        <v>0</v>
      </c>
      <c r="Q679" s="2">
        <f>Insertion!J179</f>
        <v>0</v>
      </c>
      <c r="R679" s="2">
        <f>Insertion!K179</f>
        <v>0</v>
      </c>
      <c r="S679" s="2">
        <f>Insertion!N179</f>
        <v>0</v>
      </c>
      <c r="T679" s="2">
        <f t="shared" si="22"/>
        <v>0</v>
      </c>
      <c r="U679" s="10" t="str">
        <f>IF($S679=0, "", IF(COUNTIF(Table1[Amino Acid Change], $S679)=0, "Missing", "Y"))</f>
        <v/>
      </c>
      <c r="V679" s="10">
        <f t="shared" si="23"/>
        <v>0</v>
      </c>
    </row>
    <row r="680" spans="9:22" x14ac:dyDescent="0.25">
      <c r="I680" s="2">
        <f>Insertion!A180</f>
        <v>0</v>
      </c>
      <c r="J680" s="2">
        <f>Insertion!B180</f>
        <v>0</v>
      </c>
      <c r="K680" s="2">
        <f>Insertion!C180</f>
        <v>0</v>
      </c>
      <c r="L680" s="2">
        <f>Insertion!D180</f>
        <v>0</v>
      </c>
      <c r="M680" s="2">
        <f>Insertion!E180</f>
        <v>0</v>
      </c>
      <c r="N680" s="2">
        <f>Insertion!G180</f>
        <v>0</v>
      </c>
      <c r="O680" s="2">
        <f>Insertion!H180</f>
        <v>0</v>
      </c>
      <c r="P680" s="2">
        <f>Insertion!I180</f>
        <v>0</v>
      </c>
      <c r="Q680" s="2">
        <f>Insertion!J180</f>
        <v>0</v>
      </c>
      <c r="R680" s="2">
        <f>Insertion!K180</f>
        <v>0</v>
      </c>
      <c r="S680" s="2">
        <f>Insertion!N180</f>
        <v>0</v>
      </c>
      <c r="T680" s="2">
        <f t="shared" si="22"/>
        <v>0</v>
      </c>
      <c r="U680" s="10" t="str">
        <f>IF($S680=0, "", IF(COUNTIF(Table1[Amino Acid Change], $S680)=0, "Missing", "Y"))</f>
        <v/>
      </c>
      <c r="V680" s="10">
        <f t="shared" si="23"/>
        <v>0</v>
      </c>
    </row>
    <row r="681" spans="9:22" x14ac:dyDescent="0.25">
      <c r="I681" s="2">
        <f>Insertion!A181</f>
        <v>0</v>
      </c>
      <c r="J681" s="2">
        <f>Insertion!B181</f>
        <v>0</v>
      </c>
      <c r="K681" s="2">
        <f>Insertion!C181</f>
        <v>0</v>
      </c>
      <c r="L681" s="2">
        <f>Insertion!D181</f>
        <v>0</v>
      </c>
      <c r="M681" s="2">
        <f>Insertion!E181</f>
        <v>0</v>
      </c>
      <c r="N681" s="2">
        <f>Insertion!G181</f>
        <v>0</v>
      </c>
      <c r="O681" s="2">
        <f>Insertion!H181</f>
        <v>0</v>
      </c>
      <c r="P681" s="2">
        <f>Insertion!I181</f>
        <v>0</v>
      </c>
      <c r="Q681" s="2">
        <f>Insertion!J181</f>
        <v>0</v>
      </c>
      <c r="R681" s="2">
        <f>Insertion!K181</f>
        <v>0</v>
      </c>
      <c r="S681" s="2">
        <f>Insertion!N181</f>
        <v>0</v>
      </c>
      <c r="T681" s="2">
        <f t="shared" si="22"/>
        <v>0</v>
      </c>
      <c r="U681" s="10" t="str">
        <f>IF($S681=0, "", IF(COUNTIF(Table1[Amino Acid Change], $S681)=0, "Missing", "Y"))</f>
        <v/>
      </c>
      <c r="V681" s="10">
        <f t="shared" si="23"/>
        <v>0</v>
      </c>
    </row>
    <row r="682" spans="9:22" x14ac:dyDescent="0.25">
      <c r="I682" s="2">
        <f>Insertion!A182</f>
        <v>0</v>
      </c>
      <c r="J682" s="2">
        <f>Insertion!B182</f>
        <v>0</v>
      </c>
      <c r="K682" s="2">
        <f>Insertion!C182</f>
        <v>0</v>
      </c>
      <c r="L682" s="2">
        <f>Insertion!D182</f>
        <v>0</v>
      </c>
      <c r="M682" s="2">
        <f>Insertion!E182</f>
        <v>0</v>
      </c>
      <c r="N682" s="2">
        <f>Insertion!G182</f>
        <v>0</v>
      </c>
      <c r="O682" s="2">
        <f>Insertion!H182</f>
        <v>0</v>
      </c>
      <c r="P682" s="2">
        <f>Insertion!I182</f>
        <v>0</v>
      </c>
      <c r="Q682" s="2">
        <f>Insertion!J182</f>
        <v>0</v>
      </c>
      <c r="R682" s="2">
        <f>Insertion!K182</f>
        <v>0</v>
      </c>
      <c r="S682" s="2">
        <f>Insertion!N182</f>
        <v>0</v>
      </c>
      <c r="T682" s="2">
        <f t="shared" si="22"/>
        <v>0</v>
      </c>
      <c r="U682" s="10" t="str">
        <f>IF($S682=0, "", IF(COUNTIF(Table1[Amino Acid Change], $S682)=0, "Missing", "Y"))</f>
        <v/>
      </c>
      <c r="V682" s="10">
        <f t="shared" si="23"/>
        <v>0</v>
      </c>
    </row>
    <row r="683" spans="9:22" x14ac:dyDescent="0.25">
      <c r="I683" s="2">
        <f>Insertion!A183</f>
        <v>0</v>
      </c>
      <c r="J683" s="2">
        <f>Insertion!B183</f>
        <v>0</v>
      </c>
      <c r="K683" s="2">
        <f>Insertion!C183</f>
        <v>0</v>
      </c>
      <c r="L683" s="2">
        <f>Insertion!D183</f>
        <v>0</v>
      </c>
      <c r="M683" s="2">
        <f>Insertion!E183</f>
        <v>0</v>
      </c>
      <c r="N683" s="2">
        <f>Insertion!G183</f>
        <v>0</v>
      </c>
      <c r="O683" s="2">
        <f>Insertion!H183</f>
        <v>0</v>
      </c>
      <c r="P683" s="2">
        <f>Insertion!I183</f>
        <v>0</v>
      </c>
      <c r="Q683" s="2">
        <f>Insertion!J183</f>
        <v>0</v>
      </c>
      <c r="R683" s="2">
        <f>Insertion!K183</f>
        <v>0</v>
      </c>
      <c r="S683" s="2">
        <f>Insertion!N183</f>
        <v>0</v>
      </c>
      <c r="T683" s="2">
        <f t="shared" si="22"/>
        <v>0</v>
      </c>
      <c r="U683" s="10" t="str">
        <f>IF($S683=0, "", IF(COUNTIF(Table1[Amino Acid Change], $S683)=0, "Missing", "Y"))</f>
        <v/>
      </c>
      <c r="V683" s="10">
        <f t="shared" si="23"/>
        <v>0</v>
      </c>
    </row>
    <row r="684" spans="9:22" x14ac:dyDescent="0.25">
      <c r="I684" s="2">
        <f>Insertion!A184</f>
        <v>0</v>
      </c>
      <c r="J684" s="2">
        <f>Insertion!B184</f>
        <v>0</v>
      </c>
      <c r="K684" s="2">
        <f>Insertion!C184</f>
        <v>0</v>
      </c>
      <c r="L684" s="2">
        <f>Insertion!D184</f>
        <v>0</v>
      </c>
      <c r="M684" s="2">
        <f>Insertion!E184</f>
        <v>0</v>
      </c>
      <c r="N684" s="2">
        <f>Insertion!G184</f>
        <v>0</v>
      </c>
      <c r="O684" s="2">
        <f>Insertion!H184</f>
        <v>0</v>
      </c>
      <c r="P684" s="2">
        <f>Insertion!I184</f>
        <v>0</v>
      </c>
      <c r="Q684" s="2">
        <f>Insertion!J184</f>
        <v>0</v>
      </c>
      <c r="R684" s="2">
        <f>Insertion!K184</f>
        <v>0</v>
      </c>
      <c r="S684" s="2">
        <f>Insertion!N184</f>
        <v>0</v>
      </c>
      <c r="T684" s="2">
        <f t="shared" si="22"/>
        <v>0</v>
      </c>
      <c r="U684" s="10" t="str">
        <f>IF($S684=0, "", IF(COUNTIF(Table1[Amino Acid Change], $S684)=0, "Missing", "Y"))</f>
        <v/>
      </c>
      <c r="V684" s="10">
        <f t="shared" si="23"/>
        <v>0</v>
      </c>
    </row>
    <row r="685" spans="9:22" x14ac:dyDescent="0.25">
      <c r="I685" s="2">
        <f>Insertion!A185</f>
        <v>0</v>
      </c>
      <c r="J685" s="2">
        <f>Insertion!B185</f>
        <v>0</v>
      </c>
      <c r="K685" s="2">
        <f>Insertion!C185</f>
        <v>0</v>
      </c>
      <c r="L685" s="2">
        <f>Insertion!D185</f>
        <v>0</v>
      </c>
      <c r="M685" s="2">
        <f>Insertion!E185</f>
        <v>0</v>
      </c>
      <c r="N685" s="2">
        <f>Insertion!G185</f>
        <v>0</v>
      </c>
      <c r="O685" s="2">
        <f>Insertion!H185</f>
        <v>0</v>
      </c>
      <c r="P685" s="2">
        <f>Insertion!I185</f>
        <v>0</v>
      </c>
      <c r="Q685" s="2">
        <f>Insertion!J185</f>
        <v>0</v>
      </c>
      <c r="R685" s="2">
        <f>Insertion!K185</f>
        <v>0</v>
      </c>
      <c r="S685" s="2">
        <f>Insertion!N185</f>
        <v>0</v>
      </c>
      <c r="T685" s="2">
        <f t="shared" si="22"/>
        <v>0</v>
      </c>
      <c r="U685" s="10" t="str">
        <f>IF($S685=0, "", IF(COUNTIF(Table1[Amino Acid Change], $S685)=0, "Missing", "Y"))</f>
        <v/>
      </c>
      <c r="V685" s="10">
        <f t="shared" si="23"/>
        <v>0</v>
      </c>
    </row>
    <row r="686" spans="9:22" x14ac:dyDescent="0.25">
      <c r="I686" s="2">
        <f>Insertion!A186</f>
        <v>0</v>
      </c>
      <c r="J686" s="2">
        <f>Insertion!B186</f>
        <v>0</v>
      </c>
      <c r="K686" s="2">
        <f>Insertion!C186</f>
        <v>0</v>
      </c>
      <c r="L686" s="2">
        <f>Insertion!D186</f>
        <v>0</v>
      </c>
      <c r="M686" s="2">
        <f>Insertion!E186</f>
        <v>0</v>
      </c>
      <c r="N686" s="2">
        <f>Insertion!G186</f>
        <v>0</v>
      </c>
      <c r="O686" s="2">
        <f>Insertion!H186</f>
        <v>0</v>
      </c>
      <c r="P686" s="2">
        <f>Insertion!I186</f>
        <v>0</v>
      </c>
      <c r="Q686" s="2">
        <f>Insertion!J186</f>
        <v>0</v>
      </c>
      <c r="R686" s="2">
        <f>Insertion!K186</f>
        <v>0</v>
      </c>
      <c r="S686" s="2">
        <f>Insertion!N186</f>
        <v>0</v>
      </c>
      <c r="T686" s="2">
        <f t="shared" si="22"/>
        <v>0</v>
      </c>
      <c r="U686" s="10" t="str">
        <f>IF($S686=0, "", IF(COUNTIF(Table1[Amino Acid Change], $S686)=0, "Missing", "Y"))</f>
        <v/>
      </c>
      <c r="V686" s="10">
        <f t="shared" si="23"/>
        <v>0</v>
      </c>
    </row>
    <row r="687" spans="9:22" x14ac:dyDescent="0.25">
      <c r="I687" s="2">
        <f>Insertion!A187</f>
        <v>0</v>
      </c>
      <c r="J687" s="2">
        <f>Insertion!B187</f>
        <v>0</v>
      </c>
      <c r="K687" s="2">
        <f>Insertion!C187</f>
        <v>0</v>
      </c>
      <c r="L687" s="2">
        <f>Insertion!D187</f>
        <v>0</v>
      </c>
      <c r="M687" s="2">
        <f>Insertion!E187</f>
        <v>0</v>
      </c>
      <c r="N687" s="2">
        <f>Insertion!G187</f>
        <v>0</v>
      </c>
      <c r="O687" s="2">
        <f>Insertion!H187</f>
        <v>0</v>
      </c>
      <c r="P687" s="2">
        <f>Insertion!I187</f>
        <v>0</v>
      </c>
      <c r="Q687" s="2">
        <f>Insertion!J187</f>
        <v>0</v>
      </c>
      <c r="R687" s="2">
        <f>Insertion!K187</f>
        <v>0</v>
      </c>
      <c r="S687" s="2">
        <f>Insertion!N187</f>
        <v>0</v>
      </c>
      <c r="T687" s="2">
        <f t="shared" si="22"/>
        <v>0</v>
      </c>
      <c r="U687" s="10" t="str">
        <f>IF($S687=0, "", IF(COUNTIF(Table1[Amino Acid Change], $S687)=0, "Missing", "Y"))</f>
        <v/>
      </c>
      <c r="V687" s="10">
        <f t="shared" si="23"/>
        <v>0</v>
      </c>
    </row>
    <row r="688" spans="9:22" x14ac:dyDescent="0.25">
      <c r="I688" s="2">
        <f>Insertion!A188</f>
        <v>0</v>
      </c>
      <c r="J688" s="2">
        <f>Insertion!B188</f>
        <v>0</v>
      </c>
      <c r="K688" s="2">
        <f>Insertion!C188</f>
        <v>0</v>
      </c>
      <c r="L688" s="2">
        <f>Insertion!D188</f>
        <v>0</v>
      </c>
      <c r="M688" s="2">
        <f>Insertion!E188</f>
        <v>0</v>
      </c>
      <c r="N688" s="2">
        <f>Insertion!G188</f>
        <v>0</v>
      </c>
      <c r="O688" s="2">
        <f>Insertion!H188</f>
        <v>0</v>
      </c>
      <c r="P688" s="2">
        <f>Insertion!I188</f>
        <v>0</v>
      </c>
      <c r="Q688" s="2">
        <f>Insertion!J188</f>
        <v>0</v>
      </c>
      <c r="R688" s="2">
        <f>Insertion!K188</f>
        <v>0</v>
      </c>
      <c r="S688" s="2">
        <f>Insertion!N188</f>
        <v>0</v>
      </c>
      <c r="T688" s="2">
        <f t="shared" si="22"/>
        <v>0</v>
      </c>
      <c r="U688" s="10" t="str">
        <f>IF($S688=0, "", IF(COUNTIF(Table1[Amino Acid Change], $S688)=0, "Missing", "Y"))</f>
        <v/>
      </c>
      <c r="V688" s="10">
        <f t="shared" si="23"/>
        <v>0</v>
      </c>
    </row>
    <row r="689" spans="9:23" x14ac:dyDescent="0.25">
      <c r="I689" s="2">
        <f>Insertion!A189</f>
        <v>0</v>
      </c>
      <c r="J689" s="2">
        <f>Insertion!B189</f>
        <v>0</v>
      </c>
      <c r="K689" s="2">
        <f>Insertion!C189</f>
        <v>0</v>
      </c>
      <c r="L689" s="2">
        <f>Insertion!D189</f>
        <v>0</v>
      </c>
      <c r="M689" s="2">
        <f>Insertion!E189</f>
        <v>0</v>
      </c>
      <c r="N689" s="2">
        <f>Insertion!G189</f>
        <v>0</v>
      </c>
      <c r="O689" s="2">
        <f>Insertion!H189</f>
        <v>0</v>
      </c>
      <c r="P689" s="2">
        <f>Insertion!I189</f>
        <v>0</v>
      </c>
      <c r="Q689" s="2">
        <f>Insertion!J189</f>
        <v>0</v>
      </c>
      <c r="R689" s="2">
        <f>Insertion!K189</f>
        <v>0</v>
      </c>
      <c r="S689" s="2">
        <f>Insertion!N189</f>
        <v>0</v>
      </c>
      <c r="T689" s="2">
        <f t="shared" si="22"/>
        <v>0</v>
      </c>
      <c r="U689" s="10" t="str">
        <f>IF($S689=0, "", IF(COUNTIF(Table1[Amino Acid Change], $S689)=0, "Missing", "Y"))</f>
        <v/>
      </c>
      <c r="V689" s="10">
        <f t="shared" si="23"/>
        <v>0</v>
      </c>
    </row>
    <row r="690" spans="9:23" x14ac:dyDescent="0.25">
      <c r="I690" s="2">
        <f>Insertion!A190</f>
        <v>0</v>
      </c>
      <c r="J690" s="2">
        <f>Insertion!B190</f>
        <v>0</v>
      </c>
      <c r="K690" s="2">
        <f>Insertion!C190</f>
        <v>0</v>
      </c>
      <c r="L690" s="2">
        <f>Insertion!D190</f>
        <v>0</v>
      </c>
      <c r="M690" s="2">
        <f>Insertion!E190</f>
        <v>0</v>
      </c>
      <c r="N690" s="2">
        <f>Insertion!G190</f>
        <v>0</v>
      </c>
      <c r="O690" s="2">
        <f>Insertion!H190</f>
        <v>0</v>
      </c>
      <c r="P690" s="2">
        <f>Insertion!I190</f>
        <v>0</v>
      </c>
      <c r="Q690" s="2">
        <f>Insertion!J190</f>
        <v>0</v>
      </c>
      <c r="R690" s="2">
        <f>Insertion!K190</f>
        <v>0</v>
      </c>
      <c r="S690" s="2">
        <f>Insertion!N190</f>
        <v>0</v>
      </c>
      <c r="T690" s="2">
        <f t="shared" si="22"/>
        <v>0</v>
      </c>
      <c r="U690" s="10" t="str">
        <f>IF($S690=0, "", IF(COUNTIF(Table1[Amino Acid Change], $S690)=0, "Missing", "Y"))</f>
        <v/>
      </c>
      <c r="V690" s="10">
        <f t="shared" si="23"/>
        <v>0</v>
      </c>
    </row>
    <row r="691" spans="9:23" x14ac:dyDescent="0.25">
      <c r="I691" s="2">
        <f>Insertion!A191</f>
        <v>0</v>
      </c>
      <c r="J691" s="2">
        <f>Insertion!B191</f>
        <v>0</v>
      </c>
      <c r="K691" s="2">
        <f>Insertion!C191</f>
        <v>0</v>
      </c>
      <c r="L691" s="2">
        <f>Insertion!D191</f>
        <v>0</v>
      </c>
      <c r="M691" s="2">
        <f>Insertion!E191</f>
        <v>0</v>
      </c>
      <c r="N691" s="2">
        <f>Insertion!G191</f>
        <v>0</v>
      </c>
      <c r="O691" s="2">
        <f>Insertion!H191</f>
        <v>0</v>
      </c>
      <c r="P691" s="2">
        <f>Insertion!I191</f>
        <v>0</v>
      </c>
      <c r="Q691" s="2">
        <f>Insertion!J191</f>
        <v>0</v>
      </c>
      <c r="R691" s="2">
        <f>Insertion!K191</f>
        <v>0</v>
      </c>
      <c r="S691" s="2">
        <f>Insertion!N191</f>
        <v>0</v>
      </c>
      <c r="T691" s="2">
        <f t="shared" si="22"/>
        <v>0</v>
      </c>
      <c r="U691" s="10" t="str">
        <f>IF($S691=0, "", IF(COUNTIF(Table1[Amino Acid Change], $S691)=0, "Missing", "Y"))</f>
        <v/>
      </c>
      <c r="V691" s="10">
        <f t="shared" si="23"/>
        <v>0</v>
      </c>
    </row>
    <row r="692" spans="9:23" x14ac:dyDescent="0.25">
      <c r="I692" s="2">
        <f>Insertion!A192</f>
        <v>0</v>
      </c>
      <c r="J692" s="2">
        <f>Insertion!B192</f>
        <v>0</v>
      </c>
      <c r="K692" s="2">
        <f>Insertion!C192</f>
        <v>0</v>
      </c>
      <c r="L692" s="2">
        <f>Insertion!D192</f>
        <v>0</v>
      </c>
      <c r="M692" s="2">
        <f>Insertion!E192</f>
        <v>0</v>
      </c>
      <c r="N692" s="2">
        <f>Insertion!G192</f>
        <v>0</v>
      </c>
      <c r="O692" s="2">
        <f>Insertion!H192</f>
        <v>0</v>
      </c>
      <c r="P692" s="2">
        <f>Insertion!I192</f>
        <v>0</v>
      </c>
      <c r="Q692" s="2">
        <f>Insertion!J192</f>
        <v>0</v>
      </c>
      <c r="R692" s="2">
        <f>Insertion!K192</f>
        <v>0</v>
      </c>
      <c r="S692" s="2">
        <f>Insertion!N192</f>
        <v>0</v>
      </c>
      <c r="T692" s="2">
        <f t="shared" si="22"/>
        <v>0</v>
      </c>
      <c r="U692" s="10" t="str">
        <f>IF($S692=0, "", IF(COUNTIF(Table1[Amino Acid Change], $S692)=0, "Missing", "Y"))</f>
        <v/>
      </c>
      <c r="V692" s="10">
        <f t="shared" si="23"/>
        <v>0</v>
      </c>
    </row>
    <row r="693" spans="9:23" x14ac:dyDescent="0.25">
      <c r="I693" s="2">
        <f>Insertion!A193</f>
        <v>0</v>
      </c>
      <c r="J693" s="2">
        <f>Insertion!B193</f>
        <v>0</v>
      </c>
      <c r="K693" s="2">
        <f>Insertion!C193</f>
        <v>0</v>
      </c>
      <c r="L693" s="2">
        <f>Insertion!D193</f>
        <v>0</v>
      </c>
      <c r="M693" s="2">
        <f>Insertion!E193</f>
        <v>0</v>
      </c>
      <c r="N693" s="2">
        <f>Insertion!G193</f>
        <v>0</v>
      </c>
      <c r="O693" s="2">
        <f>Insertion!H193</f>
        <v>0</v>
      </c>
      <c r="P693" s="2">
        <f>Insertion!I193</f>
        <v>0</v>
      </c>
      <c r="Q693" s="2">
        <f>Insertion!J193</f>
        <v>0</v>
      </c>
      <c r="R693" s="2">
        <f>Insertion!K193</f>
        <v>0</v>
      </c>
      <c r="S693" s="2">
        <f>Insertion!N193</f>
        <v>0</v>
      </c>
      <c r="T693" s="2">
        <f t="shared" si="22"/>
        <v>0</v>
      </c>
      <c r="U693" s="10" t="str">
        <f>IF($S693=0, "", IF(COUNTIF(Table1[Amino Acid Change], $S693)=0, "Missing", "Y"))</f>
        <v/>
      </c>
      <c r="V693" s="10">
        <f t="shared" si="23"/>
        <v>0</v>
      </c>
    </row>
    <row r="694" spans="9:23" x14ac:dyDescent="0.25">
      <c r="I694" s="2">
        <f>Insertion!A194</f>
        <v>0</v>
      </c>
      <c r="J694" s="2">
        <f>Insertion!B194</f>
        <v>0</v>
      </c>
      <c r="K694" s="2">
        <f>Insertion!C194</f>
        <v>0</v>
      </c>
      <c r="L694" s="2">
        <f>Insertion!D194</f>
        <v>0</v>
      </c>
      <c r="M694" s="2">
        <f>Insertion!E194</f>
        <v>0</v>
      </c>
      <c r="N694" s="2">
        <f>Insertion!G194</f>
        <v>0</v>
      </c>
      <c r="O694" s="2">
        <f>Insertion!H194</f>
        <v>0</v>
      </c>
      <c r="P694" s="2">
        <f>Insertion!I194</f>
        <v>0</v>
      </c>
      <c r="Q694" s="2">
        <f>Insertion!J194</f>
        <v>0</v>
      </c>
      <c r="R694" s="2">
        <f>Insertion!K194</f>
        <v>0</v>
      </c>
      <c r="S694" s="2">
        <f>Insertion!N194</f>
        <v>0</v>
      </c>
      <c r="T694" s="2">
        <f t="shared" si="22"/>
        <v>0</v>
      </c>
      <c r="U694" s="10" t="str">
        <f>IF($S694=0, "", IF(COUNTIF(Table1[Amino Acid Change], $S694)=0, "Missing", "Y"))</f>
        <v/>
      </c>
      <c r="V694" s="10">
        <f t="shared" si="23"/>
        <v>0</v>
      </c>
    </row>
    <row r="695" spans="9:23" x14ac:dyDescent="0.25">
      <c r="I695" s="2">
        <f>Insertion!A195</f>
        <v>0</v>
      </c>
      <c r="J695" s="2">
        <f>Insertion!B195</f>
        <v>0</v>
      </c>
      <c r="K695" s="2">
        <f>Insertion!C195</f>
        <v>0</v>
      </c>
      <c r="L695" s="2">
        <f>Insertion!D195</f>
        <v>0</v>
      </c>
      <c r="M695" s="2">
        <f>Insertion!E195</f>
        <v>0</v>
      </c>
      <c r="N695" s="2">
        <f>Insertion!G195</f>
        <v>0</v>
      </c>
      <c r="O695" s="2">
        <f>Insertion!H195</f>
        <v>0</v>
      </c>
      <c r="P695" s="2">
        <f>Insertion!I195</f>
        <v>0</v>
      </c>
      <c r="Q695" s="2">
        <f>Insertion!J195</f>
        <v>0</v>
      </c>
      <c r="R695" s="2">
        <f>Insertion!K195</f>
        <v>0</v>
      </c>
      <c r="S695" s="2">
        <f>Insertion!N195</f>
        <v>0</v>
      </c>
      <c r="T695" s="2">
        <f t="shared" ref="T695:T704" si="24">P695</f>
        <v>0</v>
      </c>
      <c r="U695" s="10" t="str">
        <f>IF($S695=0, "", IF(COUNTIF(Table1[Amino Acid Change], $S695)=0, "Missing", "Y"))</f>
        <v/>
      </c>
      <c r="V695" s="10">
        <f t="shared" ref="V695:V704" si="25">J695</f>
        <v>0</v>
      </c>
    </row>
    <row r="696" spans="9:23" x14ac:dyDescent="0.25">
      <c r="I696" s="2">
        <f>Insertion!A196</f>
        <v>0</v>
      </c>
      <c r="J696" s="2">
        <f>Insertion!B196</f>
        <v>0</v>
      </c>
      <c r="K696" s="2">
        <f>Insertion!C196</f>
        <v>0</v>
      </c>
      <c r="L696" s="2">
        <f>Insertion!D196</f>
        <v>0</v>
      </c>
      <c r="M696" s="2">
        <f>Insertion!E196</f>
        <v>0</v>
      </c>
      <c r="N696" s="2">
        <f>Insertion!G196</f>
        <v>0</v>
      </c>
      <c r="O696" s="2">
        <f>Insertion!H196</f>
        <v>0</v>
      </c>
      <c r="P696" s="2">
        <f>Insertion!I196</f>
        <v>0</v>
      </c>
      <c r="Q696" s="2">
        <f>Insertion!J196</f>
        <v>0</v>
      </c>
      <c r="R696" s="2">
        <f>Insertion!K196</f>
        <v>0</v>
      </c>
      <c r="S696" s="2">
        <f>Insertion!N196</f>
        <v>0</v>
      </c>
      <c r="T696" s="2">
        <f t="shared" si="24"/>
        <v>0</v>
      </c>
      <c r="U696" s="10" t="str">
        <f>IF($S696=0, "", IF(COUNTIF(Table1[Amino Acid Change], $S696)=0, "Missing", "Y"))</f>
        <v/>
      </c>
      <c r="V696" s="10">
        <f t="shared" si="25"/>
        <v>0</v>
      </c>
    </row>
    <row r="697" spans="9:23" x14ac:dyDescent="0.25">
      <c r="I697" s="2">
        <f>Insertion!A197</f>
        <v>0</v>
      </c>
      <c r="J697" s="2">
        <f>Insertion!B197</f>
        <v>0</v>
      </c>
      <c r="K697" s="2">
        <f>Insertion!C197</f>
        <v>0</v>
      </c>
      <c r="L697" s="2">
        <f>Insertion!D197</f>
        <v>0</v>
      </c>
      <c r="M697" s="2">
        <f>Insertion!E197</f>
        <v>0</v>
      </c>
      <c r="N697" s="2">
        <f>Insertion!G197</f>
        <v>0</v>
      </c>
      <c r="O697" s="2">
        <f>Insertion!H197</f>
        <v>0</v>
      </c>
      <c r="P697" s="2">
        <f>Insertion!I197</f>
        <v>0</v>
      </c>
      <c r="Q697" s="2">
        <f>Insertion!J197</f>
        <v>0</v>
      </c>
      <c r="R697" s="2">
        <f>Insertion!K197</f>
        <v>0</v>
      </c>
      <c r="S697" s="2">
        <f>Insertion!N197</f>
        <v>0</v>
      </c>
      <c r="T697" s="2">
        <f t="shared" si="24"/>
        <v>0</v>
      </c>
      <c r="U697" s="10" t="str">
        <f>IF($S697=0, "", IF(COUNTIF(Table1[Amino Acid Change], $S697)=0, "Missing", "Y"))</f>
        <v/>
      </c>
      <c r="V697" s="10">
        <f t="shared" si="25"/>
        <v>0</v>
      </c>
    </row>
    <row r="698" spans="9:23" x14ac:dyDescent="0.25">
      <c r="I698" s="2">
        <f>Insertion!A198</f>
        <v>0</v>
      </c>
      <c r="J698" s="2">
        <f>Insertion!B198</f>
        <v>0</v>
      </c>
      <c r="K698" s="2">
        <f>Insertion!C198</f>
        <v>0</v>
      </c>
      <c r="L698" s="2">
        <f>Insertion!D198</f>
        <v>0</v>
      </c>
      <c r="M698" s="2">
        <f>Insertion!E198</f>
        <v>0</v>
      </c>
      <c r="N698" s="2">
        <f>Insertion!G198</f>
        <v>0</v>
      </c>
      <c r="O698" s="2">
        <f>Insertion!H198</f>
        <v>0</v>
      </c>
      <c r="P698" s="2">
        <f>Insertion!I198</f>
        <v>0</v>
      </c>
      <c r="Q698" s="2">
        <f>Insertion!J198</f>
        <v>0</v>
      </c>
      <c r="R698" s="2">
        <f>Insertion!K198</f>
        <v>0</v>
      </c>
      <c r="S698" s="2">
        <f>Insertion!N198</f>
        <v>0</v>
      </c>
      <c r="T698" s="2">
        <f t="shared" si="24"/>
        <v>0</v>
      </c>
      <c r="U698" s="10" t="str">
        <f>IF($S698=0, "", IF(COUNTIF(Table1[Amino Acid Change], $S698)=0, "Missing", "Y"))</f>
        <v/>
      </c>
      <c r="V698" s="10">
        <f t="shared" si="25"/>
        <v>0</v>
      </c>
    </row>
    <row r="699" spans="9:23" x14ac:dyDescent="0.25">
      <c r="I699" s="2">
        <f>Insertion!A199</f>
        <v>0</v>
      </c>
      <c r="J699" s="2">
        <f>Insertion!B199</f>
        <v>0</v>
      </c>
      <c r="K699" s="2">
        <f>Insertion!C199</f>
        <v>0</v>
      </c>
      <c r="L699" s="2">
        <f>Insertion!D199</f>
        <v>0</v>
      </c>
      <c r="M699" s="2">
        <f>Insertion!E199</f>
        <v>0</v>
      </c>
      <c r="N699" s="2">
        <f>Insertion!G199</f>
        <v>0</v>
      </c>
      <c r="O699" s="2">
        <f>Insertion!H199</f>
        <v>0</v>
      </c>
      <c r="P699" s="2">
        <f>Insertion!I199</f>
        <v>0</v>
      </c>
      <c r="Q699" s="2">
        <f>Insertion!J199</f>
        <v>0</v>
      </c>
      <c r="R699" s="2">
        <f>Insertion!K199</f>
        <v>0</v>
      </c>
      <c r="S699" s="2">
        <f>Insertion!N199</f>
        <v>0</v>
      </c>
      <c r="T699" s="2">
        <f t="shared" si="24"/>
        <v>0</v>
      </c>
      <c r="U699" s="10" t="str">
        <f>IF($S699=0, "", IF(COUNTIF(Table1[Amino Acid Change], $S699)=0, "Missing", "Y"))</f>
        <v/>
      </c>
      <c r="V699" s="10">
        <f t="shared" si="25"/>
        <v>0</v>
      </c>
    </row>
    <row r="700" spans="9:23" x14ac:dyDescent="0.25">
      <c r="I700" s="2">
        <f>Insertion!A200</f>
        <v>0</v>
      </c>
      <c r="J700" s="2">
        <f>Insertion!B200</f>
        <v>0</v>
      </c>
      <c r="K700" s="2">
        <f>Insertion!C200</f>
        <v>0</v>
      </c>
      <c r="L700" s="2">
        <f>Insertion!D200</f>
        <v>0</v>
      </c>
      <c r="M700" s="2">
        <f>Insertion!E200</f>
        <v>0</v>
      </c>
      <c r="N700" s="2">
        <f>Insertion!G200</f>
        <v>0</v>
      </c>
      <c r="O700" s="2">
        <f>Insertion!H200</f>
        <v>0</v>
      </c>
      <c r="P700" s="2">
        <f>Insertion!I200</f>
        <v>0</v>
      </c>
      <c r="Q700" s="2">
        <f>Insertion!J200</f>
        <v>0</v>
      </c>
      <c r="R700" s="2">
        <f>Insertion!K200</f>
        <v>0</v>
      </c>
      <c r="S700" s="2">
        <f>Insertion!N200</f>
        <v>0</v>
      </c>
      <c r="T700" s="2">
        <f t="shared" si="24"/>
        <v>0</v>
      </c>
      <c r="U700" s="10" t="str">
        <f>IF($S700=0, "", IF(COUNTIF(Table1[Amino Acid Change], $S700)=0, "Missing", "Y"))</f>
        <v/>
      </c>
      <c r="V700" s="10">
        <f t="shared" si="25"/>
        <v>0</v>
      </c>
    </row>
    <row r="701" spans="9:23" x14ac:dyDescent="0.25">
      <c r="I701" s="2">
        <f>Insertion!A201</f>
        <v>0</v>
      </c>
      <c r="J701" s="2">
        <f>Insertion!B201</f>
        <v>0</v>
      </c>
      <c r="K701" s="2">
        <f>Insertion!C201</f>
        <v>0</v>
      </c>
      <c r="L701" s="2">
        <f>Insertion!D201</f>
        <v>0</v>
      </c>
      <c r="M701" s="2">
        <f>Insertion!E201</f>
        <v>0</v>
      </c>
      <c r="N701" s="2">
        <f>Insertion!G201</f>
        <v>0</v>
      </c>
      <c r="O701" s="2">
        <f>Insertion!H201</f>
        <v>0</v>
      </c>
      <c r="P701" s="2">
        <f>Insertion!I201</f>
        <v>0</v>
      </c>
      <c r="Q701" s="2">
        <f>Insertion!J201</f>
        <v>0</v>
      </c>
      <c r="R701" s="2">
        <f>Insertion!K201</f>
        <v>0</v>
      </c>
      <c r="S701" s="2">
        <f>Insertion!N201</f>
        <v>0</v>
      </c>
      <c r="T701" s="2">
        <f t="shared" si="24"/>
        <v>0</v>
      </c>
      <c r="U701" s="10" t="str">
        <f>IF($S701=0, "", IF(COUNTIF(Table1[Amino Acid Change], $S701)=0, "Missing", "Y"))</f>
        <v/>
      </c>
      <c r="V701" s="10">
        <f t="shared" si="25"/>
        <v>0</v>
      </c>
    </row>
    <row r="702" spans="9:23" x14ac:dyDescent="0.25">
      <c r="I702" s="2">
        <f>Insertion!A202</f>
        <v>0</v>
      </c>
      <c r="J702" s="2">
        <f>Insertion!B202</f>
        <v>0</v>
      </c>
      <c r="K702" s="2">
        <f>Insertion!C202</f>
        <v>0</v>
      </c>
      <c r="L702" s="2">
        <f>Insertion!D202</f>
        <v>0</v>
      </c>
      <c r="M702" s="2">
        <f>Insertion!E202</f>
        <v>0</v>
      </c>
      <c r="N702" s="2">
        <f>Insertion!G202</f>
        <v>0</v>
      </c>
      <c r="O702" s="2">
        <f>Insertion!H202</f>
        <v>0</v>
      </c>
      <c r="P702" s="2">
        <f>Insertion!I202</f>
        <v>0</v>
      </c>
      <c r="Q702" s="2">
        <f>Insertion!J202</f>
        <v>0</v>
      </c>
      <c r="R702" s="2">
        <f>Insertion!K202</f>
        <v>0</v>
      </c>
      <c r="S702" s="2">
        <f>Insertion!N202</f>
        <v>0</v>
      </c>
      <c r="T702" s="2">
        <f t="shared" si="24"/>
        <v>0</v>
      </c>
      <c r="U702" s="10" t="str">
        <f>IF($S702=0, "", IF(COUNTIF(Table1[Amino Acid Change], $S702)=0, "Missing", "Y"))</f>
        <v/>
      </c>
      <c r="V702" s="10">
        <f t="shared" si="25"/>
        <v>0</v>
      </c>
    </row>
    <row r="703" spans="9:23" x14ac:dyDescent="0.25">
      <c r="I703" s="2">
        <f>Insertion!A203</f>
        <v>0</v>
      </c>
      <c r="J703" s="2">
        <f>Insertion!B203</f>
        <v>0</v>
      </c>
      <c r="K703" s="2">
        <f>Insertion!C203</f>
        <v>0</v>
      </c>
      <c r="L703" s="2">
        <f>Insertion!D203</f>
        <v>0</v>
      </c>
      <c r="M703" s="2">
        <f>Insertion!E203</f>
        <v>0</v>
      </c>
      <c r="N703" s="2">
        <f>Insertion!G203</f>
        <v>0</v>
      </c>
      <c r="O703" s="2">
        <f>Insertion!H203</f>
        <v>0</v>
      </c>
      <c r="P703" s="2">
        <f>Insertion!I203</f>
        <v>0</v>
      </c>
      <c r="Q703" s="2">
        <f>Insertion!J203</f>
        <v>0</v>
      </c>
      <c r="R703" s="2">
        <f>Insertion!K203</f>
        <v>0</v>
      </c>
      <c r="S703" s="2">
        <f>Insertion!N203</f>
        <v>0</v>
      </c>
      <c r="T703" s="2">
        <f t="shared" si="24"/>
        <v>0</v>
      </c>
      <c r="U703" s="10" t="str">
        <f>IF($S703=0, "", IF(COUNTIF(Table1[Amino Acid Change], $S703)=0, "Missing", "Y"))</f>
        <v/>
      </c>
      <c r="V703" s="10">
        <f t="shared" si="25"/>
        <v>0</v>
      </c>
    </row>
    <row r="704" spans="9:23" x14ac:dyDescent="0.25">
      <c r="I704" s="2">
        <f>Deletion!A2</f>
        <v>0</v>
      </c>
      <c r="J704" s="2">
        <f>Deletion!B2</f>
        <v>0</v>
      </c>
      <c r="K704" s="2">
        <f>Deletion!C2</f>
        <v>0</v>
      </c>
      <c r="L704" s="2">
        <f>Deletion!D2</f>
        <v>0</v>
      </c>
      <c r="M704" s="2">
        <f>Deletion!E2</f>
        <v>0</v>
      </c>
      <c r="N704" s="2">
        <f>Deletion!G2</f>
        <v>0</v>
      </c>
      <c r="O704" s="2">
        <f>Deletion!H2</f>
        <v>0</v>
      </c>
      <c r="P704" s="2">
        <f>Deletion!I2</f>
        <v>0</v>
      </c>
      <c r="Q704" s="2">
        <f>Deletion!J2</f>
        <v>0</v>
      </c>
      <c r="R704" s="2">
        <f>Deletion!K2</f>
        <v>0</v>
      </c>
      <c r="S704" s="2">
        <f>Deletion!N2</f>
        <v>0</v>
      </c>
      <c r="T704" s="2">
        <f t="shared" si="24"/>
        <v>0</v>
      </c>
      <c r="U704" s="10" t="str">
        <f>IF($S704=0, "", IF(COUNTIF(Table1[Amino Acid Change], $S704)=0, "Missing", "Y"))</f>
        <v/>
      </c>
      <c r="V704" s="10">
        <f t="shared" si="25"/>
        <v>0</v>
      </c>
      <c r="W704" s="3" t="s">
        <v>145</v>
      </c>
    </row>
    <row r="705" spans="9:22" x14ac:dyDescent="0.25">
      <c r="I705" s="2">
        <f>Deletion!A3</f>
        <v>0</v>
      </c>
      <c r="J705" s="2">
        <f>Deletion!B3</f>
        <v>0</v>
      </c>
      <c r="K705" s="2">
        <f>Deletion!C3</f>
        <v>0</v>
      </c>
      <c r="L705" s="2">
        <f>Deletion!D3</f>
        <v>0</v>
      </c>
      <c r="M705" s="2">
        <f>Deletion!E3</f>
        <v>0</v>
      </c>
      <c r="N705" s="2">
        <f>Deletion!G3</f>
        <v>0</v>
      </c>
      <c r="O705" s="2">
        <f>Deletion!H3</f>
        <v>0</v>
      </c>
      <c r="P705" s="2">
        <f>Deletion!I3</f>
        <v>0</v>
      </c>
      <c r="Q705" s="2">
        <f>Deletion!J3</f>
        <v>0</v>
      </c>
      <c r="R705" s="2">
        <f>Deletion!K3</f>
        <v>0</v>
      </c>
      <c r="S705" s="2">
        <f>Deletion!N3</f>
        <v>0</v>
      </c>
      <c r="T705" s="2">
        <f t="shared" ref="T705:T768" si="26">P705</f>
        <v>0</v>
      </c>
      <c r="U705" s="10" t="str">
        <f>IF($S705=0, "", IF(COUNTIF(Table1[Amino Acid Change], $S705)=0, "Missing", "Y"))</f>
        <v/>
      </c>
      <c r="V705" s="10">
        <f t="shared" ref="V705:V768" si="27">J705</f>
        <v>0</v>
      </c>
    </row>
    <row r="706" spans="9:22" x14ac:dyDescent="0.25">
      <c r="I706" s="2">
        <f>Deletion!A4</f>
        <v>0</v>
      </c>
      <c r="J706" s="2">
        <f>Deletion!B4</f>
        <v>0</v>
      </c>
      <c r="K706" s="2">
        <f>Deletion!C4</f>
        <v>0</v>
      </c>
      <c r="L706" s="2">
        <f>Deletion!D4</f>
        <v>0</v>
      </c>
      <c r="M706" s="2">
        <f>Deletion!E4</f>
        <v>0</v>
      </c>
      <c r="N706" s="2">
        <f>Deletion!G4</f>
        <v>0</v>
      </c>
      <c r="O706" s="2">
        <f>Deletion!H4</f>
        <v>0</v>
      </c>
      <c r="P706" s="2">
        <f>Deletion!I4</f>
        <v>0</v>
      </c>
      <c r="Q706" s="2">
        <f>Deletion!J4</f>
        <v>0</v>
      </c>
      <c r="R706" s="2">
        <f>Deletion!K4</f>
        <v>0</v>
      </c>
      <c r="S706" s="2">
        <f>Deletion!N4</f>
        <v>0</v>
      </c>
      <c r="T706" s="2">
        <f t="shared" si="26"/>
        <v>0</v>
      </c>
      <c r="U706" s="10" t="str">
        <f>IF($S706=0, "", IF(COUNTIF(Table1[Amino Acid Change], $S706)=0, "Missing", "Y"))</f>
        <v/>
      </c>
      <c r="V706" s="10">
        <f t="shared" si="27"/>
        <v>0</v>
      </c>
    </row>
    <row r="707" spans="9:22" x14ac:dyDescent="0.25">
      <c r="I707" s="2">
        <f>Deletion!A5</f>
        <v>0</v>
      </c>
      <c r="J707" s="2">
        <f>Deletion!B5</f>
        <v>0</v>
      </c>
      <c r="K707" s="2">
        <f>Deletion!C5</f>
        <v>0</v>
      </c>
      <c r="L707" s="2">
        <f>Deletion!D5</f>
        <v>0</v>
      </c>
      <c r="M707" s="2">
        <f>Deletion!E5</f>
        <v>0</v>
      </c>
      <c r="N707" s="2">
        <f>Deletion!G5</f>
        <v>0</v>
      </c>
      <c r="O707" s="2">
        <f>Deletion!H5</f>
        <v>0</v>
      </c>
      <c r="P707" s="2">
        <f>Deletion!I5</f>
        <v>0</v>
      </c>
      <c r="Q707" s="2">
        <f>Deletion!J5</f>
        <v>0</v>
      </c>
      <c r="R707" s="2">
        <f>Deletion!K5</f>
        <v>0</v>
      </c>
      <c r="S707" s="2">
        <f>Deletion!N5</f>
        <v>0</v>
      </c>
      <c r="T707" s="2">
        <f t="shared" si="26"/>
        <v>0</v>
      </c>
      <c r="U707" s="10" t="str">
        <f>IF($S707=0, "", IF(COUNTIF(Table1[Amino Acid Change], $S707)=0, "Missing", "Y"))</f>
        <v/>
      </c>
      <c r="V707" s="10">
        <f t="shared" si="27"/>
        <v>0</v>
      </c>
    </row>
    <row r="708" spans="9:22" x14ac:dyDescent="0.25">
      <c r="I708" s="2">
        <f>Deletion!A6</f>
        <v>0</v>
      </c>
      <c r="J708" s="2">
        <f>Deletion!B6</f>
        <v>0</v>
      </c>
      <c r="K708" s="2">
        <f>Deletion!C6</f>
        <v>0</v>
      </c>
      <c r="L708" s="2">
        <f>Deletion!D6</f>
        <v>0</v>
      </c>
      <c r="M708" s="2">
        <f>Deletion!E6</f>
        <v>0</v>
      </c>
      <c r="N708" s="2">
        <f>Deletion!G6</f>
        <v>0</v>
      </c>
      <c r="O708" s="2">
        <f>Deletion!H6</f>
        <v>0</v>
      </c>
      <c r="P708" s="2">
        <f>Deletion!I6</f>
        <v>0</v>
      </c>
      <c r="Q708" s="2">
        <f>Deletion!J6</f>
        <v>0</v>
      </c>
      <c r="R708" s="2">
        <f>Deletion!K6</f>
        <v>0</v>
      </c>
      <c r="S708" s="2">
        <f>Deletion!N6</f>
        <v>0</v>
      </c>
      <c r="T708" s="2">
        <f t="shared" si="26"/>
        <v>0</v>
      </c>
      <c r="U708" s="10" t="str">
        <f>IF($S708=0, "", IF(COUNTIF(Table1[Amino Acid Change], $S708)=0, "Missing", "Y"))</f>
        <v/>
      </c>
      <c r="V708" s="10">
        <f t="shared" si="27"/>
        <v>0</v>
      </c>
    </row>
    <row r="709" spans="9:22" x14ac:dyDescent="0.25">
      <c r="I709" s="2">
        <f>Deletion!A7</f>
        <v>0</v>
      </c>
      <c r="J709" s="2">
        <f>Deletion!B7</f>
        <v>0</v>
      </c>
      <c r="K709" s="2">
        <f>Deletion!C7</f>
        <v>0</v>
      </c>
      <c r="L709" s="2">
        <f>Deletion!D7</f>
        <v>0</v>
      </c>
      <c r="M709" s="2">
        <f>Deletion!E7</f>
        <v>0</v>
      </c>
      <c r="N709" s="2">
        <f>Deletion!G7</f>
        <v>0</v>
      </c>
      <c r="O709" s="2">
        <f>Deletion!H7</f>
        <v>0</v>
      </c>
      <c r="P709" s="2">
        <f>Deletion!I7</f>
        <v>0</v>
      </c>
      <c r="Q709" s="2">
        <f>Deletion!J7</f>
        <v>0</v>
      </c>
      <c r="R709" s="2">
        <f>Deletion!K7</f>
        <v>0</v>
      </c>
      <c r="S709" s="2">
        <f>Deletion!N7</f>
        <v>0</v>
      </c>
      <c r="T709" s="2">
        <f t="shared" si="26"/>
        <v>0</v>
      </c>
      <c r="U709" s="10" t="str">
        <f>IF($S709=0, "", IF(COUNTIF(Table1[Amino Acid Change], $S709)=0, "Missing", "Y"))</f>
        <v/>
      </c>
      <c r="V709" s="10">
        <f t="shared" si="27"/>
        <v>0</v>
      </c>
    </row>
    <row r="710" spans="9:22" x14ac:dyDescent="0.25">
      <c r="I710" s="2">
        <f>Deletion!A8</f>
        <v>0</v>
      </c>
      <c r="J710" s="2">
        <f>Deletion!B8</f>
        <v>0</v>
      </c>
      <c r="K710" s="2">
        <f>Deletion!C8</f>
        <v>0</v>
      </c>
      <c r="L710" s="2">
        <f>Deletion!D8</f>
        <v>0</v>
      </c>
      <c r="M710" s="2">
        <f>Deletion!E8</f>
        <v>0</v>
      </c>
      <c r="N710" s="2">
        <f>Deletion!G8</f>
        <v>0</v>
      </c>
      <c r="O710" s="2">
        <f>Deletion!H8</f>
        <v>0</v>
      </c>
      <c r="P710" s="2">
        <f>Deletion!I8</f>
        <v>0</v>
      </c>
      <c r="Q710" s="2">
        <f>Deletion!J8</f>
        <v>0</v>
      </c>
      <c r="R710" s="2">
        <f>Deletion!K8</f>
        <v>0</v>
      </c>
      <c r="S710" s="2">
        <f>Deletion!N8</f>
        <v>0</v>
      </c>
      <c r="T710" s="2">
        <f t="shared" si="26"/>
        <v>0</v>
      </c>
      <c r="U710" s="10" t="str">
        <f>IF($S710=0, "", IF(COUNTIF(Table1[Amino Acid Change], $S710)=0, "Missing", "Y"))</f>
        <v/>
      </c>
      <c r="V710" s="10">
        <f t="shared" si="27"/>
        <v>0</v>
      </c>
    </row>
    <row r="711" spans="9:22" x14ac:dyDescent="0.25">
      <c r="I711" s="2">
        <f>Deletion!A9</f>
        <v>0</v>
      </c>
      <c r="J711" s="2">
        <f>Deletion!B9</f>
        <v>0</v>
      </c>
      <c r="K711" s="2">
        <f>Deletion!C9</f>
        <v>0</v>
      </c>
      <c r="L711" s="2">
        <f>Deletion!D9</f>
        <v>0</v>
      </c>
      <c r="M711" s="2">
        <f>Deletion!E9</f>
        <v>0</v>
      </c>
      <c r="N711" s="2">
        <f>Deletion!G9</f>
        <v>0</v>
      </c>
      <c r="O711" s="2">
        <f>Deletion!H9</f>
        <v>0</v>
      </c>
      <c r="P711" s="2">
        <f>Deletion!I9</f>
        <v>0</v>
      </c>
      <c r="Q711" s="2">
        <f>Deletion!J9</f>
        <v>0</v>
      </c>
      <c r="R711" s="2">
        <f>Deletion!K9</f>
        <v>0</v>
      </c>
      <c r="S711" s="2">
        <f>Deletion!N9</f>
        <v>0</v>
      </c>
      <c r="T711" s="2">
        <f t="shared" si="26"/>
        <v>0</v>
      </c>
      <c r="U711" s="10" t="str">
        <f>IF($S711=0, "", IF(COUNTIF(Table1[Amino Acid Change], $S711)=0, "Missing", "Y"))</f>
        <v/>
      </c>
      <c r="V711" s="10">
        <f t="shared" si="27"/>
        <v>0</v>
      </c>
    </row>
    <row r="712" spans="9:22" x14ac:dyDescent="0.25">
      <c r="I712" s="2">
        <f>Deletion!A10</f>
        <v>0</v>
      </c>
      <c r="J712" s="2">
        <f>Deletion!B10</f>
        <v>0</v>
      </c>
      <c r="K712" s="2">
        <f>Deletion!C10</f>
        <v>0</v>
      </c>
      <c r="L712" s="2">
        <f>Deletion!D10</f>
        <v>0</v>
      </c>
      <c r="M712" s="2">
        <f>Deletion!E10</f>
        <v>0</v>
      </c>
      <c r="N712" s="2">
        <f>Deletion!G10</f>
        <v>0</v>
      </c>
      <c r="O712" s="2">
        <f>Deletion!H10</f>
        <v>0</v>
      </c>
      <c r="P712" s="2">
        <f>Deletion!I10</f>
        <v>0</v>
      </c>
      <c r="Q712" s="2">
        <f>Deletion!J10</f>
        <v>0</v>
      </c>
      <c r="R712" s="2">
        <f>Deletion!K10</f>
        <v>0</v>
      </c>
      <c r="S712" s="2">
        <f>Deletion!N10</f>
        <v>0</v>
      </c>
      <c r="T712" s="2">
        <f t="shared" si="26"/>
        <v>0</v>
      </c>
      <c r="U712" s="10" t="str">
        <f>IF($S712=0, "", IF(COUNTIF(Table1[Amino Acid Change], $S712)=0, "Missing", "Y"))</f>
        <v/>
      </c>
      <c r="V712" s="10">
        <f t="shared" si="27"/>
        <v>0</v>
      </c>
    </row>
    <row r="713" spans="9:22" x14ac:dyDescent="0.25">
      <c r="I713" s="2">
        <f>Deletion!A11</f>
        <v>0</v>
      </c>
      <c r="J713" s="2">
        <f>Deletion!B11</f>
        <v>0</v>
      </c>
      <c r="K713" s="2">
        <f>Deletion!C11</f>
        <v>0</v>
      </c>
      <c r="L713" s="2">
        <f>Deletion!D11</f>
        <v>0</v>
      </c>
      <c r="M713" s="2">
        <f>Deletion!E11</f>
        <v>0</v>
      </c>
      <c r="N713" s="2">
        <f>Deletion!G11</f>
        <v>0</v>
      </c>
      <c r="O713" s="2">
        <f>Deletion!H11</f>
        <v>0</v>
      </c>
      <c r="P713" s="2">
        <f>Deletion!I11</f>
        <v>0</v>
      </c>
      <c r="Q713" s="2">
        <f>Deletion!J11</f>
        <v>0</v>
      </c>
      <c r="R713" s="2">
        <f>Deletion!K11</f>
        <v>0</v>
      </c>
      <c r="S713" s="2">
        <f>Deletion!N11</f>
        <v>0</v>
      </c>
      <c r="T713" s="2">
        <f t="shared" si="26"/>
        <v>0</v>
      </c>
      <c r="U713" s="10" t="str">
        <f>IF($S713=0, "", IF(COUNTIF(Table1[Amino Acid Change], $S713)=0, "Missing", "Y"))</f>
        <v/>
      </c>
      <c r="V713" s="10">
        <f t="shared" si="27"/>
        <v>0</v>
      </c>
    </row>
    <row r="714" spans="9:22" x14ac:dyDescent="0.25">
      <c r="I714" s="2">
        <f>Deletion!A12</f>
        <v>0</v>
      </c>
      <c r="J714" s="2">
        <f>Deletion!B12</f>
        <v>0</v>
      </c>
      <c r="K714" s="2">
        <f>Deletion!C12</f>
        <v>0</v>
      </c>
      <c r="L714" s="2">
        <f>Deletion!D12</f>
        <v>0</v>
      </c>
      <c r="M714" s="2">
        <f>Deletion!E12</f>
        <v>0</v>
      </c>
      <c r="N714" s="2">
        <f>Deletion!G12</f>
        <v>0</v>
      </c>
      <c r="O714" s="2">
        <f>Deletion!H12</f>
        <v>0</v>
      </c>
      <c r="P714" s="2">
        <f>Deletion!I12</f>
        <v>0</v>
      </c>
      <c r="Q714" s="2">
        <f>Deletion!J12</f>
        <v>0</v>
      </c>
      <c r="R714" s="2">
        <f>Deletion!K12</f>
        <v>0</v>
      </c>
      <c r="S714" s="2">
        <f>Deletion!N12</f>
        <v>0</v>
      </c>
      <c r="T714" s="2">
        <f t="shared" si="26"/>
        <v>0</v>
      </c>
      <c r="U714" s="10" t="str">
        <f>IF($S714=0, "", IF(COUNTIF(Table1[Amino Acid Change], $S714)=0, "Missing", "Y"))</f>
        <v/>
      </c>
      <c r="V714" s="10">
        <f t="shared" si="27"/>
        <v>0</v>
      </c>
    </row>
    <row r="715" spans="9:22" x14ac:dyDescent="0.25">
      <c r="I715" s="2">
        <f>Deletion!A13</f>
        <v>0</v>
      </c>
      <c r="J715" s="2">
        <f>Deletion!B13</f>
        <v>0</v>
      </c>
      <c r="K715" s="2">
        <f>Deletion!C13</f>
        <v>0</v>
      </c>
      <c r="L715" s="2">
        <f>Deletion!D13</f>
        <v>0</v>
      </c>
      <c r="M715" s="2">
        <f>Deletion!E13</f>
        <v>0</v>
      </c>
      <c r="N715" s="2">
        <f>Deletion!G13</f>
        <v>0</v>
      </c>
      <c r="O715" s="2">
        <f>Deletion!H13</f>
        <v>0</v>
      </c>
      <c r="P715" s="2">
        <f>Deletion!I13</f>
        <v>0</v>
      </c>
      <c r="Q715" s="2">
        <f>Deletion!J13</f>
        <v>0</v>
      </c>
      <c r="R715" s="2">
        <f>Deletion!K13</f>
        <v>0</v>
      </c>
      <c r="S715" s="2">
        <f>Deletion!N13</f>
        <v>0</v>
      </c>
      <c r="T715" s="2">
        <f t="shared" si="26"/>
        <v>0</v>
      </c>
      <c r="U715" s="10" t="str">
        <f>IF($S715=0, "", IF(COUNTIF(Table1[Amino Acid Change], $S715)=0, "Missing", "Y"))</f>
        <v/>
      </c>
      <c r="V715" s="10">
        <f t="shared" si="27"/>
        <v>0</v>
      </c>
    </row>
    <row r="716" spans="9:22" x14ac:dyDescent="0.25">
      <c r="I716" s="2">
        <f>Deletion!A14</f>
        <v>0</v>
      </c>
      <c r="J716" s="2">
        <f>Deletion!B14</f>
        <v>0</v>
      </c>
      <c r="K716" s="2">
        <f>Deletion!C14</f>
        <v>0</v>
      </c>
      <c r="L716" s="2">
        <f>Deletion!D14</f>
        <v>0</v>
      </c>
      <c r="M716" s="2">
        <f>Deletion!E14</f>
        <v>0</v>
      </c>
      <c r="N716" s="2">
        <f>Deletion!G14</f>
        <v>0</v>
      </c>
      <c r="O716" s="2">
        <f>Deletion!H14</f>
        <v>0</v>
      </c>
      <c r="P716" s="2">
        <f>Deletion!I14</f>
        <v>0</v>
      </c>
      <c r="Q716" s="2">
        <f>Deletion!J14</f>
        <v>0</v>
      </c>
      <c r="R716" s="2">
        <f>Deletion!K14</f>
        <v>0</v>
      </c>
      <c r="S716" s="2">
        <f>Deletion!N14</f>
        <v>0</v>
      </c>
      <c r="T716" s="2">
        <f t="shared" si="26"/>
        <v>0</v>
      </c>
      <c r="U716" s="10" t="str">
        <f>IF($S716=0, "", IF(COUNTIF(Table1[Amino Acid Change], $S716)=0, "Missing", "Y"))</f>
        <v/>
      </c>
      <c r="V716" s="10">
        <f t="shared" si="27"/>
        <v>0</v>
      </c>
    </row>
    <row r="717" spans="9:22" x14ac:dyDescent="0.25">
      <c r="I717" s="2">
        <f>Deletion!A15</f>
        <v>0</v>
      </c>
      <c r="J717" s="2">
        <f>Deletion!B15</f>
        <v>0</v>
      </c>
      <c r="K717" s="2">
        <f>Deletion!C15</f>
        <v>0</v>
      </c>
      <c r="L717" s="2">
        <f>Deletion!D15</f>
        <v>0</v>
      </c>
      <c r="M717" s="2">
        <f>Deletion!E15</f>
        <v>0</v>
      </c>
      <c r="N717" s="2">
        <f>Deletion!G15</f>
        <v>0</v>
      </c>
      <c r="O717" s="2">
        <f>Deletion!H15</f>
        <v>0</v>
      </c>
      <c r="P717" s="2">
        <f>Deletion!I15</f>
        <v>0</v>
      </c>
      <c r="Q717" s="2">
        <f>Deletion!J15</f>
        <v>0</v>
      </c>
      <c r="R717" s="2">
        <f>Deletion!K15</f>
        <v>0</v>
      </c>
      <c r="S717" s="2">
        <f>Deletion!N15</f>
        <v>0</v>
      </c>
      <c r="T717" s="2">
        <f t="shared" si="26"/>
        <v>0</v>
      </c>
      <c r="U717" s="10" t="str">
        <f>IF($S717=0, "", IF(COUNTIF(Table1[Amino Acid Change], $S717)=0, "Missing", "Y"))</f>
        <v/>
      </c>
      <c r="V717" s="10">
        <f t="shared" si="27"/>
        <v>0</v>
      </c>
    </row>
    <row r="718" spans="9:22" x14ac:dyDescent="0.25">
      <c r="I718" s="2">
        <f>Deletion!A16</f>
        <v>0</v>
      </c>
      <c r="J718" s="2">
        <f>Deletion!B16</f>
        <v>0</v>
      </c>
      <c r="K718" s="2">
        <f>Deletion!C16</f>
        <v>0</v>
      </c>
      <c r="L718" s="2">
        <f>Deletion!D16</f>
        <v>0</v>
      </c>
      <c r="M718" s="2">
        <f>Deletion!E16</f>
        <v>0</v>
      </c>
      <c r="N718" s="2">
        <f>Deletion!G16</f>
        <v>0</v>
      </c>
      <c r="O718" s="2">
        <f>Deletion!H16</f>
        <v>0</v>
      </c>
      <c r="P718" s="2">
        <f>Deletion!I16</f>
        <v>0</v>
      </c>
      <c r="Q718" s="2">
        <f>Deletion!J16</f>
        <v>0</v>
      </c>
      <c r="R718" s="2">
        <f>Deletion!K16</f>
        <v>0</v>
      </c>
      <c r="S718" s="2">
        <f>Deletion!N16</f>
        <v>0</v>
      </c>
      <c r="T718" s="2">
        <f t="shared" si="26"/>
        <v>0</v>
      </c>
      <c r="U718" s="10" t="str">
        <f>IF($S718=0, "", IF(COUNTIF(Table1[Amino Acid Change], $S718)=0, "Missing", "Y"))</f>
        <v/>
      </c>
      <c r="V718" s="10">
        <f t="shared" si="27"/>
        <v>0</v>
      </c>
    </row>
    <row r="719" spans="9:22" x14ac:dyDescent="0.25">
      <c r="I719" s="2">
        <f>Deletion!A17</f>
        <v>0</v>
      </c>
      <c r="J719" s="2">
        <f>Deletion!B17</f>
        <v>0</v>
      </c>
      <c r="K719" s="2">
        <f>Deletion!C17</f>
        <v>0</v>
      </c>
      <c r="L719" s="2">
        <f>Deletion!D17</f>
        <v>0</v>
      </c>
      <c r="M719" s="2">
        <f>Deletion!E17</f>
        <v>0</v>
      </c>
      <c r="N719" s="2">
        <f>Deletion!G17</f>
        <v>0</v>
      </c>
      <c r="O719" s="2">
        <f>Deletion!H17</f>
        <v>0</v>
      </c>
      <c r="P719" s="2">
        <f>Deletion!I17</f>
        <v>0</v>
      </c>
      <c r="Q719" s="2">
        <f>Deletion!J17</f>
        <v>0</v>
      </c>
      <c r="R719" s="2">
        <f>Deletion!K17</f>
        <v>0</v>
      </c>
      <c r="S719" s="2">
        <f>Deletion!N17</f>
        <v>0</v>
      </c>
      <c r="T719" s="2">
        <f t="shared" si="26"/>
        <v>0</v>
      </c>
      <c r="U719" s="10" t="str">
        <f>IF($S719=0, "", IF(COUNTIF(Table1[Amino Acid Change], $S719)=0, "Missing", "Y"))</f>
        <v/>
      </c>
      <c r="V719" s="10">
        <f t="shared" si="27"/>
        <v>0</v>
      </c>
    </row>
    <row r="720" spans="9:22" x14ac:dyDescent="0.25">
      <c r="I720" s="2">
        <f>Deletion!A18</f>
        <v>0</v>
      </c>
      <c r="J720" s="2">
        <f>Deletion!B18</f>
        <v>0</v>
      </c>
      <c r="K720" s="2">
        <f>Deletion!C18</f>
        <v>0</v>
      </c>
      <c r="L720" s="2">
        <f>Deletion!D18</f>
        <v>0</v>
      </c>
      <c r="M720" s="2">
        <f>Deletion!E18</f>
        <v>0</v>
      </c>
      <c r="N720" s="2">
        <f>Deletion!G18</f>
        <v>0</v>
      </c>
      <c r="O720" s="2">
        <f>Deletion!H18</f>
        <v>0</v>
      </c>
      <c r="P720" s="2">
        <f>Deletion!I18</f>
        <v>0</v>
      </c>
      <c r="Q720" s="2">
        <f>Deletion!J18</f>
        <v>0</v>
      </c>
      <c r="R720" s="2">
        <f>Deletion!K18</f>
        <v>0</v>
      </c>
      <c r="S720" s="2">
        <f>Deletion!N18</f>
        <v>0</v>
      </c>
      <c r="T720" s="2">
        <f t="shared" si="26"/>
        <v>0</v>
      </c>
      <c r="U720" s="10" t="str">
        <f>IF($S720=0, "", IF(COUNTIF(Table1[Amino Acid Change], $S720)=0, "Missing", "Y"))</f>
        <v/>
      </c>
      <c r="V720" s="10">
        <f t="shared" si="27"/>
        <v>0</v>
      </c>
    </row>
    <row r="721" spans="9:22" x14ac:dyDescent="0.25">
      <c r="I721" s="2">
        <f>Deletion!A19</f>
        <v>0</v>
      </c>
      <c r="J721" s="2">
        <f>Deletion!B19</f>
        <v>0</v>
      </c>
      <c r="K721" s="2">
        <f>Deletion!C19</f>
        <v>0</v>
      </c>
      <c r="L721" s="2">
        <f>Deletion!D19</f>
        <v>0</v>
      </c>
      <c r="M721" s="2">
        <f>Deletion!E19</f>
        <v>0</v>
      </c>
      <c r="N721" s="2">
        <f>Deletion!G19</f>
        <v>0</v>
      </c>
      <c r="O721" s="2">
        <f>Deletion!H19</f>
        <v>0</v>
      </c>
      <c r="P721" s="2">
        <f>Deletion!I19</f>
        <v>0</v>
      </c>
      <c r="Q721" s="2">
        <f>Deletion!J19</f>
        <v>0</v>
      </c>
      <c r="R721" s="2">
        <f>Deletion!K19</f>
        <v>0</v>
      </c>
      <c r="S721" s="2">
        <f>Deletion!N19</f>
        <v>0</v>
      </c>
      <c r="T721" s="2">
        <f t="shared" si="26"/>
        <v>0</v>
      </c>
      <c r="U721" s="10" t="str">
        <f>IF($S721=0, "", IF(COUNTIF(Table1[Amino Acid Change], $S721)=0, "Missing", "Y"))</f>
        <v/>
      </c>
      <c r="V721" s="10">
        <f t="shared" si="27"/>
        <v>0</v>
      </c>
    </row>
    <row r="722" spans="9:22" x14ac:dyDescent="0.25">
      <c r="I722" s="2">
        <f>Deletion!A20</f>
        <v>0</v>
      </c>
      <c r="J722" s="2">
        <f>Deletion!B20</f>
        <v>0</v>
      </c>
      <c r="K722" s="2">
        <f>Deletion!C20</f>
        <v>0</v>
      </c>
      <c r="L722" s="2">
        <f>Deletion!D20</f>
        <v>0</v>
      </c>
      <c r="M722" s="2">
        <f>Deletion!E20</f>
        <v>0</v>
      </c>
      <c r="N722" s="2">
        <f>Deletion!G20</f>
        <v>0</v>
      </c>
      <c r="O722" s="2">
        <f>Deletion!H20</f>
        <v>0</v>
      </c>
      <c r="P722" s="2">
        <f>Deletion!I20</f>
        <v>0</v>
      </c>
      <c r="Q722" s="2">
        <f>Deletion!J20</f>
        <v>0</v>
      </c>
      <c r="R722" s="2">
        <f>Deletion!K20</f>
        <v>0</v>
      </c>
      <c r="S722" s="2">
        <f>Deletion!N20</f>
        <v>0</v>
      </c>
      <c r="T722" s="2">
        <f t="shared" si="26"/>
        <v>0</v>
      </c>
      <c r="U722" s="10" t="str">
        <f>IF($S722=0, "", IF(COUNTIF(Table1[Amino Acid Change], $S722)=0, "Missing", "Y"))</f>
        <v/>
      </c>
      <c r="V722" s="10">
        <f t="shared" si="27"/>
        <v>0</v>
      </c>
    </row>
    <row r="723" spans="9:22" x14ac:dyDescent="0.25">
      <c r="I723" s="2">
        <f>Deletion!A21</f>
        <v>0</v>
      </c>
      <c r="J723" s="2">
        <f>Deletion!B21</f>
        <v>0</v>
      </c>
      <c r="K723" s="2">
        <f>Deletion!C21</f>
        <v>0</v>
      </c>
      <c r="L723" s="2">
        <f>Deletion!D21</f>
        <v>0</v>
      </c>
      <c r="M723" s="2">
        <f>Deletion!E21</f>
        <v>0</v>
      </c>
      <c r="N723" s="2">
        <f>Deletion!G21</f>
        <v>0</v>
      </c>
      <c r="O723" s="2">
        <f>Deletion!H21</f>
        <v>0</v>
      </c>
      <c r="P723" s="2">
        <f>Deletion!I21</f>
        <v>0</v>
      </c>
      <c r="Q723" s="2">
        <f>Deletion!J21</f>
        <v>0</v>
      </c>
      <c r="R723" s="2">
        <f>Deletion!K21</f>
        <v>0</v>
      </c>
      <c r="S723" s="2">
        <f>Deletion!N21</f>
        <v>0</v>
      </c>
      <c r="T723" s="2">
        <f t="shared" si="26"/>
        <v>0</v>
      </c>
      <c r="U723" s="10" t="str">
        <f>IF($S723=0, "", IF(COUNTIF(Table1[Amino Acid Change], $S723)=0, "Missing", "Y"))</f>
        <v/>
      </c>
      <c r="V723" s="10">
        <f t="shared" si="27"/>
        <v>0</v>
      </c>
    </row>
    <row r="724" spans="9:22" x14ac:dyDescent="0.25">
      <c r="I724" s="2">
        <f>Deletion!A22</f>
        <v>0</v>
      </c>
      <c r="J724" s="2">
        <f>Deletion!B22</f>
        <v>0</v>
      </c>
      <c r="K724" s="2">
        <f>Deletion!C22</f>
        <v>0</v>
      </c>
      <c r="L724" s="2">
        <f>Deletion!D22</f>
        <v>0</v>
      </c>
      <c r="M724" s="2">
        <f>Deletion!E22</f>
        <v>0</v>
      </c>
      <c r="N724" s="2">
        <f>Deletion!G22</f>
        <v>0</v>
      </c>
      <c r="O724" s="2">
        <f>Deletion!H22</f>
        <v>0</v>
      </c>
      <c r="P724" s="2">
        <f>Deletion!I22</f>
        <v>0</v>
      </c>
      <c r="Q724" s="2">
        <f>Deletion!J22</f>
        <v>0</v>
      </c>
      <c r="R724" s="2">
        <f>Deletion!K22</f>
        <v>0</v>
      </c>
      <c r="S724" s="2">
        <f>Deletion!N22</f>
        <v>0</v>
      </c>
      <c r="T724" s="2">
        <f t="shared" si="26"/>
        <v>0</v>
      </c>
      <c r="U724" s="10" t="str">
        <f>IF($S724=0, "", IF(COUNTIF(Table1[Amino Acid Change], $S724)=0, "Missing", "Y"))</f>
        <v/>
      </c>
      <c r="V724" s="10">
        <f t="shared" si="27"/>
        <v>0</v>
      </c>
    </row>
    <row r="725" spans="9:22" x14ac:dyDescent="0.25">
      <c r="I725" s="2">
        <f>Deletion!A23</f>
        <v>0</v>
      </c>
      <c r="J725" s="2">
        <f>Deletion!B23</f>
        <v>0</v>
      </c>
      <c r="K725" s="2">
        <f>Deletion!C23</f>
        <v>0</v>
      </c>
      <c r="L725" s="2">
        <f>Deletion!D23</f>
        <v>0</v>
      </c>
      <c r="M725" s="2">
        <f>Deletion!E23</f>
        <v>0</v>
      </c>
      <c r="N725" s="2">
        <f>Deletion!G23</f>
        <v>0</v>
      </c>
      <c r="O725" s="2">
        <f>Deletion!H23</f>
        <v>0</v>
      </c>
      <c r="P725" s="2">
        <f>Deletion!I23</f>
        <v>0</v>
      </c>
      <c r="Q725" s="2">
        <f>Deletion!J23</f>
        <v>0</v>
      </c>
      <c r="R725" s="2">
        <f>Deletion!K23</f>
        <v>0</v>
      </c>
      <c r="S725" s="2">
        <f>Deletion!N23</f>
        <v>0</v>
      </c>
      <c r="T725" s="2">
        <f t="shared" si="26"/>
        <v>0</v>
      </c>
      <c r="U725" s="10" t="str">
        <f>IF($S725=0, "", IF(COUNTIF(Table1[Amino Acid Change], $S725)=0, "Missing", "Y"))</f>
        <v/>
      </c>
      <c r="V725" s="10">
        <f t="shared" si="27"/>
        <v>0</v>
      </c>
    </row>
    <row r="726" spans="9:22" x14ac:dyDescent="0.25">
      <c r="I726" s="2">
        <f>Deletion!A24</f>
        <v>0</v>
      </c>
      <c r="J726" s="2">
        <f>Deletion!B24</f>
        <v>0</v>
      </c>
      <c r="K726" s="2">
        <f>Deletion!C24</f>
        <v>0</v>
      </c>
      <c r="L726" s="2">
        <f>Deletion!D24</f>
        <v>0</v>
      </c>
      <c r="M726" s="2">
        <f>Deletion!E24</f>
        <v>0</v>
      </c>
      <c r="N726" s="2">
        <f>Deletion!G24</f>
        <v>0</v>
      </c>
      <c r="O726" s="2">
        <f>Deletion!H24</f>
        <v>0</v>
      </c>
      <c r="P726" s="2">
        <f>Deletion!I24</f>
        <v>0</v>
      </c>
      <c r="Q726" s="2">
        <f>Deletion!J24</f>
        <v>0</v>
      </c>
      <c r="R726" s="2">
        <f>Deletion!K24</f>
        <v>0</v>
      </c>
      <c r="S726" s="2">
        <f>Deletion!N24</f>
        <v>0</v>
      </c>
      <c r="T726" s="2">
        <f t="shared" si="26"/>
        <v>0</v>
      </c>
      <c r="U726" s="10" t="str">
        <f>IF($S726=0, "", IF(COUNTIF(Table1[Amino Acid Change], $S726)=0, "Missing", "Y"))</f>
        <v/>
      </c>
      <c r="V726" s="10">
        <f t="shared" si="27"/>
        <v>0</v>
      </c>
    </row>
    <row r="727" spans="9:22" x14ac:dyDescent="0.25">
      <c r="I727" s="2">
        <f>Deletion!A25</f>
        <v>0</v>
      </c>
      <c r="J727" s="2">
        <f>Deletion!B25</f>
        <v>0</v>
      </c>
      <c r="K727" s="2">
        <f>Deletion!C25</f>
        <v>0</v>
      </c>
      <c r="L727" s="2">
        <f>Deletion!D25</f>
        <v>0</v>
      </c>
      <c r="M727" s="2">
        <f>Deletion!E25</f>
        <v>0</v>
      </c>
      <c r="N727" s="2">
        <f>Deletion!G25</f>
        <v>0</v>
      </c>
      <c r="O727" s="2">
        <f>Deletion!H25</f>
        <v>0</v>
      </c>
      <c r="P727" s="2">
        <f>Deletion!I25</f>
        <v>0</v>
      </c>
      <c r="Q727" s="2">
        <f>Deletion!J25</f>
        <v>0</v>
      </c>
      <c r="R727" s="2">
        <f>Deletion!K25</f>
        <v>0</v>
      </c>
      <c r="S727" s="2">
        <f>Deletion!N25</f>
        <v>0</v>
      </c>
      <c r="T727" s="2">
        <f t="shared" si="26"/>
        <v>0</v>
      </c>
      <c r="U727" s="10" t="str">
        <f>IF($S727=0, "", IF(COUNTIF(Table1[Amino Acid Change], $S727)=0, "Missing", "Y"))</f>
        <v/>
      </c>
      <c r="V727" s="10">
        <f t="shared" si="27"/>
        <v>0</v>
      </c>
    </row>
    <row r="728" spans="9:22" x14ac:dyDescent="0.25">
      <c r="I728" s="2">
        <f>Deletion!A26</f>
        <v>0</v>
      </c>
      <c r="J728" s="2">
        <f>Deletion!B26</f>
        <v>0</v>
      </c>
      <c r="K728" s="2">
        <f>Deletion!C26</f>
        <v>0</v>
      </c>
      <c r="L728" s="2">
        <f>Deletion!D26</f>
        <v>0</v>
      </c>
      <c r="M728" s="2">
        <f>Deletion!E26</f>
        <v>0</v>
      </c>
      <c r="N728" s="2">
        <f>Deletion!G26</f>
        <v>0</v>
      </c>
      <c r="O728" s="2">
        <f>Deletion!H26</f>
        <v>0</v>
      </c>
      <c r="P728" s="2">
        <f>Deletion!I26</f>
        <v>0</v>
      </c>
      <c r="Q728" s="2">
        <f>Deletion!J26</f>
        <v>0</v>
      </c>
      <c r="R728" s="2">
        <f>Deletion!K26</f>
        <v>0</v>
      </c>
      <c r="S728" s="2">
        <f>Deletion!N26</f>
        <v>0</v>
      </c>
      <c r="T728" s="2">
        <f t="shared" si="26"/>
        <v>0</v>
      </c>
      <c r="U728" s="10" t="str">
        <f>IF($S728=0, "", IF(COUNTIF(Table1[Amino Acid Change], $S728)=0, "Missing", "Y"))</f>
        <v/>
      </c>
      <c r="V728" s="10">
        <f t="shared" si="27"/>
        <v>0</v>
      </c>
    </row>
    <row r="729" spans="9:22" x14ac:dyDescent="0.25">
      <c r="I729" s="2">
        <f>Deletion!A27</f>
        <v>0</v>
      </c>
      <c r="J729" s="2">
        <f>Deletion!B27</f>
        <v>0</v>
      </c>
      <c r="K729" s="2">
        <f>Deletion!C27</f>
        <v>0</v>
      </c>
      <c r="L729" s="2">
        <f>Deletion!D27</f>
        <v>0</v>
      </c>
      <c r="M729" s="2">
        <f>Deletion!E27</f>
        <v>0</v>
      </c>
      <c r="N729" s="2">
        <f>Deletion!G27</f>
        <v>0</v>
      </c>
      <c r="O729" s="2">
        <f>Deletion!H27</f>
        <v>0</v>
      </c>
      <c r="P729" s="2">
        <f>Deletion!I27</f>
        <v>0</v>
      </c>
      <c r="Q729" s="2">
        <f>Deletion!J27</f>
        <v>0</v>
      </c>
      <c r="R729" s="2">
        <f>Deletion!K27</f>
        <v>0</v>
      </c>
      <c r="S729" s="2">
        <f>Deletion!N27</f>
        <v>0</v>
      </c>
      <c r="T729" s="2">
        <f t="shared" si="26"/>
        <v>0</v>
      </c>
      <c r="U729" s="10" t="str">
        <f>IF($S729=0, "", IF(COUNTIF(Table1[Amino Acid Change], $S729)=0, "Missing", "Y"))</f>
        <v/>
      </c>
      <c r="V729" s="10">
        <f t="shared" si="27"/>
        <v>0</v>
      </c>
    </row>
    <row r="730" spans="9:22" x14ac:dyDescent="0.25">
      <c r="I730" s="2">
        <f>Deletion!A28</f>
        <v>0</v>
      </c>
      <c r="J730" s="2">
        <f>Deletion!B28</f>
        <v>0</v>
      </c>
      <c r="K730" s="2">
        <f>Deletion!C28</f>
        <v>0</v>
      </c>
      <c r="L730" s="2">
        <f>Deletion!D28</f>
        <v>0</v>
      </c>
      <c r="M730" s="2">
        <f>Deletion!E28</f>
        <v>0</v>
      </c>
      <c r="N730" s="2">
        <f>Deletion!G28</f>
        <v>0</v>
      </c>
      <c r="O730" s="2">
        <f>Deletion!H28</f>
        <v>0</v>
      </c>
      <c r="P730" s="2">
        <f>Deletion!I28</f>
        <v>0</v>
      </c>
      <c r="Q730" s="2">
        <f>Deletion!J28</f>
        <v>0</v>
      </c>
      <c r="R730" s="2">
        <f>Deletion!K28</f>
        <v>0</v>
      </c>
      <c r="S730" s="2">
        <f>Deletion!N28</f>
        <v>0</v>
      </c>
      <c r="T730" s="2">
        <f t="shared" si="26"/>
        <v>0</v>
      </c>
      <c r="U730" s="10" t="str">
        <f>IF($S730=0, "", IF(COUNTIF(Table1[Amino Acid Change], $S730)=0, "Missing", "Y"))</f>
        <v/>
      </c>
      <c r="V730" s="10">
        <f t="shared" si="27"/>
        <v>0</v>
      </c>
    </row>
    <row r="731" spans="9:22" x14ac:dyDescent="0.25">
      <c r="I731" s="2">
        <f>Deletion!A29</f>
        <v>0</v>
      </c>
      <c r="J731" s="2">
        <f>Deletion!B29</f>
        <v>0</v>
      </c>
      <c r="K731" s="2">
        <f>Deletion!C29</f>
        <v>0</v>
      </c>
      <c r="L731" s="2">
        <f>Deletion!D29</f>
        <v>0</v>
      </c>
      <c r="M731" s="2">
        <f>Deletion!E29</f>
        <v>0</v>
      </c>
      <c r="N731" s="2">
        <f>Deletion!G29</f>
        <v>0</v>
      </c>
      <c r="O731" s="2">
        <f>Deletion!H29</f>
        <v>0</v>
      </c>
      <c r="P731" s="2">
        <f>Deletion!I29</f>
        <v>0</v>
      </c>
      <c r="Q731" s="2">
        <f>Deletion!J29</f>
        <v>0</v>
      </c>
      <c r="R731" s="2">
        <f>Deletion!K29</f>
        <v>0</v>
      </c>
      <c r="S731" s="2">
        <f>Deletion!N29</f>
        <v>0</v>
      </c>
      <c r="T731" s="2">
        <f t="shared" si="26"/>
        <v>0</v>
      </c>
      <c r="U731" s="10" t="str">
        <f>IF($S731=0, "", IF(COUNTIF(Table1[Amino Acid Change], $S731)=0, "Missing", "Y"))</f>
        <v/>
      </c>
      <c r="V731" s="10">
        <f t="shared" si="27"/>
        <v>0</v>
      </c>
    </row>
    <row r="732" spans="9:22" x14ac:dyDescent="0.25">
      <c r="I732" s="2">
        <f>Deletion!A30</f>
        <v>0</v>
      </c>
      <c r="J732" s="2">
        <f>Deletion!B30</f>
        <v>0</v>
      </c>
      <c r="K732" s="2">
        <f>Deletion!C30</f>
        <v>0</v>
      </c>
      <c r="L732" s="2">
        <f>Deletion!D30</f>
        <v>0</v>
      </c>
      <c r="M732" s="2">
        <f>Deletion!E30</f>
        <v>0</v>
      </c>
      <c r="N732" s="2">
        <f>Deletion!G30</f>
        <v>0</v>
      </c>
      <c r="O732" s="2">
        <f>Deletion!H30</f>
        <v>0</v>
      </c>
      <c r="P732" s="2">
        <f>Deletion!I30</f>
        <v>0</v>
      </c>
      <c r="Q732" s="2">
        <f>Deletion!J30</f>
        <v>0</v>
      </c>
      <c r="R732" s="2">
        <f>Deletion!K30</f>
        <v>0</v>
      </c>
      <c r="S732" s="2">
        <f>Deletion!N30</f>
        <v>0</v>
      </c>
      <c r="T732" s="2">
        <f t="shared" si="26"/>
        <v>0</v>
      </c>
      <c r="U732" s="10" t="str">
        <f>IF($S732=0, "", IF(COUNTIF(Table1[Amino Acid Change], $S732)=0, "Missing", "Y"))</f>
        <v/>
      </c>
      <c r="V732" s="10">
        <f t="shared" si="27"/>
        <v>0</v>
      </c>
    </row>
    <row r="733" spans="9:22" x14ac:dyDescent="0.25">
      <c r="I733" s="2">
        <f>Deletion!A31</f>
        <v>0</v>
      </c>
      <c r="J733" s="2">
        <f>Deletion!B31</f>
        <v>0</v>
      </c>
      <c r="K733" s="2">
        <f>Deletion!C31</f>
        <v>0</v>
      </c>
      <c r="L733" s="2">
        <f>Deletion!D31</f>
        <v>0</v>
      </c>
      <c r="M733" s="2">
        <f>Deletion!E31</f>
        <v>0</v>
      </c>
      <c r="N733" s="2">
        <f>Deletion!G31</f>
        <v>0</v>
      </c>
      <c r="O733" s="2">
        <f>Deletion!H31</f>
        <v>0</v>
      </c>
      <c r="P733" s="2">
        <f>Deletion!I31</f>
        <v>0</v>
      </c>
      <c r="Q733" s="2">
        <f>Deletion!J31</f>
        <v>0</v>
      </c>
      <c r="R733" s="2">
        <f>Deletion!K31</f>
        <v>0</v>
      </c>
      <c r="S733" s="2">
        <f>Deletion!N31</f>
        <v>0</v>
      </c>
      <c r="T733" s="2">
        <f t="shared" si="26"/>
        <v>0</v>
      </c>
      <c r="U733" s="10" t="str">
        <f>IF($S733=0, "", IF(COUNTIF(Table1[Amino Acid Change], $S733)=0, "Missing", "Y"))</f>
        <v/>
      </c>
      <c r="V733" s="10">
        <f t="shared" si="27"/>
        <v>0</v>
      </c>
    </row>
    <row r="734" spans="9:22" x14ac:dyDescent="0.25">
      <c r="I734" s="2">
        <f>Deletion!A32</f>
        <v>0</v>
      </c>
      <c r="J734" s="2">
        <f>Deletion!B32</f>
        <v>0</v>
      </c>
      <c r="K734" s="2">
        <f>Deletion!C32</f>
        <v>0</v>
      </c>
      <c r="L734" s="2">
        <f>Deletion!D32</f>
        <v>0</v>
      </c>
      <c r="M734" s="2">
        <f>Deletion!E32</f>
        <v>0</v>
      </c>
      <c r="N734" s="2">
        <f>Deletion!G32</f>
        <v>0</v>
      </c>
      <c r="O734" s="2">
        <f>Deletion!H32</f>
        <v>0</v>
      </c>
      <c r="P734" s="2">
        <f>Deletion!I32</f>
        <v>0</v>
      </c>
      <c r="Q734" s="2">
        <f>Deletion!J32</f>
        <v>0</v>
      </c>
      <c r="R734" s="2">
        <f>Deletion!K32</f>
        <v>0</v>
      </c>
      <c r="S734" s="2">
        <f>Deletion!N32</f>
        <v>0</v>
      </c>
      <c r="T734" s="2">
        <f t="shared" si="26"/>
        <v>0</v>
      </c>
      <c r="U734" s="10" t="str">
        <f>IF($S734=0, "", IF(COUNTIF(Table1[Amino Acid Change], $S734)=0, "Missing", "Y"))</f>
        <v/>
      </c>
      <c r="V734" s="10">
        <f t="shared" si="27"/>
        <v>0</v>
      </c>
    </row>
    <row r="735" spans="9:22" x14ac:dyDescent="0.25">
      <c r="I735" s="2">
        <f>Deletion!A33</f>
        <v>0</v>
      </c>
      <c r="J735" s="2">
        <f>Deletion!B33</f>
        <v>0</v>
      </c>
      <c r="K735" s="2">
        <f>Deletion!C33</f>
        <v>0</v>
      </c>
      <c r="L735" s="2">
        <f>Deletion!D33</f>
        <v>0</v>
      </c>
      <c r="M735" s="2">
        <f>Deletion!E33</f>
        <v>0</v>
      </c>
      <c r="N735" s="2">
        <f>Deletion!G33</f>
        <v>0</v>
      </c>
      <c r="O735" s="2">
        <f>Deletion!H33</f>
        <v>0</v>
      </c>
      <c r="P735" s="2">
        <f>Deletion!I33</f>
        <v>0</v>
      </c>
      <c r="Q735" s="2">
        <f>Deletion!J33</f>
        <v>0</v>
      </c>
      <c r="R735" s="2">
        <f>Deletion!K33</f>
        <v>0</v>
      </c>
      <c r="S735" s="2">
        <f>Deletion!N33</f>
        <v>0</v>
      </c>
      <c r="T735" s="2">
        <f t="shared" si="26"/>
        <v>0</v>
      </c>
      <c r="U735" s="10" t="str">
        <f>IF($S735=0, "", IF(COUNTIF(Table1[Amino Acid Change], $S735)=0, "Missing", "Y"))</f>
        <v/>
      </c>
      <c r="V735" s="10">
        <f t="shared" si="27"/>
        <v>0</v>
      </c>
    </row>
    <row r="736" spans="9:22" x14ac:dyDescent="0.25">
      <c r="I736" s="2">
        <f>Deletion!A34</f>
        <v>0</v>
      </c>
      <c r="J736" s="2">
        <f>Deletion!B34</f>
        <v>0</v>
      </c>
      <c r="K736" s="2">
        <f>Deletion!C34</f>
        <v>0</v>
      </c>
      <c r="L736" s="2">
        <f>Deletion!D34</f>
        <v>0</v>
      </c>
      <c r="M736" s="2">
        <f>Deletion!E34</f>
        <v>0</v>
      </c>
      <c r="N736" s="2">
        <f>Deletion!G34</f>
        <v>0</v>
      </c>
      <c r="O736" s="2">
        <f>Deletion!H34</f>
        <v>0</v>
      </c>
      <c r="P736" s="2">
        <f>Deletion!I34</f>
        <v>0</v>
      </c>
      <c r="Q736" s="2">
        <f>Deletion!J34</f>
        <v>0</v>
      </c>
      <c r="R736" s="2">
        <f>Deletion!K34</f>
        <v>0</v>
      </c>
      <c r="S736" s="2">
        <f>Deletion!N34</f>
        <v>0</v>
      </c>
      <c r="T736" s="2">
        <f t="shared" si="26"/>
        <v>0</v>
      </c>
      <c r="U736" s="10" t="str">
        <f>IF($S736=0, "", IF(COUNTIF(Table1[Amino Acid Change], $S736)=0, "Missing", "Y"))</f>
        <v/>
      </c>
      <c r="V736" s="10">
        <f t="shared" si="27"/>
        <v>0</v>
      </c>
    </row>
    <row r="737" spans="9:22" x14ac:dyDescent="0.25">
      <c r="I737" s="2">
        <f>Deletion!A35</f>
        <v>0</v>
      </c>
      <c r="J737" s="2">
        <f>Deletion!B35</f>
        <v>0</v>
      </c>
      <c r="K737" s="2">
        <f>Deletion!C35</f>
        <v>0</v>
      </c>
      <c r="L737" s="2">
        <f>Deletion!D35</f>
        <v>0</v>
      </c>
      <c r="M737" s="2">
        <f>Deletion!E35</f>
        <v>0</v>
      </c>
      <c r="N737" s="2">
        <f>Deletion!G35</f>
        <v>0</v>
      </c>
      <c r="O737" s="2">
        <f>Deletion!H35</f>
        <v>0</v>
      </c>
      <c r="P737" s="2">
        <f>Deletion!I35</f>
        <v>0</v>
      </c>
      <c r="Q737" s="2">
        <f>Deletion!J35</f>
        <v>0</v>
      </c>
      <c r="R737" s="2">
        <f>Deletion!K35</f>
        <v>0</v>
      </c>
      <c r="S737" s="2">
        <f>Deletion!N35</f>
        <v>0</v>
      </c>
      <c r="T737" s="2">
        <f t="shared" si="26"/>
        <v>0</v>
      </c>
      <c r="U737" s="10" t="str">
        <f>IF($S737=0, "", IF(COUNTIF(Table1[Amino Acid Change], $S737)=0, "Missing", "Y"))</f>
        <v/>
      </c>
      <c r="V737" s="10">
        <f t="shared" si="27"/>
        <v>0</v>
      </c>
    </row>
    <row r="738" spans="9:22" x14ac:dyDescent="0.25">
      <c r="I738" s="2">
        <f>Deletion!A36</f>
        <v>0</v>
      </c>
      <c r="J738" s="2">
        <f>Deletion!B36</f>
        <v>0</v>
      </c>
      <c r="K738" s="2">
        <f>Deletion!C36</f>
        <v>0</v>
      </c>
      <c r="L738" s="2">
        <f>Deletion!D36</f>
        <v>0</v>
      </c>
      <c r="M738" s="2">
        <f>Deletion!E36</f>
        <v>0</v>
      </c>
      <c r="N738" s="2">
        <f>Deletion!G36</f>
        <v>0</v>
      </c>
      <c r="O738" s="2">
        <f>Deletion!H36</f>
        <v>0</v>
      </c>
      <c r="P738" s="2">
        <f>Deletion!I36</f>
        <v>0</v>
      </c>
      <c r="Q738" s="2">
        <f>Deletion!J36</f>
        <v>0</v>
      </c>
      <c r="R738" s="2">
        <f>Deletion!K36</f>
        <v>0</v>
      </c>
      <c r="S738" s="2">
        <f>Deletion!N36</f>
        <v>0</v>
      </c>
      <c r="T738" s="2">
        <f t="shared" si="26"/>
        <v>0</v>
      </c>
      <c r="U738" s="10" t="str">
        <f>IF($S738=0, "", IF(COUNTIF(Table1[Amino Acid Change], $S738)=0, "Missing", "Y"))</f>
        <v/>
      </c>
      <c r="V738" s="10">
        <f t="shared" si="27"/>
        <v>0</v>
      </c>
    </row>
    <row r="739" spans="9:22" x14ac:dyDescent="0.25">
      <c r="I739" s="2">
        <f>Deletion!A37</f>
        <v>0</v>
      </c>
      <c r="J739" s="2">
        <f>Deletion!B37</f>
        <v>0</v>
      </c>
      <c r="K739" s="2">
        <f>Deletion!C37</f>
        <v>0</v>
      </c>
      <c r="L739" s="2">
        <f>Deletion!D37</f>
        <v>0</v>
      </c>
      <c r="M739" s="2">
        <f>Deletion!E37</f>
        <v>0</v>
      </c>
      <c r="N739" s="2">
        <f>Deletion!G37</f>
        <v>0</v>
      </c>
      <c r="O739" s="2">
        <f>Deletion!H37</f>
        <v>0</v>
      </c>
      <c r="P739" s="2">
        <f>Deletion!I37</f>
        <v>0</v>
      </c>
      <c r="Q739" s="2">
        <f>Deletion!J37</f>
        <v>0</v>
      </c>
      <c r="R739" s="2">
        <f>Deletion!K37</f>
        <v>0</v>
      </c>
      <c r="S739" s="2">
        <f>Deletion!N37</f>
        <v>0</v>
      </c>
      <c r="T739" s="2">
        <f t="shared" si="26"/>
        <v>0</v>
      </c>
      <c r="U739" s="10" t="str">
        <f>IF($S739=0, "", IF(COUNTIF(Table1[Amino Acid Change], $S739)=0, "Missing", "Y"))</f>
        <v/>
      </c>
      <c r="V739" s="10">
        <f t="shared" si="27"/>
        <v>0</v>
      </c>
    </row>
    <row r="740" spans="9:22" x14ac:dyDescent="0.25">
      <c r="I740" s="2">
        <f>Deletion!A38</f>
        <v>0</v>
      </c>
      <c r="J740" s="2">
        <f>Deletion!B38</f>
        <v>0</v>
      </c>
      <c r="K740" s="2">
        <f>Deletion!C38</f>
        <v>0</v>
      </c>
      <c r="L740" s="2">
        <f>Deletion!D38</f>
        <v>0</v>
      </c>
      <c r="M740" s="2">
        <f>Deletion!E38</f>
        <v>0</v>
      </c>
      <c r="N740" s="2">
        <f>Deletion!G38</f>
        <v>0</v>
      </c>
      <c r="O740" s="2">
        <f>Deletion!H38</f>
        <v>0</v>
      </c>
      <c r="P740" s="2">
        <f>Deletion!I38</f>
        <v>0</v>
      </c>
      <c r="Q740" s="2">
        <f>Deletion!J38</f>
        <v>0</v>
      </c>
      <c r="R740" s="2">
        <f>Deletion!K38</f>
        <v>0</v>
      </c>
      <c r="S740" s="2">
        <f>Deletion!N38</f>
        <v>0</v>
      </c>
      <c r="T740" s="2">
        <f t="shared" si="26"/>
        <v>0</v>
      </c>
      <c r="U740" s="10" t="str">
        <f>IF($S740=0, "", IF(COUNTIF(Table1[Amino Acid Change], $S740)=0, "Missing", "Y"))</f>
        <v/>
      </c>
      <c r="V740" s="10">
        <f t="shared" si="27"/>
        <v>0</v>
      </c>
    </row>
    <row r="741" spans="9:22" x14ac:dyDescent="0.25">
      <c r="I741" s="2">
        <f>Deletion!A39</f>
        <v>0</v>
      </c>
      <c r="J741" s="2">
        <f>Deletion!B39</f>
        <v>0</v>
      </c>
      <c r="K741" s="2">
        <f>Deletion!C39</f>
        <v>0</v>
      </c>
      <c r="L741" s="2">
        <f>Deletion!D39</f>
        <v>0</v>
      </c>
      <c r="M741" s="2">
        <f>Deletion!E39</f>
        <v>0</v>
      </c>
      <c r="N741" s="2">
        <f>Deletion!G39</f>
        <v>0</v>
      </c>
      <c r="O741" s="2">
        <f>Deletion!H39</f>
        <v>0</v>
      </c>
      <c r="P741" s="2">
        <f>Deletion!I39</f>
        <v>0</v>
      </c>
      <c r="Q741" s="2">
        <f>Deletion!J39</f>
        <v>0</v>
      </c>
      <c r="R741" s="2">
        <f>Deletion!K39</f>
        <v>0</v>
      </c>
      <c r="S741" s="2">
        <f>Deletion!N39</f>
        <v>0</v>
      </c>
      <c r="T741" s="2">
        <f t="shared" si="26"/>
        <v>0</v>
      </c>
      <c r="U741" s="10" t="str">
        <f>IF($S741=0, "", IF(COUNTIF(Table1[Amino Acid Change], $S741)=0, "Missing", "Y"))</f>
        <v/>
      </c>
      <c r="V741" s="10">
        <f t="shared" si="27"/>
        <v>0</v>
      </c>
    </row>
    <row r="742" spans="9:22" x14ac:dyDescent="0.25">
      <c r="I742" s="2">
        <f>Deletion!A40</f>
        <v>0</v>
      </c>
      <c r="J742" s="2">
        <f>Deletion!B40</f>
        <v>0</v>
      </c>
      <c r="K742" s="2">
        <f>Deletion!C40</f>
        <v>0</v>
      </c>
      <c r="L742" s="2">
        <f>Deletion!D40</f>
        <v>0</v>
      </c>
      <c r="M742" s="2">
        <f>Deletion!E40</f>
        <v>0</v>
      </c>
      <c r="N742" s="2">
        <f>Deletion!G40</f>
        <v>0</v>
      </c>
      <c r="O742" s="2">
        <f>Deletion!H40</f>
        <v>0</v>
      </c>
      <c r="P742" s="2">
        <f>Deletion!I40</f>
        <v>0</v>
      </c>
      <c r="Q742" s="2">
        <f>Deletion!J40</f>
        <v>0</v>
      </c>
      <c r="R742" s="2">
        <f>Deletion!K40</f>
        <v>0</v>
      </c>
      <c r="S742" s="2">
        <f>Deletion!N40</f>
        <v>0</v>
      </c>
      <c r="T742" s="2">
        <f t="shared" si="26"/>
        <v>0</v>
      </c>
      <c r="U742" s="10" t="str">
        <f>IF($S742=0, "", IF(COUNTIF(Table1[Amino Acid Change], $S742)=0, "Missing", "Y"))</f>
        <v/>
      </c>
      <c r="V742" s="10">
        <f t="shared" si="27"/>
        <v>0</v>
      </c>
    </row>
    <row r="743" spans="9:22" x14ac:dyDescent="0.25">
      <c r="I743" s="2">
        <f>Deletion!A41</f>
        <v>0</v>
      </c>
      <c r="J743" s="2">
        <f>Deletion!B41</f>
        <v>0</v>
      </c>
      <c r="K743" s="2">
        <f>Deletion!C41</f>
        <v>0</v>
      </c>
      <c r="L743" s="2">
        <f>Deletion!D41</f>
        <v>0</v>
      </c>
      <c r="M743" s="2">
        <f>Deletion!E41</f>
        <v>0</v>
      </c>
      <c r="N743" s="2">
        <f>Deletion!G41</f>
        <v>0</v>
      </c>
      <c r="O743" s="2">
        <f>Deletion!H41</f>
        <v>0</v>
      </c>
      <c r="P743" s="2">
        <f>Deletion!I41</f>
        <v>0</v>
      </c>
      <c r="Q743" s="2">
        <f>Deletion!J41</f>
        <v>0</v>
      </c>
      <c r="R743" s="2">
        <f>Deletion!K41</f>
        <v>0</v>
      </c>
      <c r="S743" s="2">
        <f>Deletion!N41</f>
        <v>0</v>
      </c>
      <c r="T743" s="2">
        <f t="shared" si="26"/>
        <v>0</v>
      </c>
      <c r="U743" s="10" t="str">
        <f>IF($S743=0, "", IF(COUNTIF(Table1[Amino Acid Change], $S743)=0, "Missing", "Y"))</f>
        <v/>
      </c>
      <c r="V743" s="10">
        <f t="shared" si="27"/>
        <v>0</v>
      </c>
    </row>
    <row r="744" spans="9:22" x14ac:dyDescent="0.25">
      <c r="I744" s="2">
        <f>Deletion!A42</f>
        <v>0</v>
      </c>
      <c r="J744" s="2">
        <f>Deletion!B42</f>
        <v>0</v>
      </c>
      <c r="K744" s="2">
        <f>Deletion!C42</f>
        <v>0</v>
      </c>
      <c r="L744" s="2">
        <f>Deletion!D42</f>
        <v>0</v>
      </c>
      <c r="M744" s="2">
        <f>Deletion!E42</f>
        <v>0</v>
      </c>
      <c r="N744" s="2">
        <f>Deletion!G42</f>
        <v>0</v>
      </c>
      <c r="O744" s="2">
        <f>Deletion!H42</f>
        <v>0</v>
      </c>
      <c r="P744" s="2">
        <f>Deletion!I42</f>
        <v>0</v>
      </c>
      <c r="Q744" s="2">
        <f>Deletion!J42</f>
        <v>0</v>
      </c>
      <c r="R744" s="2">
        <f>Deletion!K42</f>
        <v>0</v>
      </c>
      <c r="S744" s="2">
        <f>Deletion!N42</f>
        <v>0</v>
      </c>
      <c r="T744" s="2">
        <f t="shared" si="26"/>
        <v>0</v>
      </c>
      <c r="U744" s="10" t="str">
        <f>IF($S744=0, "", IF(COUNTIF(Table1[Amino Acid Change], $S744)=0, "Missing", "Y"))</f>
        <v/>
      </c>
      <c r="V744" s="10">
        <f t="shared" si="27"/>
        <v>0</v>
      </c>
    </row>
    <row r="745" spans="9:22" x14ac:dyDescent="0.25">
      <c r="I745" s="2">
        <f>Deletion!A43</f>
        <v>0</v>
      </c>
      <c r="J745" s="2">
        <f>Deletion!B43</f>
        <v>0</v>
      </c>
      <c r="K745" s="2">
        <f>Deletion!C43</f>
        <v>0</v>
      </c>
      <c r="L745" s="2">
        <f>Deletion!D43</f>
        <v>0</v>
      </c>
      <c r="M745" s="2">
        <f>Deletion!E43</f>
        <v>0</v>
      </c>
      <c r="N745" s="2">
        <f>Deletion!G43</f>
        <v>0</v>
      </c>
      <c r="O745" s="2">
        <f>Deletion!H43</f>
        <v>0</v>
      </c>
      <c r="P745" s="2">
        <f>Deletion!I43</f>
        <v>0</v>
      </c>
      <c r="Q745" s="2">
        <f>Deletion!J43</f>
        <v>0</v>
      </c>
      <c r="R745" s="2">
        <f>Deletion!K43</f>
        <v>0</v>
      </c>
      <c r="S745" s="2">
        <f>Deletion!N43</f>
        <v>0</v>
      </c>
      <c r="T745" s="2">
        <f t="shared" si="26"/>
        <v>0</v>
      </c>
      <c r="U745" s="10" t="str">
        <f>IF($S745=0, "", IF(COUNTIF(Table1[Amino Acid Change], $S745)=0, "Missing", "Y"))</f>
        <v/>
      </c>
      <c r="V745" s="10">
        <f t="shared" si="27"/>
        <v>0</v>
      </c>
    </row>
    <row r="746" spans="9:22" x14ac:dyDescent="0.25">
      <c r="I746" s="2">
        <f>Deletion!A44</f>
        <v>0</v>
      </c>
      <c r="J746" s="2">
        <f>Deletion!B44</f>
        <v>0</v>
      </c>
      <c r="K746" s="2">
        <f>Deletion!C44</f>
        <v>0</v>
      </c>
      <c r="L746" s="2">
        <f>Deletion!D44</f>
        <v>0</v>
      </c>
      <c r="M746" s="2">
        <f>Deletion!E44</f>
        <v>0</v>
      </c>
      <c r="N746" s="2">
        <f>Deletion!G44</f>
        <v>0</v>
      </c>
      <c r="O746" s="2">
        <f>Deletion!H44</f>
        <v>0</v>
      </c>
      <c r="P746" s="2">
        <f>Deletion!I44</f>
        <v>0</v>
      </c>
      <c r="Q746" s="2">
        <f>Deletion!J44</f>
        <v>0</v>
      </c>
      <c r="R746" s="2">
        <f>Deletion!K44</f>
        <v>0</v>
      </c>
      <c r="S746" s="2">
        <f>Deletion!N44</f>
        <v>0</v>
      </c>
      <c r="T746" s="2">
        <f t="shared" si="26"/>
        <v>0</v>
      </c>
      <c r="U746" s="10" t="str">
        <f>IF($S746=0, "", IF(COUNTIF(Table1[Amino Acid Change], $S746)=0, "Missing", "Y"))</f>
        <v/>
      </c>
      <c r="V746" s="10">
        <f t="shared" si="27"/>
        <v>0</v>
      </c>
    </row>
    <row r="747" spans="9:22" x14ac:dyDescent="0.25">
      <c r="I747" s="2">
        <f>Deletion!A45</f>
        <v>0</v>
      </c>
      <c r="J747" s="2">
        <f>Deletion!B45</f>
        <v>0</v>
      </c>
      <c r="K747" s="2">
        <f>Deletion!C45</f>
        <v>0</v>
      </c>
      <c r="L747" s="2">
        <f>Deletion!D45</f>
        <v>0</v>
      </c>
      <c r="M747" s="2">
        <f>Deletion!E45</f>
        <v>0</v>
      </c>
      <c r="N747" s="2">
        <f>Deletion!G45</f>
        <v>0</v>
      </c>
      <c r="O747" s="2">
        <f>Deletion!H45</f>
        <v>0</v>
      </c>
      <c r="P747" s="2">
        <f>Deletion!I45</f>
        <v>0</v>
      </c>
      <c r="Q747" s="2">
        <f>Deletion!J45</f>
        <v>0</v>
      </c>
      <c r="R747" s="2">
        <f>Deletion!K45</f>
        <v>0</v>
      </c>
      <c r="S747" s="2">
        <f>Deletion!N45</f>
        <v>0</v>
      </c>
      <c r="T747" s="2">
        <f t="shared" si="26"/>
        <v>0</v>
      </c>
      <c r="U747" s="10" t="str">
        <f>IF($S747=0, "", IF(COUNTIF(Table1[Amino Acid Change], $S747)=0, "Missing", "Y"))</f>
        <v/>
      </c>
      <c r="V747" s="10">
        <f t="shared" si="27"/>
        <v>0</v>
      </c>
    </row>
    <row r="748" spans="9:22" x14ac:dyDescent="0.25">
      <c r="I748" s="2">
        <f>Deletion!A46</f>
        <v>0</v>
      </c>
      <c r="J748" s="2">
        <f>Deletion!B46</f>
        <v>0</v>
      </c>
      <c r="K748" s="2">
        <f>Deletion!C46</f>
        <v>0</v>
      </c>
      <c r="L748" s="2">
        <f>Deletion!D46</f>
        <v>0</v>
      </c>
      <c r="M748" s="2">
        <f>Deletion!E46</f>
        <v>0</v>
      </c>
      <c r="N748" s="2">
        <f>Deletion!G46</f>
        <v>0</v>
      </c>
      <c r="O748" s="2">
        <f>Deletion!H46</f>
        <v>0</v>
      </c>
      <c r="P748" s="2">
        <f>Deletion!I46</f>
        <v>0</v>
      </c>
      <c r="Q748" s="2">
        <f>Deletion!J46</f>
        <v>0</v>
      </c>
      <c r="R748" s="2">
        <f>Deletion!K46</f>
        <v>0</v>
      </c>
      <c r="S748" s="2">
        <f>Deletion!N46</f>
        <v>0</v>
      </c>
      <c r="T748" s="2">
        <f t="shared" si="26"/>
        <v>0</v>
      </c>
      <c r="U748" s="10" t="str">
        <f>IF($S748=0, "", IF(COUNTIF(Table1[Amino Acid Change], $S748)=0, "Missing", "Y"))</f>
        <v/>
      </c>
      <c r="V748" s="10">
        <f t="shared" si="27"/>
        <v>0</v>
      </c>
    </row>
    <row r="749" spans="9:22" x14ac:dyDescent="0.25">
      <c r="I749" s="2">
        <f>Deletion!A47</f>
        <v>0</v>
      </c>
      <c r="J749" s="2">
        <f>Deletion!B47</f>
        <v>0</v>
      </c>
      <c r="K749" s="2">
        <f>Deletion!C47</f>
        <v>0</v>
      </c>
      <c r="L749" s="2">
        <f>Deletion!D47</f>
        <v>0</v>
      </c>
      <c r="M749" s="2">
        <f>Deletion!E47</f>
        <v>0</v>
      </c>
      <c r="N749" s="2">
        <f>Deletion!G47</f>
        <v>0</v>
      </c>
      <c r="O749" s="2">
        <f>Deletion!H47</f>
        <v>0</v>
      </c>
      <c r="P749" s="2">
        <f>Deletion!I47</f>
        <v>0</v>
      </c>
      <c r="Q749" s="2">
        <f>Deletion!J47</f>
        <v>0</v>
      </c>
      <c r="R749" s="2">
        <f>Deletion!K47</f>
        <v>0</v>
      </c>
      <c r="S749" s="2">
        <f>Deletion!N47</f>
        <v>0</v>
      </c>
      <c r="T749" s="2">
        <f t="shared" si="26"/>
        <v>0</v>
      </c>
      <c r="U749" s="10" t="str">
        <f>IF($S749=0, "", IF(COUNTIF(Table1[Amino Acid Change], $S749)=0, "Missing", "Y"))</f>
        <v/>
      </c>
      <c r="V749" s="10">
        <f t="shared" si="27"/>
        <v>0</v>
      </c>
    </row>
    <row r="750" spans="9:22" x14ac:dyDescent="0.25">
      <c r="I750" s="2">
        <f>Deletion!A48</f>
        <v>0</v>
      </c>
      <c r="J750" s="2">
        <f>Deletion!B48</f>
        <v>0</v>
      </c>
      <c r="K750" s="2">
        <f>Deletion!C48</f>
        <v>0</v>
      </c>
      <c r="L750" s="2">
        <f>Deletion!D48</f>
        <v>0</v>
      </c>
      <c r="M750" s="2">
        <f>Deletion!E48</f>
        <v>0</v>
      </c>
      <c r="N750" s="2">
        <f>Deletion!G48</f>
        <v>0</v>
      </c>
      <c r="O750" s="2">
        <f>Deletion!H48</f>
        <v>0</v>
      </c>
      <c r="P750" s="2">
        <f>Deletion!I48</f>
        <v>0</v>
      </c>
      <c r="Q750" s="2">
        <f>Deletion!J48</f>
        <v>0</v>
      </c>
      <c r="R750" s="2">
        <f>Deletion!K48</f>
        <v>0</v>
      </c>
      <c r="S750" s="2">
        <f>Deletion!N48</f>
        <v>0</v>
      </c>
      <c r="T750" s="2">
        <f t="shared" si="26"/>
        <v>0</v>
      </c>
      <c r="U750" s="10" t="str">
        <f>IF($S750=0, "", IF(COUNTIF(Table1[Amino Acid Change], $S750)=0, "Missing", "Y"))</f>
        <v/>
      </c>
      <c r="V750" s="10">
        <f t="shared" si="27"/>
        <v>0</v>
      </c>
    </row>
    <row r="751" spans="9:22" x14ac:dyDescent="0.25">
      <c r="I751" s="2">
        <f>Deletion!A49</f>
        <v>0</v>
      </c>
      <c r="J751" s="2">
        <f>Deletion!B49</f>
        <v>0</v>
      </c>
      <c r="K751" s="2">
        <f>Deletion!C49</f>
        <v>0</v>
      </c>
      <c r="L751" s="2">
        <f>Deletion!D49</f>
        <v>0</v>
      </c>
      <c r="M751" s="2">
        <f>Deletion!E49</f>
        <v>0</v>
      </c>
      <c r="N751" s="2">
        <f>Deletion!G49</f>
        <v>0</v>
      </c>
      <c r="O751" s="2">
        <f>Deletion!H49</f>
        <v>0</v>
      </c>
      <c r="P751" s="2">
        <f>Deletion!I49</f>
        <v>0</v>
      </c>
      <c r="Q751" s="2">
        <f>Deletion!J49</f>
        <v>0</v>
      </c>
      <c r="R751" s="2">
        <f>Deletion!K49</f>
        <v>0</v>
      </c>
      <c r="S751" s="2">
        <f>Deletion!N49</f>
        <v>0</v>
      </c>
      <c r="T751" s="2">
        <f t="shared" si="26"/>
        <v>0</v>
      </c>
      <c r="U751" s="10" t="str">
        <f>IF($S751=0, "", IF(COUNTIF(Table1[Amino Acid Change], $S751)=0, "Missing", "Y"))</f>
        <v/>
      </c>
      <c r="V751" s="10">
        <f t="shared" si="27"/>
        <v>0</v>
      </c>
    </row>
    <row r="752" spans="9:22" x14ac:dyDescent="0.25">
      <c r="I752" s="2">
        <f>Deletion!A50</f>
        <v>0</v>
      </c>
      <c r="J752" s="2">
        <f>Deletion!B50</f>
        <v>0</v>
      </c>
      <c r="K752" s="2">
        <f>Deletion!C50</f>
        <v>0</v>
      </c>
      <c r="L752" s="2">
        <f>Deletion!D50</f>
        <v>0</v>
      </c>
      <c r="M752" s="2">
        <f>Deletion!E50</f>
        <v>0</v>
      </c>
      <c r="N752" s="2">
        <f>Deletion!G50</f>
        <v>0</v>
      </c>
      <c r="O752" s="2">
        <f>Deletion!H50</f>
        <v>0</v>
      </c>
      <c r="P752" s="2">
        <f>Deletion!I50</f>
        <v>0</v>
      </c>
      <c r="Q752" s="2">
        <f>Deletion!J50</f>
        <v>0</v>
      </c>
      <c r="R752" s="2">
        <f>Deletion!K50</f>
        <v>0</v>
      </c>
      <c r="S752" s="2">
        <f>Deletion!N50</f>
        <v>0</v>
      </c>
      <c r="T752" s="2">
        <f t="shared" si="26"/>
        <v>0</v>
      </c>
      <c r="U752" s="10" t="str">
        <f>IF($S752=0, "", IF(COUNTIF(Table1[Amino Acid Change], $S752)=0, "Missing", "Y"))</f>
        <v/>
      </c>
      <c r="V752" s="10">
        <f t="shared" si="27"/>
        <v>0</v>
      </c>
    </row>
    <row r="753" spans="9:22" x14ac:dyDescent="0.25">
      <c r="I753" s="2">
        <f>Deletion!A51</f>
        <v>0</v>
      </c>
      <c r="J753" s="2">
        <f>Deletion!B51</f>
        <v>0</v>
      </c>
      <c r="K753" s="2">
        <f>Deletion!C51</f>
        <v>0</v>
      </c>
      <c r="L753" s="2">
        <f>Deletion!D51</f>
        <v>0</v>
      </c>
      <c r="M753" s="2">
        <f>Deletion!E51</f>
        <v>0</v>
      </c>
      <c r="N753" s="2">
        <f>Deletion!G51</f>
        <v>0</v>
      </c>
      <c r="O753" s="2">
        <f>Deletion!H51</f>
        <v>0</v>
      </c>
      <c r="P753" s="2">
        <f>Deletion!I51</f>
        <v>0</v>
      </c>
      <c r="Q753" s="2">
        <f>Deletion!J51</f>
        <v>0</v>
      </c>
      <c r="R753" s="2">
        <f>Deletion!K51</f>
        <v>0</v>
      </c>
      <c r="S753" s="2">
        <f>Deletion!N51</f>
        <v>0</v>
      </c>
      <c r="T753" s="2">
        <f t="shared" si="26"/>
        <v>0</v>
      </c>
      <c r="U753" s="10" t="str">
        <f>IF($S753=0, "", IF(COUNTIF(Table1[Amino Acid Change], $S753)=0, "Missing", "Y"))</f>
        <v/>
      </c>
      <c r="V753" s="10">
        <f t="shared" si="27"/>
        <v>0</v>
      </c>
    </row>
    <row r="754" spans="9:22" x14ac:dyDescent="0.25">
      <c r="I754" s="2">
        <f>Deletion!A52</f>
        <v>0</v>
      </c>
      <c r="J754" s="2">
        <f>Deletion!B52</f>
        <v>0</v>
      </c>
      <c r="K754" s="2">
        <f>Deletion!C52</f>
        <v>0</v>
      </c>
      <c r="L754" s="2">
        <f>Deletion!D52</f>
        <v>0</v>
      </c>
      <c r="M754" s="2">
        <f>Deletion!E52</f>
        <v>0</v>
      </c>
      <c r="N754" s="2">
        <f>Deletion!G52</f>
        <v>0</v>
      </c>
      <c r="O754" s="2">
        <f>Deletion!H52</f>
        <v>0</v>
      </c>
      <c r="P754" s="2">
        <f>Deletion!I52</f>
        <v>0</v>
      </c>
      <c r="Q754" s="2">
        <f>Deletion!J52</f>
        <v>0</v>
      </c>
      <c r="R754" s="2">
        <f>Deletion!K52</f>
        <v>0</v>
      </c>
      <c r="S754" s="2">
        <f>Deletion!N52</f>
        <v>0</v>
      </c>
      <c r="T754" s="2">
        <f t="shared" si="26"/>
        <v>0</v>
      </c>
      <c r="U754" s="10" t="str">
        <f>IF($S754=0, "", IF(COUNTIF(Table1[Amino Acid Change], $S754)=0, "Missing", "Y"))</f>
        <v/>
      </c>
      <c r="V754" s="10">
        <f t="shared" si="27"/>
        <v>0</v>
      </c>
    </row>
    <row r="755" spans="9:22" x14ac:dyDescent="0.25">
      <c r="I755" s="2">
        <f>Deletion!A53</f>
        <v>0</v>
      </c>
      <c r="J755" s="2">
        <f>Deletion!B53</f>
        <v>0</v>
      </c>
      <c r="K755" s="2">
        <f>Deletion!C53</f>
        <v>0</v>
      </c>
      <c r="L755" s="2">
        <f>Deletion!D53</f>
        <v>0</v>
      </c>
      <c r="M755" s="2">
        <f>Deletion!E53</f>
        <v>0</v>
      </c>
      <c r="N755" s="2">
        <f>Deletion!G53</f>
        <v>0</v>
      </c>
      <c r="O755" s="2">
        <f>Deletion!H53</f>
        <v>0</v>
      </c>
      <c r="P755" s="2">
        <f>Deletion!I53</f>
        <v>0</v>
      </c>
      <c r="Q755" s="2">
        <f>Deletion!J53</f>
        <v>0</v>
      </c>
      <c r="R755" s="2">
        <f>Deletion!K53</f>
        <v>0</v>
      </c>
      <c r="S755" s="2">
        <f>Deletion!N53</f>
        <v>0</v>
      </c>
      <c r="T755" s="2">
        <f t="shared" si="26"/>
        <v>0</v>
      </c>
      <c r="U755" s="10" t="str">
        <f>IF($S755=0, "", IF(COUNTIF(Table1[Amino Acid Change], $S755)=0, "Missing", "Y"))</f>
        <v/>
      </c>
      <c r="V755" s="10">
        <f t="shared" si="27"/>
        <v>0</v>
      </c>
    </row>
    <row r="756" spans="9:22" x14ac:dyDescent="0.25">
      <c r="I756" s="2">
        <f>Deletion!A54</f>
        <v>0</v>
      </c>
      <c r="J756" s="2">
        <f>Deletion!B54</f>
        <v>0</v>
      </c>
      <c r="K756" s="2">
        <f>Deletion!C54</f>
        <v>0</v>
      </c>
      <c r="L756" s="2">
        <f>Deletion!D54</f>
        <v>0</v>
      </c>
      <c r="M756" s="2">
        <f>Deletion!E54</f>
        <v>0</v>
      </c>
      <c r="N756" s="2">
        <f>Deletion!G54</f>
        <v>0</v>
      </c>
      <c r="O756" s="2">
        <f>Deletion!H54</f>
        <v>0</v>
      </c>
      <c r="P756" s="2">
        <f>Deletion!I54</f>
        <v>0</v>
      </c>
      <c r="Q756" s="2">
        <f>Deletion!J54</f>
        <v>0</v>
      </c>
      <c r="R756" s="2">
        <f>Deletion!K54</f>
        <v>0</v>
      </c>
      <c r="S756" s="2">
        <f>Deletion!N54</f>
        <v>0</v>
      </c>
      <c r="T756" s="2">
        <f t="shared" si="26"/>
        <v>0</v>
      </c>
      <c r="U756" s="10" t="str">
        <f>IF($S756=0, "", IF(COUNTIF(Table1[Amino Acid Change], $S756)=0, "Missing", "Y"))</f>
        <v/>
      </c>
      <c r="V756" s="10">
        <f t="shared" si="27"/>
        <v>0</v>
      </c>
    </row>
    <row r="757" spans="9:22" x14ac:dyDescent="0.25">
      <c r="I757" s="2">
        <f>Deletion!A55</f>
        <v>0</v>
      </c>
      <c r="J757" s="2">
        <f>Deletion!B55</f>
        <v>0</v>
      </c>
      <c r="K757" s="2">
        <f>Deletion!C55</f>
        <v>0</v>
      </c>
      <c r="L757" s="2">
        <f>Deletion!D55</f>
        <v>0</v>
      </c>
      <c r="M757" s="2">
        <f>Deletion!E55</f>
        <v>0</v>
      </c>
      <c r="N757" s="2">
        <f>Deletion!G55</f>
        <v>0</v>
      </c>
      <c r="O757" s="2">
        <f>Deletion!H55</f>
        <v>0</v>
      </c>
      <c r="P757" s="2">
        <f>Deletion!I55</f>
        <v>0</v>
      </c>
      <c r="Q757" s="2">
        <f>Deletion!J55</f>
        <v>0</v>
      </c>
      <c r="R757" s="2">
        <f>Deletion!K55</f>
        <v>0</v>
      </c>
      <c r="S757" s="2">
        <f>Deletion!N55</f>
        <v>0</v>
      </c>
      <c r="T757" s="2">
        <f t="shared" si="26"/>
        <v>0</v>
      </c>
      <c r="U757" s="10" t="str">
        <f>IF($S757=0, "", IF(COUNTIF(Table1[Amino Acid Change], $S757)=0, "Missing", "Y"))</f>
        <v/>
      </c>
      <c r="V757" s="10">
        <f t="shared" si="27"/>
        <v>0</v>
      </c>
    </row>
    <row r="758" spans="9:22" x14ac:dyDescent="0.25">
      <c r="I758" s="2">
        <f>Deletion!A56</f>
        <v>0</v>
      </c>
      <c r="J758" s="2">
        <f>Deletion!B56</f>
        <v>0</v>
      </c>
      <c r="K758" s="2">
        <f>Deletion!C56</f>
        <v>0</v>
      </c>
      <c r="L758" s="2">
        <f>Deletion!D56</f>
        <v>0</v>
      </c>
      <c r="M758" s="2">
        <f>Deletion!E56</f>
        <v>0</v>
      </c>
      <c r="N758" s="2">
        <f>Deletion!G56</f>
        <v>0</v>
      </c>
      <c r="O758" s="2">
        <f>Deletion!H56</f>
        <v>0</v>
      </c>
      <c r="P758" s="2">
        <f>Deletion!I56</f>
        <v>0</v>
      </c>
      <c r="Q758" s="2">
        <f>Deletion!J56</f>
        <v>0</v>
      </c>
      <c r="R758" s="2">
        <f>Deletion!K56</f>
        <v>0</v>
      </c>
      <c r="S758" s="2">
        <f>Deletion!N56</f>
        <v>0</v>
      </c>
      <c r="T758" s="2">
        <f t="shared" si="26"/>
        <v>0</v>
      </c>
      <c r="U758" s="10" t="str">
        <f>IF($S758=0, "", IF(COUNTIF(Table1[Amino Acid Change], $S758)=0, "Missing", "Y"))</f>
        <v/>
      </c>
      <c r="V758" s="10">
        <f t="shared" si="27"/>
        <v>0</v>
      </c>
    </row>
    <row r="759" spans="9:22" x14ac:dyDescent="0.25">
      <c r="I759" s="2">
        <f>Deletion!A57</f>
        <v>0</v>
      </c>
      <c r="J759" s="2">
        <f>Deletion!B57</f>
        <v>0</v>
      </c>
      <c r="K759" s="2">
        <f>Deletion!C57</f>
        <v>0</v>
      </c>
      <c r="L759" s="2">
        <f>Deletion!D57</f>
        <v>0</v>
      </c>
      <c r="M759" s="2">
        <f>Deletion!E57</f>
        <v>0</v>
      </c>
      <c r="N759" s="2">
        <f>Deletion!G57</f>
        <v>0</v>
      </c>
      <c r="O759" s="2">
        <f>Deletion!H57</f>
        <v>0</v>
      </c>
      <c r="P759" s="2">
        <f>Deletion!I57</f>
        <v>0</v>
      </c>
      <c r="Q759" s="2">
        <f>Deletion!J57</f>
        <v>0</v>
      </c>
      <c r="R759" s="2">
        <f>Deletion!K57</f>
        <v>0</v>
      </c>
      <c r="S759" s="2">
        <f>Deletion!N57</f>
        <v>0</v>
      </c>
      <c r="T759" s="2">
        <f t="shared" si="26"/>
        <v>0</v>
      </c>
      <c r="U759" s="10" t="str">
        <f>IF($S759=0, "", IF(COUNTIF(Table1[Amino Acid Change], $S759)=0, "Missing", "Y"))</f>
        <v/>
      </c>
      <c r="V759" s="10">
        <f t="shared" si="27"/>
        <v>0</v>
      </c>
    </row>
    <row r="760" spans="9:22" x14ac:dyDescent="0.25">
      <c r="I760" s="2">
        <f>Deletion!A58</f>
        <v>0</v>
      </c>
      <c r="J760" s="2">
        <f>Deletion!B58</f>
        <v>0</v>
      </c>
      <c r="K760" s="2">
        <f>Deletion!C58</f>
        <v>0</v>
      </c>
      <c r="L760" s="2">
        <f>Deletion!D58</f>
        <v>0</v>
      </c>
      <c r="M760" s="2">
        <f>Deletion!E58</f>
        <v>0</v>
      </c>
      <c r="N760" s="2">
        <f>Deletion!G58</f>
        <v>0</v>
      </c>
      <c r="O760" s="2">
        <f>Deletion!H58</f>
        <v>0</v>
      </c>
      <c r="P760" s="2">
        <f>Deletion!I58</f>
        <v>0</v>
      </c>
      <c r="Q760" s="2">
        <f>Deletion!J58</f>
        <v>0</v>
      </c>
      <c r="R760" s="2">
        <f>Deletion!K58</f>
        <v>0</v>
      </c>
      <c r="S760" s="2">
        <f>Deletion!N58</f>
        <v>0</v>
      </c>
      <c r="T760" s="2">
        <f t="shared" si="26"/>
        <v>0</v>
      </c>
      <c r="U760" s="10" t="str">
        <f>IF($S760=0, "", IF(COUNTIF(Table1[Amino Acid Change], $S760)=0, "Missing", "Y"))</f>
        <v/>
      </c>
      <c r="V760" s="10">
        <f t="shared" si="27"/>
        <v>0</v>
      </c>
    </row>
    <row r="761" spans="9:22" x14ac:dyDescent="0.25">
      <c r="I761" s="2">
        <f>Deletion!A59</f>
        <v>0</v>
      </c>
      <c r="J761" s="2">
        <f>Deletion!B59</f>
        <v>0</v>
      </c>
      <c r="K761" s="2">
        <f>Deletion!C59</f>
        <v>0</v>
      </c>
      <c r="L761" s="2">
        <f>Deletion!D59</f>
        <v>0</v>
      </c>
      <c r="M761" s="2">
        <f>Deletion!E59</f>
        <v>0</v>
      </c>
      <c r="N761" s="2">
        <f>Deletion!G59</f>
        <v>0</v>
      </c>
      <c r="O761" s="2">
        <f>Deletion!H59</f>
        <v>0</v>
      </c>
      <c r="P761" s="2">
        <f>Deletion!I59</f>
        <v>0</v>
      </c>
      <c r="Q761" s="2">
        <f>Deletion!J59</f>
        <v>0</v>
      </c>
      <c r="R761" s="2">
        <f>Deletion!K59</f>
        <v>0</v>
      </c>
      <c r="S761" s="2">
        <f>Deletion!N59</f>
        <v>0</v>
      </c>
      <c r="T761" s="2">
        <f t="shared" si="26"/>
        <v>0</v>
      </c>
      <c r="U761" s="10" t="str">
        <f>IF($S761=0, "", IF(COUNTIF(Table1[Amino Acid Change], $S761)=0, "Missing", "Y"))</f>
        <v/>
      </c>
      <c r="V761" s="10">
        <f t="shared" si="27"/>
        <v>0</v>
      </c>
    </row>
    <row r="762" spans="9:22" x14ac:dyDescent="0.25">
      <c r="I762" s="2">
        <f>Deletion!A60</f>
        <v>0</v>
      </c>
      <c r="J762" s="2">
        <f>Deletion!B60</f>
        <v>0</v>
      </c>
      <c r="K762" s="2">
        <f>Deletion!C60</f>
        <v>0</v>
      </c>
      <c r="L762" s="2">
        <f>Deletion!D60</f>
        <v>0</v>
      </c>
      <c r="M762" s="2">
        <f>Deletion!E60</f>
        <v>0</v>
      </c>
      <c r="N762" s="2">
        <f>Deletion!G60</f>
        <v>0</v>
      </c>
      <c r="O762" s="2">
        <f>Deletion!H60</f>
        <v>0</v>
      </c>
      <c r="P762" s="2">
        <f>Deletion!I60</f>
        <v>0</v>
      </c>
      <c r="Q762" s="2">
        <f>Deletion!J60</f>
        <v>0</v>
      </c>
      <c r="R762" s="2">
        <f>Deletion!K60</f>
        <v>0</v>
      </c>
      <c r="S762" s="2">
        <f>Deletion!N60</f>
        <v>0</v>
      </c>
      <c r="T762" s="2">
        <f t="shared" si="26"/>
        <v>0</v>
      </c>
      <c r="U762" s="10" t="str">
        <f>IF($S762=0, "", IF(COUNTIF(Table1[Amino Acid Change], $S762)=0, "Missing", "Y"))</f>
        <v/>
      </c>
      <c r="V762" s="10">
        <f t="shared" si="27"/>
        <v>0</v>
      </c>
    </row>
    <row r="763" spans="9:22" x14ac:dyDescent="0.25">
      <c r="I763" s="2">
        <f>Deletion!A61</f>
        <v>0</v>
      </c>
      <c r="J763" s="2">
        <f>Deletion!B61</f>
        <v>0</v>
      </c>
      <c r="K763" s="2">
        <f>Deletion!C61</f>
        <v>0</v>
      </c>
      <c r="L763" s="2">
        <f>Deletion!D61</f>
        <v>0</v>
      </c>
      <c r="M763" s="2">
        <f>Deletion!E61</f>
        <v>0</v>
      </c>
      <c r="N763" s="2">
        <f>Deletion!G61</f>
        <v>0</v>
      </c>
      <c r="O763" s="2">
        <f>Deletion!H61</f>
        <v>0</v>
      </c>
      <c r="P763" s="2">
        <f>Deletion!I61</f>
        <v>0</v>
      </c>
      <c r="Q763" s="2">
        <f>Deletion!J61</f>
        <v>0</v>
      </c>
      <c r="R763" s="2">
        <f>Deletion!K61</f>
        <v>0</v>
      </c>
      <c r="S763" s="2">
        <f>Deletion!N61</f>
        <v>0</v>
      </c>
      <c r="T763" s="2">
        <f t="shared" si="26"/>
        <v>0</v>
      </c>
      <c r="U763" s="10" t="str">
        <f>IF($S763=0, "", IF(COUNTIF(Table1[Amino Acid Change], $S763)=0, "Missing", "Y"))</f>
        <v/>
      </c>
      <c r="V763" s="10">
        <f t="shared" si="27"/>
        <v>0</v>
      </c>
    </row>
    <row r="764" spans="9:22" x14ac:dyDescent="0.25">
      <c r="I764" s="2">
        <f>Deletion!A62</f>
        <v>0</v>
      </c>
      <c r="J764" s="2">
        <f>Deletion!B62</f>
        <v>0</v>
      </c>
      <c r="K764" s="2">
        <f>Deletion!C62</f>
        <v>0</v>
      </c>
      <c r="L764" s="2">
        <f>Deletion!D62</f>
        <v>0</v>
      </c>
      <c r="M764" s="2">
        <f>Deletion!E62</f>
        <v>0</v>
      </c>
      <c r="N764" s="2">
        <f>Deletion!G62</f>
        <v>0</v>
      </c>
      <c r="O764" s="2">
        <f>Deletion!H62</f>
        <v>0</v>
      </c>
      <c r="P764" s="2">
        <f>Deletion!I62</f>
        <v>0</v>
      </c>
      <c r="Q764" s="2">
        <f>Deletion!J62</f>
        <v>0</v>
      </c>
      <c r="R764" s="2">
        <f>Deletion!K62</f>
        <v>0</v>
      </c>
      <c r="S764" s="2">
        <f>Deletion!N62</f>
        <v>0</v>
      </c>
      <c r="T764" s="2">
        <f t="shared" si="26"/>
        <v>0</v>
      </c>
      <c r="U764" s="10" t="str">
        <f>IF($S764=0, "", IF(COUNTIF(Table1[Amino Acid Change], $S764)=0, "Missing", "Y"))</f>
        <v/>
      </c>
      <c r="V764" s="10">
        <f t="shared" si="27"/>
        <v>0</v>
      </c>
    </row>
    <row r="765" spans="9:22" x14ac:dyDescent="0.25">
      <c r="I765" s="2">
        <f>Deletion!A63</f>
        <v>0</v>
      </c>
      <c r="J765" s="2">
        <f>Deletion!B63</f>
        <v>0</v>
      </c>
      <c r="K765" s="2">
        <f>Deletion!C63</f>
        <v>0</v>
      </c>
      <c r="L765" s="2">
        <f>Deletion!D63</f>
        <v>0</v>
      </c>
      <c r="M765" s="2">
        <f>Deletion!E63</f>
        <v>0</v>
      </c>
      <c r="N765" s="2">
        <f>Deletion!G63</f>
        <v>0</v>
      </c>
      <c r="O765" s="2">
        <f>Deletion!H63</f>
        <v>0</v>
      </c>
      <c r="P765" s="2">
        <f>Deletion!I63</f>
        <v>0</v>
      </c>
      <c r="Q765" s="2">
        <f>Deletion!J63</f>
        <v>0</v>
      </c>
      <c r="R765" s="2">
        <f>Deletion!K63</f>
        <v>0</v>
      </c>
      <c r="S765" s="2">
        <f>Deletion!N63</f>
        <v>0</v>
      </c>
      <c r="T765" s="2">
        <f t="shared" si="26"/>
        <v>0</v>
      </c>
      <c r="U765" s="10" t="str">
        <f>IF($S765=0, "", IF(COUNTIF(Table1[Amino Acid Change], $S765)=0, "Missing", "Y"))</f>
        <v/>
      </c>
      <c r="V765" s="10">
        <f t="shared" si="27"/>
        <v>0</v>
      </c>
    </row>
    <row r="766" spans="9:22" x14ac:dyDescent="0.25">
      <c r="I766" s="2">
        <f>Deletion!A64</f>
        <v>0</v>
      </c>
      <c r="J766" s="2">
        <f>Deletion!B64</f>
        <v>0</v>
      </c>
      <c r="K766" s="2">
        <f>Deletion!C64</f>
        <v>0</v>
      </c>
      <c r="L766" s="2">
        <f>Deletion!D64</f>
        <v>0</v>
      </c>
      <c r="M766" s="2">
        <f>Deletion!E64</f>
        <v>0</v>
      </c>
      <c r="N766" s="2">
        <f>Deletion!G64</f>
        <v>0</v>
      </c>
      <c r="O766" s="2">
        <f>Deletion!H64</f>
        <v>0</v>
      </c>
      <c r="P766" s="2">
        <f>Deletion!I64</f>
        <v>0</v>
      </c>
      <c r="Q766" s="2">
        <f>Deletion!J64</f>
        <v>0</v>
      </c>
      <c r="R766" s="2">
        <f>Deletion!K64</f>
        <v>0</v>
      </c>
      <c r="S766" s="2">
        <f>Deletion!N64</f>
        <v>0</v>
      </c>
      <c r="T766" s="2">
        <f t="shared" si="26"/>
        <v>0</v>
      </c>
      <c r="U766" s="10" t="str">
        <f>IF($S766=0, "", IF(COUNTIF(Table1[Amino Acid Change], $S766)=0, "Missing", "Y"))</f>
        <v/>
      </c>
      <c r="V766" s="10">
        <f t="shared" si="27"/>
        <v>0</v>
      </c>
    </row>
    <row r="767" spans="9:22" x14ac:dyDescent="0.25">
      <c r="I767" s="2">
        <f>Deletion!A65</f>
        <v>0</v>
      </c>
      <c r="J767" s="2">
        <f>Deletion!B65</f>
        <v>0</v>
      </c>
      <c r="K767" s="2">
        <f>Deletion!C65</f>
        <v>0</v>
      </c>
      <c r="L767" s="2">
        <f>Deletion!D65</f>
        <v>0</v>
      </c>
      <c r="M767" s="2">
        <f>Deletion!E65</f>
        <v>0</v>
      </c>
      <c r="N767" s="2">
        <f>Deletion!G65</f>
        <v>0</v>
      </c>
      <c r="O767" s="2">
        <f>Deletion!H65</f>
        <v>0</v>
      </c>
      <c r="P767" s="2">
        <f>Deletion!I65</f>
        <v>0</v>
      </c>
      <c r="Q767" s="2">
        <f>Deletion!J65</f>
        <v>0</v>
      </c>
      <c r="R767" s="2">
        <f>Deletion!K65</f>
        <v>0</v>
      </c>
      <c r="S767" s="2">
        <f>Deletion!N65</f>
        <v>0</v>
      </c>
      <c r="T767" s="2">
        <f t="shared" si="26"/>
        <v>0</v>
      </c>
      <c r="U767" s="10" t="str">
        <f>IF($S767=0, "", IF(COUNTIF(Table1[Amino Acid Change], $S767)=0, "Missing", "Y"))</f>
        <v/>
      </c>
      <c r="V767" s="10">
        <f t="shared" si="27"/>
        <v>0</v>
      </c>
    </row>
    <row r="768" spans="9:22" x14ac:dyDescent="0.25">
      <c r="I768" s="2">
        <f>Deletion!A66</f>
        <v>0</v>
      </c>
      <c r="J768" s="2">
        <f>Deletion!B66</f>
        <v>0</v>
      </c>
      <c r="K768" s="2">
        <f>Deletion!C66</f>
        <v>0</v>
      </c>
      <c r="L768" s="2">
        <f>Deletion!D66</f>
        <v>0</v>
      </c>
      <c r="M768" s="2">
        <f>Deletion!E66</f>
        <v>0</v>
      </c>
      <c r="N768" s="2">
        <f>Deletion!G66</f>
        <v>0</v>
      </c>
      <c r="O768" s="2">
        <f>Deletion!H66</f>
        <v>0</v>
      </c>
      <c r="P768" s="2">
        <f>Deletion!I66</f>
        <v>0</v>
      </c>
      <c r="Q768" s="2">
        <f>Deletion!J66</f>
        <v>0</v>
      </c>
      <c r="R768" s="2">
        <f>Deletion!K66</f>
        <v>0</v>
      </c>
      <c r="S768" s="2">
        <f>Deletion!N66</f>
        <v>0</v>
      </c>
      <c r="T768" s="2">
        <f t="shared" si="26"/>
        <v>0</v>
      </c>
      <c r="U768" s="10" t="str">
        <f>IF($S768=0, "", IF(COUNTIF(Table1[Amino Acid Change], $S768)=0, "Missing", "Y"))</f>
        <v/>
      </c>
      <c r="V768" s="10">
        <f t="shared" si="27"/>
        <v>0</v>
      </c>
    </row>
    <row r="769" spans="9:22" x14ac:dyDescent="0.25">
      <c r="I769" s="2">
        <f>Deletion!A67</f>
        <v>0</v>
      </c>
      <c r="J769" s="2">
        <f>Deletion!B67</f>
        <v>0</v>
      </c>
      <c r="K769" s="2">
        <f>Deletion!C67</f>
        <v>0</v>
      </c>
      <c r="L769" s="2">
        <f>Deletion!D67</f>
        <v>0</v>
      </c>
      <c r="M769" s="2">
        <f>Deletion!E67</f>
        <v>0</v>
      </c>
      <c r="N769" s="2">
        <f>Deletion!G67</f>
        <v>0</v>
      </c>
      <c r="O769" s="2">
        <f>Deletion!H67</f>
        <v>0</v>
      </c>
      <c r="P769" s="2">
        <f>Deletion!I67</f>
        <v>0</v>
      </c>
      <c r="Q769" s="2">
        <f>Deletion!J67</f>
        <v>0</v>
      </c>
      <c r="R769" s="2">
        <f>Deletion!K67</f>
        <v>0</v>
      </c>
      <c r="S769" s="2">
        <f>Deletion!N67</f>
        <v>0</v>
      </c>
      <c r="T769" s="2">
        <f t="shared" ref="T769:T832" si="28">P769</f>
        <v>0</v>
      </c>
      <c r="U769" s="10" t="str">
        <f>IF($S769=0, "", IF(COUNTIF(Table1[Amino Acid Change], $S769)=0, "Missing", "Y"))</f>
        <v/>
      </c>
      <c r="V769" s="10">
        <f t="shared" ref="V769:V832" si="29">J769</f>
        <v>0</v>
      </c>
    </row>
    <row r="770" spans="9:22" x14ac:dyDescent="0.25">
      <c r="I770" s="2">
        <f>Deletion!A68</f>
        <v>0</v>
      </c>
      <c r="J770" s="2">
        <f>Deletion!B68</f>
        <v>0</v>
      </c>
      <c r="K770" s="2">
        <f>Deletion!C68</f>
        <v>0</v>
      </c>
      <c r="L770" s="2">
        <f>Deletion!D68</f>
        <v>0</v>
      </c>
      <c r="M770" s="2">
        <f>Deletion!E68</f>
        <v>0</v>
      </c>
      <c r="N770" s="2">
        <f>Deletion!G68</f>
        <v>0</v>
      </c>
      <c r="O770" s="2">
        <f>Deletion!H68</f>
        <v>0</v>
      </c>
      <c r="P770" s="2">
        <f>Deletion!I68</f>
        <v>0</v>
      </c>
      <c r="Q770" s="2">
        <f>Deletion!J68</f>
        <v>0</v>
      </c>
      <c r="R770" s="2">
        <f>Deletion!K68</f>
        <v>0</v>
      </c>
      <c r="S770" s="2">
        <f>Deletion!N68</f>
        <v>0</v>
      </c>
      <c r="T770" s="2">
        <f t="shared" si="28"/>
        <v>0</v>
      </c>
      <c r="U770" s="10" t="str">
        <f>IF($S770=0, "", IF(COUNTIF(Table1[Amino Acid Change], $S770)=0, "Missing", "Y"))</f>
        <v/>
      </c>
      <c r="V770" s="10">
        <f t="shared" si="29"/>
        <v>0</v>
      </c>
    </row>
    <row r="771" spans="9:22" x14ac:dyDescent="0.25">
      <c r="I771" s="2">
        <f>Deletion!A69</f>
        <v>0</v>
      </c>
      <c r="J771" s="2">
        <f>Deletion!B69</f>
        <v>0</v>
      </c>
      <c r="K771" s="2">
        <f>Deletion!C69</f>
        <v>0</v>
      </c>
      <c r="L771" s="2">
        <f>Deletion!D69</f>
        <v>0</v>
      </c>
      <c r="M771" s="2">
        <f>Deletion!E69</f>
        <v>0</v>
      </c>
      <c r="N771" s="2">
        <f>Deletion!G69</f>
        <v>0</v>
      </c>
      <c r="O771" s="2">
        <f>Deletion!H69</f>
        <v>0</v>
      </c>
      <c r="P771" s="2">
        <f>Deletion!I69</f>
        <v>0</v>
      </c>
      <c r="Q771" s="2">
        <f>Deletion!J69</f>
        <v>0</v>
      </c>
      <c r="R771" s="2">
        <f>Deletion!K69</f>
        <v>0</v>
      </c>
      <c r="S771" s="2">
        <f>Deletion!N69</f>
        <v>0</v>
      </c>
      <c r="T771" s="2">
        <f t="shared" si="28"/>
        <v>0</v>
      </c>
      <c r="U771" s="10" t="str">
        <f>IF($S771=0, "", IF(COUNTIF(Table1[Amino Acid Change], $S771)=0, "Missing", "Y"))</f>
        <v/>
      </c>
      <c r="V771" s="10">
        <f t="shared" si="29"/>
        <v>0</v>
      </c>
    </row>
    <row r="772" spans="9:22" x14ac:dyDescent="0.25">
      <c r="I772" s="2">
        <f>Deletion!A70</f>
        <v>0</v>
      </c>
      <c r="J772" s="2">
        <f>Deletion!B70</f>
        <v>0</v>
      </c>
      <c r="K772" s="2">
        <f>Deletion!C70</f>
        <v>0</v>
      </c>
      <c r="L772" s="2">
        <f>Deletion!D70</f>
        <v>0</v>
      </c>
      <c r="M772" s="2">
        <f>Deletion!E70</f>
        <v>0</v>
      </c>
      <c r="N772" s="2">
        <f>Deletion!G70</f>
        <v>0</v>
      </c>
      <c r="O772" s="2">
        <f>Deletion!H70</f>
        <v>0</v>
      </c>
      <c r="P772" s="2">
        <f>Deletion!I70</f>
        <v>0</v>
      </c>
      <c r="Q772" s="2">
        <f>Deletion!J70</f>
        <v>0</v>
      </c>
      <c r="R772" s="2">
        <f>Deletion!K70</f>
        <v>0</v>
      </c>
      <c r="S772" s="2">
        <f>Deletion!N70</f>
        <v>0</v>
      </c>
      <c r="T772" s="2">
        <f t="shared" si="28"/>
        <v>0</v>
      </c>
      <c r="U772" s="10" t="str">
        <f>IF($S772=0, "", IF(COUNTIF(Table1[Amino Acid Change], $S772)=0, "Missing", "Y"))</f>
        <v/>
      </c>
      <c r="V772" s="10">
        <f t="shared" si="29"/>
        <v>0</v>
      </c>
    </row>
    <row r="773" spans="9:22" x14ac:dyDescent="0.25">
      <c r="I773" s="2">
        <f>Deletion!A71</f>
        <v>0</v>
      </c>
      <c r="J773" s="2">
        <f>Deletion!B71</f>
        <v>0</v>
      </c>
      <c r="K773" s="2">
        <f>Deletion!C71</f>
        <v>0</v>
      </c>
      <c r="L773" s="2">
        <f>Deletion!D71</f>
        <v>0</v>
      </c>
      <c r="M773" s="2">
        <f>Deletion!E71</f>
        <v>0</v>
      </c>
      <c r="N773" s="2">
        <f>Deletion!G71</f>
        <v>0</v>
      </c>
      <c r="O773" s="2">
        <f>Deletion!H71</f>
        <v>0</v>
      </c>
      <c r="P773" s="2">
        <f>Deletion!I71</f>
        <v>0</v>
      </c>
      <c r="Q773" s="2">
        <f>Deletion!J71</f>
        <v>0</v>
      </c>
      <c r="R773" s="2">
        <f>Deletion!K71</f>
        <v>0</v>
      </c>
      <c r="S773" s="2">
        <f>Deletion!N71</f>
        <v>0</v>
      </c>
      <c r="T773" s="2">
        <f t="shared" si="28"/>
        <v>0</v>
      </c>
      <c r="U773" s="10" t="str">
        <f>IF($S773=0, "", IF(COUNTIF(Table1[Amino Acid Change], $S773)=0, "Missing", "Y"))</f>
        <v/>
      </c>
      <c r="V773" s="10">
        <f t="shared" si="29"/>
        <v>0</v>
      </c>
    </row>
    <row r="774" spans="9:22" x14ac:dyDescent="0.25">
      <c r="I774" s="2">
        <f>Deletion!A72</f>
        <v>0</v>
      </c>
      <c r="J774" s="2">
        <f>Deletion!B72</f>
        <v>0</v>
      </c>
      <c r="K774" s="2">
        <f>Deletion!C72</f>
        <v>0</v>
      </c>
      <c r="L774" s="2">
        <f>Deletion!D72</f>
        <v>0</v>
      </c>
      <c r="M774" s="2">
        <f>Deletion!E72</f>
        <v>0</v>
      </c>
      <c r="N774" s="2">
        <f>Deletion!G72</f>
        <v>0</v>
      </c>
      <c r="O774" s="2">
        <f>Deletion!H72</f>
        <v>0</v>
      </c>
      <c r="P774" s="2">
        <f>Deletion!I72</f>
        <v>0</v>
      </c>
      <c r="Q774" s="2">
        <f>Deletion!J72</f>
        <v>0</v>
      </c>
      <c r="R774" s="2">
        <f>Deletion!K72</f>
        <v>0</v>
      </c>
      <c r="S774" s="2">
        <f>Deletion!N72</f>
        <v>0</v>
      </c>
      <c r="T774" s="2">
        <f t="shared" si="28"/>
        <v>0</v>
      </c>
      <c r="U774" s="10" t="str">
        <f>IF($S774=0, "", IF(COUNTIF(Table1[Amino Acid Change], $S774)=0, "Missing", "Y"))</f>
        <v/>
      </c>
      <c r="V774" s="10">
        <f t="shared" si="29"/>
        <v>0</v>
      </c>
    </row>
    <row r="775" spans="9:22" x14ac:dyDescent="0.25">
      <c r="I775" s="2">
        <f>Deletion!A73</f>
        <v>0</v>
      </c>
      <c r="J775" s="2">
        <f>Deletion!B73</f>
        <v>0</v>
      </c>
      <c r="K775" s="2">
        <f>Deletion!C73</f>
        <v>0</v>
      </c>
      <c r="L775" s="2">
        <f>Deletion!D73</f>
        <v>0</v>
      </c>
      <c r="M775" s="2">
        <f>Deletion!E73</f>
        <v>0</v>
      </c>
      <c r="N775" s="2">
        <f>Deletion!G73</f>
        <v>0</v>
      </c>
      <c r="O775" s="2">
        <f>Deletion!H73</f>
        <v>0</v>
      </c>
      <c r="P775" s="2">
        <f>Deletion!I73</f>
        <v>0</v>
      </c>
      <c r="Q775" s="2">
        <f>Deletion!J73</f>
        <v>0</v>
      </c>
      <c r="R775" s="2">
        <f>Deletion!K73</f>
        <v>0</v>
      </c>
      <c r="S775" s="2">
        <f>Deletion!N73</f>
        <v>0</v>
      </c>
      <c r="T775" s="2">
        <f t="shared" si="28"/>
        <v>0</v>
      </c>
      <c r="U775" s="10" t="str">
        <f>IF($S775=0, "", IF(COUNTIF(Table1[Amino Acid Change], $S775)=0, "Missing", "Y"))</f>
        <v/>
      </c>
      <c r="V775" s="10">
        <f t="shared" si="29"/>
        <v>0</v>
      </c>
    </row>
    <row r="776" spans="9:22" x14ac:dyDescent="0.25">
      <c r="I776" s="2">
        <f>Deletion!A74</f>
        <v>0</v>
      </c>
      <c r="J776" s="2">
        <f>Deletion!B74</f>
        <v>0</v>
      </c>
      <c r="K776" s="2">
        <f>Deletion!C74</f>
        <v>0</v>
      </c>
      <c r="L776" s="2">
        <f>Deletion!D74</f>
        <v>0</v>
      </c>
      <c r="M776" s="2">
        <f>Deletion!E74</f>
        <v>0</v>
      </c>
      <c r="N776" s="2">
        <f>Deletion!G74</f>
        <v>0</v>
      </c>
      <c r="O776" s="2">
        <f>Deletion!H74</f>
        <v>0</v>
      </c>
      <c r="P776" s="2">
        <f>Deletion!I74</f>
        <v>0</v>
      </c>
      <c r="Q776" s="2">
        <f>Deletion!J74</f>
        <v>0</v>
      </c>
      <c r="R776" s="2">
        <f>Deletion!K74</f>
        <v>0</v>
      </c>
      <c r="S776" s="2">
        <f>Deletion!N74</f>
        <v>0</v>
      </c>
      <c r="T776" s="2">
        <f t="shared" si="28"/>
        <v>0</v>
      </c>
      <c r="U776" s="10" t="str">
        <f>IF($S776=0, "", IF(COUNTIF(Table1[Amino Acid Change], $S776)=0, "Missing", "Y"))</f>
        <v/>
      </c>
      <c r="V776" s="10">
        <f t="shared" si="29"/>
        <v>0</v>
      </c>
    </row>
    <row r="777" spans="9:22" x14ac:dyDescent="0.25">
      <c r="I777" s="2">
        <f>Deletion!A75</f>
        <v>0</v>
      </c>
      <c r="J777" s="2">
        <f>Deletion!B75</f>
        <v>0</v>
      </c>
      <c r="K777" s="2">
        <f>Deletion!C75</f>
        <v>0</v>
      </c>
      <c r="L777" s="2">
        <f>Deletion!D75</f>
        <v>0</v>
      </c>
      <c r="M777" s="2">
        <f>Deletion!E75</f>
        <v>0</v>
      </c>
      <c r="N777" s="2">
        <f>Deletion!G75</f>
        <v>0</v>
      </c>
      <c r="O777" s="2">
        <f>Deletion!H75</f>
        <v>0</v>
      </c>
      <c r="P777" s="2">
        <f>Deletion!I75</f>
        <v>0</v>
      </c>
      <c r="Q777" s="2">
        <f>Deletion!J75</f>
        <v>0</v>
      </c>
      <c r="R777" s="2">
        <f>Deletion!K75</f>
        <v>0</v>
      </c>
      <c r="S777" s="2">
        <f>Deletion!N75</f>
        <v>0</v>
      </c>
      <c r="T777" s="2">
        <f t="shared" si="28"/>
        <v>0</v>
      </c>
      <c r="U777" s="10" t="str">
        <f>IF($S777=0, "", IF(COUNTIF(Table1[Amino Acid Change], $S777)=0, "Missing", "Y"))</f>
        <v/>
      </c>
      <c r="V777" s="10">
        <f t="shared" si="29"/>
        <v>0</v>
      </c>
    </row>
    <row r="778" spans="9:22" x14ac:dyDescent="0.25">
      <c r="I778" s="2">
        <f>Deletion!A76</f>
        <v>0</v>
      </c>
      <c r="J778" s="2">
        <f>Deletion!B76</f>
        <v>0</v>
      </c>
      <c r="K778" s="2">
        <f>Deletion!C76</f>
        <v>0</v>
      </c>
      <c r="L778" s="2">
        <f>Deletion!D76</f>
        <v>0</v>
      </c>
      <c r="M778" s="2">
        <f>Deletion!E76</f>
        <v>0</v>
      </c>
      <c r="N778" s="2">
        <f>Deletion!G76</f>
        <v>0</v>
      </c>
      <c r="O778" s="2">
        <f>Deletion!H76</f>
        <v>0</v>
      </c>
      <c r="P778" s="2">
        <f>Deletion!I76</f>
        <v>0</v>
      </c>
      <c r="Q778" s="2">
        <f>Deletion!J76</f>
        <v>0</v>
      </c>
      <c r="R778" s="2">
        <f>Deletion!K76</f>
        <v>0</v>
      </c>
      <c r="S778" s="2">
        <f>Deletion!N76</f>
        <v>0</v>
      </c>
      <c r="T778" s="2">
        <f t="shared" si="28"/>
        <v>0</v>
      </c>
      <c r="U778" s="10" t="str">
        <f>IF($S778=0, "", IF(COUNTIF(Table1[Amino Acid Change], $S778)=0, "Missing", "Y"))</f>
        <v/>
      </c>
      <c r="V778" s="10">
        <f t="shared" si="29"/>
        <v>0</v>
      </c>
    </row>
    <row r="779" spans="9:22" x14ac:dyDescent="0.25">
      <c r="I779" s="2">
        <f>Deletion!A77</f>
        <v>0</v>
      </c>
      <c r="J779" s="2">
        <f>Deletion!B77</f>
        <v>0</v>
      </c>
      <c r="K779" s="2">
        <f>Deletion!C77</f>
        <v>0</v>
      </c>
      <c r="L779" s="2">
        <f>Deletion!D77</f>
        <v>0</v>
      </c>
      <c r="M779" s="2">
        <f>Deletion!E77</f>
        <v>0</v>
      </c>
      <c r="N779" s="2">
        <f>Deletion!G77</f>
        <v>0</v>
      </c>
      <c r="O779" s="2">
        <f>Deletion!H77</f>
        <v>0</v>
      </c>
      <c r="P779" s="2">
        <f>Deletion!I77</f>
        <v>0</v>
      </c>
      <c r="Q779" s="2">
        <f>Deletion!J77</f>
        <v>0</v>
      </c>
      <c r="R779" s="2">
        <f>Deletion!K77</f>
        <v>0</v>
      </c>
      <c r="S779" s="2">
        <f>Deletion!N77</f>
        <v>0</v>
      </c>
      <c r="T779" s="2">
        <f t="shared" si="28"/>
        <v>0</v>
      </c>
      <c r="U779" s="10" t="str">
        <f>IF($S779=0, "", IF(COUNTIF(Table1[Amino Acid Change], $S779)=0, "Missing", "Y"))</f>
        <v/>
      </c>
      <c r="V779" s="10">
        <f t="shared" si="29"/>
        <v>0</v>
      </c>
    </row>
    <row r="780" spans="9:22" x14ac:dyDescent="0.25">
      <c r="I780" s="2">
        <f>Deletion!A78</f>
        <v>0</v>
      </c>
      <c r="J780" s="2">
        <f>Deletion!B78</f>
        <v>0</v>
      </c>
      <c r="K780" s="2">
        <f>Deletion!C78</f>
        <v>0</v>
      </c>
      <c r="L780" s="2">
        <f>Deletion!D78</f>
        <v>0</v>
      </c>
      <c r="M780" s="2">
        <f>Deletion!E78</f>
        <v>0</v>
      </c>
      <c r="N780" s="2">
        <f>Deletion!G78</f>
        <v>0</v>
      </c>
      <c r="O780" s="2">
        <f>Deletion!H78</f>
        <v>0</v>
      </c>
      <c r="P780" s="2">
        <f>Deletion!I78</f>
        <v>0</v>
      </c>
      <c r="Q780" s="2">
        <f>Deletion!J78</f>
        <v>0</v>
      </c>
      <c r="R780" s="2">
        <f>Deletion!K78</f>
        <v>0</v>
      </c>
      <c r="S780" s="2">
        <f>Deletion!N78</f>
        <v>0</v>
      </c>
      <c r="T780" s="2">
        <f t="shared" si="28"/>
        <v>0</v>
      </c>
      <c r="U780" s="10" t="str">
        <f>IF($S780=0, "", IF(COUNTIF(Table1[Amino Acid Change], $S780)=0, "Missing", "Y"))</f>
        <v/>
      </c>
      <c r="V780" s="10">
        <f t="shared" si="29"/>
        <v>0</v>
      </c>
    </row>
    <row r="781" spans="9:22" x14ac:dyDescent="0.25">
      <c r="I781" s="2">
        <f>Deletion!A79</f>
        <v>0</v>
      </c>
      <c r="J781" s="2">
        <f>Deletion!B79</f>
        <v>0</v>
      </c>
      <c r="K781" s="2">
        <f>Deletion!C79</f>
        <v>0</v>
      </c>
      <c r="L781" s="2">
        <f>Deletion!D79</f>
        <v>0</v>
      </c>
      <c r="M781" s="2">
        <f>Deletion!E79</f>
        <v>0</v>
      </c>
      <c r="N781" s="2">
        <f>Deletion!G79</f>
        <v>0</v>
      </c>
      <c r="O781" s="2">
        <f>Deletion!H79</f>
        <v>0</v>
      </c>
      <c r="P781" s="2">
        <f>Deletion!I79</f>
        <v>0</v>
      </c>
      <c r="Q781" s="2">
        <f>Deletion!J79</f>
        <v>0</v>
      </c>
      <c r="R781" s="2">
        <f>Deletion!K79</f>
        <v>0</v>
      </c>
      <c r="S781" s="2">
        <f>Deletion!N79</f>
        <v>0</v>
      </c>
      <c r="T781" s="2">
        <f t="shared" si="28"/>
        <v>0</v>
      </c>
      <c r="U781" s="10" t="str">
        <f>IF($S781=0, "", IF(COUNTIF(Table1[Amino Acid Change], $S781)=0, "Missing", "Y"))</f>
        <v/>
      </c>
      <c r="V781" s="10">
        <f t="shared" si="29"/>
        <v>0</v>
      </c>
    </row>
    <row r="782" spans="9:22" x14ac:dyDescent="0.25">
      <c r="I782" s="2">
        <f>Deletion!A80</f>
        <v>0</v>
      </c>
      <c r="J782" s="2">
        <f>Deletion!B80</f>
        <v>0</v>
      </c>
      <c r="K782" s="2">
        <f>Deletion!C80</f>
        <v>0</v>
      </c>
      <c r="L782" s="2">
        <f>Deletion!D80</f>
        <v>0</v>
      </c>
      <c r="M782" s="2">
        <f>Deletion!E80</f>
        <v>0</v>
      </c>
      <c r="N782" s="2">
        <f>Deletion!G80</f>
        <v>0</v>
      </c>
      <c r="O782" s="2">
        <f>Deletion!H80</f>
        <v>0</v>
      </c>
      <c r="P782" s="2">
        <f>Deletion!I80</f>
        <v>0</v>
      </c>
      <c r="Q782" s="2">
        <f>Deletion!J80</f>
        <v>0</v>
      </c>
      <c r="R782" s="2">
        <f>Deletion!K80</f>
        <v>0</v>
      </c>
      <c r="S782" s="2">
        <f>Deletion!N80</f>
        <v>0</v>
      </c>
      <c r="T782" s="2">
        <f t="shared" si="28"/>
        <v>0</v>
      </c>
      <c r="U782" s="10" t="str">
        <f>IF($S782=0, "", IF(COUNTIF(Table1[Amino Acid Change], $S782)=0, "Missing", "Y"))</f>
        <v/>
      </c>
      <c r="V782" s="10">
        <f t="shared" si="29"/>
        <v>0</v>
      </c>
    </row>
    <row r="783" spans="9:22" x14ac:dyDescent="0.25">
      <c r="I783" s="2">
        <f>Deletion!A81</f>
        <v>0</v>
      </c>
      <c r="J783" s="2">
        <f>Deletion!B81</f>
        <v>0</v>
      </c>
      <c r="K783" s="2">
        <f>Deletion!C81</f>
        <v>0</v>
      </c>
      <c r="L783" s="2">
        <f>Deletion!D81</f>
        <v>0</v>
      </c>
      <c r="M783" s="2">
        <f>Deletion!E81</f>
        <v>0</v>
      </c>
      <c r="N783" s="2">
        <f>Deletion!G81</f>
        <v>0</v>
      </c>
      <c r="O783" s="2">
        <f>Deletion!H81</f>
        <v>0</v>
      </c>
      <c r="P783" s="2">
        <f>Deletion!I81</f>
        <v>0</v>
      </c>
      <c r="Q783" s="2">
        <f>Deletion!J81</f>
        <v>0</v>
      </c>
      <c r="R783" s="2">
        <f>Deletion!K81</f>
        <v>0</v>
      </c>
      <c r="S783" s="2">
        <f>Deletion!N81</f>
        <v>0</v>
      </c>
      <c r="T783" s="2">
        <f t="shared" si="28"/>
        <v>0</v>
      </c>
      <c r="U783" s="10" t="str">
        <f>IF($S783=0, "", IF(COUNTIF(Table1[Amino Acid Change], $S783)=0, "Missing", "Y"))</f>
        <v/>
      </c>
      <c r="V783" s="10">
        <f t="shared" si="29"/>
        <v>0</v>
      </c>
    </row>
    <row r="784" spans="9:22" x14ac:dyDescent="0.25">
      <c r="I784" s="2">
        <f>Deletion!A82</f>
        <v>0</v>
      </c>
      <c r="J784" s="2">
        <f>Deletion!B82</f>
        <v>0</v>
      </c>
      <c r="K784" s="2">
        <f>Deletion!C82</f>
        <v>0</v>
      </c>
      <c r="L784" s="2">
        <f>Deletion!D82</f>
        <v>0</v>
      </c>
      <c r="M784" s="2">
        <f>Deletion!E82</f>
        <v>0</v>
      </c>
      <c r="N784" s="2">
        <f>Deletion!G82</f>
        <v>0</v>
      </c>
      <c r="O784" s="2">
        <f>Deletion!H82</f>
        <v>0</v>
      </c>
      <c r="P784" s="2">
        <f>Deletion!I82</f>
        <v>0</v>
      </c>
      <c r="Q784" s="2">
        <f>Deletion!J82</f>
        <v>0</v>
      </c>
      <c r="R784" s="2">
        <f>Deletion!K82</f>
        <v>0</v>
      </c>
      <c r="S784" s="2">
        <f>Deletion!N82</f>
        <v>0</v>
      </c>
      <c r="T784" s="2">
        <f t="shared" si="28"/>
        <v>0</v>
      </c>
      <c r="U784" s="10" t="str">
        <f>IF($S784=0, "", IF(COUNTIF(Table1[Amino Acid Change], $S784)=0, "Missing", "Y"))</f>
        <v/>
      </c>
      <c r="V784" s="10">
        <f t="shared" si="29"/>
        <v>0</v>
      </c>
    </row>
    <row r="785" spans="9:22" x14ac:dyDescent="0.25">
      <c r="I785" s="2">
        <f>Deletion!A83</f>
        <v>0</v>
      </c>
      <c r="J785" s="2">
        <f>Deletion!B83</f>
        <v>0</v>
      </c>
      <c r="K785" s="2">
        <f>Deletion!C83</f>
        <v>0</v>
      </c>
      <c r="L785" s="2">
        <f>Deletion!D83</f>
        <v>0</v>
      </c>
      <c r="M785" s="2">
        <f>Deletion!E83</f>
        <v>0</v>
      </c>
      <c r="N785" s="2">
        <f>Deletion!G83</f>
        <v>0</v>
      </c>
      <c r="O785" s="2">
        <f>Deletion!H83</f>
        <v>0</v>
      </c>
      <c r="P785" s="2">
        <f>Deletion!I83</f>
        <v>0</v>
      </c>
      <c r="Q785" s="2">
        <f>Deletion!J83</f>
        <v>0</v>
      </c>
      <c r="R785" s="2">
        <f>Deletion!K83</f>
        <v>0</v>
      </c>
      <c r="S785" s="2">
        <f>Deletion!N83</f>
        <v>0</v>
      </c>
      <c r="T785" s="2">
        <f t="shared" si="28"/>
        <v>0</v>
      </c>
      <c r="U785" s="10" t="str">
        <f>IF($S785=0, "", IF(COUNTIF(Table1[Amino Acid Change], $S785)=0, "Missing", "Y"))</f>
        <v/>
      </c>
      <c r="V785" s="10">
        <f t="shared" si="29"/>
        <v>0</v>
      </c>
    </row>
    <row r="786" spans="9:22" x14ac:dyDescent="0.25">
      <c r="I786" s="2">
        <f>Deletion!A84</f>
        <v>0</v>
      </c>
      <c r="J786" s="2">
        <f>Deletion!B84</f>
        <v>0</v>
      </c>
      <c r="K786" s="2">
        <f>Deletion!C84</f>
        <v>0</v>
      </c>
      <c r="L786" s="2">
        <f>Deletion!D84</f>
        <v>0</v>
      </c>
      <c r="M786" s="2">
        <f>Deletion!E84</f>
        <v>0</v>
      </c>
      <c r="N786" s="2">
        <f>Deletion!G84</f>
        <v>0</v>
      </c>
      <c r="O786" s="2">
        <f>Deletion!H84</f>
        <v>0</v>
      </c>
      <c r="P786" s="2">
        <f>Deletion!I84</f>
        <v>0</v>
      </c>
      <c r="Q786" s="2">
        <f>Deletion!J84</f>
        <v>0</v>
      </c>
      <c r="R786" s="2">
        <f>Deletion!K84</f>
        <v>0</v>
      </c>
      <c r="S786" s="2">
        <f>Deletion!N84</f>
        <v>0</v>
      </c>
      <c r="T786" s="2">
        <f t="shared" si="28"/>
        <v>0</v>
      </c>
      <c r="U786" s="10" t="str">
        <f>IF($S786=0, "", IF(COUNTIF(Table1[Amino Acid Change], $S786)=0, "Missing", "Y"))</f>
        <v/>
      </c>
      <c r="V786" s="10">
        <f t="shared" si="29"/>
        <v>0</v>
      </c>
    </row>
    <row r="787" spans="9:22" x14ac:dyDescent="0.25">
      <c r="I787" s="2">
        <f>Deletion!A85</f>
        <v>0</v>
      </c>
      <c r="J787" s="2">
        <f>Deletion!B85</f>
        <v>0</v>
      </c>
      <c r="K787" s="2">
        <f>Deletion!C85</f>
        <v>0</v>
      </c>
      <c r="L787" s="2">
        <f>Deletion!D85</f>
        <v>0</v>
      </c>
      <c r="M787" s="2">
        <f>Deletion!E85</f>
        <v>0</v>
      </c>
      <c r="N787" s="2">
        <f>Deletion!G85</f>
        <v>0</v>
      </c>
      <c r="O787" s="2">
        <f>Deletion!H85</f>
        <v>0</v>
      </c>
      <c r="P787" s="2">
        <f>Deletion!I85</f>
        <v>0</v>
      </c>
      <c r="Q787" s="2">
        <f>Deletion!J85</f>
        <v>0</v>
      </c>
      <c r="R787" s="2">
        <f>Deletion!K85</f>
        <v>0</v>
      </c>
      <c r="S787" s="2">
        <f>Deletion!N85</f>
        <v>0</v>
      </c>
      <c r="T787" s="2">
        <f t="shared" si="28"/>
        <v>0</v>
      </c>
      <c r="U787" s="10" t="str">
        <f>IF($S787=0, "", IF(COUNTIF(Table1[Amino Acid Change], $S787)=0, "Missing", "Y"))</f>
        <v/>
      </c>
      <c r="V787" s="10">
        <f t="shared" si="29"/>
        <v>0</v>
      </c>
    </row>
    <row r="788" spans="9:22" x14ac:dyDescent="0.25">
      <c r="I788" s="2">
        <f>Deletion!A86</f>
        <v>0</v>
      </c>
      <c r="J788" s="2">
        <f>Deletion!B86</f>
        <v>0</v>
      </c>
      <c r="K788" s="2">
        <f>Deletion!C86</f>
        <v>0</v>
      </c>
      <c r="L788" s="2">
        <f>Deletion!D86</f>
        <v>0</v>
      </c>
      <c r="M788" s="2">
        <f>Deletion!E86</f>
        <v>0</v>
      </c>
      <c r="N788" s="2">
        <f>Deletion!G86</f>
        <v>0</v>
      </c>
      <c r="O788" s="2">
        <f>Deletion!H86</f>
        <v>0</v>
      </c>
      <c r="P788" s="2">
        <f>Deletion!I86</f>
        <v>0</v>
      </c>
      <c r="Q788" s="2">
        <f>Deletion!J86</f>
        <v>0</v>
      </c>
      <c r="R788" s="2">
        <f>Deletion!K86</f>
        <v>0</v>
      </c>
      <c r="S788" s="2">
        <f>Deletion!N86</f>
        <v>0</v>
      </c>
      <c r="T788" s="2">
        <f t="shared" si="28"/>
        <v>0</v>
      </c>
      <c r="U788" s="10" t="str">
        <f>IF($S788=0, "", IF(COUNTIF(Table1[Amino Acid Change], $S788)=0, "Missing", "Y"))</f>
        <v/>
      </c>
      <c r="V788" s="10">
        <f t="shared" si="29"/>
        <v>0</v>
      </c>
    </row>
    <row r="789" spans="9:22" x14ac:dyDescent="0.25">
      <c r="I789" s="2">
        <f>Deletion!A87</f>
        <v>0</v>
      </c>
      <c r="J789" s="2">
        <f>Deletion!B87</f>
        <v>0</v>
      </c>
      <c r="K789" s="2">
        <f>Deletion!C87</f>
        <v>0</v>
      </c>
      <c r="L789" s="2">
        <f>Deletion!D87</f>
        <v>0</v>
      </c>
      <c r="M789" s="2">
        <f>Deletion!E87</f>
        <v>0</v>
      </c>
      <c r="N789" s="2">
        <f>Deletion!G87</f>
        <v>0</v>
      </c>
      <c r="O789" s="2">
        <f>Deletion!H87</f>
        <v>0</v>
      </c>
      <c r="P789" s="2">
        <f>Deletion!I87</f>
        <v>0</v>
      </c>
      <c r="Q789" s="2">
        <f>Deletion!J87</f>
        <v>0</v>
      </c>
      <c r="R789" s="2">
        <f>Deletion!K87</f>
        <v>0</v>
      </c>
      <c r="S789" s="2">
        <f>Deletion!N87</f>
        <v>0</v>
      </c>
      <c r="T789" s="2">
        <f t="shared" si="28"/>
        <v>0</v>
      </c>
      <c r="U789" s="10" t="str">
        <f>IF($S789=0, "", IF(COUNTIF(Table1[Amino Acid Change], $S789)=0, "Missing", "Y"))</f>
        <v/>
      </c>
      <c r="V789" s="10">
        <f t="shared" si="29"/>
        <v>0</v>
      </c>
    </row>
    <row r="790" spans="9:22" x14ac:dyDescent="0.25">
      <c r="I790" s="2">
        <f>Deletion!A88</f>
        <v>0</v>
      </c>
      <c r="J790" s="2">
        <f>Deletion!B88</f>
        <v>0</v>
      </c>
      <c r="K790" s="2">
        <f>Deletion!C88</f>
        <v>0</v>
      </c>
      <c r="L790" s="2">
        <f>Deletion!D88</f>
        <v>0</v>
      </c>
      <c r="M790" s="2">
        <f>Deletion!E88</f>
        <v>0</v>
      </c>
      <c r="N790" s="2">
        <f>Deletion!G88</f>
        <v>0</v>
      </c>
      <c r="O790" s="2">
        <f>Deletion!H88</f>
        <v>0</v>
      </c>
      <c r="P790" s="2">
        <f>Deletion!I88</f>
        <v>0</v>
      </c>
      <c r="Q790" s="2">
        <f>Deletion!J88</f>
        <v>0</v>
      </c>
      <c r="R790" s="2">
        <f>Deletion!K88</f>
        <v>0</v>
      </c>
      <c r="S790" s="2">
        <f>Deletion!N88</f>
        <v>0</v>
      </c>
      <c r="T790" s="2">
        <f t="shared" si="28"/>
        <v>0</v>
      </c>
      <c r="U790" s="10" t="str">
        <f>IF($S790=0, "", IF(COUNTIF(Table1[Amino Acid Change], $S790)=0, "Missing", "Y"))</f>
        <v/>
      </c>
      <c r="V790" s="10">
        <f t="shared" si="29"/>
        <v>0</v>
      </c>
    </row>
    <row r="791" spans="9:22" x14ac:dyDescent="0.25">
      <c r="I791" s="2">
        <f>Deletion!A89</f>
        <v>0</v>
      </c>
      <c r="J791" s="2">
        <f>Deletion!B89</f>
        <v>0</v>
      </c>
      <c r="K791" s="2">
        <f>Deletion!C89</f>
        <v>0</v>
      </c>
      <c r="L791" s="2">
        <f>Deletion!D89</f>
        <v>0</v>
      </c>
      <c r="M791" s="2">
        <f>Deletion!E89</f>
        <v>0</v>
      </c>
      <c r="N791" s="2">
        <f>Deletion!G89</f>
        <v>0</v>
      </c>
      <c r="O791" s="2">
        <f>Deletion!H89</f>
        <v>0</v>
      </c>
      <c r="P791" s="2">
        <f>Deletion!I89</f>
        <v>0</v>
      </c>
      <c r="Q791" s="2">
        <f>Deletion!J89</f>
        <v>0</v>
      </c>
      <c r="R791" s="2">
        <f>Deletion!K89</f>
        <v>0</v>
      </c>
      <c r="S791" s="2">
        <f>Deletion!N89</f>
        <v>0</v>
      </c>
      <c r="T791" s="2">
        <f t="shared" si="28"/>
        <v>0</v>
      </c>
      <c r="U791" s="10" t="str">
        <f>IF($S791=0, "", IF(COUNTIF(Table1[Amino Acid Change], $S791)=0, "Missing", "Y"))</f>
        <v/>
      </c>
      <c r="V791" s="10">
        <f t="shared" si="29"/>
        <v>0</v>
      </c>
    </row>
    <row r="792" spans="9:22" x14ac:dyDescent="0.25">
      <c r="I792" s="2">
        <f>Deletion!A90</f>
        <v>0</v>
      </c>
      <c r="J792" s="2">
        <f>Deletion!B90</f>
        <v>0</v>
      </c>
      <c r="K792" s="2">
        <f>Deletion!C90</f>
        <v>0</v>
      </c>
      <c r="L792" s="2">
        <f>Deletion!D90</f>
        <v>0</v>
      </c>
      <c r="M792" s="2">
        <f>Deletion!E90</f>
        <v>0</v>
      </c>
      <c r="N792" s="2">
        <f>Deletion!G90</f>
        <v>0</v>
      </c>
      <c r="O792" s="2">
        <f>Deletion!H90</f>
        <v>0</v>
      </c>
      <c r="P792" s="2">
        <f>Deletion!I90</f>
        <v>0</v>
      </c>
      <c r="Q792" s="2">
        <f>Deletion!J90</f>
        <v>0</v>
      </c>
      <c r="R792" s="2">
        <f>Deletion!K90</f>
        <v>0</v>
      </c>
      <c r="S792" s="2">
        <f>Deletion!N90</f>
        <v>0</v>
      </c>
      <c r="T792" s="2">
        <f t="shared" si="28"/>
        <v>0</v>
      </c>
      <c r="U792" s="10" t="str">
        <f>IF($S792=0, "", IF(COUNTIF(Table1[Amino Acid Change], $S792)=0, "Missing", "Y"))</f>
        <v/>
      </c>
      <c r="V792" s="10">
        <f t="shared" si="29"/>
        <v>0</v>
      </c>
    </row>
    <row r="793" spans="9:22" x14ac:dyDescent="0.25">
      <c r="I793" s="2">
        <f>Deletion!A91</f>
        <v>0</v>
      </c>
      <c r="J793" s="2">
        <f>Deletion!B91</f>
        <v>0</v>
      </c>
      <c r="K793" s="2">
        <f>Deletion!C91</f>
        <v>0</v>
      </c>
      <c r="L793" s="2">
        <f>Deletion!D91</f>
        <v>0</v>
      </c>
      <c r="M793" s="2">
        <f>Deletion!E91</f>
        <v>0</v>
      </c>
      <c r="N793" s="2">
        <f>Deletion!G91</f>
        <v>0</v>
      </c>
      <c r="O793" s="2">
        <f>Deletion!H91</f>
        <v>0</v>
      </c>
      <c r="P793" s="2">
        <f>Deletion!I91</f>
        <v>0</v>
      </c>
      <c r="Q793" s="2">
        <f>Deletion!J91</f>
        <v>0</v>
      </c>
      <c r="R793" s="2">
        <f>Deletion!K91</f>
        <v>0</v>
      </c>
      <c r="S793" s="2">
        <f>Deletion!N91</f>
        <v>0</v>
      </c>
      <c r="T793" s="2">
        <f t="shared" si="28"/>
        <v>0</v>
      </c>
      <c r="U793" s="10" t="str">
        <f>IF($S793=0, "", IF(COUNTIF(Table1[Amino Acid Change], $S793)=0, "Missing", "Y"))</f>
        <v/>
      </c>
      <c r="V793" s="10">
        <f t="shared" si="29"/>
        <v>0</v>
      </c>
    </row>
    <row r="794" spans="9:22" x14ac:dyDescent="0.25">
      <c r="I794" s="2">
        <f>Deletion!A92</f>
        <v>0</v>
      </c>
      <c r="J794" s="2">
        <f>Deletion!B92</f>
        <v>0</v>
      </c>
      <c r="K794" s="2">
        <f>Deletion!C92</f>
        <v>0</v>
      </c>
      <c r="L794" s="2">
        <f>Deletion!D92</f>
        <v>0</v>
      </c>
      <c r="M794" s="2">
        <f>Deletion!E92</f>
        <v>0</v>
      </c>
      <c r="N794" s="2">
        <f>Deletion!G92</f>
        <v>0</v>
      </c>
      <c r="O794" s="2">
        <f>Deletion!H92</f>
        <v>0</v>
      </c>
      <c r="P794" s="2">
        <f>Deletion!I92</f>
        <v>0</v>
      </c>
      <c r="Q794" s="2">
        <f>Deletion!J92</f>
        <v>0</v>
      </c>
      <c r="R794" s="2">
        <f>Deletion!K92</f>
        <v>0</v>
      </c>
      <c r="S794" s="2">
        <f>Deletion!N92</f>
        <v>0</v>
      </c>
      <c r="T794" s="2">
        <f t="shared" si="28"/>
        <v>0</v>
      </c>
      <c r="U794" s="10" t="str">
        <f>IF($S794=0, "", IF(COUNTIF(Table1[Amino Acid Change], $S794)=0, "Missing", "Y"))</f>
        <v/>
      </c>
      <c r="V794" s="10">
        <f t="shared" si="29"/>
        <v>0</v>
      </c>
    </row>
    <row r="795" spans="9:22" x14ac:dyDescent="0.25">
      <c r="I795" s="2">
        <f>Deletion!A93</f>
        <v>0</v>
      </c>
      <c r="J795" s="2">
        <f>Deletion!B93</f>
        <v>0</v>
      </c>
      <c r="K795" s="2">
        <f>Deletion!C93</f>
        <v>0</v>
      </c>
      <c r="L795" s="2">
        <f>Deletion!D93</f>
        <v>0</v>
      </c>
      <c r="M795" s="2">
        <f>Deletion!E93</f>
        <v>0</v>
      </c>
      <c r="N795" s="2">
        <f>Deletion!G93</f>
        <v>0</v>
      </c>
      <c r="O795" s="2">
        <f>Deletion!H93</f>
        <v>0</v>
      </c>
      <c r="P795" s="2">
        <f>Deletion!I93</f>
        <v>0</v>
      </c>
      <c r="Q795" s="2">
        <f>Deletion!J93</f>
        <v>0</v>
      </c>
      <c r="R795" s="2">
        <f>Deletion!K93</f>
        <v>0</v>
      </c>
      <c r="S795" s="2">
        <f>Deletion!N93</f>
        <v>0</v>
      </c>
      <c r="T795" s="2">
        <f t="shared" si="28"/>
        <v>0</v>
      </c>
      <c r="U795" s="10" t="str">
        <f>IF($S795=0, "", IF(COUNTIF(Table1[Amino Acid Change], $S795)=0, "Missing", "Y"))</f>
        <v/>
      </c>
      <c r="V795" s="10">
        <f t="shared" si="29"/>
        <v>0</v>
      </c>
    </row>
    <row r="796" spans="9:22" x14ac:dyDescent="0.25">
      <c r="I796" s="2">
        <f>Deletion!A94</f>
        <v>0</v>
      </c>
      <c r="J796" s="2">
        <f>Deletion!B94</f>
        <v>0</v>
      </c>
      <c r="K796" s="2">
        <f>Deletion!C94</f>
        <v>0</v>
      </c>
      <c r="L796" s="2">
        <f>Deletion!D94</f>
        <v>0</v>
      </c>
      <c r="M796" s="2">
        <f>Deletion!E94</f>
        <v>0</v>
      </c>
      <c r="N796" s="2">
        <f>Deletion!G94</f>
        <v>0</v>
      </c>
      <c r="O796" s="2">
        <f>Deletion!H94</f>
        <v>0</v>
      </c>
      <c r="P796" s="2">
        <f>Deletion!I94</f>
        <v>0</v>
      </c>
      <c r="Q796" s="2">
        <f>Deletion!J94</f>
        <v>0</v>
      </c>
      <c r="R796" s="2">
        <f>Deletion!K94</f>
        <v>0</v>
      </c>
      <c r="S796" s="2">
        <f>Deletion!N94</f>
        <v>0</v>
      </c>
      <c r="T796" s="2">
        <f t="shared" si="28"/>
        <v>0</v>
      </c>
      <c r="U796" s="10" t="str">
        <f>IF($S796=0, "", IF(COUNTIF(Table1[Amino Acid Change], $S796)=0, "Missing", "Y"))</f>
        <v/>
      </c>
      <c r="V796" s="10">
        <f t="shared" si="29"/>
        <v>0</v>
      </c>
    </row>
    <row r="797" spans="9:22" x14ac:dyDescent="0.25">
      <c r="I797" s="2">
        <f>Deletion!A95</f>
        <v>0</v>
      </c>
      <c r="J797" s="2">
        <f>Deletion!B95</f>
        <v>0</v>
      </c>
      <c r="K797" s="2">
        <f>Deletion!C95</f>
        <v>0</v>
      </c>
      <c r="L797" s="2">
        <f>Deletion!D95</f>
        <v>0</v>
      </c>
      <c r="M797" s="2">
        <f>Deletion!E95</f>
        <v>0</v>
      </c>
      <c r="N797" s="2">
        <f>Deletion!G95</f>
        <v>0</v>
      </c>
      <c r="O797" s="2">
        <f>Deletion!H95</f>
        <v>0</v>
      </c>
      <c r="P797" s="2">
        <f>Deletion!I95</f>
        <v>0</v>
      </c>
      <c r="Q797" s="2">
        <f>Deletion!J95</f>
        <v>0</v>
      </c>
      <c r="R797" s="2">
        <f>Deletion!K95</f>
        <v>0</v>
      </c>
      <c r="S797" s="2">
        <f>Deletion!N95</f>
        <v>0</v>
      </c>
      <c r="T797" s="2">
        <f t="shared" si="28"/>
        <v>0</v>
      </c>
      <c r="U797" s="10" t="str">
        <f>IF($S797=0, "", IF(COUNTIF(Table1[Amino Acid Change], $S797)=0, "Missing", "Y"))</f>
        <v/>
      </c>
      <c r="V797" s="10">
        <f t="shared" si="29"/>
        <v>0</v>
      </c>
    </row>
    <row r="798" spans="9:22" x14ac:dyDescent="0.25">
      <c r="I798" s="2">
        <f>Deletion!A96</f>
        <v>0</v>
      </c>
      <c r="J798" s="2">
        <f>Deletion!B96</f>
        <v>0</v>
      </c>
      <c r="K798" s="2">
        <f>Deletion!C96</f>
        <v>0</v>
      </c>
      <c r="L798" s="2">
        <f>Deletion!D96</f>
        <v>0</v>
      </c>
      <c r="M798" s="2">
        <f>Deletion!E96</f>
        <v>0</v>
      </c>
      <c r="N798" s="2">
        <f>Deletion!G96</f>
        <v>0</v>
      </c>
      <c r="O798" s="2">
        <f>Deletion!H96</f>
        <v>0</v>
      </c>
      <c r="P798" s="2">
        <f>Deletion!I96</f>
        <v>0</v>
      </c>
      <c r="Q798" s="2">
        <f>Deletion!J96</f>
        <v>0</v>
      </c>
      <c r="R798" s="2">
        <f>Deletion!K96</f>
        <v>0</v>
      </c>
      <c r="S798" s="2">
        <f>Deletion!N96</f>
        <v>0</v>
      </c>
      <c r="T798" s="2">
        <f t="shared" si="28"/>
        <v>0</v>
      </c>
      <c r="U798" s="10" t="str">
        <f>IF($S798=0, "", IF(COUNTIF(Table1[Amino Acid Change], $S798)=0, "Missing", "Y"))</f>
        <v/>
      </c>
      <c r="V798" s="10">
        <f t="shared" si="29"/>
        <v>0</v>
      </c>
    </row>
    <row r="799" spans="9:22" x14ac:dyDescent="0.25">
      <c r="I799" s="2">
        <f>Deletion!A97</f>
        <v>0</v>
      </c>
      <c r="J799" s="2">
        <f>Deletion!B97</f>
        <v>0</v>
      </c>
      <c r="K799" s="2">
        <f>Deletion!C97</f>
        <v>0</v>
      </c>
      <c r="L799" s="2">
        <f>Deletion!D97</f>
        <v>0</v>
      </c>
      <c r="M799" s="2">
        <f>Deletion!E97</f>
        <v>0</v>
      </c>
      <c r="N799" s="2">
        <f>Deletion!G97</f>
        <v>0</v>
      </c>
      <c r="O799" s="2">
        <f>Deletion!H97</f>
        <v>0</v>
      </c>
      <c r="P799" s="2">
        <f>Deletion!I97</f>
        <v>0</v>
      </c>
      <c r="Q799" s="2">
        <f>Deletion!J97</f>
        <v>0</v>
      </c>
      <c r="R799" s="2">
        <f>Deletion!K97</f>
        <v>0</v>
      </c>
      <c r="S799" s="2">
        <f>Deletion!N97</f>
        <v>0</v>
      </c>
      <c r="T799" s="2">
        <f t="shared" si="28"/>
        <v>0</v>
      </c>
      <c r="U799" s="10" t="str">
        <f>IF($S799=0, "", IF(COUNTIF(Table1[Amino Acid Change], $S799)=0, "Missing", "Y"))</f>
        <v/>
      </c>
      <c r="V799" s="10">
        <f t="shared" si="29"/>
        <v>0</v>
      </c>
    </row>
    <row r="800" spans="9:22" x14ac:dyDescent="0.25">
      <c r="I800" s="2">
        <f>Deletion!A98</f>
        <v>0</v>
      </c>
      <c r="J800" s="2">
        <f>Deletion!B98</f>
        <v>0</v>
      </c>
      <c r="K800" s="2">
        <f>Deletion!C98</f>
        <v>0</v>
      </c>
      <c r="L800" s="2">
        <f>Deletion!D98</f>
        <v>0</v>
      </c>
      <c r="M800" s="2">
        <f>Deletion!E98</f>
        <v>0</v>
      </c>
      <c r="N800" s="2">
        <f>Deletion!G98</f>
        <v>0</v>
      </c>
      <c r="O800" s="2">
        <f>Deletion!H98</f>
        <v>0</v>
      </c>
      <c r="P800" s="2">
        <f>Deletion!I98</f>
        <v>0</v>
      </c>
      <c r="Q800" s="2">
        <f>Deletion!J98</f>
        <v>0</v>
      </c>
      <c r="R800" s="2">
        <f>Deletion!K98</f>
        <v>0</v>
      </c>
      <c r="S800" s="2">
        <f>Deletion!N98</f>
        <v>0</v>
      </c>
      <c r="T800" s="2">
        <f t="shared" si="28"/>
        <v>0</v>
      </c>
      <c r="U800" s="10" t="str">
        <f>IF($S800=0, "", IF(COUNTIF(Table1[Amino Acid Change], $S800)=0, "Missing", "Y"))</f>
        <v/>
      </c>
      <c r="V800" s="10">
        <f t="shared" si="29"/>
        <v>0</v>
      </c>
    </row>
    <row r="801" spans="9:22" x14ac:dyDescent="0.25">
      <c r="I801" s="2">
        <f>Deletion!A99</f>
        <v>0</v>
      </c>
      <c r="J801" s="2">
        <f>Deletion!B99</f>
        <v>0</v>
      </c>
      <c r="K801" s="2">
        <f>Deletion!C99</f>
        <v>0</v>
      </c>
      <c r="L801" s="2">
        <f>Deletion!D99</f>
        <v>0</v>
      </c>
      <c r="M801" s="2">
        <f>Deletion!E99</f>
        <v>0</v>
      </c>
      <c r="N801" s="2">
        <f>Deletion!G99</f>
        <v>0</v>
      </c>
      <c r="O801" s="2">
        <f>Deletion!H99</f>
        <v>0</v>
      </c>
      <c r="P801" s="2">
        <f>Deletion!I99</f>
        <v>0</v>
      </c>
      <c r="Q801" s="2">
        <f>Deletion!J99</f>
        <v>0</v>
      </c>
      <c r="R801" s="2">
        <f>Deletion!K99</f>
        <v>0</v>
      </c>
      <c r="S801" s="2">
        <f>Deletion!N99</f>
        <v>0</v>
      </c>
      <c r="T801" s="2">
        <f t="shared" si="28"/>
        <v>0</v>
      </c>
      <c r="U801" s="10" t="str">
        <f>IF($S801=0, "", IF(COUNTIF(Table1[Amino Acid Change], $S801)=0, "Missing", "Y"))</f>
        <v/>
      </c>
      <c r="V801" s="10">
        <f t="shared" si="29"/>
        <v>0</v>
      </c>
    </row>
    <row r="802" spans="9:22" x14ac:dyDescent="0.25">
      <c r="I802" s="2">
        <f>Deletion!A100</f>
        <v>0</v>
      </c>
      <c r="J802" s="2">
        <f>Deletion!B100</f>
        <v>0</v>
      </c>
      <c r="K802" s="2">
        <f>Deletion!C100</f>
        <v>0</v>
      </c>
      <c r="L802" s="2">
        <f>Deletion!D100</f>
        <v>0</v>
      </c>
      <c r="M802" s="2">
        <f>Deletion!E100</f>
        <v>0</v>
      </c>
      <c r="N802" s="2">
        <f>Deletion!G100</f>
        <v>0</v>
      </c>
      <c r="O802" s="2">
        <f>Deletion!H100</f>
        <v>0</v>
      </c>
      <c r="P802" s="2">
        <f>Deletion!I100</f>
        <v>0</v>
      </c>
      <c r="Q802" s="2">
        <f>Deletion!J100</f>
        <v>0</v>
      </c>
      <c r="R802" s="2">
        <f>Deletion!K100</f>
        <v>0</v>
      </c>
      <c r="S802" s="2">
        <f>Deletion!N100</f>
        <v>0</v>
      </c>
      <c r="T802" s="2">
        <f t="shared" si="28"/>
        <v>0</v>
      </c>
      <c r="U802" s="10" t="str">
        <f>IF($S802=0, "", IF(COUNTIF(Table1[Amino Acid Change], $S802)=0, "Missing", "Y"))</f>
        <v/>
      </c>
      <c r="V802" s="10">
        <f t="shared" si="29"/>
        <v>0</v>
      </c>
    </row>
    <row r="803" spans="9:22" x14ac:dyDescent="0.25">
      <c r="I803" s="2">
        <f>Deletion!A101</f>
        <v>0</v>
      </c>
      <c r="J803" s="2">
        <f>Deletion!B101</f>
        <v>0</v>
      </c>
      <c r="K803" s="2">
        <f>Deletion!C101</f>
        <v>0</v>
      </c>
      <c r="L803" s="2">
        <f>Deletion!D101</f>
        <v>0</v>
      </c>
      <c r="M803" s="2">
        <f>Deletion!E101</f>
        <v>0</v>
      </c>
      <c r="N803" s="2">
        <f>Deletion!G101</f>
        <v>0</v>
      </c>
      <c r="O803" s="2">
        <f>Deletion!H101</f>
        <v>0</v>
      </c>
      <c r="P803" s="2">
        <f>Deletion!I101</f>
        <v>0</v>
      </c>
      <c r="Q803" s="2">
        <f>Deletion!J101</f>
        <v>0</v>
      </c>
      <c r="R803" s="2">
        <f>Deletion!K101</f>
        <v>0</v>
      </c>
      <c r="S803" s="2">
        <f>Deletion!N101</f>
        <v>0</v>
      </c>
      <c r="T803" s="2">
        <f t="shared" si="28"/>
        <v>0</v>
      </c>
      <c r="U803" s="10" t="str">
        <f>IF($S803=0, "", IF(COUNTIF(Table1[Amino Acid Change], $S803)=0, "Missing", "Y"))</f>
        <v/>
      </c>
      <c r="V803" s="10">
        <f t="shared" si="29"/>
        <v>0</v>
      </c>
    </row>
    <row r="804" spans="9:22" x14ac:dyDescent="0.25">
      <c r="I804" s="2">
        <f>Deletion!A102</f>
        <v>0</v>
      </c>
      <c r="J804" s="2">
        <f>Deletion!B102</f>
        <v>0</v>
      </c>
      <c r="K804" s="2">
        <f>Deletion!C102</f>
        <v>0</v>
      </c>
      <c r="L804" s="2">
        <f>Deletion!D102</f>
        <v>0</v>
      </c>
      <c r="M804" s="2">
        <f>Deletion!E102</f>
        <v>0</v>
      </c>
      <c r="N804" s="2">
        <f>Deletion!G102</f>
        <v>0</v>
      </c>
      <c r="O804" s="2">
        <f>Deletion!H102</f>
        <v>0</v>
      </c>
      <c r="P804" s="2">
        <f>Deletion!I102</f>
        <v>0</v>
      </c>
      <c r="Q804" s="2">
        <f>Deletion!J102</f>
        <v>0</v>
      </c>
      <c r="R804" s="2">
        <f>Deletion!K102</f>
        <v>0</v>
      </c>
      <c r="S804" s="2">
        <f>Deletion!N102</f>
        <v>0</v>
      </c>
      <c r="T804" s="2">
        <f t="shared" si="28"/>
        <v>0</v>
      </c>
      <c r="U804" s="10" t="str">
        <f>IF($S804=0, "", IF(COUNTIF(Table1[Amino Acid Change], $S804)=0, "Missing", "Y"))</f>
        <v/>
      </c>
      <c r="V804" s="10">
        <f t="shared" si="29"/>
        <v>0</v>
      </c>
    </row>
    <row r="805" spans="9:22" x14ac:dyDescent="0.25">
      <c r="I805" s="2">
        <f>Deletion!A103</f>
        <v>0</v>
      </c>
      <c r="J805" s="2">
        <f>Deletion!B103</f>
        <v>0</v>
      </c>
      <c r="K805" s="2">
        <f>Deletion!C103</f>
        <v>0</v>
      </c>
      <c r="L805" s="2">
        <f>Deletion!D103</f>
        <v>0</v>
      </c>
      <c r="M805" s="2">
        <f>Deletion!E103</f>
        <v>0</v>
      </c>
      <c r="N805" s="2">
        <f>Deletion!G103</f>
        <v>0</v>
      </c>
      <c r="O805" s="2">
        <f>Deletion!H103</f>
        <v>0</v>
      </c>
      <c r="P805" s="2">
        <f>Deletion!I103</f>
        <v>0</v>
      </c>
      <c r="Q805" s="2">
        <f>Deletion!J103</f>
        <v>0</v>
      </c>
      <c r="R805" s="2">
        <f>Deletion!K103</f>
        <v>0</v>
      </c>
      <c r="S805" s="2">
        <f>Deletion!N103</f>
        <v>0</v>
      </c>
      <c r="T805" s="2">
        <f t="shared" si="28"/>
        <v>0</v>
      </c>
      <c r="U805" s="10" t="str">
        <f>IF($S805=0, "", IF(COUNTIF(Table1[Amino Acid Change], $S805)=0, "Missing", "Y"))</f>
        <v/>
      </c>
      <c r="V805" s="10">
        <f t="shared" si="29"/>
        <v>0</v>
      </c>
    </row>
    <row r="806" spans="9:22" x14ac:dyDescent="0.25">
      <c r="I806" s="2">
        <f>Deletion!A104</f>
        <v>0</v>
      </c>
      <c r="J806" s="2">
        <f>Deletion!B104</f>
        <v>0</v>
      </c>
      <c r="K806" s="2">
        <f>Deletion!C104</f>
        <v>0</v>
      </c>
      <c r="L806" s="2">
        <f>Deletion!D104</f>
        <v>0</v>
      </c>
      <c r="M806" s="2">
        <f>Deletion!E104</f>
        <v>0</v>
      </c>
      <c r="N806" s="2">
        <f>Deletion!G104</f>
        <v>0</v>
      </c>
      <c r="O806" s="2">
        <f>Deletion!H104</f>
        <v>0</v>
      </c>
      <c r="P806" s="2">
        <f>Deletion!I104</f>
        <v>0</v>
      </c>
      <c r="Q806" s="2">
        <f>Deletion!J104</f>
        <v>0</v>
      </c>
      <c r="R806" s="2">
        <f>Deletion!K104</f>
        <v>0</v>
      </c>
      <c r="S806" s="2">
        <f>Deletion!N104</f>
        <v>0</v>
      </c>
      <c r="T806" s="2">
        <f t="shared" si="28"/>
        <v>0</v>
      </c>
      <c r="U806" s="10" t="str">
        <f>IF($S806=0, "", IF(COUNTIF(Table1[Amino Acid Change], $S806)=0, "Missing", "Y"))</f>
        <v/>
      </c>
      <c r="V806" s="10">
        <f t="shared" si="29"/>
        <v>0</v>
      </c>
    </row>
    <row r="807" spans="9:22" x14ac:dyDescent="0.25">
      <c r="I807" s="2">
        <f>Deletion!A105</f>
        <v>0</v>
      </c>
      <c r="J807" s="2">
        <f>Deletion!B105</f>
        <v>0</v>
      </c>
      <c r="K807" s="2">
        <f>Deletion!C105</f>
        <v>0</v>
      </c>
      <c r="L807" s="2">
        <f>Deletion!D105</f>
        <v>0</v>
      </c>
      <c r="M807" s="2">
        <f>Deletion!E105</f>
        <v>0</v>
      </c>
      <c r="N807" s="2">
        <f>Deletion!G105</f>
        <v>0</v>
      </c>
      <c r="O807" s="2">
        <f>Deletion!H105</f>
        <v>0</v>
      </c>
      <c r="P807" s="2">
        <f>Deletion!I105</f>
        <v>0</v>
      </c>
      <c r="Q807" s="2">
        <f>Deletion!J105</f>
        <v>0</v>
      </c>
      <c r="R807" s="2">
        <f>Deletion!K105</f>
        <v>0</v>
      </c>
      <c r="S807" s="2">
        <f>Deletion!N105</f>
        <v>0</v>
      </c>
      <c r="T807" s="2">
        <f t="shared" si="28"/>
        <v>0</v>
      </c>
      <c r="U807" s="10" t="str">
        <f>IF($S807=0, "", IF(COUNTIF(Table1[Amino Acid Change], $S807)=0, "Missing", "Y"))</f>
        <v/>
      </c>
      <c r="V807" s="10">
        <f t="shared" si="29"/>
        <v>0</v>
      </c>
    </row>
    <row r="808" spans="9:22" x14ac:dyDescent="0.25">
      <c r="I808" s="2">
        <f>Deletion!A106</f>
        <v>0</v>
      </c>
      <c r="J808" s="2">
        <f>Deletion!B106</f>
        <v>0</v>
      </c>
      <c r="K808" s="2">
        <f>Deletion!C106</f>
        <v>0</v>
      </c>
      <c r="L808" s="2">
        <f>Deletion!D106</f>
        <v>0</v>
      </c>
      <c r="M808" s="2">
        <f>Deletion!E106</f>
        <v>0</v>
      </c>
      <c r="N808" s="2">
        <f>Deletion!G106</f>
        <v>0</v>
      </c>
      <c r="O808" s="2">
        <f>Deletion!H106</f>
        <v>0</v>
      </c>
      <c r="P808" s="2">
        <f>Deletion!I106</f>
        <v>0</v>
      </c>
      <c r="Q808" s="2">
        <f>Deletion!J106</f>
        <v>0</v>
      </c>
      <c r="R808" s="2">
        <f>Deletion!K106</f>
        <v>0</v>
      </c>
      <c r="S808" s="2">
        <f>Deletion!N106</f>
        <v>0</v>
      </c>
      <c r="T808" s="2">
        <f t="shared" si="28"/>
        <v>0</v>
      </c>
      <c r="U808" s="10" t="str">
        <f>IF($S808=0, "", IF(COUNTIF(Table1[Amino Acid Change], $S808)=0, "Missing", "Y"))</f>
        <v/>
      </c>
      <c r="V808" s="10">
        <f t="shared" si="29"/>
        <v>0</v>
      </c>
    </row>
    <row r="809" spans="9:22" x14ac:dyDescent="0.25">
      <c r="I809" s="2">
        <f>Deletion!A107</f>
        <v>0</v>
      </c>
      <c r="J809" s="2">
        <f>Deletion!B107</f>
        <v>0</v>
      </c>
      <c r="K809" s="2">
        <f>Deletion!C107</f>
        <v>0</v>
      </c>
      <c r="L809" s="2">
        <f>Deletion!D107</f>
        <v>0</v>
      </c>
      <c r="M809" s="2">
        <f>Deletion!E107</f>
        <v>0</v>
      </c>
      <c r="N809" s="2">
        <f>Deletion!G107</f>
        <v>0</v>
      </c>
      <c r="O809" s="2">
        <f>Deletion!H107</f>
        <v>0</v>
      </c>
      <c r="P809" s="2">
        <f>Deletion!I107</f>
        <v>0</v>
      </c>
      <c r="Q809" s="2">
        <f>Deletion!J107</f>
        <v>0</v>
      </c>
      <c r="R809" s="2">
        <f>Deletion!K107</f>
        <v>0</v>
      </c>
      <c r="S809" s="2">
        <f>Deletion!N107</f>
        <v>0</v>
      </c>
      <c r="T809" s="2">
        <f t="shared" si="28"/>
        <v>0</v>
      </c>
      <c r="U809" s="10" t="str">
        <f>IF($S809=0, "", IF(COUNTIF(Table1[Amino Acid Change], $S809)=0, "Missing", "Y"))</f>
        <v/>
      </c>
      <c r="V809" s="10">
        <f t="shared" si="29"/>
        <v>0</v>
      </c>
    </row>
    <row r="810" spans="9:22" x14ac:dyDescent="0.25">
      <c r="I810" s="2">
        <f>Deletion!A108</f>
        <v>0</v>
      </c>
      <c r="J810" s="2">
        <f>Deletion!B108</f>
        <v>0</v>
      </c>
      <c r="K810" s="2">
        <f>Deletion!C108</f>
        <v>0</v>
      </c>
      <c r="L810" s="2">
        <f>Deletion!D108</f>
        <v>0</v>
      </c>
      <c r="M810" s="2">
        <f>Deletion!E108</f>
        <v>0</v>
      </c>
      <c r="N810" s="2">
        <f>Deletion!G108</f>
        <v>0</v>
      </c>
      <c r="O810" s="2">
        <f>Deletion!H108</f>
        <v>0</v>
      </c>
      <c r="P810" s="2">
        <f>Deletion!I108</f>
        <v>0</v>
      </c>
      <c r="Q810" s="2">
        <f>Deletion!J108</f>
        <v>0</v>
      </c>
      <c r="R810" s="2">
        <f>Deletion!K108</f>
        <v>0</v>
      </c>
      <c r="S810" s="2">
        <f>Deletion!N108</f>
        <v>0</v>
      </c>
      <c r="T810" s="2">
        <f t="shared" si="28"/>
        <v>0</v>
      </c>
      <c r="U810" s="10" t="str">
        <f>IF($S810=0, "", IF(COUNTIF(Table1[Amino Acid Change], $S810)=0, "Missing", "Y"))</f>
        <v/>
      </c>
      <c r="V810" s="10">
        <f t="shared" si="29"/>
        <v>0</v>
      </c>
    </row>
    <row r="811" spans="9:22" x14ac:dyDescent="0.25">
      <c r="I811" s="2">
        <f>Deletion!A109</f>
        <v>0</v>
      </c>
      <c r="J811" s="2">
        <f>Deletion!B109</f>
        <v>0</v>
      </c>
      <c r="K811" s="2">
        <f>Deletion!C109</f>
        <v>0</v>
      </c>
      <c r="L811" s="2">
        <f>Deletion!D109</f>
        <v>0</v>
      </c>
      <c r="M811" s="2">
        <f>Deletion!E109</f>
        <v>0</v>
      </c>
      <c r="N811" s="2">
        <f>Deletion!G109</f>
        <v>0</v>
      </c>
      <c r="O811" s="2">
        <f>Deletion!H109</f>
        <v>0</v>
      </c>
      <c r="P811" s="2">
        <f>Deletion!I109</f>
        <v>0</v>
      </c>
      <c r="Q811" s="2">
        <f>Deletion!J109</f>
        <v>0</v>
      </c>
      <c r="R811" s="2">
        <f>Deletion!K109</f>
        <v>0</v>
      </c>
      <c r="S811" s="2">
        <f>Deletion!N109</f>
        <v>0</v>
      </c>
      <c r="T811" s="2">
        <f t="shared" si="28"/>
        <v>0</v>
      </c>
      <c r="U811" s="10" t="str">
        <f>IF($S811=0, "", IF(COUNTIF(Table1[Amino Acid Change], $S811)=0, "Missing", "Y"))</f>
        <v/>
      </c>
      <c r="V811" s="10">
        <f t="shared" si="29"/>
        <v>0</v>
      </c>
    </row>
    <row r="812" spans="9:22" x14ac:dyDescent="0.25">
      <c r="I812" s="2">
        <f>Deletion!A110</f>
        <v>0</v>
      </c>
      <c r="J812" s="2">
        <f>Deletion!B110</f>
        <v>0</v>
      </c>
      <c r="K812" s="2">
        <f>Deletion!C110</f>
        <v>0</v>
      </c>
      <c r="L812" s="2">
        <f>Deletion!D110</f>
        <v>0</v>
      </c>
      <c r="M812" s="2">
        <f>Deletion!E110</f>
        <v>0</v>
      </c>
      <c r="N812" s="2">
        <f>Deletion!G110</f>
        <v>0</v>
      </c>
      <c r="O812" s="2">
        <f>Deletion!H110</f>
        <v>0</v>
      </c>
      <c r="P812" s="2">
        <f>Deletion!I110</f>
        <v>0</v>
      </c>
      <c r="Q812" s="2">
        <f>Deletion!J110</f>
        <v>0</v>
      </c>
      <c r="R812" s="2">
        <f>Deletion!K110</f>
        <v>0</v>
      </c>
      <c r="S812" s="2">
        <f>Deletion!N110</f>
        <v>0</v>
      </c>
      <c r="T812" s="2">
        <f t="shared" si="28"/>
        <v>0</v>
      </c>
      <c r="U812" s="10" t="str">
        <f>IF($S812=0, "", IF(COUNTIF(Table1[Amino Acid Change], $S812)=0, "Missing", "Y"))</f>
        <v/>
      </c>
      <c r="V812" s="10">
        <f t="shared" si="29"/>
        <v>0</v>
      </c>
    </row>
    <row r="813" spans="9:22" x14ac:dyDescent="0.25">
      <c r="I813" s="2">
        <f>Deletion!A111</f>
        <v>0</v>
      </c>
      <c r="J813" s="2">
        <f>Deletion!B111</f>
        <v>0</v>
      </c>
      <c r="K813" s="2">
        <f>Deletion!C111</f>
        <v>0</v>
      </c>
      <c r="L813" s="2">
        <f>Deletion!D111</f>
        <v>0</v>
      </c>
      <c r="M813" s="2">
        <f>Deletion!E111</f>
        <v>0</v>
      </c>
      <c r="N813" s="2">
        <f>Deletion!G111</f>
        <v>0</v>
      </c>
      <c r="O813" s="2">
        <f>Deletion!H111</f>
        <v>0</v>
      </c>
      <c r="P813" s="2">
        <f>Deletion!I111</f>
        <v>0</v>
      </c>
      <c r="Q813" s="2">
        <f>Deletion!J111</f>
        <v>0</v>
      </c>
      <c r="R813" s="2">
        <f>Deletion!K111</f>
        <v>0</v>
      </c>
      <c r="S813" s="2">
        <f>Deletion!N111</f>
        <v>0</v>
      </c>
      <c r="T813" s="2">
        <f t="shared" si="28"/>
        <v>0</v>
      </c>
      <c r="U813" s="10" t="str">
        <f>IF($S813=0, "", IF(COUNTIF(Table1[Amino Acid Change], $S813)=0, "Missing", "Y"))</f>
        <v/>
      </c>
      <c r="V813" s="10">
        <f t="shared" si="29"/>
        <v>0</v>
      </c>
    </row>
    <row r="814" spans="9:22" x14ac:dyDescent="0.25">
      <c r="I814" s="2">
        <f>Deletion!A112</f>
        <v>0</v>
      </c>
      <c r="J814" s="2">
        <f>Deletion!B112</f>
        <v>0</v>
      </c>
      <c r="K814" s="2">
        <f>Deletion!C112</f>
        <v>0</v>
      </c>
      <c r="L814" s="2">
        <f>Deletion!D112</f>
        <v>0</v>
      </c>
      <c r="M814" s="2">
        <f>Deletion!E112</f>
        <v>0</v>
      </c>
      <c r="N814" s="2">
        <f>Deletion!G112</f>
        <v>0</v>
      </c>
      <c r="O814" s="2">
        <f>Deletion!H112</f>
        <v>0</v>
      </c>
      <c r="P814" s="2">
        <f>Deletion!I112</f>
        <v>0</v>
      </c>
      <c r="Q814" s="2">
        <f>Deletion!J112</f>
        <v>0</v>
      </c>
      <c r="R814" s="2">
        <f>Deletion!K112</f>
        <v>0</v>
      </c>
      <c r="S814" s="2">
        <f>Deletion!N112</f>
        <v>0</v>
      </c>
      <c r="T814" s="2">
        <f t="shared" si="28"/>
        <v>0</v>
      </c>
      <c r="U814" s="10" t="str">
        <f>IF($S814=0, "", IF(COUNTIF(Table1[Amino Acid Change], $S814)=0, "Missing", "Y"))</f>
        <v/>
      </c>
      <c r="V814" s="10">
        <f t="shared" si="29"/>
        <v>0</v>
      </c>
    </row>
    <row r="815" spans="9:22" x14ac:dyDescent="0.25">
      <c r="I815" s="2">
        <f>Deletion!A113</f>
        <v>0</v>
      </c>
      <c r="J815" s="2">
        <f>Deletion!B113</f>
        <v>0</v>
      </c>
      <c r="K815" s="2">
        <f>Deletion!C113</f>
        <v>0</v>
      </c>
      <c r="L815" s="2">
        <f>Deletion!D113</f>
        <v>0</v>
      </c>
      <c r="M815" s="2">
        <f>Deletion!E113</f>
        <v>0</v>
      </c>
      <c r="N815" s="2">
        <f>Deletion!G113</f>
        <v>0</v>
      </c>
      <c r="O815" s="2">
        <f>Deletion!H113</f>
        <v>0</v>
      </c>
      <c r="P815" s="2">
        <f>Deletion!I113</f>
        <v>0</v>
      </c>
      <c r="Q815" s="2">
        <f>Deletion!J113</f>
        <v>0</v>
      </c>
      <c r="R815" s="2">
        <f>Deletion!K113</f>
        <v>0</v>
      </c>
      <c r="S815" s="2">
        <f>Deletion!N113</f>
        <v>0</v>
      </c>
      <c r="T815" s="2">
        <f t="shared" si="28"/>
        <v>0</v>
      </c>
      <c r="U815" s="10" t="str">
        <f>IF($S815=0, "", IF(COUNTIF(Table1[Amino Acid Change], $S815)=0, "Missing", "Y"))</f>
        <v/>
      </c>
      <c r="V815" s="10">
        <f t="shared" si="29"/>
        <v>0</v>
      </c>
    </row>
    <row r="816" spans="9:22" x14ac:dyDescent="0.25">
      <c r="I816" s="2">
        <f>Deletion!A114</f>
        <v>0</v>
      </c>
      <c r="J816" s="2">
        <f>Deletion!B114</f>
        <v>0</v>
      </c>
      <c r="K816" s="2">
        <f>Deletion!C114</f>
        <v>0</v>
      </c>
      <c r="L816" s="2">
        <f>Deletion!D114</f>
        <v>0</v>
      </c>
      <c r="M816" s="2">
        <f>Deletion!E114</f>
        <v>0</v>
      </c>
      <c r="N816" s="2">
        <f>Deletion!G114</f>
        <v>0</v>
      </c>
      <c r="O816" s="2">
        <f>Deletion!H114</f>
        <v>0</v>
      </c>
      <c r="P816" s="2">
        <f>Deletion!I114</f>
        <v>0</v>
      </c>
      <c r="Q816" s="2">
        <f>Deletion!J114</f>
        <v>0</v>
      </c>
      <c r="R816" s="2">
        <f>Deletion!K114</f>
        <v>0</v>
      </c>
      <c r="S816" s="2">
        <f>Deletion!N114</f>
        <v>0</v>
      </c>
      <c r="T816" s="2">
        <f t="shared" si="28"/>
        <v>0</v>
      </c>
      <c r="U816" s="10" t="str">
        <f>IF($S816=0, "", IF(COUNTIF(Table1[Amino Acid Change], $S816)=0, "Missing", "Y"))</f>
        <v/>
      </c>
      <c r="V816" s="10">
        <f t="shared" si="29"/>
        <v>0</v>
      </c>
    </row>
    <row r="817" spans="9:22" x14ac:dyDescent="0.25">
      <c r="I817" s="2">
        <f>Deletion!A115</f>
        <v>0</v>
      </c>
      <c r="J817" s="2">
        <f>Deletion!B115</f>
        <v>0</v>
      </c>
      <c r="K817" s="2">
        <f>Deletion!C115</f>
        <v>0</v>
      </c>
      <c r="L817" s="2">
        <f>Deletion!D115</f>
        <v>0</v>
      </c>
      <c r="M817" s="2">
        <f>Deletion!E115</f>
        <v>0</v>
      </c>
      <c r="N817" s="2">
        <f>Deletion!G115</f>
        <v>0</v>
      </c>
      <c r="O817" s="2">
        <f>Deletion!H115</f>
        <v>0</v>
      </c>
      <c r="P817" s="2">
        <f>Deletion!I115</f>
        <v>0</v>
      </c>
      <c r="Q817" s="2">
        <f>Deletion!J115</f>
        <v>0</v>
      </c>
      <c r="R817" s="2">
        <f>Deletion!K115</f>
        <v>0</v>
      </c>
      <c r="S817" s="2">
        <f>Deletion!N115</f>
        <v>0</v>
      </c>
      <c r="T817" s="2">
        <f t="shared" si="28"/>
        <v>0</v>
      </c>
      <c r="U817" s="10" t="str">
        <f>IF($S817=0, "", IF(COUNTIF(Table1[Amino Acid Change], $S817)=0, "Missing", "Y"))</f>
        <v/>
      </c>
      <c r="V817" s="10">
        <f t="shared" si="29"/>
        <v>0</v>
      </c>
    </row>
    <row r="818" spans="9:22" x14ac:dyDescent="0.25">
      <c r="I818" s="2">
        <f>Deletion!A116</f>
        <v>0</v>
      </c>
      <c r="J818" s="2">
        <f>Deletion!B116</f>
        <v>0</v>
      </c>
      <c r="K818" s="2">
        <f>Deletion!C116</f>
        <v>0</v>
      </c>
      <c r="L818" s="2">
        <f>Deletion!D116</f>
        <v>0</v>
      </c>
      <c r="M818" s="2">
        <f>Deletion!E116</f>
        <v>0</v>
      </c>
      <c r="N818" s="2">
        <f>Deletion!G116</f>
        <v>0</v>
      </c>
      <c r="O818" s="2">
        <f>Deletion!H116</f>
        <v>0</v>
      </c>
      <c r="P818" s="2">
        <f>Deletion!I116</f>
        <v>0</v>
      </c>
      <c r="Q818" s="2">
        <f>Deletion!J116</f>
        <v>0</v>
      </c>
      <c r="R818" s="2">
        <f>Deletion!K116</f>
        <v>0</v>
      </c>
      <c r="S818" s="2">
        <f>Deletion!N116</f>
        <v>0</v>
      </c>
      <c r="T818" s="2">
        <f t="shared" si="28"/>
        <v>0</v>
      </c>
      <c r="U818" s="10" t="str">
        <f>IF($S818=0, "", IF(COUNTIF(Table1[Amino Acid Change], $S818)=0, "Missing", "Y"))</f>
        <v/>
      </c>
      <c r="V818" s="10">
        <f t="shared" si="29"/>
        <v>0</v>
      </c>
    </row>
    <row r="819" spans="9:22" x14ac:dyDescent="0.25">
      <c r="I819" s="2">
        <f>Deletion!A117</f>
        <v>0</v>
      </c>
      <c r="J819" s="2">
        <f>Deletion!B117</f>
        <v>0</v>
      </c>
      <c r="K819" s="2">
        <f>Deletion!C117</f>
        <v>0</v>
      </c>
      <c r="L819" s="2">
        <f>Deletion!D117</f>
        <v>0</v>
      </c>
      <c r="M819" s="2">
        <f>Deletion!E117</f>
        <v>0</v>
      </c>
      <c r="N819" s="2">
        <f>Deletion!G117</f>
        <v>0</v>
      </c>
      <c r="O819" s="2">
        <f>Deletion!H117</f>
        <v>0</v>
      </c>
      <c r="P819" s="2">
        <f>Deletion!I117</f>
        <v>0</v>
      </c>
      <c r="Q819" s="2">
        <f>Deletion!J117</f>
        <v>0</v>
      </c>
      <c r="R819" s="2">
        <f>Deletion!K117</f>
        <v>0</v>
      </c>
      <c r="S819" s="2">
        <f>Deletion!N117</f>
        <v>0</v>
      </c>
      <c r="T819" s="2">
        <f t="shared" si="28"/>
        <v>0</v>
      </c>
      <c r="U819" s="10" t="str">
        <f>IF($S819=0, "", IF(COUNTIF(Table1[Amino Acid Change], $S819)=0, "Missing", "Y"))</f>
        <v/>
      </c>
      <c r="V819" s="10">
        <f t="shared" si="29"/>
        <v>0</v>
      </c>
    </row>
    <row r="820" spans="9:22" x14ac:dyDescent="0.25">
      <c r="I820" s="2">
        <f>Deletion!A118</f>
        <v>0</v>
      </c>
      <c r="J820" s="2">
        <f>Deletion!B118</f>
        <v>0</v>
      </c>
      <c r="K820" s="2">
        <f>Deletion!C118</f>
        <v>0</v>
      </c>
      <c r="L820" s="2">
        <f>Deletion!D118</f>
        <v>0</v>
      </c>
      <c r="M820" s="2">
        <f>Deletion!E118</f>
        <v>0</v>
      </c>
      <c r="N820" s="2">
        <f>Deletion!G118</f>
        <v>0</v>
      </c>
      <c r="O820" s="2">
        <f>Deletion!H118</f>
        <v>0</v>
      </c>
      <c r="P820" s="2">
        <f>Deletion!I118</f>
        <v>0</v>
      </c>
      <c r="Q820" s="2">
        <f>Deletion!J118</f>
        <v>0</v>
      </c>
      <c r="R820" s="2">
        <f>Deletion!K118</f>
        <v>0</v>
      </c>
      <c r="S820" s="2">
        <f>Deletion!N118</f>
        <v>0</v>
      </c>
      <c r="T820" s="2">
        <f t="shared" si="28"/>
        <v>0</v>
      </c>
      <c r="U820" s="10" t="str">
        <f>IF($S820=0, "", IF(COUNTIF(Table1[Amino Acid Change], $S820)=0, "Missing", "Y"))</f>
        <v/>
      </c>
      <c r="V820" s="10">
        <f t="shared" si="29"/>
        <v>0</v>
      </c>
    </row>
    <row r="821" spans="9:22" x14ac:dyDescent="0.25">
      <c r="I821" s="2">
        <f>Deletion!A119</f>
        <v>0</v>
      </c>
      <c r="J821" s="2">
        <f>Deletion!B119</f>
        <v>0</v>
      </c>
      <c r="K821" s="2">
        <f>Deletion!C119</f>
        <v>0</v>
      </c>
      <c r="L821" s="2">
        <f>Deletion!D119</f>
        <v>0</v>
      </c>
      <c r="M821" s="2">
        <f>Deletion!E119</f>
        <v>0</v>
      </c>
      <c r="N821" s="2">
        <f>Deletion!G119</f>
        <v>0</v>
      </c>
      <c r="O821" s="2">
        <f>Deletion!H119</f>
        <v>0</v>
      </c>
      <c r="P821" s="2">
        <f>Deletion!I119</f>
        <v>0</v>
      </c>
      <c r="Q821" s="2">
        <f>Deletion!J119</f>
        <v>0</v>
      </c>
      <c r="R821" s="2">
        <f>Deletion!K119</f>
        <v>0</v>
      </c>
      <c r="S821" s="2">
        <f>Deletion!N119</f>
        <v>0</v>
      </c>
      <c r="T821" s="2">
        <f t="shared" si="28"/>
        <v>0</v>
      </c>
      <c r="U821" s="10" t="str">
        <f>IF($S821=0, "", IF(COUNTIF(Table1[Amino Acid Change], $S821)=0, "Missing", "Y"))</f>
        <v/>
      </c>
      <c r="V821" s="10">
        <f t="shared" si="29"/>
        <v>0</v>
      </c>
    </row>
    <row r="822" spans="9:22" x14ac:dyDescent="0.25">
      <c r="I822" s="2">
        <f>Deletion!A120</f>
        <v>0</v>
      </c>
      <c r="J822" s="2">
        <f>Deletion!B120</f>
        <v>0</v>
      </c>
      <c r="K822" s="2">
        <f>Deletion!C120</f>
        <v>0</v>
      </c>
      <c r="L822" s="2">
        <f>Deletion!D120</f>
        <v>0</v>
      </c>
      <c r="M822" s="2">
        <f>Deletion!E120</f>
        <v>0</v>
      </c>
      <c r="N822" s="2">
        <f>Deletion!G120</f>
        <v>0</v>
      </c>
      <c r="O822" s="2">
        <f>Deletion!H120</f>
        <v>0</v>
      </c>
      <c r="P822" s="2">
        <f>Deletion!I120</f>
        <v>0</v>
      </c>
      <c r="Q822" s="2">
        <f>Deletion!J120</f>
        <v>0</v>
      </c>
      <c r="R822" s="2">
        <f>Deletion!K120</f>
        <v>0</v>
      </c>
      <c r="S822" s="2">
        <f>Deletion!N120</f>
        <v>0</v>
      </c>
      <c r="T822" s="2">
        <f t="shared" si="28"/>
        <v>0</v>
      </c>
      <c r="U822" s="10" t="str">
        <f>IF($S822=0, "", IF(COUNTIF(Table1[Amino Acid Change], $S822)=0, "Missing", "Y"))</f>
        <v/>
      </c>
      <c r="V822" s="10">
        <f t="shared" si="29"/>
        <v>0</v>
      </c>
    </row>
    <row r="823" spans="9:22" x14ac:dyDescent="0.25">
      <c r="I823" s="2">
        <f>Deletion!A121</f>
        <v>0</v>
      </c>
      <c r="J823" s="2">
        <f>Deletion!B121</f>
        <v>0</v>
      </c>
      <c r="K823" s="2">
        <f>Deletion!C121</f>
        <v>0</v>
      </c>
      <c r="L823" s="2">
        <f>Deletion!D121</f>
        <v>0</v>
      </c>
      <c r="M823" s="2">
        <f>Deletion!E121</f>
        <v>0</v>
      </c>
      <c r="N823" s="2">
        <f>Deletion!G121</f>
        <v>0</v>
      </c>
      <c r="O823" s="2">
        <f>Deletion!H121</f>
        <v>0</v>
      </c>
      <c r="P823" s="2">
        <f>Deletion!I121</f>
        <v>0</v>
      </c>
      <c r="Q823" s="2">
        <f>Deletion!J121</f>
        <v>0</v>
      </c>
      <c r="R823" s="2">
        <f>Deletion!K121</f>
        <v>0</v>
      </c>
      <c r="S823" s="2">
        <f>Deletion!N121</f>
        <v>0</v>
      </c>
      <c r="T823" s="2">
        <f t="shared" si="28"/>
        <v>0</v>
      </c>
      <c r="U823" s="10" t="str">
        <f>IF($S823=0, "", IF(COUNTIF(Table1[Amino Acid Change], $S823)=0, "Missing", "Y"))</f>
        <v/>
      </c>
      <c r="V823" s="10">
        <f t="shared" si="29"/>
        <v>0</v>
      </c>
    </row>
    <row r="824" spans="9:22" x14ac:dyDescent="0.25">
      <c r="I824" s="2">
        <f>Deletion!A122</f>
        <v>0</v>
      </c>
      <c r="J824" s="2">
        <f>Deletion!B122</f>
        <v>0</v>
      </c>
      <c r="K824" s="2">
        <f>Deletion!C122</f>
        <v>0</v>
      </c>
      <c r="L824" s="2">
        <f>Deletion!D122</f>
        <v>0</v>
      </c>
      <c r="M824" s="2">
        <f>Deletion!E122</f>
        <v>0</v>
      </c>
      <c r="N824" s="2">
        <f>Deletion!G122</f>
        <v>0</v>
      </c>
      <c r="O824" s="2">
        <f>Deletion!H122</f>
        <v>0</v>
      </c>
      <c r="P824" s="2">
        <f>Deletion!I122</f>
        <v>0</v>
      </c>
      <c r="Q824" s="2">
        <f>Deletion!J122</f>
        <v>0</v>
      </c>
      <c r="R824" s="2">
        <f>Deletion!K122</f>
        <v>0</v>
      </c>
      <c r="S824" s="2">
        <f>Deletion!N122</f>
        <v>0</v>
      </c>
      <c r="T824" s="2">
        <f t="shared" si="28"/>
        <v>0</v>
      </c>
      <c r="U824" s="10" t="str">
        <f>IF($S824=0, "", IF(COUNTIF(Table1[Amino Acid Change], $S824)=0, "Missing", "Y"))</f>
        <v/>
      </c>
      <c r="V824" s="10">
        <f t="shared" si="29"/>
        <v>0</v>
      </c>
    </row>
    <row r="825" spans="9:22" x14ac:dyDescent="0.25">
      <c r="I825" s="2">
        <f>Deletion!A123</f>
        <v>0</v>
      </c>
      <c r="J825" s="2">
        <f>Deletion!B123</f>
        <v>0</v>
      </c>
      <c r="K825" s="2">
        <f>Deletion!C123</f>
        <v>0</v>
      </c>
      <c r="L825" s="2">
        <f>Deletion!D123</f>
        <v>0</v>
      </c>
      <c r="M825" s="2">
        <f>Deletion!E123</f>
        <v>0</v>
      </c>
      <c r="N825" s="2">
        <f>Deletion!G123</f>
        <v>0</v>
      </c>
      <c r="O825" s="2">
        <f>Deletion!H123</f>
        <v>0</v>
      </c>
      <c r="P825" s="2">
        <f>Deletion!I123</f>
        <v>0</v>
      </c>
      <c r="Q825" s="2">
        <f>Deletion!J123</f>
        <v>0</v>
      </c>
      <c r="R825" s="2">
        <f>Deletion!K123</f>
        <v>0</v>
      </c>
      <c r="S825" s="2">
        <f>Deletion!N123</f>
        <v>0</v>
      </c>
      <c r="T825" s="2">
        <f t="shared" si="28"/>
        <v>0</v>
      </c>
      <c r="U825" s="10" t="str">
        <f>IF($S825=0, "", IF(COUNTIF(Table1[Amino Acid Change], $S825)=0, "Missing", "Y"))</f>
        <v/>
      </c>
      <c r="V825" s="10">
        <f t="shared" si="29"/>
        <v>0</v>
      </c>
    </row>
    <row r="826" spans="9:22" x14ac:dyDescent="0.25">
      <c r="I826" s="2">
        <f>Deletion!A124</f>
        <v>0</v>
      </c>
      <c r="J826" s="2">
        <f>Deletion!B124</f>
        <v>0</v>
      </c>
      <c r="K826" s="2">
        <f>Deletion!C124</f>
        <v>0</v>
      </c>
      <c r="L826" s="2">
        <f>Deletion!D124</f>
        <v>0</v>
      </c>
      <c r="M826" s="2">
        <f>Deletion!E124</f>
        <v>0</v>
      </c>
      <c r="N826" s="2">
        <f>Deletion!G124</f>
        <v>0</v>
      </c>
      <c r="O826" s="2">
        <f>Deletion!H124</f>
        <v>0</v>
      </c>
      <c r="P826" s="2">
        <f>Deletion!I124</f>
        <v>0</v>
      </c>
      <c r="Q826" s="2">
        <f>Deletion!J124</f>
        <v>0</v>
      </c>
      <c r="R826" s="2">
        <f>Deletion!K124</f>
        <v>0</v>
      </c>
      <c r="S826" s="2">
        <f>Deletion!N124</f>
        <v>0</v>
      </c>
      <c r="T826" s="2">
        <f t="shared" si="28"/>
        <v>0</v>
      </c>
      <c r="U826" s="10" t="str">
        <f>IF($S826=0, "", IF(COUNTIF(Table1[Amino Acid Change], $S826)=0, "Missing", "Y"))</f>
        <v/>
      </c>
      <c r="V826" s="10">
        <f t="shared" si="29"/>
        <v>0</v>
      </c>
    </row>
    <row r="827" spans="9:22" x14ac:dyDescent="0.25">
      <c r="I827" s="2">
        <f>Deletion!A125</f>
        <v>0</v>
      </c>
      <c r="J827" s="2">
        <f>Deletion!B125</f>
        <v>0</v>
      </c>
      <c r="K827" s="2">
        <f>Deletion!C125</f>
        <v>0</v>
      </c>
      <c r="L827" s="2">
        <f>Deletion!D125</f>
        <v>0</v>
      </c>
      <c r="M827" s="2">
        <f>Deletion!E125</f>
        <v>0</v>
      </c>
      <c r="N827" s="2">
        <f>Deletion!G125</f>
        <v>0</v>
      </c>
      <c r="O827" s="2">
        <f>Deletion!H125</f>
        <v>0</v>
      </c>
      <c r="P827" s="2">
        <f>Deletion!I125</f>
        <v>0</v>
      </c>
      <c r="Q827" s="2">
        <f>Deletion!J125</f>
        <v>0</v>
      </c>
      <c r="R827" s="2">
        <f>Deletion!K125</f>
        <v>0</v>
      </c>
      <c r="S827" s="2">
        <f>Deletion!N125</f>
        <v>0</v>
      </c>
      <c r="T827" s="2">
        <f t="shared" si="28"/>
        <v>0</v>
      </c>
      <c r="U827" s="10" t="str">
        <f>IF($S827=0, "", IF(COUNTIF(Table1[Amino Acid Change], $S827)=0, "Missing", "Y"))</f>
        <v/>
      </c>
      <c r="V827" s="10">
        <f t="shared" si="29"/>
        <v>0</v>
      </c>
    </row>
    <row r="828" spans="9:22" x14ac:dyDescent="0.25">
      <c r="I828" s="2">
        <f>Deletion!A126</f>
        <v>0</v>
      </c>
      <c r="J828" s="2">
        <f>Deletion!B126</f>
        <v>0</v>
      </c>
      <c r="K828" s="2">
        <f>Deletion!C126</f>
        <v>0</v>
      </c>
      <c r="L828" s="2">
        <f>Deletion!D126</f>
        <v>0</v>
      </c>
      <c r="M828" s="2">
        <f>Deletion!E126</f>
        <v>0</v>
      </c>
      <c r="N828" s="2">
        <f>Deletion!G126</f>
        <v>0</v>
      </c>
      <c r="O828" s="2">
        <f>Deletion!H126</f>
        <v>0</v>
      </c>
      <c r="P828" s="2">
        <f>Deletion!I126</f>
        <v>0</v>
      </c>
      <c r="Q828" s="2">
        <f>Deletion!J126</f>
        <v>0</v>
      </c>
      <c r="R828" s="2">
        <f>Deletion!K126</f>
        <v>0</v>
      </c>
      <c r="S828" s="2">
        <f>Deletion!N126</f>
        <v>0</v>
      </c>
      <c r="T828" s="2">
        <f t="shared" si="28"/>
        <v>0</v>
      </c>
      <c r="U828" s="10" t="str">
        <f>IF($S828=0, "", IF(COUNTIF(Table1[Amino Acid Change], $S828)=0, "Missing", "Y"))</f>
        <v/>
      </c>
      <c r="V828" s="10">
        <f t="shared" si="29"/>
        <v>0</v>
      </c>
    </row>
    <row r="829" spans="9:22" x14ac:dyDescent="0.25">
      <c r="I829" s="2">
        <f>Deletion!A127</f>
        <v>0</v>
      </c>
      <c r="J829" s="2">
        <f>Deletion!B127</f>
        <v>0</v>
      </c>
      <c r="K829" s="2">
        <f>Deletion!C127</f>
        <v>0</v>
      </c>
      <c r="L829" s="2">
        <f>Deletion!D127</f>
        <v>0</v>
      </c>
      <c r="M829" s="2">
        <f>Deletion!E127</f>
        <v>0</v>
      </c>
      <c r="N829" s="2">
        <f>Deletion!G127</f>
        <v>0</v>
      </c>
      <c r="O829" s="2">
        <f>Deletion!H127</f>
        <v>0</v>
      </c>
      <c r="P829" s="2">
        <f>Deletion!I127</f>
        <v>0</v>
      </c>
      <c r="Q829" s="2">
        <f>Deletion!J127</f>
        <v>0</v>
      </c>
      <c r="R829" s="2">
        <f>Deletion!K127</f>
        <v>0</v>
      </c>
      <c r="S829" s="2">
        <f>Deletion!N127</f>
        <v>0</v>
      </c>
      <c r="T829" s="2">
        <f t="shared" si="28"/>
        <v>0</v>
      </c>
      <c r="U829" s="10" t="str">
        <f>IF($S829=0, "", IF(COUNTIF(Table1[Amino Acid Change], $S829)=0, "Missing", "Y"))</f>
        <v/>
      </c>
      <c r="V829" s="10">
        <f t="shared" si="29"/>
        <v>0</v>
      </c>
    </row>
    <row r="830" spans="9:22" x14ac:dyDescent="0.25">
      <c r="I830" s="2">
        <f>Deletion!A128</f>
        <v>0</v>
      </c>
      <c r="J830" s="2">
        <f>Deletion!B128</f>
        <v>0</v>
      </c>
      <c r="K830" s="2">
        <f>Deletion!C128</f>
        <v>0</v>
      </c>
      <c r="L830" s="2">
        <f>Deletion!D128</f>
        <v>0</v>
      </c>
      <c r="M830" s="2">
        <f>Deletion!E128</f>
        <v>0</v>
      </c>
      <c r="N830" s="2">
        <f>Deletion!G128</f>
        <v>0</v>
      </c>
      <c r="O830" s="2">
        <f>Deletion!H128</f>
        <v>0</v>
      </c>
      <c r="P830" s="2">
        <f>Deletion!I128</f>
        <v>0</v>
      </c>
      <c r="Q830" s="2">
        <f>Deletion!J128</f>
        <v>0</v>
      </c>
      <c r="R830" s="2">
        <f>Deletion!K128</f>
        <v>0</v>
      </c>
      <c r="S830" s="2">
        <f>Deletion!N128</f>
        <v>0</v>
      </c>
      <c r="T830" s="2">
        <f t="shared" si="28"/>
        <v>0</v>
      </c>
      <c r="U830" s="10" t="str">
        <f>IF($S830=0, "", IF(COUNTIF(Table1[Amino Acid Change], $S830)=0, "Missing", "Y"))</f>
        <v/>
      </c>
      <c r="V830" s="10">
        <f t="shared" si="29"/>
        <v>0</v>
      </c>
    </row>
    <row r="831" spans="9:22" x14ac:dyDescent="0.25">
      <c r="I831" s="2">
        <f>Deletion!A129</f>
        <v>0</v>
      </c>
      <c r="J831" s="2">
        <f>Deletion!B129</f>
        <v>0</v>
      </c>
      <c r="K831" s="2">
        <f>Deletion!C129</f>
        <v>0</v>
      </c>
      <c r="L831" s="2">
        <f>Deletion!D129</f>
        <v>0</v>
      </c>
      <c r="M831" s="2">
        <f>Deletion!E129</f>
        <v>0</v>
      </c>
      <c r="N831" s="2">
        <f>Deletion!G129</f>
        <v>0</v>
      </c>
      <c r="O831" s="2">
        <f>Deletion!H129</f>
        <v>0</v>
      </c>
      <c r="P831" s="2">
        <f>Deletion!I129</f>
        <v>0</v>
      </c>
      <c r="Q831" s="2">
        <f>Deletion!J129</f>
        <v>0</v>
      </c>
      <c r="R831" s="2">
        <f>Deletion!K129</f>
        <v>0</v>
      </c>
      <c r="S831" s="2">
        <f>Deletion!N129</f>
        <v>0</v>
      </c>
      <c r="T831" s="2">
        <f t="shared" si="28"/>
        <v>0</v>
      </c>
      <c r="U831" s="10" t="str">
        <f>IF($S831=0, "", IF(COUNTIF(Table1[Amino Acid Change], $S831)=0, "Missing", "Y"))</f>
        <v/>
      </c>
      <c r="V831" s="10">
        <f t="shared" si="29"/>
        <v>0</v>
      </c>
    </row>
    <row r="832" spans="9:22" x14ac:dyDescent="0.25">
      <c r="I832" s="2">
        <f>Deletion!A130</f>
        <v>0</v>
      </c>
      <c r="J832" s="2">
        <f>Deletion!B130</f>
        <v>0</v>
      </c>
      <c r="K832" s="2">
        <f>Deletion!C130</f>
        <v>0</v>
      </c>
      <c r="L832" s="2">
        <f>Deletion!D130</f>
        <v>0</v>
      </c>
      <c r="M832" s="2">
        <f>Deletion!E130</f>
        <v>0</v>
      </c>
      <c r="N832" s="2">
        <f>Deletion!G130</f>
        <v>0</v>
      </c>
      <c r="O832" s="2">
        <f>Deletion!H130</f>
        <v>0</v>
      </c>
      <c r="P832" s="2">
        <f>Deletion!I130</f>
        <v>0</v>
      </c>
      <c r="Q832" s="2">
        <f>Deletion!J130</f>
        <v>0</v>
      </c>
      <c r="R832" s="2">
        <f>Deletion!K130</f>
        <v>0</v>
      </c>
      <c r="S832" s="2">
        <f>Deletion!N130</f>
        <v>0</v>
      </c>
      <c r="T832" s="2">
        <f t="shared" si="28"/>
        <v>0</v>
      </c>
      <c r="U832" s="10" t="str">
        <f>IF($S832=0, "", IF(COUNTIF(Table1[Amino Acid Change], $S832)=0, "Missing", "Y"))</f>
        <v/>
      </c>
      <c r="V832" s="10">
        <f t="shared" si="29"/>
        <v>0</v>
      </c>
    </row>
    <row r="833" spans="9:22" x14ac:dyDescent="0.25">
      <c r="I833" s="2">
        <f>Deletion!A131</f>
        <v>0</v>
      </c>
      <c r="J833" s="2">
        <f>Deletion!B131</f>
        <v>0</v>
      </c>
      <c r="K833" s="2">
        <f>Deletion!C131</f>
        <v>0</v>
      </c>
      <c r="L833" s="2">
        <f>Deletion!D131</f>
        <v>0</v>
      </c>
      <c r="M833" s="2">
        <f>Deletion!E131</f>
        <v>0</v>
      </c>
      <c r="N833" s="2">
        <f>Deletion!G131</f>
        <v>0</v>
      </c>
      <c r="O833" s="2">
        <f>Deletion!H131</f>
        <v>0</v>
      </c>
      <c r="P833" s="2">
        <f>Deletion!I131</f>
        <v>0</v>
      </c>
      <c r="Q833" s="2">
        <f>Deletion!J131</f>
        <v>0</v>
      </c>
      <c r="R833" s="2">
        <f>Deletion!K131</f>
        <v>0</v>
      </c>
      <c r="S833" s="2">
        <f>Deletion!N131</f>
        <v>0</v>
      </c>
      <c r="T833" s="2">
        <f t="shared" ref="T833:T896" si="30">P833</f>
        <v>0</v>
      </c>
      <c r="U833" s="10" t="str">
        <f>IF($S833=0, "", IF(COUNTIF(Table1[Amino Acid Change], $S833)=0, "Missing", "Y"))</f>
        <v/>
      </c>
      <c r="V833" s="10">
        <f t="shared" ref="V833:V896" si="31">J833</f>
        <v>0</v>
      </c>
    </row>
    <row r="834" spans="9:22" x14ac:dyDescent="0.25">
      <c r="I834" s="2">
        <f>Deletion!A132</f>
        <v>0</v>
      </c>
      <c r="J834" s="2">
        <f>Deletion!B132</f>
        <v>0</v>
      </c>
      <c r="K834" s="2">
        <f>Deletion!C132</f>
        <v>0</v>
      </c>
      <c r="L834" s="2">
        <f>Deletion!D132</f>
        <v>0</v>
      </c>
      <c r="M834" s="2">
        <f>Deletion!E132</f>
        <v>0</v>
      </c>
      <c r="N834" s="2">
        <f>Deletion!G132</f>
        <v>0</v>
      </c>
      <c r="O834" s="2">
        <f>Deletion!H132</f>
        <v>0</v>
      </c>
      <c r="P834" s="2">
        <f>Deletion!I132</f>
        <v>0</v>
      </c>
      <c r="Q834" s="2">
        <f>Deletion!J132</f>
        <v>0</v>
      </c>
      <c r="R834" s="2">
        <f>Deletion!K132</f>
        <v>0</v>
      </c>
      <c r="S834" s="2">
        <f>Deletion!N132</f>
        <v>0</v>
      </c>
      <c r="T834" s="2">
        <f t="shared" si="30"/>
        <v>0</v>
      </c>
      <c r="U834" s="10" t="str">
        <f>IF($S834=0, "", IF(COUNTIF(Table1[Amino Acid Change], $S834)=0, "Missing", "Y"))</f>
        <v/>
      </c>
      <c r="V834" s="10">
        <f t="shared" si="31"/>
        <v>0</v>
      </c>
    </row>
    <row r="835" spans="9:22" x14ac:dyDescent="0.25">
      <c r="I835" s="2">
        <f>Deletion!A133</f>
        <v>0</v>
      </c>
      <c r="J835" s="2">
        <f>Deletion!B133</f>
        <v>0</v>
      </c>
      <c r="K835" s="2">
        <f>Deletion!C133</f>
        <v>0</v>
      </c>
      <c r="L835" s="2">
        <f>Deletion!D133</f>
        <v>0</v>
      </c>
      <c r="M835" s="2">
        <f>Deletion!E133</f>
        <v>0</v>
      </c>
      <c r="N835" s="2">
        <f>Deletion!G133</f>
        <v>0</v>
      </c>
      <c r="O835" s="2">
        <f>Deletion!H133</f>
        <v>0</v>
      </c>
      <c r="P835" s="2">
        <f>Deletion!I133</f>
        <v>0</v>
      </c>
      <c r="Q835" s="2">
        <f>Deletion!J133</f>
        <v>0</v>
      </c>
      <c r="R835" s="2">
        <f>Deletion!K133</f>
        <v>0</v>
      </c>
      <c r="S835" s="2">
        <f>Deletion!N133</f>
        <v>0</v>
      </c>
      <c r="T835" s="2">
        <f t="shared" si="30"/>
        <v>0</v>
      </c>
      <c r="U835" s="10" t="str">
        <f>IF($S835=0, "", IF(COUNTIF(Table1[Amino Acid Change], $S835)=0, "Missing", "Y"))</f>
        <v/>
      </c>
      <c r="V835" s="10">
        <f t="shared" si="31"/>
        <v>0</v>
      </c>
    </row>
    <row r="836" spans="9:22" x14ac:dyDescent="0.25">
      <c r="I836" s="2">
        <f>Deletion!A134</f>
        <v>0</v>
      </c>
      <c r="J836" s="2">
        <f>Deletion!B134</f>
        <v>0</v>
      </c>
      <c r="K836" s="2">
        <f>Deletion!C134</f>
        <v>0</v>
      </c>
      <c r="L836" s="2">
        <f>Deletion!D134</f>
        <v>0</v>
      </c>
      <c r="M836" s="2">
        <f>Deletion!E134</f>
        <v>0</v>
      </c>
      <c r="N836" s="2">
        <f>Deletion!G134</f>
        <v>0</v>
      </c>
      <c r="O836" s="2">
        <f>Deletion!H134</f>
        <v>0</v>
      </c>
      <c r="P836" s="2">
        <f>Deletion!I134</f>
        <v>0</v>
      </c>
      <c r="Q836" s="2">
        <f>Deletion!J134</f>
        <v>0</v>
      </c>
      <c r="R836" s="2">
        <f>Deletion!K134</f>
        <v>0</v>
      </c>
      <c r="S836" s="2">
        <f>Deletion!N134</f>
        <v>0</v>
      </c>
      <c r="T836" s="2">
        <f t="shared" si="30"/>
        <v>0</v>
      </c>
      <c r="U836" s="10" t="str">
        <f>IF($S836=0, "", IF(COUNTIF(Table1[Amino Acid Change], $S836)=0, "Missing", "Y"))</f>
        <v/>
      </c>
      <c r="V836" s="10">
        <f t="shared" si="31"/>
        <v>0</v>
      </c>
    </row>
    <row r="837" spans="9:22" x14ac:dyDescent="0.25">
      <c r="I837" s="2">
        <f>Deletion!A135</f>
        <v>0</v>
      </c>
      <c r="J837" s="2">
        <f>Deletion!B135</f>
        <v>0</v>
      </c>
      <c r="K837" s="2">
        <f>Deletion!C135</f>
        <v>0</v>
      </c>
      <c r="L837" s="2">
        <f>Deletion!D135</f>
        <v>0</v>
      </c>
      <c r="M837" s="2">
        <f>Deletion!E135</f>
        <v>0</v>
      </c>
      <c r="N837" s="2">
        <f>Deletion!G135</f>
        <v>0</v>
      </c>
      <c r="O837" s="2">
        <f>Deletion!H135</f>
        <v>0</v>
      </c>
      <c r="P837" s="2">
        <f>Deletion!I135</f>
        <v>0</v>
      </c>
      <c r="Q837" s="2">
        <f>Deletion!J135</f>
        <v>0</v>
      </c>
      <c r="R837" s="2">
        <f>Deletion!K135</f>
        <v>0</v>
      </c>
      <c r="S837" s="2">
        <f>Deletion!N135</f>
        <v>0</v>
      </c>
      <c r="T837" s="2">
        <f t="shared" si="30"/>
        <v>0</v>
      </c>
      <c r="U837" s="10" t="str">
        <f>IF($S837=0, "", IF(COUNTIF(Table1[Amino Acid Change], $S837)=0, "Missing", "Y"))</f>
        <v/>
      </c>
      <c r="V837" s="10">
        <f t="shared" si="31"/>
        <v>0</v>
      </c>
    </row>
    <row r="838" spans="9:22" x14ac:dyDescent="0.25">
      <c r="I838" s="2">
        <f>Deletion!A136</f>
        <v>0</v>
      </c>
      <c r="J838" s="2">
        <f>Deletion!B136</f>
        <v>0</v>
      </c>
      <c r="K838" s="2">
        <f>Deletion!C136</f>
        <v>0</v>
      </c>
      <c r="L838" s="2">
        <f>Deletion!D136</f>
        <v>0</v>
      </c>
      <c r="M838" s="2">
        <f>Deletion!E136</f>
        <v>0</v>
      </c>
      <c r="N838" s="2">
        <f>Deletion!G136</f>
        <v>0</v>
      </c>
      <c r="O838" s="2">
        <f>Deletion!H136</f>
        <v>0</v>
      </c>
      <c r="P838" s="2">
        <f>Deletion!I136</f>
        <v>0</v>
      </c>
      <c r="Q838" s="2">
        <f>Deletion!J136</f>
        <v>0</v>
      </c>
      <c r="R838" s="2">
        <f>Deletion!K136</f>
        <v>0</v>
      </c>
      <c r="S838" s="2">
        <f>Deletion!N136</f>
        <v>0</v>
      </c>
      <c r="T838" s="2">
        <f t="shared" si="30"/>
        <v>0</v>
      </c>
      <c r="U838" s="10" t="str">
        <f>IF($S838=0, "", IF(COUNTIF(Table1[Amino Acid Change], $S838)=0, "Missing", "Y"))</f>
        <v/>
      </c>
      <c r="V838" s="10">
        <f t="shared" si="31"/>
        <v>0</v>
      </c>
    </row>
    <row r="839" spans="9:22" x14ac:dyDescent="0.25">
      <c r="I839" s="2">
        <f>Deletion!A137</f>
        <v>0</v>
      </c>
      <c r="J839" s="2">
        <f>Deletion!B137</f>
        <v>0</v>
      </c>
      <c r="K839" s="2">
        <f>Deletion!C137</f>
        <v>0</v>
      </c>
      <c r="L839" s="2">
        <f>Deletion!D137</f>
        <v>0</v>
      </c>
      <c r="M839" s="2">
        <f>Deletion!E137</f>
        <v>0</v>
      </c>
      <c r="N839" s="2">
        <f>Deletion!G137</f>
        <v>0</v>
      </c>
      <c r="O839" s="2">
        <f>Deletion!H137</f>
        <v>0</v>
      </c>
      <c r="P839" s="2">
        <f>Deletion!I137</f>
        <v>0</v>
      </c>
      <c r="Q839" s="2">
        <f>Deletion!J137</f>
        <v>0</v>
      </c>
      <c r="R839" s="2">
        <f>Deletion!K137</f>
        <v>0</v>
      </c>
      <c r="S839" s="2">
        <f>Deletion!N137</f>
        <v>0</v>
      </c>
      <c r="T839" s="2">
        <f t="shared" si="30"/>
        <v>0</v>
      </c>
      <c r="U839" s="10" t="str">
        <f>IF($S839=0, "", IF(COUNTIF(Table1[Amino Acid Change], $S839)=0, "Missing", "Y"))</f>
        <v/>
      </c>
      <c r="V839" s="10">
        <f t="shared" si="31"/>
        <v>0</v>
      </c>
    </row>
    <row r="840" spans="9:22" x14ac:dyDescent="0.25">
      <c r="I840" s="2">
        <f>Deletion!A138</f>
        <v>0</v>
      </c>
      <c r="J840" s="2">
        <f>Deletion!B138</f>
        <v>0</v>
      </c>
      <c r="K840" s="2">
        <f>Deletion!C138</f>
        <v>0</v>
      </c>
      <c r="L840" s="2">
        <f>Deletion!D138</f>
        <v>0</v>
      </c>
      <c r="M840" s="2">
        <f>Deletion!E138</f>
        <v>0</v>
      </c>
      <c r="N840" s="2">
        <f>Deletion!G138</f>
        <v>0</v>
      </c>
      <c r="O840" s="2">
        <f>Deletion!H138</f>
        <v>0</v>
      </c>
      <c r="P840" s="2">
        <f>Deletion!I138</f>
        <v>0</v>
      </c>
      <c r="Q840" s="2">
        <f>Deletion!J138</f>
        <v>0</v>
      </c>
      <c r="R840" s="2">
        <f>Deletion!K138</f>
        <v>0</v>
      </c>
      <c r="S840" s="2">
        <f>Deletion!N138</f>
        <v>0</v>
      </c>
      <c r="T840" s="2">
        <f t="shared" si="30"/>
        <v>0</v>
      </c>
      <c r="U840" s="10" t="str">
        <f>IF($S840=0, "", IF(COUNTIF(Table1[Amino Acid Change], $S840)=0, "Missing", "Y"))</f>
        <v/>
      </c>
      <c r="V840" s="10">
        <f t="shared" si="31"/>
        <v>0</v>
      </c>
    </row>
    <row r="841" spans="9:22" x14ac:dyDescent="0.25">
      <c r="I841" s="2">
        <f>Deletion!A139</f>
        <v>0</v>
      </c>
      <c r="J841" s="2">
        <f>Deletion!B139</f>
        <v>0</v>
      </c>
      <c r="K841" s="2">
        <f>Deletion!C139</f>
        <v>0</v>
      </c>
      <c r="L841" s="2">
        <f>Deletion!D139</f>
        <v>0</v>
      </c>
      <c r="M841" s="2">
        <f>Deletion!E139</f>
        <v>0</v>
      </c>
      <c r="N841" s="2">
        <f>Deletion!G139</f>
        <v>0</v>
      </c>
      <c r="O841" s="2">
        <f>Deletion!H139</f>
        <v>0</v>
      </c>
      <c r="P841" s="2">
        <f>Deletion!I139</f>
        <v>0</v>
      </c>
      <c r="Q841" s="2">
        <f>Deletion!J139</f>
        <v>0</v>
      </c>
      <c r="R841" s="2">
        <f>Deletion!K139</f>
        <v>0</v>
      </c>
      <c r="S841" s="2">
        <f>Deletion!N139</f>
        <v>0</v>
      </c>
      <c r="T841" s="2">
        <f t="shared" si="30"/>
        <v>0</v>
      </c>
      <c r="U841" s="10" t="str">
        <f>IF($S841=0, "", IF(COUNTIF(Table1[Amino Acid Change], $S841)=0, "Missing", "Y"))</f>
        <v/>
      </c>
      <c r="V841" s="10">
        <f t="shared" si="31"/>
        <v>0</v>
      </c>
    </row>
    <row r="842" spans="9:22" x14ac:dyDescent="0.25">
      <c r="I842" s="2">
        <f>Deletion!A140</f>
        <v>0</v>
      </c>
      <c r="J842" s="2">
        <f>Deletion!B140</f>
        <v>0</v>
      </c>
      <c r="K842" s="2">
        <f>Deletion!C140</f>
        <v>0</v>
      </c>
      <c r="L842" s="2">
        <f>Deletion!D140</f>
        <v>0</v>
      </c>
      <c r="M842" s="2">
        <f>Deletion!E140</f>
        <v>0</v>
      </c>
      <c r="N842" s="2">
        <f>Deletion!G140</f>
        <v>0</v>
      </c>
      <c r="O842" s="2">
        <f>Deletion!H140</f>
        <v>0</v>
      </c>
      <c r="P842" s="2">
        <f>Deletion!I140</f>
        <v>0</v>
      </c>
      <c r="Q842" s="2">
        <f>Deletion!J140</f>
        <v>0</v>
      </c>
      <c r="R842" s="2">
        <f>Deletion!K140</f>
        <v>0</v>
      </c>
      <c r="S842" s="2">
        <f>Deletion!N140</f>
        <v>0</v>
      </c>
      <c r="T842" s="2">
        <f t="shared" si="30"/>
        <v>0</v>
      </c>
      <c r="U842" s="10" t="str">
        <f>IF($S842=0, "", IF(COUNTIF(Table1[Amino Acid Change], $S842)=0, "Missing", "Y"))</f>
        <v/>
      </c>
      <c r="V842" s="10">
        <f t="shared" si="31"/>
        <v>0</v>
      </c>
    </row>
    <row r="843" spans="9:22" x14ac:dyDescent="0.25">
      <c r="I843" s="2">
        <f>Deletion!A141</f>
        <v>0</v>
      </c>
      <c r="J843" s="2">
        <f>Deletion!B141</f>
        <v>0</v>
      </c>
      <c r="K843" s="2">
        <f>Deletion!C141</f>
        <v>0</v>
      </c>
      <c r="L843" s="2">
        <f>Deletion!D141</f>
        <v>0</v>
      </c>
      <c r="M843" s="2">
        <f>Deletion!E141</f>
        <v>0</v>
      </c>
      <c r="N843" s="2">
        <f>Deletion!G141</f>
        <v>0</v>
      </c>
      <c r="O843" s="2">
        <f>Deletion!H141</f>
        <v>0</v>
      </c>
      <c r="P843" s="2">
        <f>Deletion!I141</f>
        <v>0</v>
      </c>
      <c r="Q843" s="2">
        <f>Deletion!J141</f>
        <v>0</v>
      </c>
      <c r="R843" s="2">
        <f>Deletion!K141</f>
        <v>0</v>
      </c>
      <c r="S843" s="2">
        <f>Deletion!N141</f>
        <v>0</v>
      </c>
      <c r="T843" s="2">
        <f t="shared" si="30"/>
        <v>0</v>
      </c>
      <c r="U843" s="10" t="str">
        <f>IF($S843=0, "", IF(COUNTIF(Table1[Amino Acid Change], $S843)=0, "Missing", "Y"))</f>
        <v/>
      </c>
      <c r="V843" s="10">
        <f t="shared" si="31"/>
        <v>0</v>
      </c>
    </row>
    <row r="844" spans="9:22" x14ac:dyDescent="0.25">
      <c r="I844" s="2">
        <f>Deletion!A142</f>
        <v>0</v>
      </c>
      <c r="J844" s="2">
        <f>Deletion!B142</f>
        <v>0</v>
      </c>
      <c r="K844" s="2">
        <f>Deletion!C142</f>
        <v>0</v>
      </c>
      <c r="L844" s="2">
        <f>Deletion!D142</f>
        <v>0</v>
      </c>
      <c r="M844" s="2">
        <f>Deletion!E142</f>
        <v>0</v>
      </c>
      <c r="N844" s="2">
        <f>Deletion!G142</f>
        <v>0</v>
      </c>
      <c r="O844" s="2">
        <f>Deletion!H142</f>
        <v>0</v>
      </c>
      <c r="P844" s="2">
        <f>Deletion!I142</f>
        <v>0</v>
      </c>
      <c r="Q844" s="2">
        <f>Deletion!J142</f>
        <v>0</v>
      </c>
      <c r="R844" s="2">
        <f>Deletion!K142</f>
        <v>0</v>
      </c>
      <c r="S844" s="2">
        <f>Deletion!N142</f>
        <v>0</v>
      </c>
      <c r="T844" s="2">
        <f t="shared" si="30"/>
        <v>0</v>
      </c>
      <c r="U844" s="10" t="str">
        <f>IF($S844=0, "", IF(COUNTIF(Table1[Amino Acid Change], $S844)=0, "Missing", "Y"))</f>
        <v/>
      </c>
      <c r="V844" s="10">
        <f t="shared" si="31"/>
        <v>0</v>
      </c>
    </row>
    <row r="845" spans="9:22" x14ac:dyDescent="0.25">
      <c r="I845" s="2">
        <f>Deletion!A143</f>
        <v>0</v>
      </c>
      <c r="J845" s="2">
        <f>Deletion!B143</f>
        <v>0</v>
      </c>
      <c r="K845" s="2">
        <f>Deletion!C143</f>
        <v>0</v>
      </c>
      <c r="L845" s="2">
        <f>Deletion!D143</f>
        <v>0</v>
      </c>
      <c r="M845" s="2">
        <f>Deletion!E143</f>
        <v>0</v>
      </c>
      <c r="N845" s="2">
        <f>Deletion!G143</f>
        <v>0</v>
      </c>
      <c r="O845" s="2">
        <f>Deletion!H143</f>
        <v>0</v>
      </c>
      <c r="P845" s="2">
        <f>Deletion!I143</f>
        <v>0</v>
      </c>
      <c r="Q845" s="2">
        <f>Deletion!J143</f>
        <v>0</v>
      </c>
      <c r="R845" s="2">
        <f>Deletion!K143</f>
        <v>0</v>
      </c>
      <c r="S845" s="2">
        <f>Deletion!N143</f>
        <v>0</v>
      </c>
      <c r="T845" s="2">
        <f t="shared" si="30"/>
        <v>0</v>
      </c>
      <c r="U845" s="10" t="str">
        <f>IF($S845=0, "", IF(COUNTIF(Table1[Amino Acid Change], $S845)=0, "Missing", "Y"))</f>
        <v/>
      </c>
      <c r="V845" s="10">
        <f t="shared" si="31"/>
        <v>0</v>
      </c>
    </row>
    <row r="846" spans="9:22" x14ac:dyDescent="0.25">
      <c r="I846" s="2">
        <f>Deletion!A144</f>
        <v>0</v>
      </c>
      <c r="J846" s="2">
        <f>Deletion!B144</f>
        <v>0</v>
      </c>
      <c r="K846" s="2">
        <f>Deletion!C144</f>
        <v>0</v>
      </c>
      <c r="L846" s="2">
        <f>Deletion!D144</f>
        <v>0</v>
      </c>
      <c r="M846" s="2">
        <f>Deletion!E144</f>
        <v>0</v>
      </c>
      <c r="N846" s="2">
        <f>Deletion!G144</f>
        <v>0</v>
      </c>
      <c r="O846" s="2">
        <f>Deletion!H144</f>
        <v>0</v>
      </c>
      <c r="P846" s="2">
        <f>Deletion!I144</f>
        <v>0</v>
      </c>
      <c r="Q846" s="2">
        <f>Deletion!J144</f>
        <v>0</v>
      </c>
      <c r="R846" s="2">
        <f>Deletion!K144</f>
        <v>0</v>
      </c>
      <c r="S846" s="2">
        <f>Deletion!N144</f>
        <v>0</v>
      </c>
      <c r="T846" s="2">
        <f t="shared" si="30"/>
        <v>0</v>
      </c>
      <c r="U846" s="10" t="str">
        <f>IF($S846=0, "", IF(COUNTIF(Table1[Amino Acid Change], $S846)=0, "Missing", "Y"))</f>
        <v/>
      </c>
      <c r="V846" s="10">
        <f t="shared" si="31"/>
        <v>0</v>
      </c>
    </row>
    <row r="847" spans="9:22" x14ac:dyDescent="0.25">
      <c r="I847" s="2">
        <f>Deletion!A145</f>
        <v>0</v>
      </c>
      <c r="J847" s="2">
        <f>Deletion!B145</f>
        <v>0</v>
      </c>
      <c r="K847" s="2">
        <f>Deletion!C145</f>
        <v>0</v>
      </c>
      <c r="L847" s="2">
        <f>Deletion!D145</f>
        <v>0</v>
      </c>
      <c r="M847" s="2">
        <f>Deletion!E145</f>
        <v>0</v>
      </c>
      <c r="N847" s="2">
        <f>Deletion!G145</f>
        <v>0</v>
      </c>
      <c r="O847" s="2">
        <f>Deletion!H145</f>
        <v>0</v>
      </c>
      <c r="P847" s="2">
        <f>Deletion!I145</f>
        <v>0</v>
      </c>
      <c r="Q847" s="2">
        <f>Deletion!J145</f>
        <v>0</v>
      </c>
      <c r="R847" s="2">
        <f>Deletion!K145</f>
        <v>0</v>
      </c>
      <c r="S847" s="2">
        <f>Deletion!N145</f>
        <v>0</v>
      </c>
      <c r="T847" s="2">
        <f t="shared" si="30"/>
        <v>0</v>
      </c>
      <c r="U847" s="10" t="str">
        <f>IF($S847=0, "", IF(COUNTIF(Table1[Amino Acid Change], $S847)=0, "Missing", "Y"))</f>
        <v/>
      </c>
      <c r="V847" s="10">
        <f t="shared" si="31"/>
        <v>0</v>
      </c>
    </row>
    <row r="848" spans="9:22" x14ac:dyDescent="0.25">
      <c r="I848" s="2">
        <f>Deletion!A146</f>
        <v>0</v>
      </c>
      <c r="J848" s="2">
        <f>Deletion!B146</f>
        <v>0</v>
      </c>
      <c r="K848" s="2">
        <f>Deletion!C146</f>
        <v>0</v>
      </c>
      <c r="L848" s="2">
        <f>Deletion!D146</f>
        <v>0</v>
      </c>
      <c r="M848" s="2">
        <f>Deletion!E146</f>
        <v>0</v>
      </c>
      <c r="N848" s="2">
        <f>Deletion!G146</f>
        <v>0</v>
      </c>
      <c r="O848" s="2">
        <f>Deletion!H146</f>
        <v>0</v>
      </c>
      <c r="P848" s="2">
        <f>Deletion!I146</f>
        <v>0</v>
      </c>
      <c r="Q848" s="2">
        <f>Deletion!J146</f>
        <v>0</v>
      </c>
      <c r="R848" s="2">
        <f>Deletion!K146</f>
        <v>0</v>
      </c>
      <c r="S848" s="2">
        <f>Deletion!N146</f>
        <v>0</v>
      </c>
      <c r="T848" s="2">
        <f t="shared" si="30"/>
        <v>0</v>
      </c>
      <c r="U848" s="10" t="str">
        <f>IF($S848=0, "", IF(COUNTIF(Table1[Amino Acid Change], $S848)=0, "Missing", "Y"))</f>
        <v/>
      </c>
      <c r="V848" s="10">
        <f t="shared" si="31"/>
        <v>0</v>
      </c>
    </row>
    <row r="849" spans="9:22" x14ac:dyDescent="0.25">
      <c r="I849" s="2">
        <f>Deletion!A147</f>
        <v>0</v>
      </c>
      <c r="J849" s="2">
        <f>Deletion!B147</f>
        <v>0</v>
      </c>
      <c r="K849" s="2">
        <f>Deletion!C147</f>
        <v>0</v>
      </c>
      <c r="L849" s="2">
        <f>Deletion!D147</f>
        <v>0</v>
      </c>
      <c r="M849" s="2">
        <f>Deletion!E147</f>
        <v>0</v>
      </c>
      <c r="N849" s="2">
        <f>Deletion!G147</f>
        <v>0</v>
      </c>
      <c r="O849" s="2">
        <f>Deletion!H147</f>
        <v>0</v>
      </c>
      <c r="P849" s="2">
        <f>Deletion!I147</f>
        <v>0</v>
      </c>
      <c r="Q849" s="2">
        <f>Deletion!J147</f>
        <v>0</v>
      </c>
      <c r="R849" s="2">
        <f>Deletion!K147</f>
        <v>0</v>
      </c>
      <c r="S849" s="2">
        <f>Deletion!N147</f>
        <v>0</v>
      </c>
      <c r="T849" s="2">
        <f t="shared" si="30"/>
        <v>0</v>
      </c>
      <c r="U849" s="10" t="str">
        <f>IF($S849=0, "", IF(COUNTIF(Table1[Amino Acid Change], $S849)=0, "Missing", "Y"))</f>
        <v/>
      </c>
      <c r="V849" s="10">
        <f t="shared" si="31"/>
        <v>0</v>
      </c>
    </row>
    <row r="850" spans="9:22" x14ac:dyDescent="0.25">
      <c r="I850" s="2">
        <f>Deletion!A148</f>
        <v>0</v>
      </c>
      <c r="J850" s="2">
        <f>Deletion!B148</f>
        <v>0</v>
      </c>
      <c r="K850" s="2">
        <f>Deletion!C148</f>
        <v>0</v>
      </c>
      <c r="L850" s="2">
        <f>Deletion!D148</f>
        <v>0</v>
      </c>
      <c r="M850" s="2">
        <f>Deletion!E148</f>
        <v>0</v>
      </c>
      <c r="N850" s="2">
        <f>Deletion!G148</f>
        <v>0</v>
      </c>
      <c r="O850" s="2">
        <f>Deletion!H148</f>
        <v>0</v>
      </c>
      <c r="P850" s="2">
        <f>Deletion!I148</f>
        <v>0</v>
      </c>
      <c r="Q850" s="2">
        <f>Deletion!J148</f>
        <v>0</v>
      </c>
      <c r="R850" s="2">
        <f>Deletion!K148</f>
        <v>0</v>
      </c>
      <c r="S850" s="2">
        <f>Deletion!N148</f>
        <v>0</v>
      </c>
      <c r="T850" s="2">
        <f t="shared" si="30"/>
        <v>0</v>
      </c>
      <c r="U850" s="10" t="str">
        <f>IF($S850=0, "", IF(COUNTIF(Table1[Amino Acid Change], $S850)=0, "Missing", "Y"))</f>
        <v/>
      </c>
      <c r="V850" s="10">
        <f t="shared" si="31"/>
        <v>0</v>
      </c>
    </row>
    <row r="851" spans="9:22" x14ac:dyDescent="0.25">
      <c r="I851" s="2">
        <f>Deletion!A149</f>
        <v>0</v>
      </c>
      <c r="J851" s="2">
        <f>Deletion!B149</f>
        <v>0</v>
      </c>
      <c r="K851" s="2">
        <f>Deletion!C149</f>
        <v>0</v>
      </c>
      <c r="L851" s="2">
        <f>Deletion!D149</f>
        <v>0</v>
      </c>
      <c r="M851" s="2">
        <f>Deletion!E149</f>
        <v>0</v>
      </c>
      <c r="N851" s="2">
        <f>Deletion!G149</f>
        <v>0</v>
      </c>
      <c r="O851" s="2">
        <f>Deletion!H149</f>
        <v>0</v>
      </c>
      <c r="P851" s="2">
        <f>Deletion!I149</f>
        <v>0</v>
      </c>
      <c r="Q851" s="2">
        <f>Deletion!J149</f>
        <v>0</v>
      </c>
      <c r="R851" s="2">
        <f>Deletion!K149</f>
        <v>0</v>
      </c>
      <c r="S851" s="2">
        <f>Deletion!N149</f>
        <v>0</v>
      </c>
      <c r="T851" s="2">
        <f t="shared" si="30"/>
        <v>0</v>
      </c>
      <c r="U851" s="10" t="str">
        <f>IF($S851=0, "", IF(COUNTIF(Table1[Amino Acid Change], $S851)=0, "Missing", "Y"))</f>
        <v/>
      </c>
      <c r="V851" s="10">
        <f t="shared" si="31"/>
        <v>0</v>
      </c>
    </row>
    <row r="852" spans="9:22" x14ac:dyDescent="0.25">
      <c r="I852" s="2">
        <f>Deletion!A150</f>
        <v>0</v>
      </c>
      <c r="J852" s="2">
        <f>Deletion!B150</f>
        <v>0</v>
      </c>
      <c r="K852" s="2">
        <f>Deletion!C150</f>
        <v>0</v>
      </c>
      <c r="L852" s="2">
        <f>Deletion!D150</f>
        <v>0</v>
      </c>
      <c r="M852" s="2">
        <f>Deletion!E150</f>
        <v>0</v>
      </c>
      <c r="N852" s="2">
        <f>Deletion!G150</f>
        <v>0</v>
      </c>
      <c r="O852" s="2">
        <f>Deletion!H150</f>
        <v>0</v>
      </c>
      <c r="P852" s="2">
        <f>Deletion!I150</f>
        <v>0</v>
      </c>
      <c r="Q852" s="2">
        <f>Deletion!J150</f>
        <v>0</v>
      </c>
      <c r="R852" s="2">
        <f>Deletion!K150</f>
        <v>0</v>
      </c>
      <c r="S852" s="2">
        <f>Deletion!N150</f>
        <v>0</v>
      </c>
      <c r="T852" s="2">
        <f t="shared" si="30"/>
        <v>0</v>
      </c>
      <c r="U852" s="10" t="str">
        <f>IF($S852=0, "", IF(COUNTIF(Table1[Amino Acid Change], $S852)=0, "Missing", "Y"))</f>
        <v/>
      </c>
      <c r="V852" s="10">
        <f t="shared" si="31"/>
        <v>0</v>
      </c>
    </row>
    <row r="853" spans="9:22" x14ac:dyDescent="0.25">
      <c r="I853" s="2">
        <f>Deletion!A151</f>
        <v>0</v>
      </c>
      <c r="J853" s="2">
        <f>Deletion!B151</f>
        <v>0</v>
      </c>
      <c r="K853" s="2">
        <f>Deletion!C151</f>
        <v>0</v>
      </c>
      <c r="L853" s="2">
        <f>Deletion!D151</f>
        <v>0</v>
      </c>
      <c r="M853" s="2">
        <f>Deletion!E151</f>
        <v>0</v>
      </c>
      <c r="N853" s="2">
        <f>Deletion!G151</f>
        <v>0</v>
      </c>
      <c r="O853" s="2">
        <f>Deletion!H151</f>
        <v>0</v>
      </c>
      <c r="P853" s="2">
        <f>Deletion!I151</f>
        <v>0</v>
      </c>
      <c r="Q853" s="2">
        <f>Deletion!J151</f>
        <v>0</v>
      </c>
      <c r="R853" s="2">
        <f>Deletion!K151</f>
        <v>0</v>
      </c>
      <c r="S853" s="2">
        <f>Deletion!N151</f>
        <v>0</v>
      </c>
      <c r="T853" s="2">
        <f t="shared" si="30"/>
        <v>0</v>
      </c>
      <c r="U853" s="10" t="str">
        <f>IF($S853=0, "", IF(COUNTIF(Table1[Amino Acid Change], $S853)=0, "Missing", "Y"))</f>
        <v/>
      </c>
      <c r="V853" s="10">
        <f t="shared" si="31"/>
        <v>0</v>
      </c>
    </row>
    <row r="854" spans="9:22" x14ac:dyDescent="0.25">
      <c r="I854" s="2">
        <f>Deletion!A152</f>
        <v>0</v>
      </c>
      <c r="J854" s="2">
        <f>Deletion!B152</f>
        <v>0</v>
      </c>
      <c r="K854" s="2">
        <f>Deletion!C152</f>
        <v>0</v>
      </c>
      <c r="L854" s="2">
        <f>Deletion!D152</f>
        <v>0</v>
      </c>
      <c r="M854" s="2">
        <f>Deletion!E152</f>
        <v>0</v>
      </c>
      <c r="N854" s="2">
        <f>Deletion!G152</f>
        <v>0</v>
      </c>
      <c r="O854" s="2">
        <f>Deletion!H152</f>
        <v>0</v>
      </c>
      <c r="P854" s="2">
        <f>Deletion!I152</f>
        <v>0</v>
      </c>
      <c r="Q854" s="2">
        <f>Deletion!J152</f>
        <v>0</v>
      </c>
      <c r="R854" s="2">
        <f>Deletion!K152</f>
        <v>0</v>
      </c>
      <c r="S854" s="2">
        <f>Deletion!N152</f>
        <v>0</v>
      </c>
      <c r="T854" s="2">
        <f t="shared" si="30"/>
        <v>0</v>
      </c>
      <c r="U854" s="10" t="str">
        <f>IF($S854=0, "", IF(COUNTIF(Table1[Amino Acid Change], $S854)=0, "Missing", "Y"))</f>
        <v/>
      </c>
      <c r="V854" s="10">
        <f t="shared" si="31"/>
        <v>0</v>
      </c>
    </row>
    <row r="855" spans="9:22" x14ac:dyDescent="0.25">
      <c r="I855" s="2">
        <f>Deletion!A153</f>
        <v>0</v>
      </c>
      <c r="J855" s="2">
        <f>Deletion!B153</f>
        <v>0</v>
      </c>
      <c r="K855" s="2">
        <f>Deletion!C153</f>
        <v>0</v>
      </c>
      <c r="L855" s="2">
        <f>Deletion!D153</f>
        <v>0</v>
      </c>
      <c r="M855" s="2">
        <f>Deletion!E153</f>
        <v>0</v>
      </c>
      <c r="N855" s="2">
        <f>Deletion!G153</f>
        <v>0</v>
      </c>
      <c r="O855" s="2">
        <f>Deletion!H153</f>
        <v>0</v>
      </c>
      <c r="P855" s="2">
        <f>Deletion!I153</f>
        <v>0</v>
      </c>
      <c r="Q855" s="2">
        <f>Deletion!J153</f>
        <v>0</v>
      </c>
      <c r="R855" s="2">
        <f>Deletion!K153</f>
        <v>0</v>
      </c>
      <c r="S855" s="2">
        <f>Deletion!N153</f>
        <v>0</v>
      </c>
      <c r="T855" s="2">
        <f t="shared" si="30"/>
        <v>0</v>
      </c>
      <c r="U855" s="10" t="str">
        <f>IF($S855=0, "", IF(COUNTIF(Table1[Amino Acid Change], $S855)=0, "Missing", "Y"))</f>
        <v/>
      </c>
      <c r="V855" s="10">
        <f t="shared" si="31"/>
        <v>0</v>
      </c>
    </row>
    <row r="856" spans="9:22" x14ac:dyDescent="0.25">
      <c r="I856" s="2">
        <f>Deletion!A154</f>
        <v>0</v>
      </c>
      <c r="J856" s="2">
        <f>Deletion!B154</f>
        <v>0</v>
      </c>
      <c r="K856" s="2">
        <f>Deletion!C154</f>
        <v>0</v>
      </c>
      <c r="L856" s="2">
        <f>Deletion!D154</f>
        <v>0</v>
      </c>
      <c r="M856" s="2">
        <f>Deletion!E154</f>
        <v>0</v>
      </c>
      <c r="N856" s="2">
        <f>Deletion!G154</f>
        <v>0</v>
      </c>
      <c r="O856" s="2">
        <f>Deletion!H154</f>
        <v>0</v>
      </c>
      <c r="P856" s="2">
        <f>Deletion!I154</f>
        <v>0</v>
      </c>
      <c r="Q856" s="2">
        <f>Deletion!J154</f>
        <v>0</v>
      </c>
      <c r="R856" s="2">
        <f>Deletion!K154</f>
        <v>0</v>
      </c>
      <c r="S856" s="2">
        <f>Deletion!N154</f>
        <v>0</v>
      </c>
      <c r="T856" s="2">
        <f t="shared" si="30"/>
        <v>0</v>
      </c>
      <c r="U856" s="10" t="str">
        <f>IF($S856=0, "", IF(COUNTIF(Table1[Amino Acid Change], $S856)=0, "Missing", "Y"))</f>
        <v/>
      </c>
      <c r="V856" s="10">
        <f t="shared" si="31"/>
        <v>0</v>
      </c>
    </row>
    <row r="857" spans="9:22" x14ac:dyDescent="0.25">
      <c r="I857" s="2">
        <f>Deletion!A155</f>
        <v>0</v>
      </c>
      <c r="J857" s="2">
        <f>Deletion!B155</f>
        <v>0</v>
      </c>
      <c r="K857" s="2">
        <f>Deletion!C155</f>
        <v>0</v>
      </c>
      <c r="L857" s="2">
        <f>Deletion!D155</f>
        <v>0</v>
      </c>
      <c r="M857" s="2">
        <f>Deletion!E155</f>
        <v>0</v>
      </c>
      <c r="N857" s="2">
        <f>Deletion!G155</f>
        <v>0</v>
      </c>
      <c r="O857" s="2">
        <f>Deletion!H155</f>
        <v>0</v>
      </c>
      <c r="P857" s="2">
        <f>Deletion!I155</f>
        <v>0</v>
      </c>
      <c r="Q857" s="2">
        <f>Deletion!J155</f>
        <v>0</v>
      </c>
      <c r="R857" s="2">
        <f>Deletion!K155</f>
        <v>0</v>
      </c>
      <c r="S857" s="2">
        <f>Deletion!N155</f>
        <v>0</v>
      </c>
      <c r="T857" s="2">
        <f t="shared" si="30"/>
        <v>0</v>
      </c>
      <c r="U857" s="10" t="str">
        <f>IF($S857=0, "", IF(COUNTIF(Table1[Amino Acid Change], $S857)=0, "Missing", "Y"))</f>
        <v/>
      </c>
      <c r="V857" s="10">
        <f t="shared" si="31"/>
        <v>0</v>
      </c>
    </row>
    <row r="858" spans="9:22" x14ac:dyDescent="0.25">
      <c r="I858" s="2">
        <f>Deletion!A156</f>
        <v>0</v>
      </c>
      <c r="J858" s="2">
        <f>Deletion!B156</f>
        <v>0</v>
      </c>
      <c r="K858" s="2">
        <f>Deletion!C156</f>
        <v>0</v>
      </c>
      <c r="L858" s="2">
        <f>Deletion!D156</f>
        <v>0</v>
      </c>
      <c r="M858" s="2">
        <f>Deletion!E156</f>
        <v>0</v>
      </c>
      <c r="N858" s="2">
        <f>Deletion!G156</f>
        <v>0</v>
      </c>
      <c r="O858" s="2">
        <f>Deletion!H156</f>
        <v>0</v>
      </c>
      <c r="P858" s="2">
        <f>Deletion!I156</f>
        <v>0</v>
      </c>
      <c r="Q858" s="2">
        <f>Deletion!J156</f>
        <v>0</v>
      </c>
      <c r="R858" s="2">
        <f>Deletion!K156</f>
        <v>0</v>
      </c>
      <c r="S858" s="2">
        <f>Deletion!N156</f>
        <v>0</v>
      </c>
      <c r="T858" s="2">
        <f t="shared" si="30"/>
        <v>0</v>
      </c>
      <c r="U858" s="10" t="str">
        <f>IF($S858=0, "", IF(COUNTIF(Table1[Amino Acid Change], $S858)=0, "Missing", "Y"))</f>
        <v/>
      </c>
      <c r="V858" s="10">
        <f t="shared" si="31"/>
        <v>0</v>
      </c>
    </row>
    <row r="859" spans="9:22" x14ac:dyDescent="0.25">
      <c r="I859" s="2">
        <f>Deletion!A157</f>
        <v>0</v>
      </c>
      <c r="J859" s="2">
        <f>Deletion!B157</f>
        <v>0</v>
      </c>
      <c r="K859" s="2">
        <f>Deletion!C157</f>
        <v>0</v>
      </c>
      <c r="L859" s="2">
        <f>Deletion!D157</f>
        <v>0</v>
      </c>
      <c r="M859" s="2">
        <f>Deletion!E157</f>
        <v>0</v>
      </c>
      <c r="N859" s="2">
        <f>Deletion!G157</f>
        <v>0</v>
      </c>
      <c r="O859" s="2">
        <f>Deletion!H157</f>
        <v>0</v>
      </c>
      <c r="P859" s="2">
        <f>Deletion!I157</f>
        <v>0</v>
      </c>
      <c r="Q859" s="2">
        <f>Deletion!J157</f>
        <v>0</v>
      </c>
      <c r="R859" s="2">
        <f>Deletion!K157</f>
        <v>0</v>
      </c>
      <c r="S859" s="2">
        <f>Deletion!N157</f>
        <v>0</v>
      </c>
      <c r="T859" s="2">
        <f t="shared" si="30"/>
        <v>0</v>
      </c>
      <c r="U859" s="10" t="str">
        <f>IF($S859=0, "", IF(COUNTIF(Table1[Amino Acid Change], $S859)=0, "Missing", "Y"))</f>
        <v/>
      </c>
      <c r="V859" s="10">
        <f t="shared" si="31"/>
        <v>0</v>
      </c>
    </row>
    <row r="860" spans="9:22" x14ac:dyDescent="0.25">
      <c r="I860" s="2">
        <f>Deletion!A158</f>
        <v>0</v>
      </c>
      <c r="J860" s="2">
        <f>Deletion!B158</f>
        <v>0</v>
      </c>
      <c r="K860" s="2">
        <f>Deletion!C158</f>
        <v>0</v>
      </c>
      <c r="L860" s="2">
        <f>Deletion!D158</f>
        <v>0</v>
      </c>
      <c r="M860" s="2">
        <f>Deletion!E158</f>
        <v>0</v>
      </c>
      <c r="N860" s="2">
        <f>Deletion!G158</f>
        <v>0</v>
      </c>
      <c r="O860" s="2">
        <f>Deletion!H158</f>
        <v>0</v>
      </c>
      <c r="P860" s="2">
        <f>Deletion!I158</f>
        <v>0</v>
      </c>
      <c r="Q860" s="2">
        <f>Deletion!J158</f>
        <v>0</v>
      </c>
      <c r="R860" s="2">
        <f>Deletion!K158</f>
        <v>0</v>
      </c>
      <c r="S860" s="2">
        <f>Deletion!N158</f>
        <v>0</v>
      </c>
      <c r="T860" s="2">
        <f t="shared" si="30"/>
        <v>0</v>
      </c>
      <c r="U860" s="10" t="str">
        <f>IF($S860=0, "", IF(COUNTIF(Table1[Amino Acid Change], $S860)=0, "Missing", "Y"))</f>
        <v/>
      </c>
      <c r="V860" s="10">
        <f t="shared" si="31"/>
        <v>0</v>
      </c>
    </row>
    <row r="861" spans="9:22" x14ac:dyDescent="0.25">
      <c r="I861" s="2">
        <f>Deletion!A159</f>
        <v>0</v>
      </c>
      <c r="J861" s="2">
        <f>Deletion!B159</f>
        <v>0</v>
      </c>
      <c r="K861" s="2">
        <f>Deletion!C159</f>
        <v>0</v>
      </c>
      <c r="L861" s="2">
        <f>Deletion!D159</f>
        <v>0</v>
      </c>
      <c r="M861" s="2">
        <f>Deletion!E159</f>
        <v>0</v>
      </c>
      <c r="N861" s="2">
        <f>Deletion!G159</f>
        <v>0</v>
      </c>
      <c r="O861" s="2">
        <f>Deletion!H159</f>
        <v>0</v>
      </c>
      <c r="P861" s="2">
        <f>Deletion!I159</f>
        <v>0</v>
      </c>
      <c r="Q861" s="2">
        <f>Deletion!J159</f>
        <v>0</v>
      </c>
      <c r="R861" s="2">
        <f>Deletion!K159</f>
        <v>0</v>
      </c>
      <c r="S861" s="2">
        <f>Deletion!N159</f>
        <v>0</v>
      </c>
      <c r="T861" s="2">
        <f t="shared" si="30"/>
        <v>0</v>
      </c>
      <c r="U861" s="10" t="str">
        <f>IF($S861=0, "", IF(COUNTIF(Table1[Amino Acid Change], $S861)=0, "Missing", "Y"))</f>
        <v/>
      </c>
      <c r="V861" s="10">
        <f t="shared" si="31"/>
        <v>0</v>
      </c>
    </row>
    <row r="862" spans="9:22" x14ac:dyDescent="0.25">
      <c r="I862" s="2">
        <f>Deletion!A160</f>
        <v>0</v>
      </c>
      <c r="J862" s="2">
        <f>Deletion!B160</f>
        <v>0</v>
      </c>
      <c r="K862" s="2">
        <f>Deletion!C160</f>
        <v>0</v>
      </c>
      <c r="L862" s="2">
        <f>Deletion!D160</f>
        <v>0</v>
      </c>
      <c r="M862" s="2">
        <f>Deletion!E160</f>
        <v>0</v>
      </c>
      <c r="N862" s="2">
        <f>Deletion!G160</f>
        <v>0</v>
      </c>
      <c r="O862" s="2">
        <f>Deletion!H160</f>
        <v>0</v>
      </c>
      <c r="P862" s="2">
        <f>Deletion!I160</f>
        <v>0</v>
      </c>
      <c r="Q862" s="2">
        <f>Deletion!J160</f>
        <v>0</v>
      </c>
      <c r="R862" s="2">
        <f>Deletion!K160</f>
        <v>0</v>
      </c>
      <c r="S862" s="2">
        <f>Deletion!N160</f>
        <v>0</v>
      </c>
      <c r="T862" s="2">
        <f t="shared" si="30"/>
        <v>0</v>
      </c>
      <c r="U862" s="10" t="str">
        <f>IF($S862=0, "", IF(COUNTIF(Table1[Amino Acid Change], $S862)=0, "Missing", "Y"))</f>
        <v/>
      </c>
      <c r="V862" s="10">
        <f t="shared" si="31"/>
        <v>0</v>
      </c>
    </row>
    <row r="863" spans="9:22" x14ac:dyDescent="0.25">
      <c r="I863" s="2">
        <f>Deletion!A161</f>
        <v>0</v>
      </c>
      <c r="J863" s="2">
        <f>Deletion!B161</f>
        <v>0</v>
      </c>
      <c r="K863" s="2">
        <f>Deletion!C161</f>
        <v>0</v>
      </c>
      <c r="L863" s="2">
        <f>Deletion!D161</f>
        <v>0</v>
      </c>
      <c r="M863" s="2">
        <f>Deletion!E161</f>
        <v>0</v>
      </c>
      <c r="N863" s="2">
        <f>Deletion!G161</f>
        <v>0</v>
      </c>
      <c r="O863" s="2">
        <f>Deletion!H161</f>
        <v>0</v>
      </c>
      <c r="P863" s="2">
        <f>Deletion!I161</f>
        <v>0</v>
      </c>
      <c r="Q863" s="2">
        <f>Deletion!J161</f>
        <v>0</v>
      </c>
      <c r="R863" s="2">
        <f>Deletion!K161</f>
        <v>0</v>
      </c>
      <c r="S863" s="2">
        <f>Deletion!N161</f>
        <v>0</v>
      </c>
      <c r="T863" s="2">
        <f t="shared" si="30"/>
        <v>0</v>
      </c>
      <c r="U863" s="10" t="str">
        <f>IF($S863=0, "", IF(COUNTIF(Table1[Amino Acid Change], $S863)=0, "Missing", "Y"))</f>
        <v/>
      </c>
      <c r="V863" s="10">
        <f t="shared" si="31"/>
        <v>0</v>
      </c>
    </row>
    <row r="864" spans="9:22" x14ac:dyDescent="0.25">
      <c r="I864" s="2">
        <f>Deletion!A162</f>
        <v>0</v>
      </c>
      <c r="J864" s="2">
        <f>Deletion!B162</f>
        <v>0</v>
      </c>
      <c r="K864" s="2">
        <f>Deletion!C162</f>
        <v>0</v>
      </c>
      <c r="L864" s="2">
        <f>Deletion!D162</f>
        <v>0</v>
      </c>
      <c r="M864" s="2">
        <f>Deletion!E162</f>
        <v>0</v>
      </c>
      <c r="N864" s="2">
        <f>Deletion!G162</f>
        <v>0</v>
      </c>
      <c r="O864" s="2">
        <f>Deletion!H162</f>
        <v>0</v>
      </c>
      <c r="P864" s="2">
        <f>Deletion!I162</f>
        <v>0</v>
      </c>
      <c r="Q864" s="2">
        <f>Deletion!J162</f>
        <v>0</v>
      </c>
      <c r="R864" s="2">
        <f>Deletion!K162</f>
        <v>0</v>
      </c>
      <c r="S864" s="2">
        <f>Deletion!N162</f>
        <v>0</v>
      </c>
      <c r="T864" s="2">
        <f t="shared" si="30"/>
        <v>0</v>
      </c>
      <c r="U864" s="10" t="str">
        <f>IF($S864=0, "", IF(COUNTIF(Table1[Amino Acid Change], $S864)=0, "Missing", "Y"))</f>
        <v/>
      </c>
      <c r="V864" s="10">
        <f t="shared" si="31"/>
        <v>0</v>
      </c>
    </row>
    <row r="865" spans="9:22" x14ac:dyDescent="0.25">
      <c r="I865" s="2">
        <f>Deletion!A163</f>
        <v>0</v>
      </c>
      <c r="J865" s="2">
        <f>Deletion!B163</f>
        <v>0</v>
      </c>
      <c r="K865" s="2">
        <f>Deletion!C163</f>
        <v>0</v>
      </c>
      <c r="L865" s="2">
        <f>Deletion!D163</f>
        <v>0</v>
      </c>
      <c r="M865" s="2">
        <f>Deletion!E163</f>
        <v>0</v>
      </c>
      <c r="N865" s="2">
        <f>Deletion!G163</f>
        <v>0</v>
      </c>
      <c r="O865" s="2">
        <f>Deletion!H163</f>
        <v>0</v>
      </c>
      <c r="P865" s="2">
        <f>Deletion!I163</f>
        <v>0</v>
      </c>
      <c r="Q865" s="2">
        <f>Deletion!J163</f>
        <v>0</v>
      </c>
      <c r="R865" s="2">
        <f>Deletion!K163</f>
        <v>0</v>
      </c>
      <c r="S865" s="2">
        <f>Deletion!N163</f>
        <v>0</v>
      </c>
      <c r="T865" s="2">
        <f t="shared" si="30"/>
        <v>0</v>
      </c>
      <c r="U865" s="10" t="str">
        <f>IF($S865=0, "", IF(COUNTIF(Table1[Amino Acid Change], $S865)=0, "Missing", "Y"))</f>
        <v/>
      </c>
      <c r="V865" s="10">
        <f t="shared" si="31"/>
        <v>0</v>
      </c>
    </row>
    <row r="866" spans="9:22" x14ac:dyDescent="0.25">
      <c r="I866" s="2">
        <f>Deletion!A164</f>
        <v>0</v>
      </c>
      <c r="J866" s="2">
        <f>Deletion!B164</f>
        <v>0</v>
      </c>
      <c r="K866" s="2">
        <f>Deletion!C164</f>
        <v>0</v>
      </c>
      <c r="L866" s="2">
        <f>Deletion!D164</f>
        <v>0</v>
      </c>
      <c r="M866" s="2">
        <f>Deletion!E164</f>
        <v>0</v>
      </c>
      <c r="N866" s="2">
        <f>Deletion!G164</f>
        <v>0</v>
      </c>
      <c r="O866" s="2">
        <f>Deletion!H164</f>
        <v>0</v>
      </c>
      <c r="P866" s="2">
        <f>Deletion!I164</f>
        <v>0</v>
      </c>
      <c r="Q866" s="2">
        <f>Deletion!J164</f>
        <v>0</v>
      </c>
      <c r="R866" s="2">
        <f>Deletion!K164</f>
        <v>0</v>
      </c>
      <c r="S866" s="2">
        <f>Deletion!N164</f>
        <v>0</v>
      </c>
      <c r="T866" s="2">
        <f t="shared" si="30"/>
        <v>0</v>
      </c>
      <c r="U866" s="10" t="str">
        <f>IF($S866=0, "", IF(COUNTIF(Table1[Amino Acid Change], $S866)=0, "Missing", "Y"))</f>
        <v/>
      </c>
      <c r="V866" s="10">
        <f t="shared" si="31"/>
        <v>0</v>
      </c>
    </row>
    <row r="867" spans="9:22" x14ac:dyDescent="0.25">
      <c r="I867" s="2">
        <f>Deletion!A165</f>
        <v>0</v>
      </c>
      <c r="J867" s="2">
        <f>Deletion!B165</f>
        <v>0</v>
      </c>
      <c r="K867" s="2">
        <f>Deletion!C165</f>
        <v>0</v>
      </c>
      <c r="L867" s="2">
        <f>Deletion!D165</f>
        <v>0</v>
      </c>
      <c r="M867" s="2">
        <f>Deletion!E165</f>
        <v>0</v>
      </c>
      <c r="N867" s="2">
        <f>Deletion!G165</f>
        <v>0</v>
      </c>
      <c r="O867" s="2">
        <f>Deletion!H165</f>
        <v>0</v>
      </c>
      <c r="P867" s="2">
        <f>Deletion!I165</f>
        <v>0</v>
      </c>
      <c r="Q867" s="2">
        <f>Deletion!J165</f>
        <v>0</v>
      </c>
      <c r="R867" s="2">
        <f>Deletion!K165</f>
        <v>0</v>
      </c>
      <c r="S867" s="2">
        <f>Deletion!N165</f>
        <v>0</v>
      </c>
      <c r="T867" s="2">
        <f t="shared" si="30"/>
        <v>0</v>
      </c>
      <c r="U867" s="10" t="str">
        <f>IF($S867=0, "", IF(COUNTIF(Table1[Amino Acid Change], $S867)=0, "Missing", "Y"))</f>
        <v/>
      </c>
      <c r="V867" s="10">
        <f t="shared" si="31"/>
        <v>0</v>
      </c>
    </row>
    <row r="868" spans="9:22" x14ac:dyDescent="0.25">
      <c r="I868" s="2">
        <f>Deletion!A166</f>
        <v>0</v>
      </c>
      <c r="J868" s="2">
        <f>Deletion!B166</f>
        <v>0</v>
      </c>
      <c r="K868" s="2">
        <f>Deletion!C166</f>
        <v>0</v>
      </c>
      <c r="L868" s="2">
        <f>Deletion!D166</f>
        <v>0</v>
      </c>
      <c r="M868" s="2">
        <f>Deletion!E166</f>
        <v>0</v>
      </c>
      <c r="N868" s="2">
        <f>Deletion!G166</f>
        <v>0</v>
      </c>
      <c r="O868" s="2">
        <f>Deletion!H166</f>
        <v>0</v>
      </c>
      <c r="P868" s="2">
        <f>Deletion!I166</f>
        <v>0</v>
      </c>
      <c r="Q868" s="2">
        <f>Deletion!J166</f>
        <v>0</v>
      </c>
      <c r="R868" s="2">
        <f>Deletion!K166</f>
        <v>0</v>
      </c>
      <c r="S868" s="2">
        <f>Deletion!N166</f>
        <v>0</v>
      </c>
      <c r="T868" s="2">
        <f t="shared" si="30"/>
        <v>0</v>
      </c>
      <c r="U868" s="10" t="str">
        <f>IF($S868=0, "", IF(COUNTIF(Table1[Amino Acid Change], $S868)=0, "Missing", "Y"))</f>
        <v/>
      </c>
      <c r="V868" s="10">
        <f t="shared" si="31"/>
        <v>0</v>
      </c>
    </row>
    <row r="869" spans="9:22" x14ac:dyDescent="0.25">
      <c r="I869" s="2">
        <f>Deletion!A167</f>
        <v>0</v>
      </c>
      <c r="J869" s="2">
        <f>Deletion!B167</f>
        <v>0</v>
      </c>
      <c r="K869" s="2">
        <f>Deletion!C167</f>
        <v>0</v>
      </c>
      <c r="L869" s="2">
        <f>Deletion!D167</f>
        <v>0</v>
      </c>
      <c r="M869" s="2">
        <f>Deletion!E167</f>
        <v>0</v>
      </c>
      <c r="N869" s="2">
        <f>Deletion!G167</f>
        <v>0</v>
      </c>
      <c r="O869" s="2">
        <f>Deletion!H167</f>
        <v>0</v>
      </c>
      <c r="P869" s="2">
        <f>Deletion!I167</f>
        <v>0</v>
      </c>
      <c r="Q869" s="2">
        <f>Deletion!J167</f>
        <v>0</v>
      </c>
      <c r="R869" s="2">
        <f>Deletion!K167</f>
        <v>0</v>
      </c>
      <c r="S869" s="2">
        <f>Deletion!N167</f>
        <v>0</v>
      </c>
      <c r="T869" s="2">
        <f t="shared" si="30"/>
        <v>0</v>
      </c>
      <c r="U869" s="10" t="str">
        <f>IF($S869=0, "", IF(COUNTIF(Table1[Amino Acid Change], $S869)=0, "Missing", "Y"))</f>
        <v/>
      </c>
      <c r="V869" s="10">
        <f t="shared" si="31"/>
        <v>0</v>
      </c>
    </row>
    <row r="870" spans="9:22" x14ac:dyDescent="0.25">
      <c r="I870" s="2">
        <f>Deletion!A168</f>
        <v>0</v>
      </c>
      <c r="J870" s="2">
        <f>Deletion!B168</f>
        <v>0</v>
      </c>
      <c r="K870" s="2">
        <f>Deletion!C168</f>
        <v>0</v>
      </c>
      <c r="L870" s="2">
        <f>Deletion!D168</f>
        <v>0</v>
      </c>
      <c r="M870" s="2">
        <f>Deletion!E168</f>
        <v>0</v>
      </c>
      <c r="N870" s="2">
        <f>Deletion!G168</f>
        <v>0</v>
      </c>
      <c r="O870" s="2">
        <f>Deletion!H168</f>
        <v>0</v>
      </c>
      <c r="P870" s="2">
        <f>Deletion!I168</f>
        <v>0</v>
      </c>
      <c r="Q870" s="2">
        <f>Deletion!J168</f>
        <v>0</v>
      </c>
      <c r="R870" s="2">
        <f>Deletion!K168</f>
        <v>0</v>
      </c>
      <c r="S870" s="2">
        <f>Deletion!N168</f>
        <v>0</v>
      </c>
      <c r="T870" s="2">
        <f t="shared" si="30"/>
        <v>0</v>
      </c>
      <c r="U870" s="10" t="str">
        <f>IF($S870=0, "", IF(COUNTIF(Table1[Amino Acid Change], $S870)=0, "Missing", "Y"))</f>
        <v/>
      </c>
      <c r="V870" s="10">
        <f t="shared" si="31"/>
        <v>0</v>
      </c>
    </row>
    <row r="871" spans="9:22" x14ac:dyDescent="0.25">
      <c r="I871" s="2">
        <f>Deletion!A169</f>
        <v>0</v>
      </c>
      <c r="J871" s="2">
        <f>Deletion!B169</f>
        <v>0</v>
      </c>
      <c r="K871" s="2">
        <f>Deletion!C169</f>
        <v>0</v>
      </c>
      <c r="L871" s="2">
        <f>Deletion!D169</f>
        <v>0</v>
      </c>
      <c r="M871" s="2">
        <f>Deletion!E169</f>
        <v>0</v>
      </c>
      <c r="N871" s="2">
        <f>Deletion!G169</f>
        <v>0</v>
      </c>
      <c r="O871" s="2">
        <f>Deletion!H169</f>
        <v>0</v>
      </c>
      <c r="P871" s="2">
        <f>Deletion!I169</f>
        <v>0</v>
      </c>
      <c r="Q871" s="2">
        <f>Deletion!J169</f>
        <v>0</v>
      </c>
      <c r="R871" s="2">
        <f>Deletion!K169</f>
        <v>0</v>
      </c>
      <c r="S871" s="2">
        <f>Deletion!N169</f>
        <v>0</v>
      </c>
      <c r="T871" s="2">
        <f t="shared" si="30"/>
        <v>0</v>
      </c>
      <c r="U871" s="10" t="str">
        <f>IF($S871=0, "", IF(COUNTIF(Table1[Amino Acid Change], $S871)=0, "Missing", "Y"))</f>
        <v/>
      </c>
      <c r="V871" s="10">
        <f t="shared" si="31"/>
        <v>0</v>
      </c>
    </row>
    <row r="872" spans="9:22" x14ac:dyDescent="0.25">
      <c r="I872" s="2">
        <f>Deletion!A170</f>
        <v>0</v>
      </c>
      <c r="J872" s="2">
        <f>Deletion!B170</f>
        <v>0</v>
      </c>
      <c r="K872" s="2">
        <f>Deletion!C170</f>
        <v>0</v>
      </c>
      <c r="L872" s="2">
        <f>Deletion!D170</f>
        <v>0</v>
      </c>
      <c r="M872" s="2">
        <f>Deletion!E170</f>
        <v>0</v>
      </c>
      <c r="N872" s="2">
        <f>Deletion!G170</f>
        <v>0</v>
      </c>
      <c r="O872" s="2">
        <f>Deletion!H170</f>
        <v>0</v>
      </c>
      <c r="P872" s="2">
        <f>Deletion!I170</f>
        <v>0</v>
      </c>
      <c r="Q872" s="2">
        <f>Deletion!J170</f>
        <v>0</v>
      </c>
      <c r="R872" s="2">
        <f>Deletion!K170</f>
        <v>0</v>
      </c>
      <c r="S872" s="2">
        <f>Deletion!N170</f>
        <v>0</v>
      </c>
      <c r="T872" s="2">
        <f t="shared" si="30"/>
        <v>0</v>
      </c>
      <c r="U872" s="10" t="str">
        <f>IF($S872=0, "", IF(COUNTIF(Table1[Amino Acid Change], $S872)=0, "Missing", "Y"))</f>
        <v/>
      </c>
      <c r="V872" s="10">
        <f t="shared" si="31"/>
        <v>0</v>
      </c>
    </row>
    <row r="873" spans="9:22" x14ac:dyDescent="0.25">
      <c r="I873" s="2">
        <f>Deletion!A171</f>
        <v>0</v>
      </c>
      <c r="J873" s="2">
        <f>Deletion!B171</f>
        <v>0</v>
      </c>
      <c r="K873" s="2">
        <f>Deletion!C171</f>
        <v>0</v>
      </c>
      <c r="L873" s="2">
        <f>Deletion!D171</f>
        <v>0</v>
      </c>
      <c r="M873" s="2">
        <f>Deletion!E171</f>
        <v>0</v>
      </c>
      <c r="N873" s="2">
        <f>Deletion!G171</f>
        <v>0</v>
      </c>
      <c r="O873" s="2">
        <f>Deletion!H171</f>
        <v>0</v>
      </c>
      <c r="P873" s="2">
        <f>Deletion!I171</f>
        <v>0</v>
      </c>
      <c r="Q873" s="2">
        <f>Deletion!J171</f>
        <v>0</v>
      </c>
      <c r="R873" s="2">
        <f>Deletion!K171</f>
        <v>0</v>
      </c>
      <c r="S873" s="2">
        <f>Deletion!N171</f>
        <v>0</v>
      </c>
      <c r="T873" s="2">
        <f t="shared" si="30"/>
        <v>0</v>
      </c>
      <c r="U873" s="10" t="str">
        <f>IF($S873=0, "", IF(COUNTIF(Table1[Amino Acid Change], $S873)=0, "Missing", "Y"))</f>
        <v/>
      </c>
      <c r="V873" s="10">
        <f t="shared" si="31"/>
        <v>0</v>
      </c>
    </row>
    <row r="874" spans="9:22" x14ac:dyDescent="0.25">
      <c r="I874" s="2">
        <f>Deletion!A172</f>
        <v>0</v>
      </c>
      <c r="J874" s="2">
        <f>Deletion!B172</f>
        <v>0</v>
      </c>
      <c r="K874" s="2">
        <f>Deletion!C172</f>
        <v>0</v>
      </c>
      <c r="L874" s="2">
        <f>Deletion!D172</f>
        <v>0</v>
      </c>
      <c r="M874" s="2">
        <f>Deletion!E172</f>
        <v>0</v>
      </c>
      <c r="N874" s="2">
        <f>Deletion!G172</f>
        <v>0</v>
      </c>
      <c r="O874" s="2">
        <f>Deletion!H172</f>
        <v>0</v>
      </c>
      <c r="P874" s="2">
        <f>Deletion!I172</f>
        <v>0</v>
      </c>
      <c r="Q874" s="2">
        <f>Deletion!J172</f>
        <v>0</v>
      </c>
      <c r="R874" s="2">
        <f>Deletion!K172</f>
        <v>0</v>
      </c>
      <c r="S874" s="2">
        <f>Deletion!N172</f>
        <v>0</v>
      </c>
      <c r="T874" s="2">
        <f t="shared" si="30"/>
        <v>0</v>
      </c>
      <c r="U874" s="10" t="str">
        <f>IF($S874=0, "", IF(COUNTIF(Table1[Amino Acid Change], $S874)=0, "Missing", "Y"))</f>
        <v/>
      </c>
      <c r="V874" s="10">
        <f t="shared" si="31"/>
        <v>0</v>
      </c>
    </row>
    <row r="875" spans="9:22" x14ac:dyDescent="0.25">
      <c r="I875" s="2">
        <f>Deletion!A173</f>
        <v>0</v>
      </c>
      <c r="J875" s="2">
        <f>Deletion!B173</f>
        <v>0</v>
      </c>
      <c r="K875" s="2">
        <f>Deletion!C173</f>
        <v>0</v>
      </c>
      <c r="L875" s="2">
        <f>Deletion!D173</f>
        <v>0</v>
      </c>
      <c r="M875" s="2">
        <f>Deletion!E173</f>
        <v>0</v>
      </c>
      <c r="N875" s="2">
        <f>Deletion!G173</f>
        <v>0</v>
      </c>
      <c r="O875" s="2">
        <f>Deletion!H173</f>
        <v>0</v>
      </c>
      <c r="P875" s="2">
        <f>Deletion!I173</f>
        <v>0</v>
      </c>
      <c r="Q875" s="2">
        <f>Deletion!J173</f>
        <v>0</v>
      </c>
      <c r="R875" s="2">
        <f>Deletion!K173</f>
        <v>0</v>
      </c>
      <c r="S875" s="2">
        <f>Deletion!N173</f>
        <v>0</v>
      </c>
      <c r="T875" s="2">
        <f t="shared" si="30"/>
        <v>0</v>
      </c>
      <c r="U875" s="10" t="str">
        <f>IF($S875=0, "", IF(COUNTIF(Table1[Amino Acid Change], $S875)=0, "Missing", "Y"))</f>
        <v/>
      </c>
      <c r="V875" s="10">
        <f t="shared" si="31"/>
        <v>0</v>
      </c>
    </row>
    <row r="876" spans="9:22" x14ac:dyDescent="0.25">
      <c r="I876" s="2">
        <f>Deletion!A174</f>
        <v>0</v>
      </c>
      <c r="J876" s="2">
        <f>Deletion!B174</f>
        <v>0</v>
      </c>
      <c r="K876" s="2">
        <f>Deletion!C174</f>
        <v>0</v>
      </c>
      <c r="L876" s="2">
        <f>Deletion!D174</f>
        <v>0</v>
      </c>
      <c r="M876" s="2">
        <f>Deletion!E174</f>
        <v>0</v>
      </c>
      <c r="N876" s="2">
        <f>Deletion!G174</f>
        <v>0</v>
      </c>
      <c r="O876" s="2">
        <f>Deletion!H174</f>
        <v>0</v>
      </c>
      <c r="P876" s="2">
        <f>Deletion!I174</f>
        <v>0</v>
      </c>
      <c r="Q876" s="2">
        <f>Deletion!J174</f>
        <v>0</v>
      </c>
      <c r="R876" s="2">
        <f>Deletion!K174</f>
        <v>0</v>
      </c>
      <c r="S876" s="2">
        <f>Deletion!N174</f>
        <v>0</v>
      </c>
      <c r="T876" s="2">
        <f t="shared" si="30"/>
        <v>0</v>
      </c>
      <c r="U876" s="10" t="str">
        <f>IF($S876=0, "", IF(COUNTIF(Table1[Amino Acid Change], $S876)=0, "Missing", "Y"))</f>
        <v/>
      </c>
      <c r="V876" s="10">
        <f t="shared" si="31"/>
        <v>0</v>
      </c>
    </row>
    <row r="877" spans="9:22" x14ac:dyDescent="0.25">
      <c r="I877" s="2">
        <f>Deletion!A175</f>
        <v>0</v>
      </c>
      <c r="J877" s="2">
        <f>Deletion!B175</f>
        <v>0</v>
      </c>
      <c r="K877" s="2">
        <f>Deletion!C175</f>
        <v>0</v>
      </c>
      <c r="L877" s="2">
        <f>Deletion!D175</f>
        <v>0</v>
      </c>
      <c r="M877" s="2">
        <f>Deletion!E175</f>
        <v>0</v>
      </c>
      <c r="N877" s="2">
        <f>Deletion!G175</f>
        <v>0</v>
      </c>
      <c r="O877" s="2">
        <f>Deletion!H175</f>
        <v>0</v>
      </c>
      <c r="P877" s="2">
        <f>Deletion!I175</f>
        <v>0</v>
      </c>
      <c r="Q877" s="2">
        <f>Deletion!J175</f>
        <v>0</v>
      </c>
      <c r="R877" s="2">
        <f>Deletion!K175</f>
        <v>0</v>
      </c>
      <c r="S877" s="2">
        <f>Deletion!N175</f>
        <v>0</v>
      </c>
      <c r="T877" s="2">
        <f t="shared" si="30"/>
        <v>0</v>
      </c>
      <c r="U877" s="10" t="str">
        <f>IF($S877=0, "", IF(COUNTIF(Table1[Amino Acid Change], $S877)=0, "Missing", "Y"))</f>
        <v/>
      </c>
      <c r="V877" s="10">
        <f t="shared" si="31"/>
        <v>0</v>
      </c>
    </row>
    <row r="878" spans="9:22" x14ac:dyDescent="0.25">
      <c r="I878" s="2">
        <f>Deletion!A176</f>
        <v>0</v>
      </c>
      <c r="J878" s="2">
        <f>Deletion!B176</f>
        <v>0</v>
      </c>
      <c r="K878" s="2">
        <f>Deletion!C176</f>
        <v>0</v>
      </c>
      <c r="L878" s="2">
        <f>Deletion!D176</f>
        <v>0</v>
      </c>
      <c r="M878" s="2">
        <f>Deletion!E176</f>
        <v>0</v>
      </c>
      <c r="N878" s="2">
        <f>Deletion!G176</f>
        <v>0</v>
      </c>
      <c r="O878" s="2">
        <f>Deletion!H176</f>
        <v>0</v>
      </c>
      <c r="P878" s="2">
        <f>Deletion!I176</f>
        <v>0</v>
      </c>
      <c r="Q878" s="2">
        <f>Deletion!J176</f>
        <v>0</v>
      </c>
      <c r="R878" s="2">
        <f>Deletion!K176</f>
        <v>0</v>
      </c>
      <c r="S878" s="2">
        <f>Deletion!N176</f>
        <v>0</v>
      </c>
      <c r="T878" s="2">
        <f t="shared" si="30"/>
        <v>0</v>
      </c>
      <c r="U878" s="10" t="str">
        <f>IF($S878=0, "", IF(COUNTIF(Table1[Amino Acid Change], $S878)=0, "Missing", "Y"))</f>
        <v/>
      </c>
      <c r="V878" s="10">
        <f t="shared" si="31"/>
        <v>0</v>
      </c>
    </row>
    <row r="879" spans="9:22" x14ac:dyDescent="0.25">
      <c r="I879" s="2">
        <f>Deletion!A177</f>
        <v>0</v>
      </c>
      <c r="J879" s="2">
        <f>Deletion!B177</f>
        <v>0</v>
      </c>
      <c r="K879" s="2">
        <f>Deletion!C177</f>
        <v>0</v>
      </c>
      <c r="L879" s="2">
        <f>Deletion!D177</f>
        <v>0</v>
      </c>
      <c r="M879" s="2">
        <f>Deletion!E177</f>
        <v>0</v>
      </c>
      <c r="N879" s="2">
        <f>Deletion!G177</f>
        <v>0</v>
      </c>
      <c r="O879" s="2">
        <f>Deletion!H177</f>
        <v>0</v>
      </c>
      <c r="P879" s="2">
        <f>Deletion!I177</f>
        <v>0</v>
      </c>
      <c r="Q879" s="2">
        <f>Deletion!J177</f>
        <v>0</v>
      </c>
      <c r="R879" s="2">
        <f>Deletion!K177</f>
        <v>0</v>
      </c>
      <c r="S879" s="2">
        <f>Deletion!N177</f>
        <v>0</v>
      </c>
      <c r="T879" s="2">
        <f t="shared" si="30"/>
        <v>0</v>
      </c>
      <c r="U879" s="10" t="str">
        <f>IF($S879=0, "", IF(COUNTIF(Table1[Amino Acid Change], $S879)=0, "Missing", "Y"))</f>
        <v/>
      </c>
      <c r="V879" s="10">
        <f t="shared" si="31"/>
        <v>0</v>
      </c>
    </row>
    <row r="880" spans="9:22" x14ac:dyDescent="0.25">
      <c r="I880" s="2">
        <f>Deletion!A178</f>
        <v>0</v>
      </c>
      <c r="J880" s="2">
        <f>Deletion!B178</f>
        <v>0</v>
      </c>
      <c r="K880" s="2">
        <f>Deletion!C178</f>
        <v>0</v>
      </c>
      <c r="L880" s="2">
        <f>Deletion!D178</f>
        <v>0</v>
      </c>
      <c r="M880" s="2">
        <f>Deletion!E178</f>
        <v>0</v>
      </c>
      <c r="N880" s="2">
        <f>Deletion!G178</f>
        <v>0</v>
      </c>
      <c r="O880" s="2">
        <f>Deletion!H178</f>
        <v>0</v>
      </c>
      <c r="P880" s="2">
        <f>Deletion!I178</f>
        <v>0</v>
      </c>
      <c r="Q880" s="2">
        <f>Deletion!J178</f>
        <v>0</v>
      </c>
      <c r="R880" s="2">
        <f>Deletion!K178</f>
        <v>0</v>
      </c>
      <c r="S880" s="2">
        <f>Deletion!N178</f>
        <v>0</v>
      </c>
      <c r="T880" s="2">
        <f t="shared" si="30"/>
        <v>0</v>
      </c>
      <c r="U880" s="10" t="str">
        <f>IF($S880=0, "", IF(COUNTIF(Table1[Amino Acid Change], $S880)=0, "Missing", "Y"))</f>
        <v/>
      </c>
      <c r="V880" s="10">
        <f t="shared" si="31"/>
        <v>0</v>
      </c>
    </row>
    <row r="881" spans="9:22" x14ac:dyDescent="0.25">
      <c r="I881" s="2">
        <f>Deletion!A179</f>
        <v>0</v>
      </c>
      <c r="J881" s="2">
        <f>Deletion!B179</f>
        <v>0</v>
      </c>
      <c r="K881" s="2">
        <f>Deletion!C179</f>
        <v>0</v>
      </c>
      <c r="L881" s="2">
        <f>Deletion!D179</f>
        <v>0</v>
      </c>
      <c r="M881" s="2">
        <f>Deletion!E179</f>
        <v>0</v>
      </c>
      <c r="N881" s="2">
        <f>Deletion!G179</f>
        <v>0</v>
      </c>
      <c r="O881" s="2">
        <f>Deletion!H179</f>
        <v>0</v>
      </c>
      <c r="P881" s="2">
        <f>Deletion!I179</f>
        <v>0</v>
      </c>
      <c r="Q881" s="2">
        <f>Deletion!J179</f>
        <v>0</v>
      </c>
      <c r="R881" s="2">
        <f>Deletion!K179</f>
        <v>0</v>
      </c>
      <c r="S881" s="2">
        <f>Deletion!N179</f>
        <v>0</v>
      </c>
      <c r="T881" s="2">
        <f t="shared" si="30"/>
        <v>0</v>
      </c>
      <c r="U881" s="10" t="str">
        <f>IF($S881=0, "", IF(COUNTIF(Table1[Amino Acid Change], $S881)=0, "Missing", "Y"))</f>
        <v/>
      </c>
      <c r="V881" s="10">
        <f t="shared" si="31"/>
        <v>0</v>
      </c>
    </row>
    <row r="882" spans="9:22" x14ac:dyDescent="0.25">
      <c r="I882" s="2">
        <f>Deletion!A180</f>
        <v>0</v>
      </c>
      <c r="J882" s="2">
        <f>Deletion!B180</f>
        <v>0</v>
      </c>
      <c r="K882" s="2">
        <f>Deletion!C180</f>
        <v>0</v>
      </c>
      <c r="L882" s="2">
        <f>Deletion!D180</f>
        <v>0</v>
      </c>
      <c r="M882" s="2">
        <f>Deletion!E180</f>
        <v>0</v>
      </c>
      <c r="N882" s="2">
        <f>Deletion!G180</f>
        <v>0</v>
      </c>
      <c r="O882" s="2">
        <f>Deletion!H180</f>
        <v>0</v>
      </c>
      <c r="P882" s="2">
        <f>Deletion!I180</f>
        <v>0</v>
      </c>
      <c r="Q882" s="2">
        <f>Deletion!J180</f>
        <v>0</v>
      </c>
      <c r="R882" s="2">
        <f>Deletion!K180</f>
        <v>0</v>
      </c>
      <c r="S882" s="2">
        <f>Deletion!N180</f>
        <v>0</v>
      </c>
      <c r="T882" s="2">
        <f t="shared" si="30"/>
        <v>0</v>
      </c>
      <c r="U882" s="10" t="str">
        <f>IF($S882=0, "", IF(COUNTIF(Table1[Amino Acid Change], $S882)=0, "Missing", "Y"))</f>
        <v/>
      </c>
      <c r="V882" s="10">
        <f t="shared" si="31"/>
        <v>0</v>
      </c>
    </row>
    <row r="883" spans="9:22" x14ac:dyDescent="0.25">
      <c r="I883" s="2">
        <f>Deletion!A181</f>
        <v>0</v>
      </c>
      <c r="J883" s="2">
        <f>Deletion!B181</f>
        <v>0</v>
      </c>
      <c r="K883" s="2">
        <f>Deletion!C181</f>
        <v>0</v>
      </c>
      <c r="L883" s="2">
        <f>Deletion!D181</f>
        <v>0</v>
      </c>
      <c r="M883" s="2">
        <f>Deletion!E181</f>
        <v>0</v>
      </c>
      <c r="N883" s="2">
        <f>Deletion!G181</f>
        <v>0</v>
      </c>
      <c r="O883" s="2">
        <f>Deletion!H181</f>
        <v>0</v>
      </c>
      <c r="P883" s="2">
        <f>Deletion!I181</f>
        <v>0</v>
      </c>
      <c r="Q883" s="2">
        <f>Deletion!J181</f>
        <v>0</v>
      </c>
      <c r="R883" s="2">
        <f>Deletion!K181</f>
        <v>0</v>
      </c>
      <c r="S883" s="2">
        <f>Deletion!N181</f>
        <v>0</v>
      </c>
      <c r="T883" s="2">
        <f t="shared" si="30"/>
        <v>0</v>
      </c>
      <c r="U883" s="10" t="str">
        <f>IF($S883=0, "", IF(COUNTIF(Table1[Amino Acid Change], $S883)=0, "Missing", "Y"))</f>
        <v/>
      </c>
      <c r="V883" s="10">
        <f t="shared" si="31"/>
        <v>0</v>
      </c>
    </row>
    <row r="884" spans="9:22" x14ac:dyDescent="0.25">
      <c r="I884" s="2">
        <f>Deletion!A182</f>
        <v>0</v>
      </c>
      <c r="J884" s="2">
        <f>Deletion!B182</f>
        <v>0</v>
      </c>
      <c r="K884" s="2">
        <f>Deletion!C182</f>
        <v>0</v>
      </c>
      <c r="L884" s="2">
        <f>Deletion!D182</f>
        <v>0</v>
      </c>
      <c r="M884" s="2">
        <f>Deletion!E182</f>
        <v>0</v>
      </c>
      <c r="N884" s="2">
        <f>Deletion!G182</f>
        <v>0</v>
      </c>
      <c r="O884" s="2">
        <f>Deletion!H182</f>
        <v>0</v>
      </c>
      <c r="P884" s="2">
        <f>Deletion!I182</f>
        <v>0</v>
      </c>
      <c r="Q884" s="2">
        <f>Deletion!J182</f>
        <v>0</v>
      </c>
      <c r="R884" s="2">
        <f>Deletion!K182</f>
        <v>0</v>
      </c>
      <c r="S884" s="2">
        <f>Deletion!N182</f>
        <v>0</v>
      </c>
      <c r="T884" s="2">
        <f t="shared" si="30"/>
        <v>0</v>
      </c>
      <c r="U884" s="10" t="str">
        <f>IF($S884=0, "", IF(COUNTIF(Table1[Amino Acid Change], $S884)=0, "Missing", "Y"))</f>
        <v/>
      </c>
      <c r="V884" s="10">
        <f t="shared" si="31"/>
        <v>0</v>
      </c>
    </row>
    <row r="885" spans="9:22" x14ac:dyDescent="0.25">
      <c r="I885" s="2">
        <f>Deletion!A183</f>
        <v>0</v>
      </c>
      <c r="J885" s="2">
        <f>Deletion!B183</f>
        <v>0</v>
      </c>
      <c r="K885" s="2">
        <f>Deletion!C183</f>
        <v>0</v>
      </c>
      <c r="L885" s="2">
        <f>Deletion!D183</f>
        <v>0</v>
      </c>
      <c r="M885" s="2">
        <f>Deletion!E183</f>
        <v>0</v>
      </c>
      <c r="N885" s="2">
        <f>Deletion!G183</f>
        <v>0</v>
      </c>
      <c r="O885" s="2">
        <f>Deletion!H183</f>
        <v>0</v>
      </c>
      <c r="P885" s="2">
        <f>Deletion!I183</f>
        <v>0</v>
      </c>
      <c r="Q885" s="2">
        <f>Deletion!J183</f>
        <v>0</v>
      </c>
      <c r="R885" s="2">
        <f>Deletion!K183</f>
        <v>0</v>
      </c>
      <c r="S885" s="2">
        <f>Deletion!N183</f>
        <v>0</v>
      </c>
      <c r="T885" s="2">
        <f t="shared" si="30"/>
        <v>0</v>
      </c>
      <c r="U885" s="10" t="str">
        <f>IF($S885=0, "", IF(COUNTIF(Table1[Amino Acid Change], $S885)=0, "Missing", "Y"))</f>
        <v/>
      </c>
      <c r="V885" s="10">
        <f t="shared" si="31"/>
        <v>0</v>
      </c>
    </row>
    <row r="886" spans="9:22" x14ac:dyDescent="0.25">
      <c r="I886" s="2">
        <f>Deletion!A184</f>
        <v>0</v>
      </c>
      <c r="J886" s="2">
        <f>Deletion!B184</f>
        <v>0</v>
      </c>
      <c r="K886" s="2">
        <f>Deletion!C184</f>
        <v>0</v>
      </c>
      <c r="L886" s="2">
        <f>Deletion!D184</f>
        <v>0</v>
      </c>
      <c r="M886" s="2">
        <f>Deletion!E184</f>
        <v>0</v>
      </c>
      <c r="N886" s="2">
        <f>Deletion!G184</f>
        <v>0</v>
      </c>
      <c r="O886" s="2">
        <f>Deletion!H184</f>
        <v>0</v>
      </c>
      <c r="P886" s="2">
        <f>Deletion!I184</f>
        <v>0</v>
      </c>
      <c r="Q886" s="2">
        <f>Deletion!J184</f>
        <v>0</v>
      </c>
      <c r="R886" s="2">
        <f>Deletion!K184</f>
        <v>0</v>
      </c>
      <c r="S886" s="2">
        <f>Deletion!N184</f>
        <v>0</v>
      </c>
      <c r="T886" s="2">
        <f t="shared" si="30"/>
        <v>0</v>
      </c>
      <c r="U886" s="10" t="str">
        <f>IF($S886=0, "", IF(COUNTIF(Table1[Amino Acid Change], $S886)=0, "Missing", "Y"))</f>
        <v/>
      </c>
      <c r="V886" s="10">
        <f t="shared" si="31"/>
        <v>0</v>
      </c>
    </row>
    <row r="887" spans="9:22" x14ac:dyDescent="0.25">
      <c r="I887" s="2">
        <f>Deletion!A185</f>
        <v>0</v>
      </c>
      <c r="J887" s="2">
        <f>Deletion!B185</f>
        <v>0</v>
      </c>
      <c r="K887" s="2">
        <f>Deletion!C185</f>
        <v>0</v>
      </c>
      <c r="L887" s="2">
        <f>Deletion!D185</f>
        <v>0</v>
      </c>
      <c r="M887" s="2">
        <f>Deletion!E185</f>
        <v>0</v>
      </c>
      <c r="N887" s="2">
        <f>Deletion!G185</f>
        <v>0</v>
      </c>
      <c r="O887" s="2">
        <f>Deletion!H185</f>
        <v>0</v>
      </c>
      <c r="P887" s="2">
        <f>Deletion!I185</f>
        <v>0</v>
      </c>
      <c r="Q887" s="2">
        <f>Deletion!J185</f>
        <v>0</v>
      </c>
      <c r="R887" s="2">
        <f>Deletion!K185</f>
        <v>0</v>
      </c>
      <c r="S887" s="2">
        <f>Deletion!N185</f>
        <v>0</v>
      </c>
      <c r="T887" s="2">
        <f t="shared" si="30"/>
        <v>0</v>
      </c>
      <c r="U887" s="10" t="str">
        <f>IF($S887=0, "", IF(COUNTIF(Table1[Amino Acid Change], $S887)=0, "Missing", "Y"))</f>
        <v/>
      </c>
      <c r="V887" s="10">
        <f t="shared" si="31"/>
        <v>0</v>
      </c>
    </row>
    <row r="888" spans="9:22" x14ac:dyDescent="0.25">
      <c r="I888" s="2">
        <f>Deletion!A186</f>
        <v>0</v>
      </c>
      <c r="J888" s="2">
        <f>Deletion!B186</f>
        <v>0</v>
      </c>
      <c r="K888" s="2">
        <f>Deletion!C186</f>
        <v>0</v>
      </c>
      <c r="L888" s="2">
        <f>Deletion!D186</f>
        <v>0</v>
      </c>
      <c r="M888" s="2">
        <f>Deletion!E186</f>
        <v>0</v>
      </c>
      <c r="N888" s="2">
        <f>Deletion!G186</f>
        <v>0</v>
      </c>
      <c r="O888" s="2">
        <f>Deletion!H186</f>
        <v>0</v>
      </c>
      <c r="P888" s="2">
        <f>Deletion!I186</f>
        <v>0</v>
      </c>
      <c r="Q888" s="2">
        <f>Deletion!J186</f>
        <v>0</v>
      </c>
      <c r="R888" s="2">
        <f>Deletion!K186</f>
        <v>0</v>
      </c>
      <c r="S888" s="2">
        <f>Deletion!N186</f>
        <v>0</v>
      </c>
      <c r="T888" s="2">
        <f t="shared" si="30"/>
        <v>0</v>
      </c>
      <c r="U888" s="10" t="str">
        <f>IF($S888=0, "", IF(COUNTIF(Table1[Amino Acid Change], $S888)=0, "Missing", "Y"))</f>
        <v/>
      </c>
      <c r="V888" s="10">
        <f t="shared" si="31"/>
        <v>0</v>
      </c>
    </row>
    <row r="889" spans="9:22" x14ac:dyDescent="0.25">
      <c r="I889" s="2">
        <f>Deletion!A187</f>
        <v>0</v>
      </c>
      <c r="J889" s="2">
        <f>Deletion!B187</f>
        <v>0</v>
      </c>
      <c r="K889" s="2">
        <f>Deletion!C187</f>
        <v>0</v>
      </c>
      <c r="L889" s="2">
        <f>Deletion!D187</f>
        <v>0</v>
      </c>
      <c r="M889" s="2">
        <f>Deletion!E187</f>
        <v>0</v>
      </c>
      <c r="N889" s="2">
        <f>Deletion!G187</f>
        <v>0</v>
      </c>
      <c r="O889" s="2">
        <f>Deletion!H187</f>
        <v>0</v>
      </c>
      <c r="P889" s="2">
        <f>Deletion!I187</f>
        <v>0</v>
      </c>
      <c r="Q889" s="2">
        <f>Deletion!J187</f>
        <v>0</v>
      </c>
      <c r="R889" s="2">
        <f>Deletion!K187</f>
        <v>0</v>
      </c>
      <c r="S889" s="2">
        <f>Deletion!N187</f>
        <v>0</v>
      </c>
      <c r="T889" s="2">
        <f t="shared" si="30"/>
        <v>0</v>
      </c>
      <c r="U889" s="10" t="str">
        <f>IF($S889=0, "", IF(COUNTIF(Table1[Amino Acid Change], $S889)=0, "Missing", "Y"))</f>
        <v/>
      </c>
      <c r="V889" s="10">
        <f t="shared" si="31"/>
        <v>0</v>
      </c>
    </row>
    <row r="890" spans="9:22" x14ac:dyDescent="0.25">
      <c r="I890" s="2">
        <f>Deletion!A188</f>
        <v>0</v>
      </c>
      <c r="J890" s="2">
        <f>Deletion!B188</f>
        <v>0</v>
      </c>
      <c r="K890" s="2">
        <f>Deletion!C188</f>
        <v>0</v>
      </c>
      <c r="L890" s="2">
        <f>Deletion!D188</f>
        <v>0</v>
      </c>
      <c r="M890" s="2">
        <f>Deletion!E188</f>
        <v>0</v>
      </c>
      <c r="N890" s="2">
        <f>Deletion!G188</f>
        <v>0</v>
      </c>
      <c r="O890" s="2">
        <f>Deletion!H188</f>
        <v>0</v>
      </c>
      <c r="P890" s="2">
        <f>Deletion!I188</f>
        <v>0</v>
      </c>
      <c r="Q890" s="2">
        <f>Deletion!J188</f>
        <v>0</v>
      </c>
      <c r="R890" s="2">
        <f>Deletion!K188</f>
        <v>0</v>
      </c>
      <c r="S890" s="2">
        <f>Deletion!N188</f>
        <v>0</v>
      </c>
      <c r="T890" s="2">
        <f t="shared" si="30"/>
        <v>0</v>
      </c>
      <c r="U890" s="10" t="str">
        <f>IF($S890=0, "", IF(COUNTIF(Table1[Amino Acid Change], $S890)=0, "Missing", "Y"))</f>
        <v/>
      </c>
      <c r="V890" s="10">
        <f t="shared" si="31"/>
        <v>0</v>
      </c>
    </row>
    <row r="891" spans="9:22" x14ac:dyDescent="0.25">
      <c r="I891" s="2">
        <f>Deletion!A189</f>
        <v>0</v>
      </c>
      <c r="J891" s="2">
        <f>Deletion!B189</f>
        <v>0</v>
      </c>
      <c r="K891" s="2">
        <f>Deletion!C189</f>
        <v>0</v>
      </c>
      <c r="L891" s="2">
        <f>Deletion!D189</f>
        <v>0</v>
      </c>
      <c r="M891" s="2">
        <f>Deletion!E189</f>
        <v>0</v>
      </c>
      <c r="N891" s="2">
        <f>Deletion!G189</f>
        <v>0</v>
      </c>
      <c r="O891" s="2">
        <f>Deletion!H189</f>
        <v>0</v>
      </c>
      <c r="P891" s="2">
        <f>Deletion!I189</f>
        <v>0</v>
      </c>
      <c r="Q891" s="2">
        <f>Deletion!J189</f>
        <v>0</v>
      </c>
      <c r="R891" s="2">
        <f>Deletion!K189</f>
        <v>0</v>
      </c>
      <c r="S891" s="2">
        <f>Deletion!N189</f>
        <v>0</v>
      </c>
      <c r="T891" s="2">
        <f t="shared" si="30"/>
        <v>0</v>
      </c>
      <c r="U891" s="10" t="str">
        <f>IF($S891=0, "", IF(COUNTIF(Table1[Amino Acid Change], $S891)=0, "Missing", "Y"))</f>
        <v/>
      </c>
      <c r="V891" s="10">
        <f t="shared" si="31"/>
        <v>0</v>
      </c>
    </row>
    <row r="892" spans="9:22" x14ac:dyDescent="0.25">
      <c r="I892" s="2">
        <f>Deletion!A190</f>
        <v>0</v>
      </c>
      <c r="J892" s="2">
        <f>Deletion!B190</f>
        <v>0</v>
      </c>
      <c r="K892" s="2">
        <f>Deletion!C190</f>
        <v>0</v>
      </c>
      <c r="L892" s="2">
        <f>Deletion!D190</f>
        <v>0</v>
      </c>
      <c r="M892" s="2">
        <f>Deletion!E190</f>
        <v>0</v>
      </c>
      <c r="N892" s="2">
        <f>Deletion!G190</f>
        <v>0</v>
      </c>
      <c r="O892" s="2">
        <f>Deletion!H190</f>
        <v>0</v>
      </c>
      <c r="P892" s="2">
        <f>Deletion!I190</f>
        <v>0</v>
      </c>
      <c r="Q892" s="2">
        <f>Deletion!J190</f>
        <v>0</v>
      </c>
      <c r="R892" s="2">
        <f>Deletion!K190</f>
        <v>0</v>
      </c>
      <c r="S892" s="2">
        <f>Deletion!N190</f>
        <v>0</v>
      </c>
      <c r="T892" s="2">
        <f t="shared" si="30"/>
        <v>0</v>
      </c>
      <c r="U892" s="10" t="str">
        <f>IF($S892=0, "", IF(COUNTIF(Table1[Amino Acid Change], $S892)=0, "Missing", "Y"))</f>
        <v/>
      </c>
      <c r="V892" s="10">
        <f t="shared" si="31"/>
        <v>0</v>
      </c>
    </row>
    <row r="893" spans="9:22" x14ac:dyDescent="0.25">
      <c r="I893" s="2">
        <f>Deletion!A191</f>
        <v>0</v>
      </c>
      <c r="J893" s="2">
        <f>Deletion!B191</f>
        <v>0</v>
      </c>
      <c r="K893" s="2">
        <f>Deletion!C191</f>
        <v>0</v>
      </c>
      <c r="L893" s="2">
        <f>Deletion!D191</f>
        <v>0</v>
      </c>
      <c r="M893" s="2">
        <f>Deletion!E191</f>
        <v>0</v>
      </c>
      <c r="N893" s="2">
        <f>Deletion!G191</f>
        <v>0</v>
      </c>
      <c r="O893" s="2">
        <f>Deletion!H191</f>
        <v>0</v>
      </c>
      <c r="P893" s="2">
        <f>Deletion!I191</f>
        <v>0</v>
      </c>
      <c r="Q893" s="2">
        <f>Deletion!J191</f>
        <v>0</v>
      </c>
      <c r="R893" s="2">
        <f>Deletion!K191</f>
        <v>0</v>
      </c>
      <c r="S893" s="2">
        <f>Deletion!N191</f>
        <v>0</v>
      </c>
      <c r="T893" s="2">
        <f t="shared" si="30"/>
        <v>0</v>
      </c>
      <c r="U893" s="10" t="str">
        <f>IF($S893=0, "", IF(COUNTIF(Table1[Amino Acid Change], $S893)=0, "Missing", "Y"))</f>
        <v/>
      </c>
      <c r="V893" s="10">
        <f t="shared" si="31"/>
        <v>0</v>
      </c>
    </row>
    <row r="894" spans="9:22" x14ac:dyDescent="0.25">
      <c r="I894" s="2">
        <f>Deletion!A192</f>
        <v>0</v>
      </c>
      <c r="J894" s="2">
        <f>Deletion!B192</f>
        <v>0</v>
      </c>
      <c r="K894" s="2">
        <f>Deletion!C192</f>
        <v>0</v>
      </c>
      <c r="L894" s="2">
        <f>Deletion!D192</f>
        <v>0</v>
      </c>
      <c r="M894" s="2">
        <f>Deletion!E192</f>
        <v>0</v>
      </c>
      <c r="N894" s="2">
        <f>Deletion!G192</f>
        <v>0</v>
      </c>
      <c r="O894" s="2">
        <f>Deletion!H192</f>
        <v>0</v>
      </c>
      <c r="P894" s="2">
        <f>Deletion!I192</f>
        <v>0</v>
      </c>
      <c r="Q894" s="2">
        <f>Deletion!J192</f>
        <v>0</v>
      </c>
      <c r="R894" s="2">
        <f>Deletion!K192</f>
        <v>0</v>
      </c>
      <c r="S894" s="2">
        <f>Deletion!N192</f>
        <v>0</v>
      </c>
      <c r="T894" s="2">
        <f t="shared" si="30"/>
        <v>0</v>
      </c>
      <c r="U894" s="10" t="str">
        <f>IF($S894=0, "", IF(COUNTIF(Table1[Amino Acid Change], $S894)=0, "Missing", "Y"))</f>
        <v/>
      </c>
      <c r="V894" s="10">
        <f t="shared" si="31"/>
        <v>0</v>
      </c>
    </row>
    <row r="895" spans="9:22" x14ac:dyDescent="0.25">
      <c r="I895" s="2">
        <f>Deletion!A193</f>
        <v>0</v>
      </c>
      <c r="J895" s="2">
        <f>Deletion!B193</f>
        <v>0</v>
      </c>
      <c r="K895" s="2">
        <f>Deletion!C193</f>
        <v>0</v>
      </c>
      <c r="L895" s="2">
        <f>Deletion!D193</f>
        <v>0</v>
      </c>
      <c r="M895" s="2">
        <f>Deletion!E193</f>
        <v>0</v>
      </c>
      <c r="N895" s="2">
        <f>Deletion!G193</f>
        <v>0</v>
      </c>
      <c r="O895" s="2">
        <f>Deletion!H193</f>
        <v>0</v>
      </c>
      <c r="P895" s="2">
        <f>Deletion!I193</f>
        <v>0</v>
      </c>
      <c r="Q895" s="2">
        <f>Deletion!J193</f>
        <v>0</v>
      </c>
      <c r="R895" s="2">
        <f>Deletion!K193</f>
        <v>0</v>
      </c>
      <c r="S895" s="2">
        <f>Deletion!N193</f>
        <v>0</v>
      </c>
      <c r="T895" s="2">
        <f t="shared" si="30"/>
        <v>0</v>
      </c>
      <c r="U895" s="10" t="str">
        <f>IF($S895=0, "", IF(COUNTIF(Table1[Amino Acid Change], $S895)=0, "Missing", "Y"))</f>
        <v/>
      </c>
      <c r="V895" s="10">
        <f t="shared" si="31"/>
        <v>0</v>
      </c>
    </row>
    <row r="896" spans="9:22" x14ac:dyDescent="0.25">
      <c r="I896" s="2">
        <f>Deletion!A194</f>
        <v>0</v>
      </c>
      <c r="J896" s="2">
        <f>Deletion!B194</f>
        <v>0</v>
      </c>
      <c r="K896" s="2">
        <f>Deletion!C194</f>
        <v>0</v>
      </c>
      <c r="L896" s="2">
        <f>Deletion!D194</f>
        <v>0</v>
      </c>
      <c r="M896" s="2">
        <f>Deletion!E194</f>
        <v>0</v>
      </c>
      <c r="N896" s="2">
        <f>Deletion!G194</f>
        <v>0</v>
      </c>
      <c r="O896" s="2">
        <f>Deletion!H194</f>
        <v>0</v>
      </c>
      <c r="P896" s="2">
        <f>Deletion!I194</f>
        <v>0</v>
      </c>
      <c r="Q896" s="2">
        <f>Deletion!J194</f>
        <v>0</v>
      </c>
      <c r="R896" s="2">
        <f>Deletion!K194</f>
        <v>0</v>
      </c>
      <c r="S896" s="2">
        <f>Deletion!N194</f>
        <v>0</v>
      </c>
      <c r="T896" s="2">
        <f t="shared" si="30"/>
        <v>0</v>
      </c>
      <c r="U896" s="10" t="str">
        <f>IF($S896=0, "", IF(COUNTIF(Table1[Amino Acid Change], $S896)=0, "Missing", "Y"))</f>
        <v/>
      </c>
      <c r="V896" s="10">
        <f t="shared" si="31"/>
        <v>0</v>
      </c>
    </row>
    <row r="897" spans="9:22" x14ac:dyDescent="0.25">
      <c r="I897" s="2">
        <f>Deletion!A195</f>
        <v>0</v>
      </c>
      <c r="J897" s="2">
        <f>Deletion!B195</f>
        <v>0</v>
      </c>
      <c r="K897" s="2">
        <f>Deletion!C195</f>
        <v>0</v>
      </c>
      <c r="L897" s="2">
        <f>Deletion!D195</f>
        <v>0</v>
      </c>
      <c r="M897" s="2">
        <f>Deletion!E195</f>
        <v>0</v>
      </c>
      <c r="N897" s="2">
        <f>Deletion!G195</f>
        <v>0</v>
      </c>
      <c r="O897" s="2">
        <f>Deletion!H195</f>
        <v>0</v>
      </c>
      <c r="P897" s="2">
        <f>Deletion!I195</f>
        <v>0</v>
      </c>
      <c r="Q897" s="2">
        <f>Deletion!J195</f>
        <v>0</v>
      </c>
      <c r="R897" s="2">
        <f>Deletion!K195</f>
        <v>0</v>
      </c>
      <c r="S897" s="2">
        <f>Deletion!N195</f>
        <v>0</v>
      </c>
      <c r="T897" s="2">
        <f t="shared" ref="T897:T960" si="32">P897</f>
        <v>0</v>
      </c>
      <c r="U897" s="10" t="str">
        <f>IF($S897=0, "", IF(COUNTIF(Table1[Amino Acid Change], $S897)=0, "Missing", "Y"))</f>
        <v/>
      </c>
      <c r="V897" s="10">
        <f t="shared" ref="V897:V960" si="33">J897</f>
        <v>0</v>
      </c>
    </row>
    <row r="898" spans="9:22" x14ac:dyDescent="0.25">
      <c r="I898" s="2">
        <f>Deletion!A196</f>
        <v>0</v>
      </c>
      <c r="J898" s="2">
        <f>Deletion!B196</f>
        <v>0</v>
      </c>
      <c r="K898" s="2">
        <f>Deletion!C196</f>
        <v>0</v>
      </c>
      <c r="L898" s="2">
        <f>Deletion!D196</f>
        <v>0</v>
      </c>
      <c r="M898" s="2">
        <f>Deletion!E196</f>
        <v>0</v>
      </c>
      <c r="N898" s="2">
        <f>Deletion!G196</f>
        <v>0</v>
      </c>
      <c r="O898" s="2">
        <f>Deletion!H196</f>
        <v>0</v>
      </c>
      <c r="P898" s="2">
        <f>Deletion!I196</f>
        <v>0</v>
      </c>
      <c r="Q898" s="2">
        <f>Deletion!J196</f>
        <v>0</v>
      </c>
      <c r="R898" s="2">
        <f>Deletion!K196</f>
        <v>0</v>
      </c>
      <c r="S898" s="2">
        <f>Deletion!N196</f>
        <v>0</v>
      </c>
      <c r="T898" s="2">
        <f t="shared" si="32"/>
        <v>0</v>
      </c>
      <c r="U898" s="10" t="str">
        <f>IF($S898=0, "", IF(COUNTIF(Table1[Amino Acid Change], $S898)=0, "Missing", "Y"))</f>
        <v/>
      </c>
      <c r="V898" s="10">
        <f t="shared" si="33"/>
        <v>0</v>
      </c>
    </row>
    <row r="899" spans="9:22" x14ac:dyDescent="0.25">
      <c r="I899" s="2">
        <f>Deletion!A197</f>
        <v>0</v>
      </c>
      <c r="J899" s="2">
        <f>Deletion!B197</f>
        <v>0</v>
      </c>
      <c r="K899" s="2">
        <f>Deletion!C197</f>
        <v>0</v>
      </c>
      <c r="L899" s="2">
        <f>Deletion!D197</f>
        <v>0</v>
      </c>
      <c r="M899" s="2">
        <f>Deletion!E197</f>
        <v>0</v>
      </c>
      <c r="N899" s="2">
        <f>Deletion!G197</f>
        <v>0</v>
      </c>
      <c r="O899" s="2">
        <f>Deletion!H197</f>
        <v>0</v>
      </c>
      <c r="P899" s="2">
        <f>Deletion!I197</f>
        <v>0</v>
      </c>
      <c r="Q899" s="2">
        <f>Deletion!J197</f>
        <v>0</v>
      </c>
      <c r="R899" s="2">
        <f>Deletion!K197</f>
        <v>0</v>
      </c>
      <c r="S899" s="2">
        <f>Deletion!N197</f>
        <v>0</v>
      </c>
      <c r="T899" s="2">
        <f t="shared" si="32"/>
        <v>0</v>
      </c>
      <c r="U899" s="10" t="str">
        <f>IF($S899=0, "", IF(COUNTIF(Table1[Amino Acid Change], $S899)=0, "Missing", "Y"))</f>
        <v/>
      </c>
      <c r="V899" s="10">
        <f t="shared" si="33"/>
        <v>0</v>
      </c>
    </row>
    <row r="900" spans="9:22" x14ac:dyDescent="0.25">
      <c r="I900" s="2">
        <f>Deletion!A198</f>
        <v>0</v>
      </c>
      <c r="J900" s="2">
        <f>Deletion!B198</f>
        <v>0</v>
      </c>
      <c r="K900" s="2">
        <f>Deletion!C198</f>
        <v>0</v>
      </c>
      <c r="L900" s="2">
        <f>Deletion!D198</f>
        <v>0</v>
      </c>
      <c r="M900" s="2">
        <f>Deletion!E198</f>
        <v>0</v>
      </c>
      <c r="N900" s="2">
        <f>Deletion!G198</f>
        <v>0</v>
      </c>
      <c r="O900" s="2">
        <f>Deletion!H198</f>
        <v>0</v>
      </c>
      <c r="P900" s="2">
        <f>Deletion!I198</f>
        <v>0</v>
      </c>
      <c r="Q900" s="2">
        <f>Deletion!J198</f>
        <v>0</v>
      </c>
      <c r="R900" s="2">
        <f>Deletion!K198</f>
        <v>0</v>
      </c>
      <c r="S900" s="2">
        <f>Deletion!N198</f>
        <v>0</v>
      </c>
      <c r="T900" s="2">
        <f t="shared" si="32"/>
        <v>0</v>
      </c>
      <c r="U900" s="10" t="str">
        <f>IF($S900=0, "", IF(COUNTIF(Table1[Amino Acid Change], $S900)=0, "Missing", "Y"))</f>
        <v/>
      </c>
      <c r="V900" s="10">
        <f t="shared" si="33"/>
        <v>0</v>
      </c>
    </row>
    <row r="901" spans="9:22" x14ac:dyDescent="0.25">
      <c r="I901" s="2">
        <f>Deletion!A199</f>
        <v>0</v>
      </c>
      <c r="J901" s="2">
        <f>Deletion!B199</f>
        <v>0</v>
      </c>
      <c r="K901" s="2">
        <f>Deletion!C199</f>
        <v>0</v>
      </c>
      <c r="L901" s="2">
        <f>Deletion!D199</f>
        <v>0</v>
      </c>
      <c r="M901" s="2">
        <f>Deletion!E199</f>
        <v>0</v>
      </c>
      <c r="N901" s="2">
        <f>Deletion!G199</f>
        <v>0</v>
      </c>
      <c r="O901" s="2">
        <f>Deletion!H199</f>
        <v>0</v>
      </c>
      <c r="P901" s="2">
        <f>Deletion!I199</f>
        <v>0</v>
      </c>
      <c r="Q901" s="2">
        <f>Deletion!J199</f>
        <v>0</v>
      </c>
      <c r="R901" s="2">
        <f>Deletion!K199</f>
        <v>0</v>
      </c>
      <c r="S901" s="2">
        <f>Deletion!N199</f>
        <v>0</v>
      </c>
      <c r="T901" s="2">
        <f t="shared" si="32"/>
        <v>0</v>
      </c>
      <c r="U901" s="10" t="str">
        <f>IF($S901=0, "", IF(COUNTIF(Table1[Amino Acid Change], $S901)=0, "Missing", "Y"))</f>
        <v/>
      </c>
      <c r="V901" s="10">
        <f t="shared" si="33"/>
        <v>0</v>
      </c>
    </row>
    <row r="902" spans="9:22" x14ac:dyDescent="0.25">
      <c r="I902" s="2">
        <f>Deletion!A200</f>
        <v>0</v>
      </c>
      <c r="J902" s="2">
        <f>Deletion!B200</f>
        <v>0</v>
      </c>
      <c r="K902" s="2">
        <f>Deletion!C200</f>
        <v>0</v>
      </c>
      <c r="L902" s="2">
        <f>Deletion!D200</f>
        <v>0</v>
      </c>
      <c r="M902" s="2">
        <f>Deletion!E200</f>
        <v>0</v>
      </c>
      <c r="N902" s="2">
        <f>Deletion!G200</f>
        <v>0</v>
      </c>
      <c r="O902" s="2">
        <f>Deletion!H200</f>
        <v>0</v>
      </c>
      <c r="P902" s="2">
        <f>Deletion!I200</f>
        <v>0</v>
      </c>
      <c r="Q902" s="2">
        <f>Deletion!J200</f>
        <v>0</v>
      </c>
      <c r="R902" s="2">
        <f>Deletion!K200</f>
        <v>0</v>
      </c>
      <c r="S902" s="2">
        <f>Deletion!N200</f>
        <v>0</v>
      </c>
      <c r="T902" s="2">
        <f t="shared" si="32"/>
        <v>0</v>
      </c>
      <c r="U902" s="10" t="str">
        <f>IF($S902=0, "", IF(COUNTIF(Table1[Amino Acid Change], $S902)=0, "Missing", "Y"))</f>
        <v/>
      </c>
      <c r="V902" s="10">
        <f t="shared" si="33"/>
        <v>0</v>
      </c>
    </row>
    <row r="903" spans="9:22" x14ac:dyDescent="0.25">
      <c r="I903" s="2">
        <f>Deletion!A201</f>
        <v>0</v>
      </c>
      <c r="J903" s="2">
        <f>Deletion!B201</f>
        <v>0</v>
      </c>
      <c r="K903" s="2">
        <f>Deletion!C201</f>
        <v>0</v>
      </c>
      <c r="L903" s="2">
        <f>Deletion!D201</f>
        <v>0</v>
      </c>
      <c r="M903" s="2">
        <f>Deletion!E201</f>
        <v>0</v>
      </c>
      <c r="N903" s="2">
        <f>Deletion!G201</f>
        <v>0</v>
      </c>
      <c r="O903" s="2">
        <f>Deletion!H201</f>
        <v>0</v>
      </c>
      <c r="P903" s="2">
        <f>Deletion!I201</f>
        <v>0</v>
      </c>
      <c r="Q903" s="2">
        <f>Deletion!J201</f>
        <v>0</v>
      </c>
      <c r="R903" s="2">
        <f>Deletion!K201</f>
        <v>0</v>
      </c>
      <c r="S903" s="2">
        <f>Deletion!N201</f>
        <v>0</v>
      </c>
      <c r="T903" s="2">
        <f t="shared" si="32"/>
        <v>0</v>
      </c>
      <c r="U903" s="10" t="str">
        <f>IF($S903=0, "", IF(COUNTIF(Table1[Amino Acid Change], $S903)=0, "Missing", "Y"))</f>
        <v/>
      </c>
      <c r="V903" s="10">
        <f t="shared" si="33"/>
        <v>0</v>
      </c>
    </row>
    <row r="904" spans="9:22" x14ac:dyDescent="0.25">
      <c r="I904" s="2">
        <f>Deletion!A202</f>
        <v>0</v>
      </c>
      <c r="J904" s="2">
        <f>Deletion!B202</f>
        <v>0</v>
      </c>
      <c r="K904" s="2">
        <f>Deletion!C202</f>
        <v>0</v>
      </c>
      <c r="L904" s="2">
        <f>Deletion!D202</f>
        <v>0</v>
      </c>
      <c r="M904" s="2">
        <f>Deletion!E202</f>
        <v>0</v>
      </c>
      <c r="N904" s="2">
        <f>Deletion!G202</f>
        <v>0</v>
      </c>
      <c r="O904" s="2">
        <f>Deletion!H202</f>
        <v>0</v>
      </c>
      <c r="P904" s="2">
        <f>Deletion!I202</f>
        <v>0</v>
      </c>
      <c r="Q904" s="2">
        <f>Deletion!J202</f>
        <v>0</v>
      </c>
      <c r="R904" s="2">
        <f>Deletion!K202</f>
        <v>0</v>
      </c>
      <c r="S904" s="2">
        <f>Deletion!N202</f>
        <v>0</v>
      </c>
      <c r="T904" s="2">
        <f t="shared" si="32"/>
        <v>0</v>
      </c>
      <c r="U904" s="10" t="str">
        <f>IF($S904=0, "", IF(COUNTIF(Table1[Amino Acid Change], $S904)=0, "Missing", "Y"))</f>
        <v/>
      </c>
      <c r="V904" s="10">
        <f t="shared" si="33"/>
        <v>0</v>
      </c>
    </row>
    <row r="905" spans="9:22" x14ac:dyDescent="0.25">
      <c r="I905" s="2">
        <f>Deletion!A203</f>
        <v>0</v>
      </c>
      <c r="J905" s="2">
        <f>Deletion!B203</f>
        <v>0</v>
      </c>
      <c r="K905" s="2">
        <f>Deletion!C203</f>
        <v>0</v>
      </c>
      <c r="L905" s="2">
        <f>Deletion!D203</f>
        <v>0</v>
      </c>
      <c r="M905" s="2">
        <f>Deletion!E203</f>
        <v>0</v>
      </c>
      <c r="N905" s="2">
        <f>Deletion!G203</f>
        <v>0</v>
      </c>
      <c r="O905" s="2">
        <f>Deletion!H203</f>
        <v>0</v>
      </c>
      <c r="P905" s="2">
        <f>Deletion!I203</f>
        <v>0</v>
      </c>
      <c r="Q905" s="2">
        <f>Deletion!J203</f>
        <v>0</v>
      </c>
      <c r="R905" s="2">
        <f>Deletion!K203</f>
        <v>0</v>
      </c>
      <c r="S905" s="2">
        <f>Deletion!N203</f>
        <v>0</v>
      </c>
      <c r="T905" s="2">
        <f t="shared" si="32"/>
        <v>0</v>
      </c>
      <c r="U905" s="10" t="str">
        <f>IF($S905=0, "", IF(COUNTIF(Table1[Amino Acid Change], $S905)=0, "Missing", "Y"))</f>
        <v/>
      </c>
      <c r="V905" s="10">
        <f t="shared" si="33"/>
        <v>0</v>
      </c>
    </row>
    <row r="906" spans="9:22" x14ac:dyDescent="0.25">
      <c r="I906" s="2">
        <f>Deletion!A204</f>
        <v>0</v>
      </c>
      <c r="J906" s="2">
        <f>Deletion!B204</f>
        <v>0</v>
      </c>
      <c r="K906" s="2">
        <f>Deletion!C204</f>
        <v>0</v>
      </c>
      <c r="L906" s="2">
        <f>Deletion!D204</f>
        <v>0</v>
      </c>
      <c r="M906" s="2">
        <f>Deletion!E204</f>
        <v>0</v>
      </c>
      <c r="N906" s="2">
        <f>Deletion!G204</f>
        <v>0</v>
      </c>
      <c r="O906" s="2">
        <f>Deletion!H204</f>
        <v>0</v>
      </c>
      <c r="P906" s="2">
        <f>Deletion!I204</f>
        <v>0</v>
      </c>
      <c r="Q906" s="2">
        <f>Deletion!J204</f>
        <v>0</v>
      </c>
      <c r="R906" s="2">
        <f>Deletion!K204</f>
        <v>0</v>
      </c>
      <c r="S906" s="2">
        <f>Deletion!N204</f>
        <v>0</v>
      </c>
      <c r="T906" s="2">
        <f t="shared" si="32"/>
        <v>0</v>
      </c>
      <c r="U906" s="10" t="str">
        <f>IF($S906=0, "", IF(COUNTIF(Table1[Amino Acid Change], $S906)=0, "Missing", "Y"))</f>
        <v/>
      </c>
      <c r="V906" s="10">
        <f t="shared" si="33"/>
        <v>0</v>
      </c>
    </row>
    <row r="907" spans="9:22" x14ac:dyDescent="0.25">
      <c r="I907" s="2">
        <f>Deletion!A205</f>
        <v>0</v>
      </c>
      <c r="J907" s="2">
        <f>Deletion!B205</f>
        <v>0</v>
      </c>
      <c r="K907" s="2">
        <f>Deletion!C205</f>
        <v>0</v>
      </c>
      <c r="L907" s="2">
        <f>Deletion!D205</f>
        <v>0</v>
      </c>
      <c r="M907" s="2">
        <f>Deletion!E205</f>
        <v>0</v>
      </c>
      <c r="N907" s="2">
        <f>Deletion!G205</f>
        <v>0</v>
      </c>
      <c r="O907" s="2">
        <f>Deletion!H205</f>
        <v>0</v>
      </c>
      <c r="P907" s="2">
        <f>Deletion!I205</f>
        <v>0</v>
      </c>
      <c r="Q907" s="2">
        <f>Deletion!J205</f>
        <v>0</v>
      </c>
      <c r="R907" s="2">
        <f>Deletion!K205</f>
        <v>0</v>
      </c>
      <c r="S907" s="2">
        <f>Deletion!N205</f>
        <v>0</v>
      </c>
      <c r="T907" s="2">
        <f t="shared" si="32"/>
        <v>0</v>
      </c>
      <c r="U907" s="10" t="str">
        <f>IF($S907=0, "", IF(COUNTIF(Table1[Amino Acid Change], $S907)=0, "Missing", "Y"))</f>
        <v/>
      </c>
      <c r="V907" s="10">
        <f t="shared" si="33"/>
        <v>0</v>
      </c>
    </row>
    <row r="908" spans="9:22" x14ac:dyDescent="0.25">
      <c r="I908" s="2">
        <f>Deletion!A206</f>
        <v>0</v>
      </c>
      <c r="J908" s="2">
        <f>Deletion!B206</f>
        <v>0</v>
      </c>
      <c r="K908" s="2">
        <f>Deletion!C206</f>
        <v>0</v>
      </c>
      <c r="L908" s="2">
        <f>Deletion!D206</f>
        <v>0</v>
      </c>
      <c r="M908" s="2">
        <f>Deletion!E206</f>
        <v>0</v>
      </c>
      <c r="N908" s="2">
        <f>Deletion!G206</f>
        <v>0</v>
      </c>
      <c r="O908" s="2">
        <f>Deletion!H206</f>
        <v>0</v>
      </c>
      <c r="P908" s="2">
        <f>Deletion!I206</f>
        <v>0</v>
      </c>
      <c r="Q908" s="2">
        <f>Deletion!J206</f>
        <v>0</v>
      </c>
      <c r="R908" s="2">
        <f>Deletion!K206</f>
        <v>0</v>
      </c>
      <c r="S908" s="2">
        <f>Deletion!N206</f>
        <v>0</v>
      </c>
      <c r="T908" s="2">
        <f t="shared" si="32"/>
        <v>0</v>
      </c>
      <c r="U908" s="10" t="str">
        <f>IF($S908=0, "", IF(COUNTIF(Table1[Amino Acid Change], $S908)=0, "Missing", "Y"))</f>
        <v/>
      </c>
      <c r="V908" s="10">
        <f t="shared" si="33"/>
        <v>0</v>
      </c>
    </row>
    <row r="909" spans="9:22" x14ac:dyDescent="0.25">
      <c r="I909" s="2">
        <f>Deletion!A207</f>
        <v>0</v>
      </c>
      <c r="J909" s="2">
        <f>Deletion!B207</f>
        <v>0</v>
      </c>
      <c r="K909" s="2">
        <f>Deletion!C207</f>
        <v>0</v>
      </c>
      <c r="L909" s="2">
        <f>Deletion!D207</f>
        <v>0</v>
      </c>
      <c r="M909" s="2">
        <f>Deletion!E207</f>
        <v>0</v>
      </c>
      <c r="N909" s="2">
        <f>Deletion!G207</f>
        <v>0</v>
      </c>
      <c r="O909" s="2">
        <f>Deletion!H207</f>
        <v>0</v>
      </c>
      <c r="P909" s="2">
        <f>Deletion!I207</f>
        <v>0</v>
      </c>
      <c r="Q909" s="2">
        <f>Deletion!J207</f>
        <v>0</v>
      </c>
      <c r="R909" s="2">
        <f>Deletion!K207</f>
        <v>0</v>
      </c>
      <c r="S909" s="2">
        <f>Deletion!N207</f>
        <v>0</v>
      </c>
      <c r="T909" s="2">
        <f t="shared" si="32"/>
        <v>0</v>
      </c>
      <c r="U909" s="10" t="str">
        <f>IF($S909=0, "", IF(COUNTIF(Table1[Amino Acid Change], $S909)=0, "Missing", "Y"))</f>
        <v/>
      </c>
      <c r="V909" s="10">
        <f t="shared" si="33"/>
        <v>0</v>
      </c>
    </row>
    <row r="910" spans="9:22" x14ac:dyDescent="0.25">
      <c r="I910" s="2">
        <f>Deletion!A208</f>
        <v>0</v>
      </c>
      <c r="J910" s="2">
        <f>Deletion!B208</f>
        <v>0</v>
      </c>
      <c r="K910" s="2">
        <f>Deletion!C208</f>
        <v>0</v>
      </c>
      <c r="L910" s="2">
        <f>Deletion!D208</f>
        <v>0</v>
      </c>
      <c r="M910" s="2">
        <f>Deletion!E208</f>
        <v>0</v>
      </c>
      <c r="N910" s="2">
        <f>Deletion!G208</f>
        <v>0</v>
      </c>
      <c r="O910" s="2">
        <f>Deletion!H208</f>
        <v>0</v>
      </c>
      <c r="P910" s="2">
        <f>Deletion!I208</f>
        <v>0</v>
      </c>
      <c r="Q910" s="2">
        <f>Deletion!J208</f>
        <v>0</v>
      </c>
      <c r="R910" s="2">
        <f>Deletion!K208</f>
        <v>0</v>
      </c>
      <c r="S910" s="2">
        <f>Deletion!N208</f>
        <v>0</v>
      </c>
      <c r="T910" s="2">
        <f t="shared" si="32"/>
        <v>0</v>
      </c>
      <c r="U910" s="10" t="str">
        <f>IF($S910=0, "", IF(COUNTIF(Table1[Amino Acid Change], $S910)=0, "Missing", "Y"))</f>
        <v/>
      </c>
      <c r="V910" s="10">
        <f t="shared" si="33"/>
        <v>0</v>
      </c>
    </row>
    <row r="911" spans="9:22" x14ac:dyDescent="0.25">
      <c r="I911" s="2">
        <f>Deletion!A209</f>
        <v>0</v>
      </c>
      <c r="J911" s="2">
        <f>Deletion!B209</f>
        <v>0</v>
      </c>
      <c r="K911" s="2">
        <f>Deletion!C209</f>
        <v>0</v>
      </c>
      <c r="L911" s="2">
        <f>Deletion!D209</f>
        <v>0</v>
      </c>
      <c r="M911" s="2">
        <f>Deletion!E209</f>
        <v>0</v>
      </c>
      <c r="N911" s="2">
        <f>Deletion!G209</f>
        <v>0</v>
      </c>
      <c r="O911" s="2">
        <f>Deletion!H209</f>
        <v>0</v>
      </c>
      <c r="P911" s="2">
        <f>Deletion!I209</f>
        <v>0</v>
      </c>
      <c r="Q911" s="2">
        <f>Deletion!J209</f>
        <v>0</v>
      </c>
      <c r="R911" s="2">
        <f>Deletion!K209</f>
        <v>0</v>
      </c>
      <c r="S911" s="2">
        <f>Deletion!N209</f>
        <v>0</v>
      </c>
      <c r="T911" s="2">
        <f t="shared" si="32"/>
        <v>0</v>
      </c>
      <c r="U911" s="10" t="str">
        <f>IF($S911=0, "", IF(COUNTIF(Table1[Amino Acid Change], $S911)=0, "Missing", "Y"))</f>
        <v/>
      </c>
      <c r="V911" s="10">
        <f t="shared" si="33"/>
        <v>0</v>
      </c>
    </row>
    <row r="912" spans="9:22" x14ac:dyDescent="0.25">
      <c r="I912" s="2">
        <f>Deletion!A210</f>
        <v>0</v>
      </c>
      <c r="J912" s="2">
        <f>Deletion!B210</f>
        <v>0</v>
      </c>
      <c r="K912" s="2">
        <f>Deletion!C210</f>
        <v>0</v>
      </c>
      <c r="L912" s="2">
        <f>Deletion!D210</f>
        <v>0</v>
      </c>
      <c r="M912" s="2">
        <f>Deletion!E210</f>
        <v>0</v>
      </c>
      <c r="N912" s="2">
        <f>Deletion!G210</f>
        <v>0</v>
      </c>
      <c r="O912" s="2">
        <f>Deletion!H210</f>
        <v>0</v>
      </c>
      <c r="P912" s="2">
        <f>Deletion!I210</f>
        <v>0</v>
      </c>
      <c r="Q912" s="2">
        <f>Deletion!J210</f>
        <v>0</v>
      </c>
      <c r="R912" s="2">
        <f>Deletion!K210</f>
        <v>0</v>
      </c>
      <c r="S912" s="2">
        <f>Deletion!N210</f>
        <v>0</v>
      </c>
      <c r="T912" s="2">
        <f t="shared" si="32"/>
        <v>0</v>
      </c>
      <c r="U912" s="10" t="str">
        <f>IF($S912=0, "", IF(COUNTIF(Table1[Amino Acid Change], $S912)=0, "Missing", "Y"))</f>
        <v/>
      </c>
      <c r="V912" s="10">
        <f t="shared" si="33"/>
        <v>0</v>
      </c>
    </row>
    <row r="913" spans="9:22" x14ac:dyDescent="0.25">
      <c r="I913" s="2">
        <f>Deletion!A211</f>
        <v>0</v>
      </c>
      <c r="J913" s="2">
        <f>Deletion!B211</f>
        <v>0</v>
      </c>
      <c r="K913" s="2">
        <f>Deletion!C211</f>
        <v>0</v>
      </c>
      <c r="L913" s="2">
        <f>Deletion!D211</f>
        <v>0</v>
      </c>
      <c r="M913" s="2">
        <f>Deletion!E211</f>
        <v>0</v>
      </c>
      <c r="N913" s="2">
        <f>Deletion!G211</f>
        <v>0</v>
      </c>
      <c r="O913" s="2">
        <f>Deletion!H211</f>
        <v>0</v>
      </c>
      <c r="P913" s="2">
        <f>Deletion!I211</f>
        <v>0</v>
      </c>
      <c r="Q913" s="2">
        <f>Deletion!J211</f>
        <v>0</v>
      </c>
      <c r="R913" s="2">
        <f>Deletion!K211</f>
        <v>0</v>
      </c>
      <c r="S913" s="2">
        <f>Deletion!N211</f>
        <v>0</v>
      </c>
      <c r="T913" s="2">
        <f t="shared" si="32"/>
        <v>0</v>
      </c>
      <c r="U913" s="10" t="str">
        <f>IF($S913=0, "", IF(COUNTIF(Table1[Amino Acid Change], $S913)=0, "Missing", "Y"))</f>
        <v/>
      </c>
      <c r="V913" s="10">
        <f t="shared" si="33"/>
        <v>0</v>
      </c>
    </row>
    <row r="914" spans="9:22" x14ac:dyDescent="0.25">
      <c r="I914" s="2">
        <f>Deletion!A212</f>
        <v>0</v>
      </c>
      <c r="J914" s="2">
        <f>Deletion!B212</f>
        <v>0</v>
      </c>
      <c r="K914" s="2">
        <f>Deletion!C212</f>
        <v>0</v>
      </c>
      <c r="L914" s="2">
        <f>Deletion!D212</f>
        <v>0</v>
      </c>
      <c r="M914" s="2">
        <f>Deletion!E212</f>
        <v>0</v>
      </c>
      <c r="N914" s="2">
        <f>Deletion!G212</f>
        <v>0</v>
      </c>
      <c r="O914" s="2">
        <f>Deletion!H212</f>
        <v>0</v>
      </c>
      <c r="P914" s="2">
        <f>Deletion!I212</f>
        <v>0</v>
      </c>
      <c r="Q914" s="2">
        <f>Deletion!J212</f>
        <v>0</v>
      </c>
      <c r="R914" s="2">
        <f>Deletion!K212</f>
        <v>0</v>
      </c>
      <c r="S914" s="2">
        <f>Deletion!N212</f>
        <v>0</v>
      </c>
      <c r="T914" s="2">
        <f t="shared" si="32"/>
        <v>0</v>
      </c>
      <c r="U914" s="10" t="str">
        <f>IF($S914=0, "", IF(COUNTIF(Table1[Amino Acid Change], $S914)=0, "Missing", "Y"))</f>
        <v/>
      </c>
      <c r="V914" s="10">
        <f t="shared" si="33"/>
        <v>0</v>
      </c>
    </row>
    <row r="915" spans="9:22" x14ac:dyDescent="0.25">
      <c r="I915" s="2">
        <f>Deletion!A213</f>
        <v>0</v>
      </c>
      <c r="J915" s="2">
        <f>Deletion!B213</f>
        <v>0</v>
      </c>
      <c r="K915" s="2">
        <f>Deletion!C213</f>
        <v>0</v>
      </c>
      <c r="L915" s="2">
        <f>Deletion!D213</f>
        <v>0</v>
      </c>
      <c r="M915" s="2">
        <f>Deletion!E213</f>
        <v>0</v>
      </c>
      <c r="N915" s="2">
        <f>Deletion!G213</f>
        <v>0</v>
      </c>
      <c r="O915" s="2">
        <f>Deletion!H213</f>
        <v>0</v>
      </c>
      <c r="P915" s="2">
        <f>Deletion!I213</f>
        <v>0</v>
      </c>
      <c r="Q915" s="2">
        <f>Deletion!J213</f>
        <v>0</v>
      </c>
      <c r="R915" s="2">
        <f>Deletion!K213</f>
        <v>0</v>
      </c>
      <c r="S915" s="2">
        <f>Deletion!N213</f>
        <v>0</v>
      </c>
      <c r="T915" s="2">
        <f t="shared" si="32"/>
        <v>0</v>
      </c>
      <c r="U915" s="10" t="str">
        <f>IF($S915=0, "", IF(COUNTIF(Table1[Amino Acid Change], $S915)=0, "Missing", "Y"))</f>
        <v/>
      </c>
      <c r="V915" s="10">
        <f t="shared" si="33"/>
        <v>0</v>
      </c>
    </row>
    <row r="916" spans="9:22" x14ac:dyDescent="0.25">
      <c r="I916" s="2">
        <f>Deletion!A214</f>
        <v>0</v>
      </c>
      <c r="J916" s="2">
        <f>Deletion!B214</f>
        <v>0</v>
      </c>
      <c r="K916" s="2">
        <f>Deletion!C214</f>
        <v>0</v>
      </c>
      <c r="L916" s="2">
        <f>Deletion!D214</f>
        <v>0</v>
      </c>
      <c r="M916" s="2">
        <f>Deletion!E214</f>
        <v>0</v>
      </c>
      <c r="N916" s="2">
        <f>Deletion!G214</f>
        <v>0</v>
      </c>
      <c r="O916" s="2">
        <f>Deletion!H214</f>
        <v>0</v>
      </c>
      <c r="P916" s="2">
        <f>Deletion!I214</f>
        <v>0</v>
      </c>
      <c r="Q916" s="2">
        <f>Deletion!J214</f>
        <v>0</v>
      </c>
      <c r="R916" s="2">
        <f>Deletion!K214</f>
        <v>0</v>
      </c>
      <c r="S916" s="2">
        <f>Deletion!N214</f>
        <v>0</v>
      </c>
      <c r="T916" s="2">
        <f t="shared" si="32"/>
        <v>0</v>
      </c>
      <c r="U916" s="10" t="str">
        <f>IF($S916=0, "", IF(COUNTIF(Table1[Amino Acid Change], $S916)=0, "Missing", "Y"))</f>
        <v/>
      </c>
      <c r="V916" s="10">
        <f t="shared" si="33"/>
        <v>0</v>
      </c>
    </row>
    <row r="917" spans="9:22" x14ac:dyDescent="0.25">
      <c r="I917" s="2">
        <f>Deletion!A215</f>
        <v>0</v>
      </c>
      <c r="J917" s="2">
        <f>Deletion!B215</f>
        <v>0</v>
      </c>
      <c r="K917" s="2">
        <f>Deletion!C215</f>
        <v>0</v>
      </c>
      <c r="L917" s="2">
        <f>Deletion!D215</f>
        <v>0</v>
      </c>
      <c r="M917" s="2">
        <f>Deletion!E215</f>
        <v>0</v>
      </c>
      <c r="N917" s="2">
        <f>Deletion!G215</f>
        <v>0</v>
      </c>
      <c r="O917" s="2">
        <f>Deletion!H215</f>
        <v>0</v>
      </c>
      <c r="P917" s="2">
        <f>Deletion!I215</f>
        <v>0</v>
      </c>
      <c r="Q917" s="2">
        <f>Deletion!J215</f>
        <v>0</v>
      </c>
      <c r="R917" s="2">
        <f>Deletion!K215</f>
        <v>0</v>
      </c>
      <c r="S917" s="2">
        <f>Deletion!N215</f>
        <v>0</v>
      </c>
      <c r="T917" s="2">
        <f t="shared" si="32"/>
        <v>0</v>
      </c>
      <c r="U917" s="10" t="str">
        <f>IF($S917=0, "", IF(COUNTIF(Table1[Amino Acid Change], $S917)=0, "Missing", "Y"))</f>
        <v/>
      </c>
      <c r="V917" s="10">
        <f t="shared" si="33"/>
        <v>0</v>
      </c>
    </row>
    <row r="918" spans="9:22" x14ac:dyDescent="0.25">
      <c r="I918" s="2">
        <f>Deletion!A216</f>
        <v>0</v>
      </c>
      <c r="J918" s="2">
        <f>Deletion!B216</f>
        <v>0</v>
      </c>
      <c r="K918" s="2">
        <f>Deletion!C216</f>
        <v>0</v>
      </c>
      <c r="L918" s="2">
        <f>Deletion!D216</f>
        <v>0</v>
      </c>
      <c r="M918" s="2">
        <f>Deletion!E216</f>
        <v>0</v>
      </c>
      <c r="N918" s="2">
        <f>Deletion!G216</f>
        <v>0</v>
      </c>
      <c r="O918" s="2">
        <f>Deletion!H216</f>
        <v>0</v>
      </c>
      <c r="P918" s="2">
        <f>Deletion!I216</f>
        <v>0</v>
      </c>
      <c r="Q918" s="2">
        <f>Deletion!J216</f>
        <v>0</v>
      </c>
      <c r="R918" s="2">
        <f>Deletion!K216</f>
        <v>0</v>
      </c>
      <c r="S918" s="2">
        <f>Deletion!N216</f>
        <v>0</v>
      </c>
      <c r="T918" s="2">
        <f t="shared" si="32"/>
        <v>0</v>
      </c>
      <c r="U918" s="10" t="str">
        <f>IF($S918=0, "", IF(COUNTIF(Table1[Amino Acid Change], $S918)=0, "Missing", "Y"))</f>
        <v/>
      </c>
      <c r="V918" s="10">
        <f t="shared" si="33"/>
        <v>0</v>
      </c>
    </row>
    <row r="919" spans="9:22" x14ac:dyDescent="0.25">
      <c r="I919" s="2">
        <f>Deletion!A217</f>
        <v>0</v>
      </c>
      <c r="J919" s="2">
        <f>Deletion!B217</f>
        <v>0</v>
      </c>
      <c r="K919" s="2">
        <f>Deletion!C217</f>
        <v>0</v>
      </c>
      <c r="L919" s="2">
        <f>Deletion!D217</f>
        <v>0</v>
      </c>
      <c r="M919" s="2">
        <f>Deletion!E217</f>
        <v>0</v>
      </c>
      <c r="N919" s="2">
        <f>Deletion!G217</f>
        <v>0</v>
      </c>
      <c r="O919" s="2">
        <f>Deletion!H217</f>
        <v>0</v>
      </c>
      <c r="P919" s="2">
        <f>Deletion!I217</f>
        <v>0</v>
      </c>
      <c r="Q919" s="2">
        <f>Deletion!J217</f>
        <v>0</v>
      </c>
      <c r="R919" s="2">
        <f>Deletion!K217</f>
        <v>0</v>
      </c>
      <c r="S919" s="2">
        <f>Deletion!N217</f>
        <v>0</v>
      </c>
      <c r="T919" s="2">
        <f t="shared" si="32"/>
        <v>0</v>
      </c>
      <c r="U919" s="10" t="str">
        <f>IF($S919=0, "", IF(COUNTIF(Table1[Amino Acid Change], $S919)=0, "Missing", "Y"))</f>
        <v/>
      </c>
      <c r="V919" s="10">
        <f t="shared" si="33"/>
        <v>0</v>
      </c>
    </row>
    <row r="920" spans="9:22" x14ac:dyDescent="0.25">
      <c r="I920" s="2">
        <f>Deletion!A218</f>
        <v>0</v>
      </c>
      <c r="J920" s="2">
        <f>Deletion!B218</f>
        <v>0</v>
      </c>
      <c r="K920" s="2">
        <f>Deletion!C218</f>
        <v>0</v>
      </c>
      <c r="L920" s="2">
        <f>Deletion!D218</f>
        <v>0</v>
      </c>
      <c r="M920" s="2">
        <f>Deletion!E218</f>
        <v>0</v>
      </c>
      <c r="N920" s="2">
        <f>Deletion!G218</f>
        <v>0</v>
      </c>
      <c r="O920" s="2">
        <f>Deletion!H218</f>
        <v>0</v>
      </c>
      <c r="P920" s="2">
        <f>Deletion!I218</f>
        <v>0</v>
      </c>
      <c r="Q920" s="2">
        <f>Deletion!J218</f>
        <v>0</v>
      </c>
      <c r="R920" s="2">
        <f>Deletion!K218</f>
        <v>0</v>
      </c>
      <c r="S920" s="2">
        <f>Deletion!N218</f>
        <v>0</v>
      </c>
      <c r="T920" s="2">
        <f t="shared" si="32"/>
        <v>0</v>
      </c>
      <c r="U920" s="10" t="str">
        <f>IF($S920=0, "", IF(COUNTIF(Table1[Amino Acid Change], $S920)=0, "Missing", "Y"))</f>
        <v/>
      </c>
      <c r="V920" s="10">
        <f t="shared" si="33"/>
        <v>0</v>
      </c>
    </row>
    <row r="921" spans="9:22" x14ac:dyDescent="0.25">
      <c r="I921" s="2">
        <f>Deletion!A219</f>
        <v>0</v>
      </c>
      <c r="J921" s="2">
        <f>Deletion!B219</f>
        <v>0</v>
      </c>
      <c r="K921" s="2">
        <f>Deletion!C219</f>
        <v>0</v>
      </c>
      <c r="L921" s="2">
        <f>Deletion!D219</f>
        <v>0</v>
      </c>
      <c r="M921" s="2">
        <f>Deletion!E219</f>
        <v>0</v>
      </c>
      <c r="N921" s="2">
        <f>Deletion!G219</f>
        <v>0</v>
      </c>
      <c r="O921" s="2">
        <f>Deletion!H219</f>
        <v>0</v>
      </c>
      <c r="P921" s="2">
        <f>Deletion!I219</f>
        <v>0</v>
      </c>
      <c r="Q921" s="2">
        <f>Deletion!J219</f>
        <v>0</v>
      </c>
      <c r="R921" s="2">
        <f>Deletion!K219</f>
        <v>0</v>
      </c>
      <c r="S921" s="2">
        <f>Deletion!N219</f>
        <v>0</v>
      </c>
      <c r="T921" s="2">
        <f t="shared" si="32"/>
        <v>0</v>
      </c>
      <c r="U921" s="10" t="str">
        <f>IF($S921=0, "", IF(COUNTIF(Table1[Amino Acid Change], $S921)=0, "Missing", "Y"))</f>
        <v/>
      </c>
      <c r="V921" s="10">
        <f t="shared" si="33"/>
        <v>0</v>
      </c>
    </row>
    <row r="922" spans="9:22" x14ac:dyDescent="0.25">
      <c r="I922" s="2">
        <f>Deletion!A220</f>
        <v>0</v>
      </c>
      <c r="J922" s="2">
        <f>Deletion!B220</f>
        <v>0</v>
      </c>
      <c r="K922" s="2">
        <f>Deletion!C220</f>
        <v>0</v>
      </c>
      <c r="L922" s="2">
        <f>Deletion!D220</f>
        <v>0</v>
      </c>
      <c r="M922" s="2">
        <f>Deletion!E220</f>
        <v>0</v>
      </c>
      <c r="N922" s="2">
        <f>Deletion!G220</f>
        <v>0</v>
      </c>
      <c r="O922" s="2">
        <f>Deletion!H220</f>
        <v>0</v>
      </c>
      <c r="P922" s="2">
        <f>Deletion!I220</f>
        <v>0</v>
      </c>
      <c r="Q922" s="2">
        <f>Deletion!J220</f>
        <v>0</v>
      </c>
      <c r="R922" s="2">
        <f>Deletion!K220</f>
        <v>0</v>
      </c>
      <c r="S922" s="2">
        <f>Deletion!N220</f>
        <v>0</v>
      </c>
      <c r="T922" s="2">
        <f t="shared" si="32"/>
        <v>0</v>
      </c>
      <c r="U922" s="10" t="str">
        <f>IF($S922=0, "", IF(COUNTIF(Table1[Amino Acid Change], $S922)=0, "Missing", "Y"))</f>
        <v/>
      </c>
      <c r="V922" s="10">
        <f t="shared" si="33"/>
        <v>0</v>
      </c>
    </row>
    <row r="923" spans="9:22" x14ac:dyDescent="0.25">
      <c r="I923" s="2">
        <f>Deletion!A221</f>
        <v>0</v>
      </c>
      <c r="J923" s="2">
        <f>Deletion!B221</f>
        <v>0</v>
      </c>
      <c r="K923" s="2">
        <f>Deletion!C221</f>
        <v>0</v>
      </c>
      <c r="L923" s="2">
        <f>Deletion!D221</f>
        <v>0</v>
      </c>
      <c r="M923" s="2">
        <f>Deletion!E221</f>
        <v>0</v>
      </c>
      <c r="N923" s="2">
        <f>Deletion!G221</f>
        <v>0</v>
      </c>
      <c r="O923" s="2">
        <f>Deletion!H221</f>
        <v>0</v>
      </c>
      <c r="P923" s="2">
        <f>Deletion!I221</f>
        <v>0</v>
      </c>
      <c r="Q923" s="2">
        <f>Deletion!J221</f>
        <v>0</v>
      </c>
      <c r="R923" s="2">
        <f>Deletion!K221</f>
        <v>0</v>
      </c>
      <c r="S923" s="2">
        <f>Deletion!N221</f>
        <v>0</v>
      </c>
      <c r="T923" s="2">
        <f t="shared" si="32"/>
        <v>0</v>
      </c>
      <c r="U923" s="10" t="str">
        <f>IF($S923=0, "", IF(COUNTIF(Table1[Amino Acid Change], $S923)=0, "Missing", "Y"))</f>
        <v/>
      </c>
      <c r="V923" s="10">
        <f t="shared" si="33"/>
        <v>0</v>
      </c>
    </row>
    <row r="924" spans="9:22" x14ac:dyDescent="0.25">
      <c r="I924" s="2">
        <f>Deletion!A222</f>
        <v>0</v>
      </c>
      <c r="J924" s="2">
        <f>Deletion!B222</f>
        <v>0</v>
      </c>
      <c r="K924" s="2">
        <f>Deletion!C222</f>
        <v>0</v>
      </c>
      <c r="L924" s="2">
        <f>Deletion!D222</f>
        <v>0</v>
      </c>
      <c r="M924" s="2">
        <f>Deletion!E222</f>
        <v>0</v>
      </c>
      <c r="N924" s="2">
        <f>Deletion!G222</f>
        <v>0</v>
      </c>
      <c r="O924" s="2">
        <f>Deletion!H222</f>
        <v>0</v>
      </c>
      <c r="P924" s="2">
        <f>Deletion!I222</f>
        <v>0</v>
      </c>
      <c r="Q924" s="2">
        <f>Deletion!J222</f>
        <v>0</v>
      </c>
      <c r="R924" s="2">
        <f>Deletion!K222</f>
        <v>0</v>
      </c>
      <c r="S924" s="2">
        <f>Deletion!N222</f>
        <v>0</v>
      </c>
      <c r="T924" s="2">
        <f t="shared" si="32"/>
        <v>0</v>
      </c>
      <c r="U924" s="10" t="str">
        <f>IF($S924=0, "", IF(COUNTIF(Table1[Amino Acid Change], $S924)=0, "Missing", "Y"))</f>
        <v/>
      </c>
      <c r="V924" s="10">
        <f t="shared" si="33"/>
        <v>0</v>
      </c>
    </row>
    <row r="925" spans="9:22" x14ac:dyDescent="0.25">
      <c r="I925" s="2">
        <f>Deletion!A223</f>
        <v>0</v>
      </c>
      <c r="J925" s="2">
        <f>Deletion!B223</f>
        <v>0</v>
      </c>
      <c r="K925" s="2">
        <f>Deletion!C223</f>
        <v>0</v>
      </c>
      <c r="L925" s="2">
        <f>Deletion!D223</f>
        <v>0</v>
      </c>
      <c r="M925" s="2">
        <f>Deletion!E223</f>
        <v>0</v>
      </c>
      <c r="N925" s="2">
        <f>Deletion!G223</f>
        <v>0</v>
      </c>
      <c r="O925" s="2">
        <f>Deletion!H223</f>
        <v>0</v>
      </c>
      <c r="P925" s="2">
        <f>Deletion!I223</f>
        <v>0</v>
      </c>
      <c r="Q925" s="2">
        <f>Deletion!J223</f>
        <v>0</v>
      </c>
      <c r="R925" s="2">
        <f>Deletion!K223</f>
        <v>0</v>
      </c>
      <c r="S925" s="2">
        <f>Deletion!N223</f>
        <v>0</v>
      </c>
      <c r="T925" s="2">
        <f t="shared" si="32"/>
        <v>0</v>
      </c>
      <c r="U925" s="10" t="str">
        <f>IF($S925=0, "", IF(COUNTIF(Table1[Amino Acid Change], $S925)=0, "Missing", "Y"))</f>
        <v/>
      </c>
      <c r="V925" s="10">
        <f t="shared" si="33"/>
        <v>0</v>
      </c>
    </row>
    <row r="926" spans="9:22" x14ac:dyDescent="0.25">
      <c r="I926" s="2">
        <f>Deletion!A224</f>
        <v>0</v>
      </c>
      <c r="J926" s="2">
        <f>Deletion!B224</f>
        <v>0</v>
      </c>
      <c r="K926" s="2">
        <f>Deletion!C224</f>
        <v>0</v>
      </c>
      <c r="L926" s="2">
        <f>Deletion!D224</f>
        <v>0</v>
      </c>
      <c r="M926" s="2">
        <f>Deletion!E224</f>
        <v>0</v>
      </c>
      <c r="N926" s="2">
        <f>Deletion!G224</f>
        <v>0</v>
      </c>
      <c r="O926" s="2">
        <f>Deletion!H224</f>
        <v>0</v>
      </c>
      <c r="P926" s="2">
        <f>Deletion!I224</f>
        <v>0</v>
      </c>
      <c r="Q926" s="2">
        <f>Deletion!J224</f>
        <v>0</v>
      </c>
      <c r="R926" s="2">
        <f>Deletion!K224</f>
        <v>0</v>
      </c>
      <c r="S926" s="2">
        <f>Deletion!N224</f>
        <v>0</v>
      </c>
      <c r="T926" s="2">
        <f t="shared" si="32"/>
        <v>0</v>
      </c>
      <c r="U926" s="10" t="str">
        <f>IF($S926=0, "", IF(COUNTIF(Table1[Amino Acid Change], $S926)=0, "Missing", "Y"))</f>
        <v/>
      </c>
      <c r="V926" s="10">
        <f t="shared" si="33"/>
        <v>0</v>
      </c>
    </row>
    <row r="927" spans="9:22" x14ac:dyDescent="0.25">
      <c r="I927" s="2">
        <f>Deletion!A225</f>
        <v>0</v>
      </c>
      <c r="J927" s="2">
        <f>Deletion!B225</f>
        <v>0</v>
      </c>
      <c r="K927" s="2">
        <f>Deletion!C225</f>
        <v>0</v>
      </c>
      <c r="L927" s="2">
        <f>Deletion!D225</f>
        <v>0</v>
      </c>
      <c r="M927" s="2">
        <f>Deletion!E225</f>
        <v>0</v>
      </c>
      <c r="N927" s="2">
        <f>Deletion!G225</f>
        <v>0</v>
      </c>
      <c r="O927" s="2">
        <f>Deletion!H225</f>
        <v>0</v>
      </c>
      <c r="P927" s="2">
        <f>Deletion!I225</f>
        <v>0</v>
      </c>
      <c r="Q927" s="2">
        <f>Deletion!J225</f>
        <v>0</v>
      </c>
      <c r="R927" s="2">
        <f>Deletion!K225</f>
        <v>0</v>
      </c>
      <c r="S927" s="2">
        <f>Deletion!N225</f>
        <v>0</v>
      </c>
      <c r="T927" s="2">
        <f t="shared" si="32"/>
        <v>0</v>
      </c>
      <c r="U927" s="10" t="str">
        <f>IF($S927=0, "", IF(COUNTIF(Table1[Amino Acid Change], $S927)=0, "Missing", "Y"))</f>
        <v/>
      </c>
      <c r="V927" s="10">
        <f t="shared" si="33"/>
        <v>0</v>
      </c>
    </row>
    <row r="928" spans="9:22" x14ac:dyDescent="0.25">
      <c r="I928" s="2">
        <f>Deletion!A226</f>
        <v>0</v>
      </c>
      <c r="J928" s="2">
        <f>Deletion!B226</f>
        <v>0</v>
      </c>
      <c r="K928" s="2">
        <f>Deletion!C226</f>
        <v>0</v>
      </c>
      <c r="L928" s="2">
        <f>Deletion!D226</f>
        <v>0</v>
      </c>
      <c r="M928" s="2">
        <f>Deletion!E226</f>
        <v>0</v>
      </c>
      <c r="N928" s="2">
        <f>Deletion!G226</f>
        <v>0</v>
      </c>
      <c r="O928" s="2">
        <f>Deletion!H226</f>
        <v>0</v>
      </c>
      <c r="P928" s="2">
        <f>Deletion!I226</f>
        <v>0</v>
      </c>
      <c r="Q928" s="2">
        <f>Deletion!J226</f>
        <v>0</v>
      </c>
      <c r="R928" s="2">
        <f>Deletion!K226</f>
        <v>0</v>
      </c>
      <c r="S928" s="2">
        <f>Deletion!N226</f>
        <v>0</v>
      </c>
      <c r="T928" s="2">
        <f t="shared" si="32"/>
        <v>0</v>
      </c>
      <c r="U928" s="10" t="str">
        <f>IF($S928=0, "", IF(COUNTIF(Table1[Amino Acid Change], $S928)=0, "Missing", "Y"))</f>
        <v/>
      </c>
      <c r="V928" s="10">
        <f t="shared" si="33"/>
        <v>0</v>
      </c>
    </row>
    <row r="929" spans="9:22" x14ac:dyDescent="0.25">
      <c r="I929" s="2">
        <f>Deletion!A227</f>
        <v>0</v>
      </c>
      <c r="J929" s="2">
        <f>Deletion!B227</f>
        <v>0</v>
      </c>
      <c r="K929" s="2">
        <f>Deletion!C227</f>
        <v>0</v>
      </c>
      <c r="L929" s="2">
        <f>Deletion!D227</f>
        <v>0</v>
      </c>
      <c r="M929" s="2">
        <f>Deletion!E227</f>
        <v>0</v>
      </c>
      <c r="N929" s="2">
        <f>Deletion!G227</f>
        <v>0</v>
      </c>
      <c r="O929" s="2">
        <f>Deletion!H227</f>
        <v>0</v>
      </c>
      <c r="P929" s="2">
        <f>Deletion!I227</f>
        <v>0</v>
      </c>
      <c r="Q929" s="2">
        <f>Deletion!J227</f>
        <v>0</v>
      </c>
      <c r="R929" s="2">
        <f>Deletion!K227</f>
        <v>0</v>
      </c>
      <c r="S929" s="2">
        <f>Deletion!N227</f>
        <v>0</v>
      </c>
      <c r="T929" s="2">
        <f t="shared" si="32"/>
        <v>0</v>
      </c>
      <c r="U929" s="10" t="str">
        <f>IF($S929=0, "", IF(COUNTIF(Table1[Amino Acid Change], $S929)=0, "Missing", "Y"))</f>
        <v/>
      </c>
      <c r="V929" s="10">
        <f t="shared" si="33"/>
        <v>0</v>
      </c>
    </row>
    <row r="930" spans="9:22" x14ac:dyDescent="0.25">
      <c r="I930" s="2">
        <f>Deletion!A228</f>
        <v>0</v>
      </c>
      <c r="J930" s="2">
        <f>Deletion!B228</f>
        <v>0</v>
      </c>
      <c r="K930" s="2">
        <f>Deletion!C228</f>
        <v>0</v>
      </c>
      <c r="L930" s="2">
        <f>Deletion!D228</f>
        <v>0</v>
      </c>
      <c r="M930" s="2">
        <f>Deletion!E228</f>
        <v>0</v>
      </c>
      <c r="N930" s="2">
        <f>Deletion!G228</f>
        <v>0</v>
      </c>
      <c r="O930" s="2">
        <f>Deletion!H228</f>
        <v>0</v>
      </c>
      <c r="P930" s="2">
        <f>Deletion!I228</f>
        <v>0</v>
      </c>
      <c r="Q930" s="2">
        <f>Deletion!J228</f>
        <v>0</v>
      </c>
      <c r="R930" s="2">
        <f>Deletion!K228</f>
        <v>0</v>
      </c>
      <c r="S930" s="2">
        <f>Deletion!N228</f>
        <v>0</v>
      </c>
      <c r="T930" s="2">
        <f t="shared" si="32"/>
        <v>0</v>
      </c>
      <c r="U930" s="10" t="str">
        <f>IF($S930=0, "", IF(COUNTIF(Table1[Amino Acid Change], $S930)=0, "Missing", "Y"))</f>
        <v/>
      </c>
      <c r="V930" s="10">
        <f t="shared" si="33"/>
        <v>0</v>
      </c>
    </row>
    <row r="931" spans="9:22" x14ac:dyDescent="0.25">
      <c r="I931" s="2">
        <f>Deletion!A229</f>
        <v>0</v>
      </c>
      <c r="J931" s="2">
        <f>Deletion!B229</f>
        <v>0</v>
      </c>
      <c r="K931" s="2">
        <f>Deletion!C229</f>
        <v>0</v>
      </c>
      <c r="L931" s="2">
        <f>Deletion!D229</f>
        <v>0</v>
      </c>
      <c r="M931" s="2">
        <f>Deletion!E229</f>
        <v>0</v>
      </c>
      <c r="N931" s="2">
        <f>Deletion!G229</f>
        <v>0</v>
      </c>
      <c r="O931" s="2">
        <f>Deletion!H229</f>
        <v>0</v>
      </c>
      <c r="P931" s="2">
        <f>Deletion!I229</f>
        <v>0</v>
      </c>
      <c r="Q931" s="2">
        <f>Deletion!J229</f>
        <v>0</v>
      </c>
      <c r="R931" s="2">
        <f>Deletion!K229</f>
        <v>0</v>
      </c>
      <c r="S931" s="2">
        <f>Deletion!N229</f>
        <v>0</v>
      </c>
      <c r="T931" s="2">
        <f t="shared" si="32"/>
        <v>0</v>
      </c>
      <c r="U931" s="10" t="str">
        <f>IF($S931=0, "", IF(COUNTIF(Table1[Amino Acid Change], $S931)=0, "Missing", "Y"))</f>
        <v/>
      </c>
      <c r="V931" s="10">
        <f t="shared" si="33"/>
        <v>0</v>
      </c>
    </row>
    <row r="932" spans="9:22" x14ac:dyDescent="0.25">
      <c r="I932" s="2">
        <f>Deletion!A230</f>
        <v>0</v>
      </c>
      <c r="J932" s="2">
        <f>Deletion!B230</f>
        <v>0</v>
      </c>
      <c r="K932" s="2">
        <f>Deletion!C230</f>
        <v>0</v>
      </c>
      <c r="L932" s="2">
        <f>Deletion!D230</f>
        <v>0</v>
      </c>
      <c r="M932" s="2">
        <f>Deletion!E230</f>
        <v>0</v>
      </c>
      <c r="N932" s="2">
        <f>Deletion!G230</f>
        <v>0</v>
      </c>
      <c r="O932" s="2">
        <f>Deletion!H230</f>
        <v>0</v>
      </c>
      <c r="P932" s="2">
        <f>Deletion!I230</f>
        <v>0</v>
      </c>
      <c r="Q932" s="2">
        <f>Deletion!J230</f>
        <v>0</v>
      </c>
      <c r="R932" s="2">
        <f>Deletion!K230</f>
        <v>0</v>
      </c>
      <c r="S932" s="2">
        <f>Deletion!N230</f>
        <v>0</v>
      </c>
      <c r="T932" s="2">
        <f t="shared" si="32"/>
        <v>0</v>
      </c>
      <c r="U932" s="10" t="str">
        <f>IF($S932=0, "", IF(COUNTIF(Table1[Amino Acid Change], $S932)=0, "Missing", "Y"))</f>
        <v/>
      </c>
      <c r="V932" s="10">
        <f t="shared" si="33"/>
        <v>0</v>
      </c>
    </row>
    <row r="933" spans="9:22" x14ac:dyDescent="0.25">
      <c r="I933" s="2">
        <f>Deletion!A231</f>
        <v>0</v>
      </c>
      <c r="J933" s="2">
        <f>Deletion!B231</f>
        <v>0</v>
      </c>
      <c r="K933" s="2">
        <f>Deletion!C231</f>
        <v>0</v>
      </c>
      <c r="L933" s="2">
        <f>Deletion!D231</f>
        <v>0</v>
      </c>
      <c r="M933" s="2">
        <f>Deletion!E231</f>
        <v>0</v>
      </c>
      <c r="N933" s="2">
        <f>Deletion!G231</f>
        <v>0</v>
      </c>
      <c r="O933" s="2">
        <f>Deletion!H231</f>
        <v>0</v>
      </c>
      <c r="P933" s="2">
        <f>Deletion!I231</f>
        <v>0</v>
      </c>
      <c r="Q933" s="2">
        <f>Deletion!J231</f>
        <v>0</v>
      </c>
      <c r="R933" s="2">
        <f>Deletion!K231</f>
        <v>0</v>
      </c>
      <c r="S933" s="2">
        <f>Deletion!N231</f>
        <v>0</v>
      </c>
      <c r="T933" s="2">
        <f t="shared" si="32"/>
        <v>0</v>
      </c>
      <c r="U933" s="10" t="str">
        <f>IF($S933=0, "", IF(COUNTIF(Table1[Amino Acid Change], $S933)=0, "Missing", "Y"))</f>
        <v/>
      </c>
      <c r="V933" s="10">
        <f t="shared" si="33"/>
        <v>0</v>
      </c>
    </row>
    <row r="934" spans="9:22" x14ac:dyDescent="0.25">
      <c r="I934" s="2">
        <f>Deletion!A232</f>
        <v>0</v>
      </c>
      <c r="J934" s="2">
        <f>Deletion!B232</f>
        <v>0</v>
      </c>
      <c r="K934" s="2">
        <f>Deletion!C232</f>
        <v>0</v>
      </c>
      <c r="L934" s="2">
        <f>Deletion!D232</f>
        <v>0</v>
      </c>
      <c r="M934" s="2">
        <f>Deletion!E232</f>
        <v>0</v>
      </c>
      <c r="N934" s="2">
        <f>Deletion!G232</f>
        <v>0</v>
      </c>
      <c r="O934" s="2">
        <f>Deletion!H232</f>
        <v>0</v>
      </c>
      <c r="P934" s="2">
        <f>Deletion!I232</f>
        <v>0</v>
      </c>
      <c r="Q934" s="2">
        <f>Deletion!J232</f>
        <v>0</v>
      </c>
      <c r="R934" s="2">
        <f>Deletion!K232</f>
        <v>0</v>
      </c>
      <c r="S934" s="2">
        <f>Deletion!N232</f>
        <v>0</v>
      </c>
      <c r="T934" s="2">
        <f t="shared" si="32"/>
        <v>0</v>
      </c>
      <c r="U934" s="10" t="str">
        <f>IF($S934=0, "", IF(COUNTIF(Table1[Amino Acid Change], $S934)=0, "Missing", "Y"))</f>
        <v/>
      </c>
      <c r="V934" s="10">
        <f t="shared" si="33"/>
        <v>0</v>
      </c>
    </row>
    <row r="935" spans="9:22" x14ac:dyDescent="0.25">
      <c r="I935" s="2">
        <f>Deletion!A233</f>
        <v>0</v>
      </c>
      <c r="J935" s="2">
        <f>Deletion!B233</f>
        <v>0</v>
      </c>
      <c r="K935" s="2">
        <f>Deletion!C233</f>
        <v>0</v>
      </c>
      <c r="L935" s="2">
        <f>Deletion!D233</f>
        <v>0</v>
      </c>
      <c r="M935" s="2">
        <f>Deletion!E233</f>
        <v>0</v>
      </c>
      <c r="N935" s="2">
        <f>Deletion!G233</f>
        <v>0</v>
      </c>
      <c r="O935" s="2">
        <f>Deletion!H233</f>
        <v>0</v>
      </c>
      <c r="P935" s="2">
        <f>Deletion!I233</f>
        <v>0</v>
      </c>
      <c r="Q935" s="2">
        <f>Deletion!J233</f>
        <v>0</v>
      </c>
      <c r="R935" s="2">
        <f>Deletion!K233</f>
        <v>0</v>
      </c>
      <c r="S935" s="2">
        <f>Deletion!N233</f>
        <v>0</v>
      </c>
      <c r="T935" s="2">
        <f t="shared" si="32"/>
        <v>0</v>
      </c>
      <c r="U935" s="10" t="str">
        <f>IF($S935=0, "", IF(COUNTIF(Table1[Amino Acid Change], $S935)=0, "Missing", "Y"))</f>
        <v/>
      </c>
      <c r="V935" s="10">
        <f t="shared" si="33"/>
        <v>0</v>
      </c>
    </row>
    <row r="936" spans="9:22" x14ac:dyDescent="0.25">
      <c r="I936" s="2">
        <f>Deletion!A234</f>
        <v>0</v>
      </c>
      <c r="J936" s="2">
        <f>Deletion!B234</f>
        <v>0</v>
      </c>
      <c r="K936" s="2">
        <f>Deletion!C234</f>
        <v>0</v>
      </c>
      <c r="L936" s="2">
        <f>Deletion!D234</f>
        <v>0</v>
      </c>
      <c r="M936" s="2">
        <f>Deletion!E234</f>
        <v>0</v>
      </c>
      <c r="N936" s="2">
        <f>Deletion!G234</f>
        <v>0</v>
      </c>
      <c r="O936" s="2">
        <f>Deletion!H234</f>
        <v>0</v>
      </c>
      <c r="P936" s="2">
        <f>Deletion!I234</f>
        <v>0</v>
      </c>
      <c r="Q936" s="2">
        <f>Deletion!J234</f>
        <v>0</v>
      </c>
      <c r="R936" s="2">
        <f>Deletion!K234</f>
        <v>0</v>
      </c>
      <c r="S936" s="2">
        <f>Deletion!N234</f>
        <v>0</v>
      </c>
      <c r="T936" s="2">
        <f t="shared" si="32"/>
        <v>0</v>
      </c>
      <c r="U936" s="10" t="str">
        <f>IF($S936=0, "", IF(COUNTIF(Table1[Amino Acid Change], $S936)=0, "Missing", "Y"))</f>
        <v/>
      </c>
      <c r="V936" s="10">
        <f t="shared" si="33"/>
        <v>0</v>
      </c>
    </row>
    <row r="937" spans="9:22" x14ac:dyDescent="0.25">
      <c r="I937" s="2">
        <f>Deletion!A235</f>
        <v>0</v>
      </c>
      <c r="J937" s="2">
        <f>Deletion!B235</f>
        <v>0</v>
      </c>
      <c r="K937" s="2">
        <f>Deletion!C235</f>
        <v>0</v>
      </c>
      <c r="L937" s="2">
        <f>Deletion!D235</f>
        <v>0</v>
      </c>
      <c r="M937" s="2">
        <f>Deletion!E235</f>
        <v>0</v>
      </c>
      <c r="N937" s="2">
        <f>Deletion!G235</f>
        <v>0</v>
      </c>
      <c r="O937" s="2">
        <f>Deletion!H235</f>
        <v>0</v>
      </c>
      <c r="P937" s="2">
        <f>Deletion!I235</f>
        <v>0</v>
      </c>
      <c r="Q937" s="2">
        <f>Deletion!J235</f>
        <v>0</v>
      </c>
      <c r="R937" s="2">
        <f>Deletion!K235</f>
        <v>0</v>
      </c>
      <c r="S937" s="2">
        <f>Deletion!N235</f>
        <v>0</v>
      </c>
      <c r="T937" s="2">
        <f t="shared" si="32"/>
        <v>0</v>
      </c>
      <c r="U937" s="10" t="str">
        <f>IF($S937=0, "", IF(COUNTIF(Table1[Amino Acid Change], $S937)=0, "Missing", "Y"))</f>
        <v/>
      </c>
      <c r="V937" s="10">
        <f t="shared" si="33"/>
        <v>0</v>
      </c>
    </row>
    <row r="938" spans="9:22" x14ac:dyDescent="0.25">
      <c r="I938" s="2">
        <f>Deletion!A236</f>
        <v>0</v>
      </c>
      <c r="J938" s="2">
        <f>Deletion!B236</f>
        <v>0</v>
      </c>
      <c r="K938" s="2">
        <f>Deletion!C236</f>
        <v>0</v>
      </c>
      <c r="L938" s="2">
        <f>Deletion!D236</f>
        <v>0</v>
      </c>
      <c r="M938" s="2">
        <f>Deletion!E236</f>
        <v>0</v>
      </c>
      <c r="N938" s="2">
        <f>Deletion!G236</f>
        <v>0</v>
      </c>
      <c r="O938" s="2">
        <f>Deletion!H236</f>
        <v>0</v>
      </c>
      <c r="P938" s="2">
        <f>Deletion!I236</f>
        <v>0</v>
      </c>
      <c r="Q938" s="2">
        <f>Deletion!J236</f>
        <v>0</v>
      </c>
      <c r="R938" s="2">
        <f>Deletion!K236</f>
        <v>0</v>
      </c>
      <c r="S938" s="2">
        <f>Deletion!N236</f>
        <v>0</v>
      </c>
      <c r="T938" s="2">
        <f t="shared" si="32"/>
        <v>0</v>
      </c>
      <c r="U938" s="10" t="str">
        <f>IF($S938=0, "", IF(COUNTIF(Table1[Amino Acid Change], $S938)=0, "Missing", "Y"))</f>
        <v/>
      </c>
      <c r="V938" s="10">
        <f t="shared" si="33"/>
        <v>0</v>
      </c>
    </row>
    <row r="939" spans="9:22" x14ac:dyDescent="0.25">
      <c r="I939" s="2">
        <f>Deletion!A237</f>
        <v>0</v>
      </c>
      <c r="J939" s="2">
        <f>Deletion!B237</f>
        <v>0</v>
      </c>
      <c r="K939" s="2">
        <f>Deletion!C237</f>
        <v>0</v>
      </c>
      <c r="L939" s="2">
        <f>Deletion!D237</f>
        <v>0</v>
      </c>
      <c r="M939" s="2">
        <f>Deletion!E237</f>
        <v>0</v>
      </c>
      <c r="N939" s="2">
        <f>Deletion!G237</f>
        <v>0</v>
      </c>
      <c r="O939" s="2">
        <f>Deletion!H237</f>
        <v>0</v>
      </c>
      <c r="P939" s="2">
        <f>Deletion!I237</f>
        <v>0</v>
      </c>
      <c r="Q939" s="2">
        <f>Deletion!J237</f>
        <v>0</v>
      </c>
      <c r="R939" s="2">
        <f>Deletion!K237</f>
        <v>0</v>
      </c>
      <c r="S939" s="2">
        <f>Deletion!N237</f>
        <v>0</v>
      </c>
      <c r="T939" s="2">
        <f t="shared" si="32"/>
        <v>0</v>
      </c>
      <c r="U939" s="10" t="str">
        <f>IF($S939=0, "", IF(COUNTIF(Table1[Amino Acid Change], $S939)=0, "Missing", "Y"))</f>
        <v/>
      </c>
      <c r="V939" s="10">
        <f t="shared" si="33"/>
        <v>0</v>
      </c>
    </row>
    <row r="940" spans="9:22" x14ac:dyDescent="0.25">
      <c r="I940" s="2">
        <f>Deletion!A238</f>
        <v>0</v>
      </c>
      <c r="J940" s="2">
        <f>Deletion!B238</f>
        <v>0</v>
      </c>
      <c r="K940" s="2">
        <f>Deletion!C238</f>
        <v>0</v>
      </c>
      <c r="L940" s="2">
        <f>Deletion!D238</f>
        <v>0</v>
      </c>
      <c r="M940" s="2">
        <f>Deletion!E238</f>
        <v>0</v>
      </c>
      <c r="N940" s="2">
        <f>Deletion!G238</f>
        <v>0</v>
      </c>
      <c r="O940" s="2">
        <f>Deletion!H238</f>
        <v>0</v>
      </c>
      <c r="P940" s="2">
        <f>Deletion!I238</f>
        <v>0</v>
      </c>
      <c r="Q940" s="2">
        <f>Deletion!J238</f>
        <v>0</v>
      </c>
      <c r="R940" s="2">
        <f>Deletion!K238</f>
        <v>0</v>
      </c>
      <c r="S940" s="2">
        <f>Deletion!N238</f>
        <v>0</v>
      </c>
      <c r="T940" s="2">
        <f t="shared" si="32"/>
        <v>0</v>
      </c>
      <c r="U940" s="10" t="str">
        <f>IF($S940=0, "", IF(COUNTIF(Table1[Amino Acid Change], $S940)=0, "Missing", "Y"))</f>
        <v/>
      </c>
      <c r="V940" s="10">
        <f t="shared" si="33"/>
        <v>0</v>
      </c>
    </row>
    <row r="941" spans="9:22" x14ac:dyDescent="0.25">
      <c r="I941" s="2">
        <f>Deletion!A239</f>
        <v>0</v>
      </c>
      <c r="J941" s="2">
        <f>Deletion!B239</f>
        <v>0</v>
      </c>
      <c r="K941" s="2">
        <f>Deletion!C239</f>
        <v>0</v>
      </c>
      <c r="L941" s="2">
        <f>Deletion!D239</f>
        <v>0</v>
      </c>
      <c r="M941" s="2">
        <f>Deletion!E239</f>
        <v>0</v>
      </c>
      <c r="N941" s="2">
        <f>Deletion!G239</f>
        <v>0</v>
      </c>
      <c r="O941" s="2">
        <f>Deletion!H239</f>
        <v>0</v>
      </c>
      <c r="P941" s="2">
        <f>Deletion!I239</f>
        <v>0</v>
      </c>
      <c r="Q941" s="2">
        <f>Deletion!J239</f>
        <v>0</v>
      </c>
      <c r="R941" s="2">
        <f>Deletion!K239</f>
        <v>0</v>
      </c>
      <c r="S941" s="2">
        <f>Deletion!N239</f>
        <v>0</v>
      </c>
      <c r="T941" s="2">
        <f t="shared" si="32"/>
        <v>0</v>
      </c>
      <c r="U941" s="10" t="str">
        <f>IF($S941=0, "", IF(COUNTIF(Table1[Amino Acid Change], $S941)=0, "Missing", "Y"))</f>
        <v/>
      </c>
      <c r="V941" s="10">
        <f t="shared" si="33"/>
        <v>0</v>
      </c>
    </row>
    <row r="942" spans="9:22" x14ac:dyDescent="0.25">
      <c r="I942" s="2">
        <f>Deletion!A240</f>
        <v>0</v>
      </c>
      <c r="J942" s="2">
        <f>Deletion!B240</f>
        <v>0</v>
      </c>
      <c r="K942" s="2">
        <f>Deletion!C240</f>
        <v>0</v>
      </c>
      <c r="L942" s="2">
        <f>Deletion!D240</f>
        <v>0</v>
      </c>
      <c r="M942" s="2">
        <f>Deletion!E240</f>
        <v>0</v>
      </c>
      <c r="N942" s="2">
        <f>Deletion!G240</f>
        <v>0</v>
      </c>
      <c r="O942" s="2">
        <f>Deletion!H240</f>
        <v>0</v>
      </c>
      <c r="P942" s="2">
        <f>Deletion!I240</f>
        <v>0</v>
      </c>
      <c r="Q942" s="2">
        <f>Deletion!J240</f>
        <v>0</v>
      </c>
      <c r="R942" s="2">
        <f>Deletion!K240</f>
        <v>0</v>
      </c>
      <c r="S942" s="2">
        <f>Deletion!N240</f>
        <v>0</v>
      </c>
      <c r="T942" s="2">
        <f t="shared" si="32"/>
        <v>0</v>
      </c>
      <c r="U942" s="10" t="str">
        <f>IF($S942=0, "", IF(COUNTIF(Table1[Amino Acid Change], $S942)=0, "Missing", "Y"))</f>
        <v/>
      </c>
      <c r="V942" s="10">
        <f t="shared" si="33"/>
        <v>0</v>
      </c>
    </row>
    <row r="943" spans="9:22" x14ac:dyDescent="0.25">
      <c r="I943" s="2">
        <f>Deletion!A241</f>
        <v>0</v>
      </c>
      <c r="J943" s="2">
        <f>Deletion!B241</f>
        <v>0</v>
      </c>
      <c r="K943" s="2">
        <f>Deletion!C241</f>
        <v>0</v>
      </c>
      <c r="L943" s="2">
        <f>Deletion!D241</f>
        <v>0</v>
      </c>
      <c r="M943" s="2">
        <f>Deletion!E241</f>
        <v>0</v>
      </c>
      <c r="N943" s="2">
        <f>Deletion!G241</f>
        <v>0</v>
      </c>
      <c r="O943" s="2">
        <f>Deletion!H241</f>
        <v>0</v>
      </c>
      <c r="P943" s="2">
        <f>Deletion!I241</f>
        <v>0</v>
      </c>
      <c r="Q943" s="2">
        <f>Deletion!J241</f>
        <v>0</v>
      </c>
      <c r="R943" s="2">
        <f>Deletion!K241</f>
        <v>0</v>
      </c>
      <c r="S943" s="2">
        <f>Deletion!N241</f>
        <v>0</v>
      </c>
      <c r="T943" s="2">
        <f t="shared" si="32"/>
        <v>0</v>
      </c>
      <c r="U943" s="10" t="str">
        <f>IF($S943=0, "", IF(COUNTIF(Table1[Amino Acid Change], $S943)=0, "Missing", "Y"))</f>
        <v/>
      </c>
      <c r="V943" s="10">
        <f t="shared" si="33"/>
        <v>0</v>
      </c>
    </row>
    <row r="944" spans="9:22" x14ac:dyDescent="0.25">
      <c r="I944" s="2">
        <f>Deletion!A242</f>
        <v>0</v>
      </c>
      <c r="J944" s="2">
        <f>Deletion!B242</f>
        <v>0</v>
      </c>
      <c r="K944" s="2">
        <f>Deletion!C242</f>
        <v>0</v>
      </c>
      <c r="L944" s="2">
        <f>Deletion!D242</f>
        <v>0</v>
      </c>
      <c r="M944" s="2">
        <f>Deletion!E242</f>
        <v>0</v>
      </c>
      <c r="N944" s="2">
        <f>Deletion!G242</f>
        <v>0</v>
      </c>
      <c r="O944" s="2">
        <f>Deletion!H242</f>
        <v>0</v>
      </c>
      <c r="P944" s="2">
        <f>Deletion!I242</f>
        <v>0</v>
      </c>
      <c r="Q944" s="2">
        <f>Deletion!J242</f>
        <v>0</v>
      </c>
      <c r="R944" s="2">
        <f>Deletion!K242</f>
        <v>0</v>
      </c>
      <c r="S944" s="2">
        <f>Deletion!N242</f>
        <v>0</v>
      </c>
      <c r="T944" s="2">
        <f t="shared" si="32"/>
        <v>0</v>
      </c>
      <c r="U944" s="10" t="str">
        <f>IF($S944=0, "", IF(COUNTIF(Table1[Amino Acid Change], $S944)=0, "Missing", "Y"))</f>
        <v/>
      </c>
      <c r="V944" s="10">
        <f t="shared" si="33"/>
        <v>0</v>
      </c>
    </row>
    <row r="945" spans="9:22" x14ac:dyDescent="0.25">
      <c r="I945" s="2">
        <f>Deletion!A243</f>
        <v>0</v>
      </c>
      <c r="J945" s="2">
        <f>Deletion!B243</f>
        <v>0</v>
      </c>
      <c r="K945" s="2">
        <f>Deletion!C243</f>
        <v>0</v>
      </c>
      <c r="L945" s="2">
        <f>Deletion!D243</f>
        <v>0</v>
      </c>
      <c r="M945" s="2">
        <f>Deletion!E243</f>
        <v>0</v>
      </c>
      <c r="N945" s="2">
        <f>Deletion!G243</f>
        <v>0</v>
      </c>
      <c r="O945" s="2">
        <f>Deletion!H243</f>
        <v>0</v>
      </c>
      <c r="P945" s="2">
        <f>Deletion!I243</f>
        <v>0</v>
      </c>
      <c r="Q945" s="2">
        <f>Deletion!J243</f>
        <v>0</v>
      </c>
      <c r="R945" s="2">
        <f>Deletion!K243</f>
        <v>0</v>
      </c>
      <c r="S945" s="2">
        <f>Deletion!N243</f>
        <v>0</v>
      </c>
      <c r="T945" s="2">
        <f t="shared" si="32"/>
        <v>0</v>
      </c>
      <c r="U945" s="10" t="str">
        <f>IF($S945=0, "", IF(COUNTIF(Table1[Amino Acid Change], $S945)=0, "Missing", "Y"))</f>
        <v/>
      </c>
      <c r="V945" s="10">
        <f t="shared" si="33"/>
        <v>0</v>
      </c>
    </row>
    <row r="946" spans="9:22" x14ac:dyDescent="0.25">
      <c r="I946" s="2">
        <f>Deletion!A244</f>
        <v>0</v>
      </c>
      <c r="J946" s="2">
        <f>Deletion!B244</f>
        <v>0</v>
      </c>
      <c r="K946" s="2">
        <f>Deletion!C244</f>
        <v>0</v>
      </c>
      <c r="L946" s="2">
        <f>Deletion!D244</f>
        <v>0</v>
      </c>
      <c r="M946" s="2">
        <f>Deletion!E244</f>
        <v>0</v>
      </c>
      <c r="N946" s="2">
        <f>Deletion!G244</f>
        <v>0</v>
      </c>
      <c r="O946" s="2">
        <f>Deletion!H244</f>
        <v>0</v>
      </c>
      <c r="P946" s="2">
        <f>Deletion!I244</f>
        <v>0</v>
      </c>
      <c r="Q946" s="2">
        <f>Deletion!J244</f>
        <v>0</v>
      </c>
      <c r="R946" s="2">
        <f>Deletion!K244</f>
        <v>0</v>
      </c>
      <c r="S946" s="2">
        <f>Deletion!N244</f>
        <v>0</v>
      </c>
      <c r="T946" s="2">
        <f t="shared" si="32"/>
        <v>0</v>
      </c>
      <c r="U946" s="10" t="str">
        <f>IF($S946=0, "", IF(COUNTIF(Table1[Amino Acid Change], $S946)=0, "Missing", "Y"))</f>
        <v/>
      </c>
      <c r="V946" s="10">
        <f t="shared" si="33"/>
        <v>0</v>
      </c>
    </row>
    <row r="947" spans="9:22" x14ac:dyDescent="0.25">
      <c r="I947" s="2">
        <f>Deletion!A245</f>
        <v>0</v>
      </c>
      <c r="J947" s="2">
        <f>Deletion!B245</f>
        <v>0</v>
      </c>
      <c r="K947" s="2">
        <f>Deletion!C245</f>
        <v>0</v>
      </c>
      <c r="L947" s="2">
        <f>Deletion!D245</f>
        <v>0</v>
      </c>
      <c r="M947" s="2">
        <f>Deletion!E245</f>
        <v>0</v>
      </c>
      <c r="N947" s="2">
        <f>Deletion!G245</f>
        <v>0</v>
      </c>
      <c r="O947" s="2">
        <f>Deletion!H245</f>
        <v>0</v>
      </c>
      <c r="P947" s="2">
        <f>Deletion!I245</f>
        <v>0</v>
      </c>
      <c r="Q947" s="2">
        <f>Deletion!J245</f>
        <v>0</v>
      </c>
      <c r="R947" s="2">
        <f>Deletion!K245</f>
        <v>0</v>
      </c>
      <c r="S947" s="2">
        <f>Deletion!N245</f>
        <v>0</v>
      </c>
      <c r="T947" s="2">
        <f t="shared" si="32"/>
        <v>0</v>
      </c>
      <c r="U947" s="10" t="str">
        <f>IF($S947=0, "", IF(COUNTIF(Table1[Amino Acid Change], $S947)=0, "Missing", "Y"))</f>
        <v/>
      </c>
      <c r="V947" s="10">
        <f t="shared" si="33"/>
        <v>0</v>
      </c>
    </row>
    <row r="948" spans="9:22" x14ac:dyDescent="0.25">
      <c r="I948" s="2">
        <f>Deletion!A246</f>
        <v>0</v>
      </c>
      <c r="J948" s="2">
        <f>Deletion!B246</f>
        <v>0</v>
      </c>
      <c r="K948" s="2">
        <f>Deletion!C246</f>
        <v>0</v>
      </c>
      <c r="L948" s="2">
        <f>Deletion!D246</f>
        <v>0</v>
      </c>
      <c r="M948" s="2">
        <f>Deletion!E246</f>
        <v>0</v>
      </c>
      <c r="N948" s="2">
        <f>Deletion!G246</f>
        <v>0</v>
      </c>
      <c r="O948" s="2">
        <f>Deletion!H246</f>
        <v>0</v>
      </c>
      <c r="P948" s="2">
        <f>Deletion!I246</f>
        <v>0</v>
      </c>
      <c r="Q948" s="2">
        <f>Deletion!J246</f>
        <v>0</v>
      </c>
      <c r="R948" s="2">
        <f>Deletion!K246</f>
        <v>0</v>
      </c>
      <c r="S948" s="2">
        <f>Deletion!N246</f>
        <v>0</v>
      </c>
      <c r="T948" s="2">
        <f t="shared" si="32"/>
        <v>0</v>
      </c>
      <c r="U948" s="10" t="str">
        <f>IF($S948=0, "", IF(COUNTIF(Table1[Amino Acid Change], $S948)=0, "Missing", "Y"))</f>
        <v/>
      </c>
      <c r="V948" s="10">
        <f t="shared" si="33"/>
        <v>0</v>
      </c>
    </row>
    <row r="949" spans="9:22" x14ac:dyDescent="0.25">
      <c r="I949" s="2">
        <f>Deletion!A247</f>
        <v>0</v>
      </c>
      <c r="J949" s="2">
        <f>Deletion!B247</f>
        <v>0</v>
      </c>
      <c r="K949" s="2">
        <f>Deletion!C247</f>
        <v>0</v>
      </c>
      <c r="L949" s="2">
        <f>Deletion!D247</f>
        <v>0</v>
      </c>
      <c r="M949" s="2">
        <f>Deletion!E247</f>
        <v>0</v>
      </c>
      <c r="N949" s="2">
        <f>Deletion!G247</f>
        <v>0</v>
      </c>
      <c r="O949" s="2">
        <f>Deletion!H247</f>
        <v>0</v>
      </c>
      <c r="P949" s="2">
        <f>Deletion!I247</f>
        <v>0</v>
      </c>
      <c r="Q949" s="2">
        <f>Deletion!J247</f>
        <v>0</v>
      </c>
      <c r="R949" s="2">
        <f>Deletion!K247</f>
        <v>0</v>
      </c>
      <c r="S949" s="2">
        <f>Deletion!N247</f>
        <v>0</v>
      </c>
      <c r="T949" s="2">
        <f t="shared" si="32"/>
        <v>0</v>
      </c>
      <c r="U949" s="10" t="str">
        <f>IF($S949=0, "", IF(COUNTIF(Table1[Amino Acid Change], $S949)=0, "Missing", "Y"))</f>
        <v/>
      </c>
      <c r="V949" s="10">
        <f t="shared" si="33"/>
        <v>0</v>
      </c>
    </row>
    <row r="950" spans="9:22" x14ac:dyDescent="0.25">
      <c r="I950" s="2">
        <f>Deletion!A248</f>
        <v>0</v>
      </c>
      <c r="J950" s="2">
        <f>Deletion!B248</f>
        <v>0</v>
      </c>
      <c r="K950" s="2">
        <f>Deletion!C248</f>
        <v>0</v>
      </c>
      <c r="L950" s="2">
        <f>Deletion!D248</f>
        <v>0</v>
      </c>
      <c r="M950" s="2">
        <f>Deletion!E248</f>
        <v>0</v>
      </c>
      <c r="N950" s="2">
        <f>Deletion!G248</f>
        <v>0</v>
      </c>
      <c r="O950" s="2">
        <f>Deletion!H248</f>
        <v>0</v>
      </c>
      <c r="P950" s="2">
        <f>Deletion!I248</f>
        <v>0</v>
      </c>
      <c r="Q950" s="2">
        <f>Deletion!J248</f>
        <v>0</v>
      </c>
      <c r="R950" s="2">
        <f>Deletion!K248</f>
        <v>0</v>
      </c>
      <c r="S950" s="2">
        <f>Deletion!N248</f>
        <v>0</v>
      </c>
      <c r="T950" s="2">
        <f t="shared" si="32"/>
        <v>0</v>
      </c>
      <c r="U950" s="10" t="str">
        <f>IF($S950=0, "", IF(COUNTIF(Table1[Amino Acid Change], $S950)=0, "Missing", "Y"))</f>
        <v/>
      </c>
      <c r="V950" s="10">
        <f t="shared" si="33"/>
        <v>0</v>
      </c>
    </row>
    <row r="951" spans="9:22" x14ac:dyDescent="0.25">
      <c r="I951" s="2">
        <f>Deletion!A249</f>
        <v>0</v>
      </c>
      <c r="J951" s="2">
        <f>Deletion!B249</f>
        <v>0</v>
      </c>
      <c r="K951" s="2">
        <f>Deletion!C249</f>
        <v>0</v>
      </c>
      <c r="L951" s="2">
        <f>Deletion!D249</f>
        <v>0</v>
      </c>
      <c r="M951" s="2">
        <f>Deletion!E249</f>
        <v>0</v>
      </c>
      <c r="N951" s="2">
        <f>Deletion!G249</f>
        <v>0</v>
      </c>
      <c r="O951" s="2">
        <f>Deletion!H249</f>
        <v>0</v>
      </c>
      <c r="P951" s="2">
        <f>Deletion!I249</f>
        <v>0</v>
      </c>
      <c r="Q951" s="2">
        <f>Deletion!J249</f>
        <v>0</v>
      </c>
      <c r="R951" s="2">
        <f>Deletion!K249</f>
        <v>0</v>
      </c>
      <c r="S951" s="2">
        <f>Deletion!N249</f>
        <v>0</v>
      </c>
      <c r="T951" s="2">
        <f t="shared" si="32"/>
        <v>0</v>
      </c>
      <c r="U951" s="10" t="str">
        <f>IF($S951=0, "", IF(COUNTIF(Table1[Amino Acid Change], $S951)=0, "Missing", "Y"))</f>
        <v/>
      </c>
      <c r="V951" s="10">
        <f t="shared" si="33"/>
        <v>0</v>
      </c>
    </row>
    <row r="952" spans="9:22" x14ac:dyDescent="0.25">
      <c r="I952" s="2">
        <f>Deletion!A250</f>
        <v>0</v>
      </c>
      <c r="J952" s="2">
        <f>Deletion!B250</f>
        <v>0</v>
      </c>
      <c r="K952" s="2">
        <f>Deletion!C250</f>
        <v>0</v>
      </c>
      <c r="L952" s="2">
        <f>Deletion!D250</f>
        <v>0</v>
      </c>
      <c r="M952" s="2">
        <f>Deletion!E250</f>
        <v>0</v>
      </c>
      <c r="N952" s="2">
        <f>Deletion!G250</f>
        <v>0</v>
      </c>
      <c r="O952" s="2">
        <f>Deletion!H250</f>
        <v>0</v>
      </c>
      <c r="P952" s="2">
        <f>Deletion!I250</f>
        <v>0</v>
      </c>
      <c r="Q952" s="2">
        <f>Deletion!J250</f>
        <v>0</v>
      </c>
      <c r="R952" s="2">
        <f>Deletion!K250</f>
        <v>0</v>
      </c>
      <c r="S952" s="2">
        <f>Deletion!N250</f>
        <v>0</v>
      </c>
      <c r="T952" s="2">
        <f t="shared" si="32"/>
        <v>0</v>
      </c>
      <c r="U952" s="10" t="str">
        <f>IF($S952=0, "", IF(COUNTIF(Table1[Amino Acid Change], $S952)=0, "Missing", "Y"))</f>
        <v/>
      </c>
      <c r="V952" s="10">
        <f t="shared" si="33"/>
        <v>0</v>
      </c>
    </row>
    <row r="953" spans="9:22" x14ac:dyDescent="0.25">
      <c r="I953" s="2">
        <f>Deletion!A251</f>
        <v>0</v>
      </c>
      <c r="J953" s="2">
        <f>Deletion!B251</f>
        <v>0</v>
      </c>
      <c r="K953" s="2">
        <f>Deletion!C251</f>
        <v>0</v>
      </c>
      <c r="L953" s="2">
        <f>Deletion!D251</f>
        <v>0</v>
      </c>
      <c r="M953" s="2">
        <f>Deletion!E251</f>
        <v>0</v>
      </c>
      <c r="N953" s="2">
        <f>Deletion!G251</f>
        <v>0</v>
      </c>
      <c r="O953" s="2">
        <f>Deletion!H251</f>
        <v>0</v>
      </c>
      <c r="P953" s="2">
        <f>Deletion!I251</f>
        <v>0</v>
      </c>
      <c r="Q953" s="2">
        <f>Deletion!J251</f>
        <v>0</v>
      </c>
      <c r="R953" s="2">
        <f>Deletion!K251</f>
        <v>0</v>
      </c>
      <c r="S953" s="2">
        <f>Deletion!N251</f>
        <v>0</v>
      </c>
      <c r="T953" s="2">
        <f t="shared" si="32"/>
        <v>0</v>
      </c>
      <c r="U953" s="10" t="str">
        <f>IF($S953=0, "", IF(COUNTIF(Table1[Amino Acid Change], $S953)=0, "Missing", "Y"))</f>
        <v/>
      </c>
      <c r="V953" s="10">
        <f t="shared" si="33"/>
        <v>0</v>
      </c>
    </row>
    <row r="954" spans="9:22" x14ac:dyDescent="0.25">
      <c r="I954" s="2">
        <f>Deletion!A252</f>
        <v>0</v>
      </c>
      <c r="J954" s="2">
        <f>Deletion!B252</f>
        <v>0</v>
      </c>
      <c r="K954" s="2">
        <f>Deletion!C252</f>
        <v>0</v>
      </c>
      <c r="L954" s="2">
        <f>Deletion!D252</f>
        <v>0</v>
      </c>
      <c r="M954" s="2">
        <f>Deletion!E252</f>
        <v>0</v>
      </c>
      <c r="N954" s="2">
        <f>Deletion!G252</f>
        <v>0</v>
      </c>
      <c r="O954" s="2">
        <f>Deletion!H252</f>
        <v>0</v>
      </c>
      <c r="P954" s="2">
        <f>Deletion!I252</f>
        <v>0</v>
      </c>
      <c r="Q954" s="2">
        <f>Deletion!J252</f>
        <v>0</v>
      </c>
      <c r="R954" s="2">
        <f>Deletion!K252</f>
        <v>0</v>
      </c>
      <c r="S954" s="2">
        <f>Deletion!N252</f>
        <v>0</v>
      </c>
      <c r="T954" s="2">
        <f t="shared" si="32"/>
        <v>0</v>
      </c>
      <c r="U954" s="10" t="str">
        <f>IF($S954=0, "", IF(COUNTIF(Table1[Amino Acid Change], $S954)=0, "Missing", "Y"))</f>
        <v/>
      </c>
      <c r="V954" s="10">
        <f t="shared" si="33"/>
        <v>0</v>
      </c>
    </row>
    <row r="955" spans="9:22" x14ac:dyDescent="0.25">
      <c r="I955" s="2">
        <f>Deletion!A253</f>
        <v>0</v>
      </c>
      <c r="J955" s="2">
        <f>Deletion!B253</f>
        <v>0</v>
      </c>
      <c r="K955" s="2">
        <f>Deletion!C253</f>
        <v>0</v>
      </c>
      <c r="L955" s="2">
        <f>Deletion!D253</f>
        <v>0</v>
      </c>
      <c r="M955" s="2">
        <f>Deletion!E253</f>
        <v>0</v>
      </c>
      <c r="N955" s="2">
        <f>Deletion!G253</f>
        <v>0</v>
      </c>
      <c r="O955" s="2">
        <f>Deletion!H253</f>
        <v>0</v>
      </c>
      <c r="P955" s="2">
        <f>Deletion!I253</f>
        <v>0</v>
      </c>
      <c r="Q955" s="2">
        <f>Deletion!J253</f>
        <v>0</v>
      </c>
      <c r="R955" s="2">
        <f>Deletion!K253</f>
        <v>0</v>
      </c>
      <c r="S955" s="2">
        <f>Deletion!N253</f>
        <v>0</v>
      </c>
      <c r="T955" s="2">
        <f t="shared" si="32"/>
        <v>0</v>
      </c>
      <c r="U955" s="10" t="str">
        <f>IF($S955=0, "", IF(COUNTIF(Table1[Amino Acid Change], $S955)=0, "Missing", "Y"))</f>
        <v/>
      </c>
      <c r="V955" s="10">
        <f t="shared" si="33"/>
        <v>0</v>
      </c>
    </row>
    <row r="956" spans="9:22" x14ac:dyDescent="0.25">
      <c r="I956" s="2">
        <f>Deletion!A254</f>
        <v>0</v>
      </c>
      <c r="J956" s="2">
        <f>Deletion!B254</f>
        <v>0</v>
      </c>
      <c r="K956" s="2">
        <f>Deletion!C254</f>
        <v>0</v>
      </c>
      <c r="L956" s="2">
        <f>Deletion!D254</f>
        <v>0</v>
      </c>
      <c r="M956" s="2">
        <f>Deletion!E254</f>
        <v>0</v>
      </c>
      <c r="N956" s="2">
        <f>Deletion!G254</f>
        <v>0</v>
      </c>
      <c r="O956" s="2">
        <f>Deletion!H254</f>
        <v>0</v>
      </c>
      <c r="P956" s="2">
        <f>Deletion!I254</f>
        <v>0</v>
      </c>
      <c r="Q956" s="2">
        <f>Deletion!J254</f>
        <v>0</v>
      </c>
      <c r="R956" s="2">
        <f>Deletion!K254</f>
        <v>0</v>
      </c>
      <c r="S956" s="2">
        <f>Deletion!N254</f>
        <v>0</v>
      </c>
      <c r="T956" s="2">
        <f t="shared" si="32"/>
        <v>0</v>
      </c>
      <c r="U956" s="10" t="str">
        <f>IF($S956=0, "", IF(COUNTIF(Table1[Amino Acid Change], $S956)=0, "Missing", "Y"))</f>
        <v/>
      </c>
      <c r="V956" s="10">
        <f t="shared" si="33"/>
        <v>0</v>
      </c>
    </row>
    <row r="957" spans="9:22" x14ac:dyDescent="0.25">
      <c r="I957" s="2">
        <f>Deletion!A255</f>
        <v>0</v>
      </c>
      <c r="J957" s="2">
        <f>Deletion!B255</f>
        <v>0</v>
      </c>
      <c r="K957" s="2">
        <f>Deletion!C255</f>
        <v>0</v>
      </c>
      <c r="L957" s="2">
        <f>Deletion!D255</f>
        <v>0</v>
      </c>
      <c r="M957" s="2">
        <f>Deletion!E255</f>
        <v>0</v>
      </c>
      <c r="N957" s="2">
        <f>Deletion!G255</f>
        <v>0</v>
      </c>
      <c r="O957" s="2">
        <f>Deletion!H255</f>
        <v>0</v>
      </c>
      <c r="P957" s="2">
        <f>Deletion!I255</f>
        <v>0</v>
      </c>
      <c r="Q957" s="2">
        <f>Deletion!J255</f>
        <v>0</v>
      </c>
      <c r="R957" s="2">
        <f>Deletion!K255</f>
        <v>0</v>
      </c>
      <c r="S957" s="2">
        <f>Deletion!N255</f>
        <v>0</v>
      </c>
      <c r="T957" s="2">
        <f t="shared" si="32"/>
        <v>0</v>
      </c>
      <c r="U957" s="10" t="str">
        <f>IF($S957=0, "", IF(COUNTIF(Table1[Amino Acid Change], $S957)=0, "Missing", "Y"))</f>
        <v/>
      </c>
      <c r="V957" s="10">
        <f t="shared" si="33"/>
        <v>0</v>
      </c>
    </row>
    <row r="958" spans="9:22" x14ac:dyDescent="0.25">
      <c r="I958" s="2">
        <f>Deletion!A256</f>
        <v>0</v>
      </c>
      <c r="J958" s="2">
        <f>Deletion!B256</f>
        <v>0</v>
      </c>
      <c r="K958" s="2">
        <f>Deletion!C256</f>
        <v>0</v>
      </c>
      <c r="L958" s="2">
        <f>Deletion!D256</f>
        <v>0</v>
      </c>
      <c r="M958" s="2">
        <f>Deletion!E256</f>
        <v>0</v>
      </c>
      <c r="N958" s="2">
        <f>Deletion!G256</f>
        <v>0</v>
      </c>
      <c r="O958" s="2">
        <f>Deletion!H256</f>
        <v>0</v>
      </c>
      <c r="P958" s="2">
        <f>Deletion!I256</f>
        <v>0</v>
      </c>
      <c r="Q958" s="2">
        <f>Deletion!J256</f>
        <v>0</v>
      </c>
      <c r="R958" s="2">
        <f>Deletion!K256</f>
        <v>0</v>
      </c>
      <c r="S958" s="2">
        <f>Deletion!N256</f>
        <v>0</v>
      </c>
      <c r="T958" s="2">
        <f t="shared" si="32"/>
        <v>0</v>
      </c>
      <c r="U958" s="10" t="str">
        <f>IF($S958=0, "", IF(COUNTIF(Table1[Amino Acid Change], $S958)=0, "Missing", "Y"))</f>
        <v/>
      </c>
      <c r="V958" s="10">
        <f t="shared" si="33"/>
        <v>0</v>
      </c>
    </row>
    <row r="959" spans="9:22" x14ac:dyDescent="0.25">
      <c r="I959" s="2">
        <f>Deletion!A257</f>
        <v>0</v>
      </c>
      <c r="J959" s="2">
        <f>Deletion!B257</f>
        <v>0</v>
      </c>
      <c r="K959" s="2">
        <f>Deletion!C257</f>
        <v>0</v>
      </c>
      <c r="L959" s="2">
        <f>Deletion!D257</f>
        <v>0</v>
      </c>
      <c r="M959" s="2">
        <f>Deletion!E257</f>
        <v>0</v>
      </c>
      <c r="N959" s="2">
        <f>Deletion!G257</f>
        <v>0</v>
      </c>
      <c r="O959" s="2">
        <f>Deletion!H257</f>
        <v>0</v>
      </c>
      <c r="P959" s="2">
        <f>Deletion!I257</f>
        <v>0</v>
      </c>
      <c r="Q959" s="2">
        <f>Deletion!J257</f>
        <v>0</v>
      </c>
      <c r="R959" s="2">
        <f>Deletion!K257</f>
        <v>0</v>
      </c>
      <c r="S959" s="2">
        <f>Deletion!N257</f>
        <v>0</v>
      </c>
      <c r="T959" s="2">
        <f t="shared" si="32"/>
        <v>0</v>
      </c>
      <c r="U959" s="10" t="str">
        <f>IF($S959=0, "", IF(COUNTIF(Table1[Amino Acid Change], $S959)=0, "Missing", "Y"))</f>
        <v/>
      </c>
      <c r="V959" s="10">
        <f t="shared" si="33"/>
        <v>0</v>
      </c>
    </row>
    <row r="960" spans="9:22" x14ac:dyDescent="0.25">
      <c r="I960" s="2">
        <f>Deletion!A258</f>
        <v>0</v>
      </c>
      <c r="J960" s="2">
        <f>Deletion!B258</f>
        <v>0</v>
      </c>
      <c r="K960" s="2">
        <f>Deletion!C258</f>
        <v>0</v>
      </c>
      <c r="L960" s="2">
        <f>Deletion!D258</f>
        <v>0</v>
      </c>
      <c r="M960" s="2">
        <f>Deletion!E258</f>
        <v>0</v>
      </c>
      <c r="N960" s="2">
        <f>Deletion!G258</f>
        <v>0</v>
      </c>
      <c r="O960" s="2">
        <f>Deletion!H258</f>
        <v>0</v>
      </c>
      <c r="P960" s="2">
        <f>Deletion!I258</f>
        <v>0</v>
      </c>
      <c r="Q960" s="2">
        <f>Deletion!J258</f>
        <v>0</v>
      </c>
      <c r="R960" s="2">
        <f>Deletion!K258</f>
        <v>0</v>
      </c>
      <c r="S960" s="2">
        <f>Deletion!N258</f>
        <v>0</v>
      </c>
      <c r="T960" s="2">
        <f t="shared" si="32"/>
        <v>0</v>
      </c>
      <c r="U960" s="10" t="str">
        <f>IF($S960=0, "", IF(COUNTIF(Table1[Amino Acid Change], $S960)=0, "Missing", "Y"))</f>
        <v/>
      </c>
      <c r="V960" s="10">
        <f t="shared" si="33"/>
        <v>0</v>
      </c>
    </row>
    <row r="961" spans="9:22" x14ac:dyDescent="0.25">
      <c r="I961" s="2">
        <f>Deletion!A259</f>
        <v>0</v>
      </c>
      <c r="J961" s="2">
        <f>Deletion!B259</f>
        <v>0</v>
      </c>
      <c r="K961" s="2">
        <f>Deletion!C259</f>
        <v>0</v>
      </c>
      <c r="L961" s="2">
        <f>Deletion!D259</f>
        <v>0</v>
      </c>
      <c r="M961" s="2">
        <f>Deletion!E259</f>
        <v>0</v>
      </c>
      <c r="N961" s="2">
        <f>Deletion!G259</f>
        <v>0</v>
      </c>
      <c r="O961" s="2">
        <f>Deletion!H259</f>
        <v>0</v>
      </c>
      <c r="P961" s="2">
        <f>Deletion!I259</f>
        <v>0</v>
      </c>
      <c r="Q961" s="2">
        <f>Deletion!J259</f>
        <v>0</v>
      </c>
      <c r="R961" s="2">
        <f>Deletion!K259</f>
        <v>0</v>
      </c>
      <c r="S961" s="2">
        <f>Deletion!N259</f>
        <v>0</v>
      </c>
      <c r="T961" s="2">
        <f t="shared" ref="T961:T980" si="34">P961</f>
        <v>0</v>
      </c>
      <c r="U961" s="10" t="str">
        <f>IF($S961=0, "", IF(COUNTIF(Table1[Amino Acid Change], $S961)=0, "Missing", "Y"))</f>
        <v/>
      </c>
      <c r="V961" s="10">
        <f t="shared" ref="V961:V980" si="35">J961</f>
        <v>0</v>
      </c>
    </row>
    <row r="962" spans="9:22" x14ac:dyDescent="0.25">
      <c r="I962" s="2">
        <f>Deletion!A260</f>
        <v>0</v>
      </c>
      <c r="J962" s="2">
        <f>Deletion!B260</f>
        <v>0</v>
      </c>
      <c r="K962" s="2">
        <f>Deletion!C260</f>
        <v>0</v>
      </c>
      <c r="L962" s="2">
        <f>Deletion!D260</f>
        <v>0</v>
      </c>
      <c r="M962" s="2">
        <f>Deletion!E260</f>
        <v>0</v>
      </c>
      <c r="N962" s="2">
        <f>Deletion!G260</f>
        <v>0</v>
      </c>
      <c r="O962" s="2">
        <f>Deletion!H260</f>
        <v>0</v>
      </c>
      <c r="P962" s="2">
        <f>Deletion!I260</f>
        <v>0</v>
      </c>
      <c r="Q962" s="2">
        <f>Deletion!J260</f>
        <v>0</v>
      </c>
      <c r="R962" s="2">
        <f>Deletion!K260</f>
        <v>0</v>
      </c>
      <c r="S962" s="2">
        <f>Deletion!N260</f>
        <v>0</v>
      </c>
      <c r="T962" s="2">
        <f t="shared" si="34"/>
        <v>0</v>
      </c>
      <c r="U962" s="10" t="str">
        <f>IF($S962=0, "", IF(COUNTIF(Table1[Amino Acid Change], $S962)=0, "Missing", "Y"))</f>
        <v/>
      </c>
      <c r="V962" s="10">
        <f t="shared" si="35"/>
        <v>0</v>
      </c>
    </row>
    <row r="963" spans="9:22" x14ac:dyDescent="0.25">
      <c r="I963" s="2">
        <f>Deletion!A261</f>
        <v>0</v>
      </c>
      <c r="J963" s="2">
        <f>Deletion!B261</f>
        <v>0</v>
      </c>
      <c r="K963" s="2">
        <f>Deletion!C261</f>
        <v>0</v>
      </c>
      <c r="L963" s="2">
        <f>Deletion!D261</f>
        <v>0</v>
      </c>
      <c r="M963" s="2">
        <f>Deletion!E261</f>
        <v>0</v>
      </c>
      <c r="N963" s="2">
        <f>Deletion!G261</f>
        <v>0</v>
      </c>
      <c r="O963" s="2">
        <f>Deletion!H261</f>
        <v>0</v>
      </c>
      <c r="P963" s="2">
        <f>Deletion!I261</f>
        <v>0</v>
      </c>
      <c r="Q963" s="2">
        <f>Deletion!J261</f>
        <v>0</v>
      </c>
      <c r="R963" s="2">
        <f>Deletion!K261</f>
        <v>0</v>
      </c>
      <c r="S963" s="2">
        <f>Deletion!N261</f>
        <v>0</v>
      </c>
      <c r="T963" s="2">
        <f t="shared" si="34"/>
        <v>0</v>
      </c>
      <c r="U963" s="10" t="str">
        <f>IF($S963=0, "", IF(COUNTIF(Table1[Amino Acid Change], $S963)=0, "Missing", "Y"))</f>
        <v/>
      </c>
      <c r="V963" s="10">
        <f t="shared" si="35"/>
        <v>0</v>
      </c>
    </row>
    <row r="964" spans="9:22" x14ac:dyDescent="0.25">
      <c r="I964" s="2">
        <f>Deletion!A262</f>
        <v>0</v>
      </c>
      <c r="J964" s="2">
        <f>Deletion!B262</f>
        <v>0</v>
      </c>
      <c r="K964" s="2">
        <f>Deletion!C262</f>
        <v>0</v>
      </c>
      <c r="L964" s="2">
        <f>Deletion!D262</f>
        <v>0</v>
      </c>
      <c r="M964" s="2">
        <f>Deletion!E262</f>
        <v>0</v>
      </c>
      <c r="N964" s="2">
        <f>Deletion!G262</f>
        <v>0</v>
      </c>
      <c r="O964" s="2">
        <f>Deletion!H262</f>
        <v>0</v>
      </c>
      <c r="P964" s="2">
        <f>Deletion!I262</f>
        <v>0</v>
      </c>
      <c r="Q964" s="2">
        <f>Deletion!J262</f>
        <v>0</v>
      </c>
      <c r="R964" s="2">
        <f>Deletion!K262</f>
        <v>0</v>
      </c>
      <c r="S964" s="2">
        <f>Deletion!N262</f>
        <v>0</v>
      </c>
      <c r="T964" s="2">
        <f t="shared" si="34"/>
        <v>0</v>
      </c>
      <c r="U964" s="10" t="str">
        <f>IF($S964=0, "", IF(COUNTIF(Table1[Amino Acid Change], $S964)=0, "Missing", "Y"))</f>
        <v/>
      </c>
      <c r="V964" s="10">
        <f t="shared" si="35"/>
        <v>0</v>
      </c>
    </row>
    <row r="965" spans="9:22" x14ac:dyDescent="0.25">
      <c r="I965" s="2">
        <f>Deletion!A263</f>
        <v>0</v>
      </c>
      <c r="J965" s="2">
        <f>Deletion!B263</f>
        <v>0</v>
      </c>
      <c r="K965" s="2">
        <f>Deletion!C263</f>
        <v>0</v>
      </c>
      <c r="L965" s="2">
        <f>Deletion!D263</f>
        <v>0</v>
      </c>
      <c r="M965" s="2">
        <f>Deletion!E263</f>
        <v>0</v>
      </c>
      <c r="N965" s="2">
        <f>Deletion!G263</f>
        <v>0</v>
      </c>
      <c r="O965" s="2">
        <f>Deletion!H263</f>
        <v>0</v>
      </c>
      <c r="P965" s="2">
        <f>Deletion!I263</f>
        <v>0</v>
      </c>
      <c r="Q965" s="2">
        <f>Deletion!J263</f>
        <v>0</v>
      </c>
      <c r="R965" s="2">
        <f>Deletion!K263</f>
        <v>0</v>
      </c>
      <c r="S965" s="2">
        <f>Deletion!N263</f>
        <v>0</v>
      </c>
      <c r="T965" s="2">
        <f t="shared" si="34"/>
        <v>0</v>
      </c>
      <c r="U965" s="10" t="str">
        <f>IF($S965=0, "", IF(COUNTIF(Table1[Amino Acid Change], $S965)=0, "Missing", "Y"))</f>
        <v/>
      </c>
      <c r="V965" s="10">
        <f t="shared" si="35"/>
        <v>0</v>
      </c>
    </row>
    <row r="966" spans="9:22" x14ac:dyDescent="0.25">
      <c r="I966" s="2">
        <f>Deletion!A264</f>
        <v>0</v>
      </c>
      <c r="J966" s="2">
        <f>Deletion!B264</f>
        <v>0</v>
      </c>
      <c r="K966" s="2">
        <f>Deletion!C264</f>
        <v>0</v>
      </c>
      <c r="L966" s="2">
        <f>Deletion!D264</f>
        <v>0</v>
      </c>
      <c r="M966" s="2">
        <f>Deletion!E264</f>
        <v>0</v>
      </c>
      <c r="N966" s="2">
        <f>Deletion!G264</f>
        <v>0</v>
      </c>
      <c r="O966" s="2">
        <f>Deletion!H264</f>
        <v>0</v>
      </c>
      <c r="P966" s="2">
        <f>Deletion!I264</f>
        <v>0</v>
      </c>
      <c r="Q966" s="2">
        <f>Deletion!J264</f>
        <v>0</v>
      </c>
      <c r="R966" s="2">
        <f>Deletion!K264</f>
        <v>0</v>
      </c>
      <c r="S966" s="2">
        <f>Deletion!N264</f>
        <v>0</v>
      </c>
      <c r="T966" s="2">
        <f t="shared" si="34"/>
        <v>0</v>
      </c>
      <c r="U966" s="10" t="str">
        <f>IF($S966=0, "", IF(COUNTIF(Table1[Amino Acid Change], $S966)=0, "Missing", "Y"))</f>
        <v/>
      </c>
      <c r="V966" s="10">
        <f t="shared" si="35"/>
        <v>0</v>
      </c>
    </row>
    <row r="967" spans="9:22" x14ac:dyDescent="0.25">
      <c r="I967" s="2">
        <f>Deletion!A265</f>
        <v>0</v>
      </c>
      <c r="J967" s="2">
        <f>Deletion!B265</f>
        <v>0</v>
      </c>
      <c r="K967" s="2">
        <f>Deletion!C265</f>
        <v>0</v>
      </c>
      <c r="L967" s="2">
        <f>Deletion!D265</f>
        <v>0</v>
      </c>
      <c r="M967" s="2">
        <f>Deletion!E265</f>
        <v>0</v>
      </c>
      <c r="N967" s="2">
        <f>Deletion!G265</f>
        <v>0</v>
      </c>
      <c r="O967" s="2">
        <f>Deletion!H265</f>
        <v>0</v>
      </c>
      <c r="P967" s="2">
        <f>Deletion!I265</f>
        <v>0</v>
      </c>
      <c r="Q967" s="2">
        <f>Deletion!J265</f>
        <v>0</v>
      </c>
      <c r="R967" s="2">
        <f>Deletion!K265</f>
        <v>0</v>
      </c>
      <c r="S967" s="2">
        <f>Deletion!N265</f>
        <v>0</v>
      </c>
      <c r="T967" s="2">
        <f t="shared" si="34"/>
        <v>0</v>
      </c>
      <c r="U967" s="10" t="str">
        <f>IF($S967=0, "", IF(COUNTIF(Table1[Amino Acid Change], $S967)=0, "Missing", "Y"))</f>
        <v/>
      </c>
      <c r="V967" s="10">
        <f t="shared" si="35"/>
        <v>0</v>
      </c>
    </row>
    <row r="968" spans="9:22" x14ac:dyDescent="0.25">
      <c r="I968" s="2">
        <f>Deletion!A266</f>
        <v>0</v>
      </c>
      <c r="J968" s="2">
        <f>Deletion!B266</f>
        <v>0</v>
      </c>
      <c r="K968" s="2">
        <f>Deletion!C266</f>
        <v>0</v>
      </c>
      <c r="L968" s="2">
        <f>Deletion!D266</f>
        <v>0</v>
      </c>
      <c r="M968" s="2">
        <f>Deletion!E266</f>
        <v>0</v>
      </c>
      <c r="N968" s="2">
        <f>Deletion!G266</f>
        <v>0</v>
      </c>
      <c r="O968" s="2">
        <f>Deletion!H266</f>
        <v>0</v>
      </c>
      <c r="P968" s="2">
        <f>Deletion!I266</f>
        <v>0</v>
      </c>
      <c r="Q968" s="2">
        <f>Deletion!J266</f>
        <v>0</v>
      </c>
      <c r="R968" s="2">
        <f>Deletion!K266</f>
        <v>0</v>
      </c>
      <c r="S968" s="2">
        <f>Deletion!N266</f>
        <v>0</v>
      </c>
      <c r="T968" s="2">
        <f t="shared" si="34"/>
        <v>0</v>
      </c>
      <c r="U968" s="10" t="str">
        <f>IF($S968=0, "", IF(COUNTIF(Table1[Amino Acid Change], $S968)=0, "Missing", "Y"))</f>
        <v/>
      </c>
      <c r="V968" s="10">
        <f t="shared" si="35"/>
        <v>0</v>
      </c>
    </row>
    <row r="969" spans="9:22" x14ac:dyDescent="0.25">
      <c r="I969" s="2">
        <f>Deletion!A267</f>
        <v>0</v>
      </c>
      <c r="J969" s="2">
        <f>Deletion!B267</f>
        <v>0</v>
      </c>
      <c r="K969" s="2">
        <f>Deletion!C267</f>
        <v>0</v>
      </c>
      <c r="L969" s="2">
        <f>Deletion!D267</f>
        <v>0</v>
      </c>
      <c r="M969" s="2">
        <f>Deletion!E267</f>
        <v>0</v>
      </c>
      <c r="N969" s="2">
        <f>Deletion!G267</f>
        <v>0</v>
      </c>
      <c r="O969" s="2">
        <f>Deletion!H267</f>
        <v>0</v>
      </c>
      <c r="P969" s="2">
        <f>Deletion!I267</f>
        <v>0</v>
      </c>
      <c r="Q969" s="2">
        <f>Deletion!J267</f>
        <v>0</v>
      </c>
      <c r="R969" s="2">
        <f>Deletion!K267</f>
        <v>0</v>
      </c>
      <c r="S969" s="2">
        <f>Deletion!N267</f>
        <v>0</v>
      </c>
      <c r="T969" s="2">
        <f t="shared" si="34"/>
        <v>0</v>
      </c>
      <c r="U969" s="10" t="str">
        <f>IF($S969=0, "", IF(COUNTIF(Table1[Amino Acid Change], $S969)=0, "Missing", "Y"))</f>
        <v/>
      </c>
      <c r="V969" s="10">
        <f t="shared" si="35"/>
        <v>0</v>
      </c>
    </row>
    <row r="970" spans="9:22" x14ac:dyDescent="0.25">
      <c r="I970" s="2">
        <f>Deletion!A268</f>
        <v>0</v>
      </c>
      <c r="J970" s="2">
        <f>Deletion!B268</f>
        <v>0</v>
      </c>
      <c r="K970" s="2">
        <f>Deletion!C268</f>
        <v>0</v>
      </c>
      <c r="L970" s="2">
        <f>Deletion!D268</f>
        <v>0</v>
      </c>
      <c r="M970" s="2">
        <f>Deletion!E268</f>
        <v>0</v>
      </c>
      <c r="N970" s="2">
        <f>Deletion!G268</f>
        <v>0</v>
      </c>
      <c r="O970" s="2">
        <f>Deletion!H268</f>
        <v>0</v>
      </c>
      <c r="P970" s="2">
        <f>Deletion!I268</f>
        <v>0</v>
      </c>
      <c r="Q970" s="2">
        <f>Deletion!J268</f>
        <v>0</v>
      </c>
      <c r="R970" s="2">
        <f>Deletion!K268</f>
        <v>0</v>
      </c>
      <c r="S970" s="2">
        <f>Deletion!N268</f>
        <v>0</v>
      </c>
      <c r="T970" s="2">
        <f t="shared" si="34"/>
        <v>0</v>
      </c>
      <c r="U970" s="10" t="str">
        <f>IF($S970=0, "", IF(COUNTIF(Table1[Amino Acid Change], $S970)=0, "Missing", "Y"))</f>
        <v/>
      </c>
      <c r="V970" s="10">
        <f t="shared" si="35"/>
        <v>0</v>
      </c>
    </row>
    <row r="971" spans="9:22" x14ac:dyDescent="0.25">
      <c r="I971" s="2">
        <f>Deletion!A269</f>
        <v>0</v>
      </c>
      <c r="J971" s="2">
        <f>Deletion!B269</f>
        <v>0</v>
      </c>
      <c r="K971" s="2">
        <f>Deletion!C269</f>
        <v>0</v>
      </c>
      <c r="L971" s="2">
        <f>Deletion!D269</f>
        <v>0</v>
      </c>
      <c r="M971" s="2">
        <f>Deletion!E269</f>
        <v>0</v>
      </c>
      <c r="N971" s="2">
        <f>Deletion!G269</f>
        <v>0</v>
      </c>
      <c r="O971" s="2">
        <f>Deletion!H269</f>
        <v>0</v>
      </c>
      <c r="P971" s="2">
        <f>Deletion!I269</f>
        <v>0</v>
      </c>
      <c r="Q971" s="2">
        <f>Deletion!J269</f>
        <v>0</v>
      </c>
      <c r="R971" s="2">
        <f>Deletion!K269</f>
        <v>0</v>
      </c>
      <c r="S971" s="2">
        <f>Deletion!N269</f>
        <v>0</v>
      </c>
      <c r="T971" s="2">
        <f t="shared" si="34"/>
        <v>0</v>
      </c>
      <c r="U971" s="10" t="str">
        <f>IF($S971=0, "", IF(COUNTIF(Table1[Amino Acid Change], $S971)=0, "Missing", "Y"))</f>
        <v/>
      </c>
      <c r="V971" s="10">
        <f t="shared" si="35"/>
        <v>0</v>
      </c>
    </row>
    <row r="972" spans="9:22" x14ac:dyDescent="0.25">
      <c r="I972" s="2">
        <f>Deletion!A270</f>
        <v>0</v>
      </c>
      <c r="J972" s="2">
        <f>Deletion!B270</f>
        <v>0</v>
      </c>
      <c r="K972" s="2">
        <f>Deletion!C270</f>
        <v>0</v>
      </c>
      <c r="L972" s="2">
        <f>Deletion!D270</f>
        <v>0</v>
      </c>
      <c r="M972" s="2">
        <f>Deletion!E270</f>
        <v>0</v>
      </c>
      <c r="N972" s="2">
        <f>Deletion!G270</f>
        <v>0</v>
      </c>
      <c r="O972" s="2">
        <f>Deletion!H270</f>
        <v>0</v>
      </c>
      <c r="P972" s="2">
        <f>Deletion!I270</f>
        <v>0</v>
      </c>
      <c r="Q972" s="2">
        <f>Deletion!J270</f>
        <v>0</v>
      </c>
      <c r="R972" s="2">
        <f>Deletion!K270</f>
        <v>0</v>
      </c>
      <c r="S972" s="2">
        <f>Deletion!N270</f>
        <v>0</v>
      </c>
      <c r="T972" s="2">
        <f t="shared" si="34"/>
        <v>0</v>
      </c>
      <c r="U972" s="10" t="str">
        <f>IF($S972=0, "", IF(COUNTIF(Table1[Amino Acid Change], $S972)=0, "Missing", "Y"))</f>
        <v/>
      </c>
      <c r="V972" s="10">
        <f t="shared" si="35"/>
        <v>0</v>
      </c>
    </row>
    <row r="973" spans="9:22" x14ac:dyDescent="0.25">
      <c r="I973" s="2">
        <f>Deletion!A271</f>
        <v>0</v>
      </c>
      <c r="J973" s="2">
        <f>Deletion!B271</f>
        <v>0</v>
      </c>
      <c r="K973" s="2">
        <f>Deletion!C271</f>
        <v>0</v>
      </c>
      <c r="L973" s="2">
        <f>Deletion!D271</f>
        <v>0</v>
      </c>
      <c r="M973" s="2">
        <f>Deletion!E271</f>
        <v>0</v>
      </c>
      <c r="N973" s="2">
        <f>Deletion!G271</f>
        <v>0</v>
      </c>
      <c r="O973" s="2">
        <f>Deletion!H271</f>
        <v>0</v>
      </c>
      <c r="P973" s="2">
        <f>Deletion!I271</f>
        <v>0</v>
      </c>
      <c r="Q973" s="2">
        <f>Deletion!J271</f>
        <v>0</v>
      </c>
      <c r="R973" s="2">
        <f>Deletion!K271</f>
        <v>0</v>
      </c>
      <c r="S973" s="2">
        <f>Deletion!N271</f>
        <v>0</v>
      </c>
      <c r="T973" s="2">
        <f t="shared" si="34"/>
        <v>0</v>
      </c>
      <c r="U973" s="10" t="str">
        <f>IF($S973=0, "", IF(COUNTIF(Table1[Amino Acid Change], $S973)=0, "Missing", "Y"))</f>
        <v/>
      </c>
      <c r="V973" s="10">
        <f t="shared" si="35"/>
        <v>0</v>
      </c>
    </row>
    <row r="974" spans="9:22" x14ac:dyDescent="0.25">
      <c r="I974" s="2">
        <f>Deletion!A272</f>
        <v>0</v>
      </c>
      <c r="J974" s="2">
        <f>Deletion!B272</f>
        <v>0</v>
      </c>
      <c r="K974" s="2">
        <f>Deletion!C272</f>
        <v>0</v>
      </c>
      <c r="L974" s="2">
        <f>Deletion!D272</f>
        <v>0</v>
      </c>
      <c r="M974" s="2">
        <f>Deletion!E272</f>
        <v>0</v>
      </c>
      <c r="N974" s="2">
        <f>Deletion!G272</f>
        <v>0</v>
      </c>
      <c r="O974" s="2">
        <f>Deletion!H272</f>
        <v>0</v>
      </c>
      <c r="P974" s="2">
        <f>Deletion!I272</f>
        <v>0</v>
      </c>
      <c r="Q974" s="2">
        <f>Deletion!J272</f>
        <v>0</v>
      </c>
      <c r="R974" s="2">
        <f>Deletion!K272</f>
        <v>0</v>
      </c>
      <c r="S974" s="2">
        <f>Deletion!N272</f>
        <v>0</v>
      </c>
      <c r="T974" s="2">
        <f t="shared" si="34"/>
        <v>0</v>
      </c>
      <c r="U974" s="10" t="str">
        <f>IF($S974=0, "", IF(COUNTIF(Table1[Amino Acid Change], $S974)=0, "Missing", "Y"))</f>
        <v/>
      </c>
      <c r="V974" s="10">
        <f t="shared" si="35"/>
        <v>0</v>
      </c>
    </row>
    <row r="975" spans="9:22" x14ac:dyDescent="0.25">
      <c r="I975" s="2">
        <f>Deletion!A273</f>
        <v>0</v>
      </c>
      <c r="J975" s="2">
        <f>Deletion!B273</f>
        <v>0</v>
      </c>
      <c r="K975" s="2">
        <f>Deletion!C273</f>
        <v>0</v>
      </c>
      <c r="L975" s="2">
        <f>Deletion!D273</f>
        <v>0</v>
      </c>
      <c r="M975" s="2">
        <f>Deletion!E273</f>
        <v>0</v>
      </c>
      <c r="N975" s="2">
        <f>Deletion!G273</f>
        <v>0</v>
      </c>
      <c r="O975" s="2">
        <f>Deletion!H273</f>
        <v>0</v>
      </c>
      <c r="P975" s="2">
        <f>Deletion!I273</f>
        <v>0</v>
      </c>
      <c r="Q975" s="2">
        <f>Deletion!J273</f>
        <v>0</v>
      </c>
      <c r="R975" s="2">
        <f>Deletion!K273</f>
        <v>0</v>
      </c>
      <c r="S975" s="2">
        <f>Deletion!N273</f>
        <v>0</v>
      </c>
      <c r="T975" s="2">
        <f t="shared" si="34"/>
        <v>0</v>
      </c>
      <c r="U975" s="10" t="str">
        <f>IF($S975=0, "", IF(COUNTIF(Table1[Amino Acid Change], $S975)=0, "Missing", "Y"))</f>
        <v/>
      </c>
      <c r="V975" s="10">
        <f t="shared" si="35"/>
        <v>0</v>
      </c>
    </row>
    <row r="976" spans="9:22" x14ac:dyDescent="0.25">
      <c r="I976" s="2">
        <f>Deletion!A274</f>
        <v>0</v>
      </c>
      <c r="J976" s="2">
        <f>Deletion!B274</f>
        <v>0</v>
      </c>
      <c r="K976" s="2">
        <f>Deletion!C274</f>
        <v>0</v>
      </c>
      <c r="L976" s="2">
        <f>Deletion!D274</f>
        <v>0</v>
      </c>
      <c r="M976" s="2">
        <f>Deletion!E274</f>
        <v>0</v>
      </c>
      <c r="N976" s="2">
        <f>Deletion!G274</f>
        <v>0</v>
      </c>
      <c r="O976" s="2">
        <f>Deletion!H274</f>
        <v>0</v>
      </c>
      <c r="P976" s="2">
        <f>Deletion!I274</f>
        <v>0</v>
      </c>
      <c r="Q976" s="2">
        <f>Deletion!J274</f>
        <v>0</v>
      </c>
      <c r="R976" s="2">
        <f>Deletion!K274</f>
        <v>0</v>
      </c>
      <c r="S976" s="2">
        <f>Deletion!N274</f>
        <v>0</v>
      </c>
      <c r="T976" s="2">
        <f t="shared" si="34"/>
        <v>0</v>
      </c>
      <c r="U976" s="10" t="str">
        <f>IF($S976=0, "", IF(COUNTIF(Table1[Amino Acid Change], $S976)=0, "Missing", "Y"))</f>
        <v/>
      </c>
      <c r="V976" s="10">
        <f t="shared" si="35"/>
        <v>0</v>
      </c>
    </row>
    <row r="977" spans="9:22" x14ac:dyDescent="0.25">
      <c r="I977" s="2">
        <f>Deletion!A275</f>
        <v>0</v>
      </c>
      <c r="J977" s="2">
        <f>Deletion!B275</f>
        <v>0</v>
      </c>
      <c r="K977" s="2">
        <f>Deletion!C275</f>
        <v>0</v>
      </c>
      <c r="L977" s="2">
        <f>Deletion!D275</f>
        <v>0</v>
      </c>
      <c r="M977" s="2">
        <f>Deletion!E275</f>
        <v>0</v>
      </c>
      <c r="N977" s="2">
        <f>Deletion!G275</f>
        <v>0</v>
      </c>
      <c r="O977" s="2">
        <f>Deletion!H275</f>
        <v>0</v>
      </c>
      <c r="P977" s="2">
        <f>Deletion!I275</f>
        <v>0</v>
      </c>
      <c r="Q977" s="2">
        <f>Deletion!J275</f>
        <v>0</v>
      </c>
      <c r="R977" s="2">
        <f>Deletion!K275</f>
        <v>0</v>
      </c>
      <c r="S977" s="2">
        <f>Deletion!N275</f>
        <v>0</v>
      </c>
      <c r="T977" s="2">
        <f t="shared" si="34"/>
        <v>0</v>
      </c>
      <c r="U977" s="10" t="str">
        <f>IF($S977=0, "", IF(COUNTIF(Table1[Amino Acid Change], $S977)=0, "Missing", "Y"))</f>
        <v/>
      </c>
      <c r="V977" s="10">
        <f t="shared" si="35"/>
        <v>0</v>
      </c>
    </row>
    <row r="978" spans="9:22" x14ac:dyDescent="0.25">
      <c r="I978" s="2">
        <f>Deletion!A276</f>
        <v>0</v>
      </c>
      <c r="J978" s="2">
        <f>Deletion!B276</f>
        <v>0</v>
      </c>
      <c r="K978" s="2">
        <f>Deletion!C276</f>
        <v>0</v>
      </c>
      <c r="L978" s="2">
        <f>Deletion!D276</f>
        <v>0</v>
      </c>
      <c r="M978" s="2">
        <f>Deletion!E276</f>
        <v>0</v>
      </c>
      <c r="N978" s="2">
        <f>Deletion!G276</f>
        <v>0</v>
      </c>
      <c r="O978" s="2">
        <f>Deletion!H276</f>
        <v>0</v>
      </c>
      <c r="P978" s="2">
        <f>Deletion!I276</f>
        <v>0</v>
      </c>
      <c r="Q978" s="2">
        <f>Deletion!J276</f>
        <v>0</v>
      </c>
      <c r="R978" s="2">
        <f>Deletion!K276</f>
        <v>0</v>
      </c>
      <c r="S978" s="2">
        <f>Deletion!N276</f>
        <v>0</v>
      </c>
      <c r="T978" s="2">
        <f t="shared" si="34"/>
        <v>0</v>
      </c>
      <c r="U978" s="10" t="str">
        <f>IF($S978=0, "", IF(COUNTIF(Table1[Amino Acid Change], $S978)=0, "Missing", "Y"))</f>
        <v/>
      </c>
      <c r="V978" s="10">
        <f t="shared" si="35"/>
        <v>0</v>
      </c>
    </row>
    <row r="979" spans="9:22" x14ac:dyDescent="0.25">
      <c r="I979" s="2">
        <f>Deletion!A277</f>
        <v>0</v>
      </c>
      <c r="J979" s="2">
        <f>Deletion!B277</f>
        <v>0</v>
      </c>
      <c r="K979" s="2">
        <f>Deletion!C277</f>
        <v>0</v>
      </c>
      <c r="L979" s="2">
        <f>Deletion!D277</f>
        <v>0</v>
      </c>
      <c r="M979" s="2">
        <f>Deletion!E277</f>
        <v>0</v>
      </c>
      <c r="N979" s="2">
        <f>Deletion!G277</f>
        <v>0</v>
      </c>
      <c r="O979" s="2">
        <f>Deletion!H277</f>
        <v>0</v>
      </c>
      <c r="P979" s="2">
        <f>Deletion!I277</f>
        <v>0</v>
      </c>
      <c r="Q979" s="2">
        <f>Deletion!J277</f>
        <v>0</v>
      </c>
      <c r="R979" s="2">
        <f>Deletion!K277</f>
        <v>0</v>
      </c>
      <c r="S979" s="2">
        <f>Deletion!N277</f>
        <v>0</v>
      </c>
      <c r="T979" s="2">
        <f t="shared" si="34"/>
        <v>0</v>
      </c>
      <c r="U979" s="10" t="str">
        <f>IF($S979=0, "", IF(COUNTIF(Table1[Amino Acid Change], $S979)=0, "Missing", "Y"))</f>
        <v/>
      </c>
      <c r="V979" s="10">
        <f t="shared" si="35"/>
        <v>0</v>
      </c>
    </row>
    <row r="980" spans="9:22" x14ac:dyDescent="0.25">
      <c r="I980" s="2">
        <f>Deletion!A278</f>
        <v>0</v>
      </c>
      <c r="J980" s="2">
        <f>Deletion!B278</f>
        <v>0</v>
      </c>
      <c r="K980" s="2">
        <f>Deletion!C278</f>
        <v>0</v>
      </c>
      <c r="L980" s="2">
        <f>Deletion!D278</f>
        <v>0</v>
      </c>
      <c r="M980" s="2">
        <f>Deletion!E278</f>
        <v>0</v>
      </c>
      <c r="N980" s="2">
        <f>Deletion!G278</f>
        <v>0</v>
      </c>
      <c r="O980" s="2">
        <f>Deletion!H278</f>
        <v>0</v>
      </c>
      <c r="P980" s="2">
        <f>Deletion!I278</f>
        <v>0</v>
      </c>
      <c r="Q980" s="2">
        <f>Deletion!J278</f>
        <v>0</v>
      </c>
      <c r="R980" s="2">
        <f>Deletion!K278</f>
        <v>0</v>
      </c>
      <c r="S980" s="2">
        <f>Deletion!N278</f>
        <v>0</v>
      </c>
      <c r="T980" s="2">
        <f t="shared" si="34"/>
        <v>0</v>
      </c>
      <c r="U980" s="10" t="str">
        <f>IF($S980=0, "", IF(COUNTIF(Table1[Amino Acid Change], $S980)=0, "Missing", "Y"))</f>
        <v/>
      </c>
      <c r="V980" s="10">
        <f t="shared" si="35"/>
        <v>0</v>
      </c>
    </row>
  </sheetData>
  <mergeCells count="1">
    <mergeCell ref="E62:E64"/>
  </mergeCells>
  <conditionalFormatting sqref="E7:E61">
    <cfRule type="cellIs" dxfId="13" priority="5" operator="equal">
      <formula>"Inspect"</formula>
    </cfRule>
  </conditionalFormatting>
  <pageMargins left="0.7" right="0.7" top="0.75" bottom="0.75" header="0.3" footer="0.3"/>
  <pageSetup scale="5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DataTabs">
                <anchor moveWithCells="1">
                  <from>
                    <xdr:col>23</xdr:col>
                    <xdr:colOff>200025</xdr:colOff>
                    <xdr:row>11</xdr:row>
                    <xdr:rowOff>209550</xdr:rowOff>
                  </from>
                  <to>
                    <xdr:col>28</xdr:col>
                    <xdr:colOff>542925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DataTabs">
                <anchor moveWithCells="1">
                  <from>
                    <xdr:col>23</xdr:col>
                    <xdr:colOff>238125</xdr:colOff>
                    <xdr:row>16</xdr:row>
                    <xdr:rowOff>200025</xdr:rowOff>
                  </from>
                  <to>
                    <xdr:col>28</xdr:col>
                    <xdr:colOff>571500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2"/>
  <sheetViews>
    <sheetView workbookViewId="0">
      <selection sqref="A1:XFD1048576"/>
    </sheetView>
  </sheetViews>
  <sheetFormatPr defaultRowHeight="15" x14ac:dyDescent="0.25"/>
  <sheetData>
    <row r="1" spans="1:15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15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15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5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5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5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5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</row>
    <row r="16" spans="1:15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5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</row>
    <row r="28" spans="1:15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</row>
    <row r="29" spans="1:15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</row>
    <row r="30" spans="1:15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</row>
    <row r="31" spans="1:15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</row>
    <row r="32" spans="1:15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</row>
    <row r="33" spans="1:15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</row>
    <row r="34" spans="1:15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</row>
    <row r="35" spans="1:15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</row>
    <row r="36" spans="1:15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</row>
    <row r="37" spans="1:15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</row>
    <row r="38" spans="1:15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</row>
    <row r="39" spans="1:15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</row>
    <row r="40" spans="1:15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</row>
    <row r="41" spans="1:15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</row>
    <row r="42" spans="1:15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</row>
  </sheetData>
  <conditionalFormatting sqref="I1:I1048576">
    <cfRule type="cellIs" dxfId="2" priority="1" operator="lessThan">
      <formula>0.7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1"/>
  <sheetViews>
    <sheetView zoomScale="70" zoomScaleNormal="70" workbookViewId="0">
      <selection sqref="A1:XFD1048576"/>
    </sheetView>
  </sheetViews>
  <sheetFormatPr defaultRowHeight="15" x14ac:dyDescent="0.25"/>
  <sheetData>
    <row r="1" spans="1:15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15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15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5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5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5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5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</row>
    <row r="16" spans="1:15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5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</row>
    <row r="28" spans="1:15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</row>
    <row r="29" spans="1:15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</row>
    <row r="30" spans="1:15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</row>
    <row r="31" spans="1:15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</row>
  </sheetData>
  <conditionalFormatting sqref="I1:I1048576">
    <cfRule type="cellIs" dxfId="1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2"/>
  <sheetViews>
    <sheetView workbookViewId="0">
      <selection sqref="A1:XFD1048576"/>
    </sheetView>
  </sheetViews>
  <sheetFormatPr defaultRowHeight="15" x14ac:dyDescent="0.25"/>
  <sheetData>
    <row r="1" spans="1:15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15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15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5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146"/>
  <sheetViews>
    <sheetView workbookViewId="0">
      <selection sqref="A1:XFD1048576"/>
    </sheetView>
  </sheetViews>
  <sheetFormatPr defaultRowHeight="15" x14ac:dyDescent="0.25"/>
  <sheetData>
    <row r="1" spans="1:3" ht="23.25" x14ac:dyDescent="0.35">
      <c r="A1" s="18"/>
    </row>
    <row r="2" spans="1:3" ht="20.25" x14ac:dyDescent="0.3">
      <c r="A2" s="19"/>
    </row>
    <row r="3" spans="1:3" x14ac:dyDescent="0.25">
      <c r="A3" s="13"/>
      <c r="B3" s="13"/>
    </row>
    <row r="4" spans="1:3" x14ac:dyDescent="0.25">
      <c r="A4" s="13"/>
      <c r="B4" s="13"/>
    </row>
    <row r="5" spans="1:3" x14ac:dyDescent="0.25">
      <c r="A5" s="13"/>
      <c r="B5" s="13"/>
    </row>
    <row r="6" spans="1:3" x14ac:dyDescent="0.25">
      <c r="A6" s="13"/>
      <c r="B6" s="13"/>
    </row>
    <row r="7" spans="1:3" x14ac:dyDescent="0.25">
      <c r="A7" s="13"/>
      <c r="B7" s="13"/>
    </row>
    <row r="8" spans="1:3" x14ac:dyDescent="0.25">
      <c r="A8" s="13"/>
      <c r="B8" s="13"/>
    </row>
    <row r="9" spans="1:3" x14ac:dyDescent="0.25">
      <c r="A9" s="13"/>
      <c r="B9" s="13"/>
    </row>
    <row r="13" spans="1:3" ht="20.25" x14ac:dyDescent="0.3">
      <c r="A13" s="19"/>
    </row>
    <row r="14" spans="1:3" x14ac:dyDescent="0.25">
      <c r="A14" s="14"/>
      <c r="B14" s="14"/>
      <c r="C14" s="14"/>
    </row>
    <row r="15" spans="1:3" x14ac:dyDescent="0.25">
      <c r="A15" s="13"/>
      <c r="B15" s="13"/>
      <c r="C15" s="13"/>
    </row>
    <row r="16" spans="1:3" x14ac:dyDescent="0.25">
      <c r="A16" s="13"/>
      <c r="B16" s="13"/>
      <c r="C16" s="13"/>
    </row>
    <row r="17" spans="1:3" x14ac:dyDescent="0.25">
      <c r="A17" s="13"/>
      <c r="B17" s="13"/>
      <c r="C17" s="13"/>
    </row>
    <row r="18" spans="1:3" x14ac:dyDescent="0.25">
      <c r="A18" s="13"/>
      <c r="B18" s="13"/>
      <c r="C18" s="13"/>
    </row>
    <row r="19" spans="1:3" x14ac:dyDescent="0.25">
      <c r="A19" s="13"/>
      <c r="B19" s="13"/>
      <c r="C19" s="13"/>
    </row>
    <row r="20" spans="1:3" x14ac:dyDescent="0.25">
      <c r="A20" s="13"/>
      <c r="B20" s="13"/>
      <c r="C20" s="13"/>
    </row>
    <row r="21" spans="1:3" x14ac:dyDescent="0.25">
      <c r="A21" s="13"/>
      <c r="B21" s="13"/>
      <c r="C21" s="13"/>
    </row>
    <row r="22" spans="1:3" x14ac:dyDescent="0.25">
      <c r="A22" s="13"/>
      <c r="B22" s="13"/>
      <c r="C22" s="13"/>
    </row>
    <row r="23" spans="1:3" x14ac:dyDescent="0.25">
      <c r="A23" s="13"/>
      <c r="B23" s="13"/>
      <c r="C23" s="13"/>
    </row>
    <row r="24" spans="1:3" x14ac:dyDescent="0.25">
      <c r="A24" s="13"/>
      <c r="B24" s="13"/>
      <c r="C24" s="13"/>
    </row>
    <row r="25" spans="1:3" x14ac:dyDescent="0.25">
      <c r="A25" s="13"/>
      <c r="B25" s="13"/>
      <c r="C25" s="13"/>
    </row>
    <row r="27" spans="1:3" ht="20.25" x14ac:dyDescent="0.3">
      <c r="A27" s="19"/>
    </row>
    <row r="28" spans="1:3" x14ac:dyDescent="0.25">
      <c r="A28" s="14"/>
      <c r="B28" s="14"/>
    </row>
    <row r="29" spans="1:3" x14ac:dyDescent="0.25">
      <c r="A29" s="13"/>
      <c r="B29" s="13"/>
    </row>
    <row r="30" spans="1:3" x14ac:dyDescent="0.25">
      <c r="A30" s="13"/>
      <c r="B30" s="13"/>
    </row>
    <row r="31" spans="1:3" x14ac:dyDescent="0.25">
      <c r="A31" s="13"/>
      <c r="B31" s="13"/>
    </row>
    <row r="32" spans="1:3" x14ac:dyDescent="0.25">
      <c r="A32" s="13"/>
      <c r="B32" s="13"/>
    </row>
    <row r="33" spans="1:2" x14ac:dyDescent="0.25">
      <c r="A33" s="13"/>
      <c r="B33" s="13"/>
    </row>
    <row r="34" spans="1:2" x14ac:dyDescent="0.25">
      <c r="A34" s="13"/>
      <c r="B34" s="13"/>
    </row>
    <row r="35" spans="1:2" x14ac:dyDescent="0.25">
      <c r="A35" s="13"/>
      <c r="B35" s="13"/>
    </row>
    <row r="36" spans="1:2" x14ac:dyDescent="0.25">
      <c r="A36" s="13"/>
      <c r="B36" s="13"/>
    </row>
    <row r="37" spans="1:2" x14ac:dyDescent="0.25">
      <c r="A37" s="13"/>
      <c r="B37" s="13"/>
    </row>
    <row r="38" spans="1:2" x14ac:dyDescent="0.25">
      <c r="A38" s="13"/>
      <c r="B38" s="13"/>
    </row>
    <row r="39" spans="1:2" x14ac:dyDescent="0.25">
      <c r="A39" s="13"/>
      <c r="B39" s="13"/>
    </row>
    <row r="40" spans="1:2" x14ac:dyDescent="0.25">
      <c r="A40" s="13"/>
      <c r="B40" s="13"/>
    </row>
    <row r="41" spans="1:2" x14ac:dyDescent="0.25">
      <c r="A41" s="13"/>
      <c r="B41" s="13"/>
    </row>
    <row r="42" spans="1:2" x14ac:dyDescent="0.25">
      <c r="A42" s="13"/>
      <c r="B42" s="13"/>
    </row>
    <row r="43" spans="1:2" x14ac:dyDescent="0.25">
      <c r="A43" s="13"/>
      <c r="B43" s="13"/>
    </row>
    <row r="44" spans="1:2" x14ac:dyDescent="0.25">
      <c r="A44" s="13"/>
      <c r="B44" s="13"/>
    </row>
    <row r="45" spans="1:2" x14ac:dyDescent="0.25">
      <c r="A45" s="13"/>
      <c r="B45" s="13"/>
    </row>
    <row r="46" spans="1:2" x14ac:dyDescent="0.25">
      <c r="A46" s="13"/>
      <c r="B46" s="13"/>
    </row>
    <row r="47" spans="1:2" x14ac:dyDescent="0.25">
      <c r="A47" s="13"/>
      <c r="B47" s="13"/>
    </row>
    <row r="48" spans="1:2" x14ac:dyDescent="0.25">
      <c r="A48" s="13"/>
      <c r="B48" s="13"/>
    </row>
    <row r="49" spans="1:2" x14ac:dyDescent="0.25">
      <c r="A49" s="13"/>
      <c r="B49" s="13"/>
    </row>
    <row r="50" spans="1:2" x14ac:dyDescent="0.25">
      <c r="A50" s="13"/>
      <c r="B50" s="13"/>
    </row>
    <row r="51" spans="1:2" x14ac:dyDescent="0.25">
      <c r="A51" s="13"/>
      <c r="B51" s="13"/>
    </row>
    <row r="52" spans="1:2" x14ac:dyDescent="0.25">
      <c r="A52" s="13"/>
      <c r="B52" s="13"/>
    </row>
    <row r="53" spans="1:2" x14ac:dyDescent="0.25">
      <c r="A53" s="13"/>
      <c r="B53" s="13"/>
    </row>
    <row r="54" spans="1:2" x14ac:dyDescent="0.25">
      <c r="A54" s="13"/>
      <c r="B54" s="13"/>
    </row>
    <row r="55" spans="1:2" x14ac:dyDescent="0.25">
      <c r="A55" s="13"/>
      <c r="B55" s="13"/>
    </row>
    <row r="56" spans="1:2" x14ac:dyDescent="0.25">
      <c r="A56" s="13"/>
      <c r="B56" s="13"/>
    </row>
    <row r="57" spans="1:2" x14ac:dyDescent="0.25">
      <c r="A57" s="13"/>
      <c r="B57" s="13"/>
    </row>
    <row r="58" spans="1:2" x14ac:dyDescent="0.25">
      <c r="A58" s="13"/>
      <c r="B58" s="13"/>
    </row>
    <row r="59" spans="1:2" x14ac:dyDescent="0.25">
      <c r="A59" s="13"/>
      <c r="B59" s="13"/>
    </row>
    <row r="60" spans="1:2" x14ac:dyDescent="0.25">
      <c r="A60" s="13"/>
      <c r="B60" s="13"/>
    </row>
    <row r="61" spans="1:2" x14ac:dyDescent="0.25">
      <c r="A61" s="13"/>
      <c r="B61" s="13"/>
    </row>
    <row r="62" spans="1:2" x14ac:dyDescent="0.25">
      <c r="A62" s="13"/>
      <c r="B62" s="13"/>
    </row>
    <row r="63" spans="1:2" x14ac:dyDescent="0.25">
      <c r="A63" s="13"/>
      <c r="B63" s="13"/>
    </row>
    <row r="64" spans="1:2" x14ac:dyDescent="0.25">
      <c r="A64" s="13"/>
      <c r="B64" s="13"/>
    </row>
    <row r="65" spans="1:2" x14ac:dyDescent="0.25">
      <c r="A65" s="13"/>
      <c r="B65" s="13"/>
    </row>
    <row r="66" spans="1:2" x14ac:dyDescent="0.25">
      <c r="A66" s="13"/>
      <c r="B66" s="13"/>
    </row>
    <row r="67" spans="1:2" x14ac:dyDescent="0.25">
      <c r="A67" s="13"/>
      <c r="B67" s="13"/>
    </row>
    <row r="68" spans="1:2" x14ac:dyDescent="0.25">
      <c r="A68" s="13"/>
      <c r="B68" s="13"/>
    </row>
    <row r="69" spans="1:2" x14ac:dyDescent="0.25">
      <c r="A69" s="13"/>
      <c r="B69" s="13"/>
    </row>
    <row r="70" spans="1:2" x14ac:dyDescent="0.25">
      <c r="A70" s="13"/>
      <c r="B70" s="13"/>
    </row>
    <row r="71" spans="1:2" x14ac:dyDescent="0.25">
      <c r="A71" s="13"/>
      <c r="B71" s="13"/>
    </row>
    <row r="72" spans="1:2" x14ac:dyDescent="0.25">
      <c r="A72" s="13"/>
      <c r="B72" s="13"/>
    </row>
    <row r="73" spans="1:2" x14ac:dyDescent="0.25">
      <c r="A73" s="13"/>
      <c r="B73" s="13"/>
    </row>
    <row r="74" spans="1:2" x14ac:dyDescent="0.25">
      <c r="A74" s="13"/>
      <c r="B74" s="13"/>
    </row>
    <row r="75" spans="1:2" x14ac:dyDescent="0.25">
      <c r="A75" s="13"/>
      <c r="B75" s="13"/>
    </row>
    <row r="76" spans="1:2" x14ac:dyDescent="0.25">
      <c r="A76" s="13"/>
      <c r="B76" s="13"/>
    </row>
    <row r="77" spans="1:2" x14ac:dyDescent="0.25">
      <c r="A77" s="13"/>
      <c r="B77" s="13"/>
    </row>
    <row r="78" spans="1:2" x14ac:dyDescent="0.25">
      <c r="A78" s="13"/>
      <c r="B78" s="13"/>
    </row>
    <row r="79" spans="1:2" x14ac:dyDescent="0.25">
      <c r="A79" s="13"/>
      <c r="B79" s="13"/>
    </row>
    <row r="82" spans="1:2" ht="20.25" x14ac:dyDescent="0.3">
      <c r="A82" s="19"/>
    </row>
    <row r="83" spans="1:2" x14ac:dyDescent="0.25">
      <c r="A83" s="14"/>
      <c r="B83" s="14"/>
    </row>
    <row r="84" spans="1:2" x14ac:dyDescent="0.25">
      <c r="A84" s="13"/>
      <c r="B84" s="13"/>
    </row>
    <row r="85" spans="1:2" x14ac:dyDescent="0.25">
      <c r="A85" s="13"/>
      <c r="B85" s="13"/>
    </row>
    <row r="86" spans="1:2" x14ac:dyDescent="0.25">
      <c r="A86" s="13"/>
      <c r="B86" s="13"/>
    </row>
    <row r="87" spans="1:2" x14ac:dyDescent="0.25">
      <c r="A87" s="13"/>
      <c r="B87" s="13"/>
    </row>
    <row r="88" spans="1:2" x14ac:dyDescent="0.25">
      <c r="A88" s="13"/>
      <c r="B88" s="13"/>
    </row>
    <row r="89" spans="1:2" x14ac:dyDescent="0.25">
      <c r="A89" s="13"/>
      <c r="B89" s="13"/>
    </row>
    <row r="90" spans="1:2" x14ac:dyDescent="0.25">
      <c r="A90" s="13"/>
      <c r="B90" s="13"/>
    </row>
    <row r="91" spans="1:2" x14ac:dyDescent="0.25">
      <c r="A91" s="13"/>
      <c r="B91" s="13"/>
    </row>
    <row r="92" spans="1:2" x14ac:dyDescent="0.25">
      <c r="A92" s="13"/>
      <c r="B92" s="13"/>
    </row>
    <row r="93" spans="1:2" x14ac:dyDescent="0.25">
      <c r="A93" s="13"/>
      <c r="B93" s="13"/>
    </row>
    <row r="94" spans="1:2" x14ac:dyDescent="0.25">
      <c r="A94" s="13"/>
      <c r="B94" s="13"/>
    </row>
    <row r="95" spans="1:2" x14ac:dyDescent="0.25">
      <c r="A95" s="13"/>
      <c r="B95" s="13"/>
    </row>
    <row r="96" spans="1:2" x14ac:dyDescent="0.25">
      <c r="A96" s="13"/>
      <c r="B96" s="13"/>
    </row>
    <row r="97" spans="1:2" x14ac:dyDescent="0.25">
      <c r="A97" s="13"/>
      <c r="B97" s="13"/>
    </row>
    <row r="98" spans="1:2" x14ac:dyDescent="0.25">
      <c r="A98" s="13"/>
      <c r="B98" s="13"/>
    </row>
    <row r="99" spans="1:2" x14ac:dyDescent="0.25">
      <c r="A99" s="13"/>
      <c r="B99" s="13"/>
    </row>
    <row r="100" spans="1:2" x14ac:dyDescent="0.25">
      <c r="A100" s="13"/>
      <c r="B100" s="13"/>
    </row>
    <row r="101" spans="1:2" x14ac:dyDescent="0.25">
      <c r="A101" s="13"/>
      <c r="B101" s="13"/>
    </row>
    <row r="102" spans="1:2" x14ac:dyDescent="0.25">
      <c r="A102" s="13"/>
      <c r="B102" s="13"/>
    </row>
    <row r="103" spans="1:2" x14ac:dyDescent="0.25">
      <c r="A103" s="13"/>
      <c r="B103" s="13"/>
    </row>
    <row r="104" spans="1:2" x14ac:dyDescent="0.25">
      <c r="A104" s="13"/>
      <c r="B104" s="13"/>
    </row>
    <row r="105" spans="1:2" x14ac:dyDescent="0.25">
      <c r="A105" s="13"/>
      <c r="B105" s="13"/>
    </row>
    <row r="106" spans="1:2" x14ac:dyDescent="0.25">
      <c r="A106" s="13"/>
      <c r="B106" s="13"/>
    </row>
    <row r="107" spans="1:2" x14ac:dyDescent="0.25">
      <c r="A107" s="13"/>
      <c r="B107" s="13"/>
    </row>
    <row r="108" spans="1:2" x14ac:dyDescent="0.25">
      <c r="A108" s="13"/>
      <c r="B108" s="13"/>
    </row>
    <row r="109" spans="1:2" x14ac:dyDescent="0.25">
      <c r="A109" s="13"/>
      <c r="B109" s="13"/>
    </row>
    <row r="110" spans="1:2" x14ac:dyDescent="0.25">
      <c r="A110" s="13"/>
      <c r="B110" s="13"/>
    </row>
    <row r="111" spans="1:2" x14ac:dyDescent="0.25">
      <c r="A111" s="13"/>
      <c r="B111" s="13"/>
    </row>
    <row r="112" spans="1:2" x14ac:dyDescent="0.25">
      <c r="A112" s="13"/>
      <c r="B112" s="13"/>
    </row>
    <row r="113" spans="1:2" x14ac:dyDescent="0.25">
      <c r="A113" s="13"/>
      <c r="B113" s="13"/>
    </row>
    <row r="114" spans="1:2" x14ac:dyDescent="0.25">
      <c r="A114" s="13"/>
      <c r="B114" s="13"/>
    </row>
    <row r="115" spans="1:2" x14ac:dyDescent="0.25">
      <c r="A115" s="13"/>
      <c r="B115" s="13"/>
    </row>
    <row r="116" spans="1:2" x14ac:dyDescent="0.25">
      <c r="A116" s="13"/>
      <c r="B116" s="13"/>
    </row>
    <row r="117" spans="1:2" x14ac:dyDescent="0.25">
      <c r="A117" s="13"/>
      <c r="B117" s="13"/>
    </row>
    <row r="118" spans="1:2" x14ac:dyDescent="0.25">
      <c r="A118" s="13"/>
      <c r="B118" s="13"/>
    </row>
    <row r="119" spans="1:2" x14ac:dyDescent="0.25">
      <c r="A119" s="13"/>
      <c r="B119" s="13"/>
    </row>
    <row r="120" spans="1:2" x14ac:dyDescent="0.25">
      <c r="A120" s="13"/>
      <c r="B120" s="13"/>
    </row>
    <row r="121" spans="1:2" x14ac:dyDescent="0.25">
      <c r="A121" s="13"/>
      <c r="B121" s="13"/>
    </row>
    <row r="122" spans="1:2" x14ac:dyDescent="0.25">
      <c r="A122" s="13"/>
      <c r="B122" s="13"/>
    </row>
    <row r="123" spans="1:2" x14ac:dyDescent="0.25">
      <c r="A123" s="13"/>
      <c r="B123" s="13"/>
    </row>
    <row r="124" spans="1:2" x14ac:dyDescent="0.25">
      <c r="A124" s="13"/>
      <c r="B124" s="13"/>
    </row>
    <row r="125" spans="1:2" x14ac:dyDescent="0.25">
      <c r="A125" s="13"/>
      <c r="B125" s="13"/>
    </row>
    <row r="126" spans="1:2" x14ac:dyDescent="0.25">
      <c r="A126" s="13"/>
      <c r="B126" s="13"/>
    </row>
    <row r="127" spans="1:2" x14ac:dyDescent="0.25">
      <c r="A127" s="13"/>
      <c r="B127" s="13"/>
    </row>
    <row r="128" spans="1:2" x14ac:dyDescent="0.25">
      <c r="A128" s="13"/>
      <c r="B128" s="13"/>
    </row>
    <row r="129" spans="1:2" x14ac:dyDescent="0.25">
      <c r="A129" s="13"/>
      <c r="B129" s="13"/>
    </row>
    <row r="130" spans="1:2" x14ac:dyDescent="0.25">
      <c r="A130" s="13"/>
      <c r="B130" s="13"/>
    </row>
    <row r="131" spans="1:2" x14ac:dyDescent="0.25">
      <c r="A131" s="13"/>
      <c r="B131" s="13"/>
    </row>
    <row r="132" spans="1:2" x14ac:dyDescent="0.25">
      <c r="A132" s="13"/>
      <c r="B132" s="13"/>
    </row>
    <row r="133" spans="1:2" x14ac:dyDescent="0.25">
      <c r="A133" s="13"/>
      <c r="B133" s="13"/>
    </row>
    <row r="134" spans="1:2" x14ac:dyDescent="0.25">
      <c r="A134" s="13"/>
      <c r="B134" s="13"/>
    </row>
    <row r="135" spans="1:2" x14ac:dyDescent="0.25">
      <c r="A135" s="13"/>
      <c r="B135" s="13"/>
    </row>
    <row r="136" spans="1:2" x14ac:dyDescent="0.25">
      <c r="A136" s="13"/>
      <c r="B136" s="13"/>
    </row>
    <row r="137" spans="1:2" x14ac:dyDescent="0.25">
      <c r="A137" s="13"/>
      <c r="B137" s="13"/>
    </row>
    <row r="138" spans="1:2" x14ac:dyDescent="0.25">
      <c r="A138" s="13"/>
      <c r="B138" s="13"/>
    </row>
    <row r="139" spans="1:2" x14ac:dyDescent="0.25">
      <c r="A139" s="13"/>
      <c r="B139" s="13"/>
    </row>
    <row r="140" spans="1:2" x14ac:dyDescent="0.25">
      <c r="A140" s="13"/>
      <c r="B140" s="13"/>
    </row>
    <row r="141" spans="1:2" x14ac:dyDescent="0.25">
      <c r="A141" s="13"/>
      <c r="B141" s="13"/>
    </row>
    <row r="142" spans="1:2" x14ac:dyDescent="0.25">
      <c r="A142" s="13"/>
      <c r="B142" s="13"/>
    </row>
    <row r="143" spans="1:2" x14ac:dyDescent="0.25">
      <c r="A143" s="13"/>
      <c r="B143" s="13"/>
    </row>
    <row r="144" spans="1:2" x14ac:dyDescent="0.25">
      <c r="A144" s="13"/>
      <c r="B144" s="13"/>
    </row>
    <row r="145" spans="1:2" x14ac:dyDescent="0.25">
      <c r="A145" s="13"/>
      <c r="B145" s="13"/>
    </row>
    <row r="146" spans="1:2" x14ac:dyDescent="0.25">
      <c r="A146" s="13"/>
      <c r="B146" s="13"/>
    </row>
    <row r="147" spans="1:2" x14ac:dyDescent="0.25">
      <c r="A147" s="13"/>
      <c r="B147" s="13"/>
    </row>
    <row r="148" spans="1:2" x14ac:dyDescent="0.25">
      <c r="A148" s="13"/>
      <c r="B148" s="13"/>
    </row>
    <row r="149" spans="1:2" x14ac:dyDescent="0.25">
      <c r="A149" s="13"/>
      <c r="B149" s="13"/>
    </row>
    <row r="150" spans="1:2" x14ac:dyDescent="0.25">
      <c r="A150" s="13"/>
      <c r="B150" s="13"/>
    </row>
    <row r="151" spans="1:2" x14ac:dyDescent="0.25">
      <c r="A151" s="13"/>
      <c r="B151" s="13"/>
    </row>
    <row r="152" spans="1:2" x14ac:dyDescent="0.25">
      <c r="A152" s="13"/>
      <c r="B152" s="13"/>
    </row>
    <row r="153" spans="1:2" x14ac:dyDescent="0.25">
      <c r="A153" s="13"/>
      <c r="B153" s="13"/>
    </row>
    <row r="154" spans="1:2" x14ac:dyDescent="0.25">
      <c r="A154" s="13"/>
      <c r="B154" s="13"/>
    </row>
    <row r="155" spans="1:2" x14ac:dyDescent="0.25">
      <c r="A155" s="13"/>
      <c r="B155" s="13"/>
    </row>
    <row r="156" spans="1:2" x14ac:dyDescent="0.25">
      <c r="A156" s="13"/>
      <c r="B156" s="13"/>
    </row>
    <row r="157" spans="1:2" x14ac:dyDescent="0.25">
      <c r="A157" s="13"/>
      <c r="B157" s="13"/>
    </row>
    <row r="160" spans="1:2" x14ac:dyDescent="0.25">
      <c r="A160" s="14"/>
      <c r="B160" s="14"/>
    </row>
    <row r="161" spans="1:2" x14ac:dyDescent="0.25">
      <c r="A161" s="13"/>
      <c r="B161" s="13"/>
    </row>
    <row r="162" spans="1:2" x14ac:dyDescent="0.25">
      <c r="A162" s="13"/>
      <c r="B162" s="13"/>
    </row>
    <row r="163" spans="1:2" x14ac:dyDescent="0.25">
      <c r="A163" s="13"/>
      <c r="B163" s="13"/>
    </row>
    <row r="164" spans="1:2" x14ac:dyDescent="0.25">
      <c r="A164" s="13"/>
      <c r="B164" s="13"/>
    </row>
    <row r="165" spans="1:2" x14ac:dyDescent="0.25">
      <c r="A165" s="13"/>
      <c r="B165" s="13"/>
    </row>
    <row r="166" spans="1:2" x14ac:dyDescent="0.25">
      <c r="A166" s="13"/>
      <c r="B166" s="13"/>
    </row>
    <row r="167" spans="1:2" x14ac:dyDescent="0.25">
      <c r="A167" s="13"/>
      <c r="B167" s="13"/>
    </row>
    <row r="168" spans="1:2" x14ac:dyDescent="0.25">
      <c r="A168" s="13"/>
      <c r="B168" s="13"/>
    </row>
    <row r="169" spans="1:2" x14ac:dyDescent="0.25">
      <c r="A169" s="13"/>
      <c r="B169" s="13"/>
    </row>
    <row r="170" spans="1:2" x14ac:dyDescent="0.25">
      <c r="A170" s="13"/>
      <c r="B170" s="13"/>
    </row>
    <row r="171" spans="1:2" x14ac:dyDescent="0.25">
      <c r="A171" s="13"/>
      <c r="B171" s="13"/>
    </row>
    <row r="172" spans="1:2" x14ac:dyDescent="0.25">
      <c r="A172" s="13"/>
      <c r="B172" s="13"/>
    </row>
    <row r="173" spans="1:2" x14ac:dyDescent="0.25">
      <c r="A173" s="13"/>
      <c r="B173" s="13"/>
    </row>
    <row r="174" spans="1:2" x14ac:dyDescent="0.25">
      <c r="A174" s="13"/>
      <c r="B174" s="13"/>
    </row>
    <row r="175" spans="1:2" x14ac:dyDescent="0.25">
      <c r="A175" s="13"/>
      <c r="B175" s="13"/>
    </row>
    <row r="176" spans="1:2" x14ac:dyDescent="0.25">
      <c r="A176" s="13"/>
      <c r="B176" s="13"/>
    </row>
    <row r="177" spans="1:2" x14ac:dyDescent="0.25">
      <c r="A177" s="13"/>
      <c r="B177" s="13"/>
    </row>
    <row r="178" spans="1:2" x14ac:dyDescent="0.25">
      <c r="A178" s="13"/>
      <c r="B178" s="13"/>
    </row>
    <row r="179" spans="1:2" x14ac:dyDescent="0.25">
      <c r="A179" s="13"/>
      <c r="B179" s="13"/>
    </row>
    <row r="180" spans="1:2" x14ac:dyDescent="0.25">
      <c r="A180" s="13"/>
      <c r="B180" s="13"/>
    </row>
    <row r="181" spans="1:2" x14ac:dyDescent="0.25">
      <c r="A181" s="13"/>
      <c r="B181" s="13"/>
    </row>
    <row r="182" spans="1:2" x14ac:dyDescent="0.25">
      <c r="A182" s="13"/>
      <c r="B182" s="13"/>
    </row>
    <row r="183" spans="1:2" x14ac:dyDescent="0.25">
      <c r="A183" s="13"/>
      <c r="B183" s="13"/>
    </row>
    <row r="184" spans="1:2" x14ac:dyDescent="0.25">
      <c r="A184" s="13"/>
      <c r="B184" s="13"/>
    </row>
    <row r="185" spans="1:2" x14ac:dyDescent="0.25">
      <c r="A185" s="13"/>
      <c r="B185" s="13"/>
    </row>
    <row r="186" spans="1:2" x14ac:dyDescent="0.25">
      <c r="A186" s="13"/>
      <c r="B186" s="13"/>
    </row>
    <row r="187" spans="1:2" x14ac:dyDescent="0.25">
      <c r="A187" s="13"/>
      <c r="B187" s="13"/>
    </row>
    <row r="188" spans="1:2" x14ac:dyDescent="0.25">
      <c r="A188" s="13"/>
      <c r="B188" s="13"/>
    </row>
    <row r="189" spans="1:2" x14ac:dyDescent="0.25">
      <c r="A189" s="13"/>
      <c r="B189" s="13"/>
    </row>
    <row r="190" spans="1:2" x14ac:dyDescent="0.25">
      <c r="A190" s="13"/>
      <c r="B190" s="13"/>
    </row>
    <row r="191" spans="1:2" x14ac:dyDescent="0.25">
      <c r="A191" s="13"/>
      <c r="B191" s="13"/>
    </row>
    <row r="192" spans="1:2" x14ac:dyDescent="0.25">
      <c r="A192" s="13"/>
      <c r="B192" s="13"/>
    </row>
    <row r="193" spans="1:2" x14ac:dyDescent="0.25">
      <c r="A193" s="13"/>
      <c r="B193" s="13"/>
    </row>
    <row r="194" spans="1:2" x14ac:dyDescent="0.25">
      <c r="A194" s="13"/>
      <c r="B194" s="13"/>
    </row>
    <row r="195" spans="1:2" x14ac:dyDescent="0.25">
      <c r="A195" s="13"/>
      <c r="B195" s="13"/>
    </row>
    <row r="196" spans="1:2" x14ac:dyDescent="0.25">
      <c r="A196" s="13"/>
      <c r="B196" s="13"/>
    </row>
    <row r="197" spans="1:2" x14ac:dyDescent="0.25">
      <c r="A197" s="13"/>
      <c r="B197" s="13"/>
    </row>
    <row r="198" spans="1:2" x14ac:dyDescent="0.25">
      <c r="A198" s="13"/>
      <c r="B198" s="13"/>
    </row>
    <row r="199" spans="1:2" x14ac:dyDescent="0.25">
      <c r="A199" s="13"/>
      <c r="B199" s="13"/>
    </row>
    <row r="200" spans="1:2" x14ac:dyDescent="0.25">
      <c r="A200" s="13"/>
      <c r="B200" s="13"/>
    </row>
    <row r="201" spans="1:2" x14ac:dyDescent="0.25">
      <c r="A201" s="13"/>
      <c r="B201" s="13"/>
    </row>
    <row r="202" spans="1:2" x14ac:dyDescent="0.25">
      <c r="A202" s="13"/>
      <c r="B202" s="13"/>
    </row>
    <row r="203" spans="1:2" x14ac:dyDescent="0.25">
      <c r="A203" s="13"/>
      <c r="B203" s="13"/>
    </row>
    <row r="204" spans="1:2" x14ac:dyDescent="0.25">
      <c r="A204" s="13"/>
      <c r="B204" s="13"/>
    </row>
    <row r="205" spans="1:2" x14ac:dyDescent="0.25">
      <c r="A205" s="13"/>
      <c r="B205" s="13"/>
    </row>
    <row r="206" spans="1:2" x14ac:dyDescent="0.25">
      <c r="A206" s="13"/>
      <c r="B206" s="13"/>
    </row>
    <row r="207" spans="1:2" x14ac:dyDescent="0.25">
      <c r="A207" s="13"/>
      <c r="B207" s="13"/>
    </row>
    <row r="208" spans="1:2" x14ac:dyDescent="0.25">
      <c r="A208" s="13"/>
      <c r="B208" s="13"/>
    </row>
    <row r="209" spans="1:2" x14ac:dyDescent="0.25">
      <c r="A209" s="13"/>
      <c r="B209" s="13"/>
    </row>
    <row r="210" spans="1:2" x14ac:dyDescent="0.25">
      <c r="A210" s="13"/>
      <c r="B210" s="13"/>
    </row>
    <row r="211" spans="1:2" x14ac:dyDescent="0.25">
      <c r="A211" s="13"/>
      <c r="B211" s="13"/>
    </row>
    <row r="212" spans="1:2" x14ac:dyDescent="0.25">
      <c r="A212" s="13"/>
      <c r="B212" s="13"/>
    </row>
    <row r="213" spans="1:2" x14ac:dyDescent="0.25">
      <c r="A213" s="13"/>
      <c r="B213" s="13"/>
    </row>
    <row r="214" spans="1:2" x14ac:dyDescent="0.25">
      <c r="A214" s="13"/>
      <c r="B214" s="13"/>
    </row>
    <row r="215" spans="1:2" x14ac:dyDescent="0.25">
      <c r="A215" s="13"/>
      <c r="B215" s="13"/>
    </row>
    <row r="216" spans="1:2" x14ac:dyDescent="0.25">
      <c r="A216" s="13"/>
      <c r="B216" s="13"/>
    </row>
    <row r="217" spans="1:2" x14ac:dyDescent="0.25">
      <c r="A217" s="13"/>
      <c r="B217" s="13"/>
    </row>
    <row r="218" spans="1:2" x14ac:dyDescent="0.25">
      <c r="A218" s="13"/>
      <c r="B218" s="13"/>
    </row>
    <row r="219" spans="1:2" x14ac:dyDescent="0.25">
      <c r="A219" s="13"/>
      <c r="B219" s="13"/>
    </row>
    <row r="220" spans="1:2" x14ac:dyDescent="0.25">
      <c r="A220" s="13"/>
      <c r="B220" s="13"/>
    </row>
    <row r="221" spans="1:2" x14ac:dyDescent="0.25">
      <c r="A221" s="13"/>
      <c r="B221" s="13"/>
    </row>
    <row r="222" spans="1:2" x14ac:dyDescent="0.25">
      <c r="A222" s="13"/>
      <c r="B222" s="13"/>
    </row>
    <row r="223" spans="1:2" x14ac:dyDescent="0.25">
      <c r="A223" s="13"/>
      <c r="B223" s="13"/>
    </row>
    <row r="224" spans="1:2" x14ac:dyDescent="0.25">
      <c r="A224" s="13"/>
      <c r="B224" s="13"/>
    </row>
    <row r="225" spans="1:7" x14ac:dyDescent="0.25">
      <c r="A225" s="13"/>
      <c r="B225" s="13"/>
    </row>
    <row r="228" spans="1:7" ht="20.25" x14ac:dyDescent="0.3">
      <c r="A228" s="19"/>
    </row>
    <row r="229" spans="1:7" x14ac:dyDescent="0.25">
      <c r="A229" s="14"/>
      <c r="B229" s="14"/>
    </row>
    <row r="230" spans="1:7" x14ac:dyDescent="0.25">
      <c r="A230" s="13"/>
      <c r="B230" s="13"/>
    </row>
    <row r="231" spans="1:7" x14ac:dyDescent="0.25">
      <c r="A231" s="13"/>
      <c r="B231" s="13"/>
    </row>
    <row r="232" spans="1:7" x14ac:dyDescent="0.25">
      <c r="A232" s="13"/>
      <c r="B232" s="13"/>
    </row>
    <row r="233" spans="1:7" x14ac:dyDescent="0.25">
      <c r="A233" s="13"/>
      <c r="B233" s="13"/>
    </row>
    <row r="234" spans="1:7" x14ac:dyDescent="0.25">
      <c r="A234" s="13"/>
      <c r="B234" s="13"/>
    </row>
    <row r="235" spans="1:7" x14ac:dyDescent="0.25">
      <c r="A235" s="13"/>
      <c r="B235" s="13"/>
    </row>
    <row r="237" spans="1:7" ht="23.25" x14ac:dyDescent="0.35">
      <c r="A237" s="18"/>
    </row>
    <row r="238" spans="1:7" x14ac:dyDescent="0.25">
      <c r="A238" s="14"/>
      <c r="B238" s="14"/>
      <c r="C238" s="14"/>
      <c r="D238" s="14"/>
      <c r="E238" s="14"/>
      <c r="F238" s="14"/>
      <c r="G238" s="14"/>
    </row>
    <row r="239" spans="1:7" x14ac:dyDescent="0.25">
      <c r="A239" s="13"/>
      <c r="B239" s="13"/>
      <c r="C239" s="13"/>
      <c r="D239" s="13"/>
      <c r="E239" s="13"/>
      <c r="F239" s="13"/>
      <c r="G239" s="13"/>
    </row>
    <row r="240" spans="1:7" x14ac:dyDescent="0.25">
      <c r="A240" s="13"/>
      <c r="B240" s="13"/>
      <c r="C240" s="13"/>
      <c r="D240" s="13"/>
      <c r="E240" s="13"/>
      <c r="F240" s="13"/>
      <c r="G240" s="13"/>
    </row>
    <row r="241" spans="1:7" x14ac:dyDescent="0.25">
      <c r="A241" s="13"/>
      <c r="B241" s="13"/>
      <c r="C241" s="13"/>
      <c r="D241" s="13"/>
      <c r="E241" s="13"/>
      <c r="F241" s="13"/>
      <c r="G241" s="13"/>
    </row>
    <row r="242" spans="1:7" x14ac:dyDescent="0.25">
      <c r="A242" s="13"/>
      <c r="B242" s="13"/>
      <c r="C242" s="13"/>
      <c r="D242" s="13"/>
      <c r="E242" s="13"/>
      <c r="F242" s="13"/>
      <c r="G242" s="13"/>
    </row>
    <row r="243" spans="1:7" x14ac:dyDescent="0.25">
      <c r="A243" s="13"/>
      <c r="B243" s="13"/>
      <c r="C243" s="13"/>
      <c r="D243" s="13"/>
      <c r="E243" s="13"/>
      <c r="F243" s="13"/>
      <c r="G243" s="13"/>
    </row>
    <row r="244" spans="1:7" x14ac:dyDescent="0.25">
      <c r="A244" s="13"/>
      <c r="B244" s="13"/>
      <c r="C244" s="13"/>
      <c r="D244" s="13"/>
      <c r="E244" s="13"/>
      <c r="F244" s="13"/>
      <c r="G244" s="13"/>
    </row>
    <row r="245" spans="1:7" x14ac:dyDescent="0.25">
      <c r="A245" s="13"/>
      <c r="B245" s="13"/>
      <c r="C245" s="13"/>
      <c r="D245" s="13"/>
      <c r="E245" s="13"/>
      <c r="F245" s="13"/>
      <c r="G245" s="13"/>
    </row>
    <row r="246" spans="1:7" x14ac:dyDescent="0.25">
      <c r="A246" s="13"/>
      <c r="B246" s="13"/>
      <c r="C246" s="13"/>
      <c r="D246" s="13"/>
      <c r="E246" s="13"/>
      <c r="F246" s="13"/>
      <c r="G246" s="13"/>
    </row>
    <row r="247" spans="1:7" x14ac:dyDescent="0.25">
      <c r="A247" s="13"/>
      <c r="B247" s="13"/>
      <c r="C247" s="13"/>
      <c r="D247" s="13"/>
      <c r="E247" s="13"/>
      <c r="F247" s="13"/>
      <c r="G247" s="13"/>
    </row>
    <row r="248" spans="1:7" x14ac:dyDescent="0.25">
      <c r="A248" s="13"/>
      <c r="B248" s="13"/>
      <c r="C248" s="13"/>
      <c r="D248" s="13"/>
      <c r="E248" s="13"/>
      <c r="F248" s="13"/>
      <c r="G248" s="13"/>
    </row>
    <row r="249" spans="1:7" x14ac:dyDescent="0.25">
      <c r="A249" s="13"/>
      <c r="B249" s="13"/>
      <c r="C249" s="13"/>
      <c r="D249" s="13"/>
      <c r="E249" s="13"/>
      <c r="F249" s="13"/>
      <c r="G249" s="13"/>
    </row>
    <row r="250" spans="1:7" x14ac:dyDescent="0.25">
      <c r="A250" s="13"/>
      <c r="B250" s="13"/>
      <c r="C250" s="13"/>
      <c r="D250" s="13"/>
      <c r="E250" s="13"/>
      <c r="F250" s="13"/>
      <c r="G250" s="13"/>
    </row>
    <row r="251" spans="1:7" x14ac:dyDescent="0.25">
      <c r="A251" s="13"/>
      <c r="B251" s="13"/>
      <c r="C251" s="13"/>
      <c r="D251" s="13"/>
      <c r="E251" s="13"/>
      <c r="F251" s="13"/>
      <c r="G251" s="13"/>
    </row>
    <row r="252" spans="1:7" x14ac:dyDescent="0.25">
      <c r="A252" s="13"/>
      <c r="B252" s="13"/>
      <c r="C252" s="13"/>
      <c r="D252" s="13"/>
      <c r="E252" s="13"/>
      <c r="F252" s="13"/>
      <c r="G252" s="13"/>
    </row>
    <row r="253" spans="1:7" x14ac:dyDescent="0.25">
      <c r="A253" s="13"/>
      <c r="B253" s="13"/>
      <c r="C253" s="13"/>
      <c r="D253" s="13"/>
      <c r="E253" s="13"/>
      <c r="F253" s="13"/>
      <c r="G253" s="13"/>
    </row>
    <row r="254" spans="1:7" x14ac:dyDescent="0.25">
      <c r="A254" s="13"/>
      <c r="B254" s="13"/>
      <c r="C254" s="13"/>
      <c r="D254" s="13"/>
      <c r="E254" s="13"/>
      <c r="F254" s="13"/>
      <c r="G254" s="13"/>
    </row>
    <row r="255" spans="1:7" x14ac:dyDescent="0.25">
      <c r="A255" s="13"/>
      <c r="B255" s="13"/>
      <c r="C255" s="13"/>
      <c r="D255" s="13"/>
      <c r="E255" s="13"/>
      <c r="F255" s="13"/>
      <c r="G255" s="13"/>
    </row>
    <row r="256" spans="1:7" x14ac:dyDescent="0.25">
      <c r="A256" s="13"/>
      <c r="B256" s="13"/>
      <c r="C256" s="13"/>
      <c r="D256" s="13"/>
      <c r="E256" s="13"/>
      <c r="F256" s="13"/>
      <c r="G256" s="13"/>
    </row>
    <row r="257" spans="1:7" x14ac:dyDescent="0.25">
      <c r="A257" s="13"/>
      <c r="B257" s="13"/>
      <c r="C257" s="13"/>
      <c r="D257" s="13"/>
      <c r="E257" s="13"/>
      <c r="F257" s="13"/>
      <c r="G257" s="13"/>
    </row>
    <row r="258" spans="1:7" x14ac:dyDescent="0.25">
      <c r="A258" s="13"/>
      <c r="B258" s="13"/>
      <c r="C258" s="13"/>
      <c r="D258" s="13"/>
      <c r="E258" s="13"/>
      <c r="F258" s="13"/>
      <c r="G258" s="13"/>
    </row>
    <row r="259" spans="1:7" x14ac:dyDescent="0.25">
      <c r="A259" s="13"/>
      <c r="B259" s="13"/>
      <c r="C259" s="13"/>
      <c r="D259" s="13"/>
      <c r="E259" s="13"/>
      <c r="F259" s="13"/>
      <c r="G259" s="13"/>
    </row>
    <row r="260" spans="1:7" x14ac:dyDescent="0.25">
      <c r="A260" s="13"/>
      <c r="B260" s="13"/>
      <c r="C260" s="13"/>
      <c r="D260" s="13"/>
      <c r="E260" s="13"/>
      <c r="F260" s="13"/>
      <c r="G260" s="13"/>
    </row>
    <row r="261" spans="1:7" x14ac:dyDescent="0.25">
      <c r="A261" s="13"/>
      <c r="B261" s="13"/>
      <c r="C261" s="13"/>
      <c r="D261" s="13"/>
      <c r="E261" s="13"/>
      <c r="F261" s="13"/>
      <c r="G261" s="13"/>
    </row>
    <row r="262" spans="1:7" x14ac:dyDescent="0.25">
      <c r="A262" s="13"/>
      <c r="B262" s="13"/>
      <c r="C262" s="13"/>
      <c r="D262" s="13"/>
      <c r="E262" s="13"/>
      <c r="F262" s="13"/>
      <c r="G262" s="13"/>
    </row>
    <row r="263" spans="1:7" x14ac:dyDescent="0.25">
      <c r="A263" s="13"/>
      <c r="B263" s="13"/>
      <c r="C263" s="13"/>
      <c r="D263" s="13"/>
      <c r="E263" s="13"/>
      <c r="F263" s="13"/>
      <c r="G263" s="13"/>
    </row>
    <row r="264" spans="1:7" x14ac:dyDescent="0.25">
      <c r="A264" s="13"/>
      <c r="B264" s="13"/>
      <c r="C264" s="13"/>
      <c r="D264" s="13"/>
      <c r="E264" s="13"/>
      <c r="F264" s="13"/>
      <c r="G264" s="13"/>
    </row>
    <row r="266" spans="1:7" x14ac:dyDescent="0.25">
      <c r="A266" s="14"/>
      <c r="B266" s="14"/>
      <c r="C266" s="14"/>
      <c r="D266" s="14"/>
      <c r="E266" s="14"/>
      <c r="F266" s="14"/>
      <c r="G266" s="14"/>
    </row>
    <row r="267" spans="1:7" x14ac:dyDescent="0.25">
      <c r="A267" s="13"/>
      <c r="B267" s="13"/>
      <c r="C267" s="13"/>
      <c r="D267" s="13"/>
      <c r="E267" s="13"/>
      <c r="F267" s="13"/>
      <c r="G267" s="13"/>
    </row>
    <row r="268" spans="1:7" x14ac:dyDescent="0.25">
      <c r="A268" s="13"/>
      <c r="B268" s="13"/>
      <c r="C268" s="13"/>
      <c r="D268" s="13"/>
      <c r="E268" s="13"/>
      <c r="F268" s="13"/>
      <c r="G268" s="13"/>
    </row>
    <row r="269" spans="1:7" x14ac:dyDescent="0.25">
      <c r="A269" s="13"/>
      <c r="B269" s="13"/>
      <c r="C269" s="13"/>
      <c r="D269" s="13"/>
      <c r="E269" s="13"/>
      <c r="F269" s="13"/>
      <c r="G269" s="13"/>
    </row>
    <row r="270" spans="1:7" x14ac:dyDescent="0.25">
      <c r="A270" s="13"/>
      <c r="B270" s="13"/>
      <c r="C270" s="13"/>
      <c r="D270" s="13"/>
      <c r="E270" s="13"/>
      <c r="F270" s="13"/>
      <c r="G270" s="13"/>
    </row>
    <row r="271" spans="1:7" x14ac:dyDescent="0.25">
      <c r="A271" s="13"/>
      <c r="B271" s="13"/>
      <c r="C271" s="13"/>
      <c r="D271" s="13"/>
      <c r="E271" s="13"/>
      <c r="F271" s="13"/>
      <c r="G271" s="13"/>
    </row>
    <row r="272" spans="1:7" x14ac:dyDescent="0.25">
      <c r="A272" s="13"/>
      <c r="B272" s="13"/>
      <c r="C272" s="13"/>
      <c r="D272" s="13"/>
      <c r="E272" s="13"/>
      <c r="F272" s="13"/>
      <c r="G272" s="13"/>
    </row>
    <row r="273" spans="1:7" x14ac:dyDescent="0.25">
      <c r="A273" s="13"/>
      <c r="B273" s="13"/>
      <c r="C273" s="13"/>
      <c r="D273" s="13"/>
      <c r="E273" s="13"/>
      <c r="F273" s="13"/>
      <c r="G273" s="13"/>
    </row>
    <row r="274" spans="1:7" x14ac:dyDescent="0.25">
      <c r="A274" s="13"/>
      <c r="B274" s="13"/>
      <c r="C274" s="13"/>
      <c r="D274" s="13"/>
      <c r="E274" s="13"/>
      <c r="F274" s="13"/>
      <c r="G274" s="13"/>
    </row>
    <row r="275" spans="1:7" x14ac:dyDescent="0.25">
      <c r="A275" s="13"/>
      <c r="B275" s="13"/>
      <c r="C275" s="13"/>
      <c r="D275" s="13"/>
      <c r="E275" s="13"/>
      <c r="F275" s="13"/>
      <c r="G275" s="13"/>
    </row>
    <row r="276" spans="1:7" x14ac:dyDescent="0.25">
      <c r="A276" s="13"/>
      <c r="B276" s="13"/>
      <c r="C276" s="13"/>
      <c r="D276" s="13"/>
      <c r="E276" s="13"/>
      <c r="F276" s="13"/>
      <c r="G276" s="13"/>
    </row>
    <row r="277" spans="1:7" x14ac:dyDescent="0.25">
      <c r="A277" s="13"/>
      <c r="B277" s="13"/>
      <c r="C277" s="13"/>
      <c r="D277" s="13"/>
      <c r="E277" s="13"/>
      <c r="F277" s="13"/>
      <c r="G277" s="13"/>
    </row>
    <row r="278" spans="1:7" x14ac:dyDescent="0.25">
      <c r="A278" s="13"/>
      <c r="B278" s="13"/>
      <c r="C278" s="13"/>
      <c r="D278" s="13"/>
      <c r="E278" s="13"/>
      <c r="F278" s="13"/>
      <c r="G278" s="13"/>
    </row>
    <row r="279" spans="1:7" x14ac:dyDescent="0.25">
      <c r="A279" s="13"/>
      <c r="B279" s="13"/>
      <c r="C279" s="13"/>
      <c r="D279" s="13"/>
      <c r="E279" s="13"/>
      <c r="F279" s="13"/>
      <c r="G279" s="13"/>
    </row>
    <row r="280" spans="1:7" x14ac:dyDescent="0.25">
      <c r="A280" s="13"/>
      <c r="B280" s="13"/>
      <c r="C280" s="13"/>
      <c r="D280" s="13"/>
      <c r="E280" s="13"/>
      <c r="F280" s="13"/>
      <c r="G280" s="13"/>
    </row>
    <row r="281" spans="1:7" x14ac:dyDescent="0.25">
      <c r="A281" s="13"/>
      <c r="B281" s="13"/>
      <c r="C281" s="13"/>
      <c r="D281" s="13"/>
      <c r="E281" s="13"/>
      <c r="F281" s="13"/>
      <c r="G281" s="13"/>
    </row>
    <row r="282" spans="1:7" x14ac:dyDescent="0.25">
      <c r="A282" s="13"/>
      <c r="B282" s="13"/>
      <c r="C282" s="13"/>
      <c r="D282" s="13"/>
      <c r="E282" s="13"/>
      <c r="F282" s="13"/>
      <c r="G282" s="13"/>
    </row>
    <row r="283" spans="1:7" x14ac:dyDescent="0.25">
      <c r="A283" s="13"/>
      <c r="B283" s="13"/>
      <c r="C283" s="13"/>
      <c r="D283" s="13"/>
      <c r="E283" s="13"/>
      <c r="F283" s="13"/>
      <c r="G283" s="13"/>
    </row>
    <row r="284" spans="1:7" x14ac:dyDescent="0.25">
      <c r="A284" s="13"/>
      <c r="B284" s="13"/>
      <c r="C284" s="13"/>
      <c r="D284" s="13"/>
      <c r="E284" s="13"/>
      <c r="F284" s="13"/>
      <c r="G284" s="13"/>
    </row>
    <row r="285" spans="1:7" x14ac:dyDescent="0.25">
      <c r="A285" s="13"/>
      <c r="B285" s="13"/>
      <c r="C285" s="13"/>
      <c r="D285" s="13"/>
      <c r="E285" s="13"/>
      <c r="F285" s="13"/>
      <c r="G285" s="13"/>
    </row>
    <row r="286" spans="1:7" x14ac:dyDescent="0.25">
      <c r="A286" s="13"/>
      <c r="B286" s="13"/>
      <c r="C286" s="13"/>
      <c r="D286" s="13"/>
      <c r="E286" s="13"/>
      <c r="F286" s="13"/>
      <c r="G286" s="13"/>
    </row>
    <row r="287" spans="1:7" x14ac:dyDescent="0.25">
      <c r="A287" s="13"/>
      <c r="B287" s="13"/>
      <c r="C287" s="13"/>
      <c r="D287" s="13"/>
      <c r="E287" s="13"/>
      <c r="F287" s="13"/>
      <c r="G287" s="13"/>
    </row>
    <row r="288" spans="1:7" x14ac:dyDescent="0.25">
      <c r="A288" s="13"/>
      <c r="B288" s="13"/>
      <c r="C288" s="13"/>
      <c r="D288" s="13"/>
      <c r="E288" s="13"/>
      <c r="F288" s="13"/>
      <c r="G288" s="13"/>
    </row>
    <row r="289" spans="1:7" x14ac:dyDescent="0.25">
      <c r="A289" s="13"/>
      <c r="B289" s="13"/>
      <c r="C289" s="13"/>
      <c r="D289" s="13"/>
      <c r="E289" s="13"/>
      <c r="F289" s="13"/>
      <c r="G289" s="13"/>
    </row>
    <row r="290" spans="1:7" x14ac:dyDescent="0.25">
      <c r="A290" s="13"/>
      <c r="B290" s="13"/>
      <c r="C290" s="13"/>
      <c r="D290" s="13"/>
      <c r="E290" s="13"/>
      <c r="F290" s="13"/>
      <c r="G290" s="13"/>
    </row>
    <row r="291" spans="1:7" x14ac:dyDescent="0.25">
      <c r="A291" s="13"/>
      <c r="B291" s="13"/>
      <c r="C291" s="13"/>
      <c r="D291" s="13"/>
      <c r="E291" s="13"/>
      <c r="F291" s="13"/>
      <c r="G291" s="13"/>
    </row>
    <row r="292" spans="1:7" x14ac:dyDescent="0.25">
      <c r="A292" s="13"/>
      <c r="B292" s="13"/>
      <c r="C292" s="13"/>
      <c r="D292" s="13"/>
      <c r="E292" s="13"/>
      <c r="F292" s="13"/>
      <c r="G292" s="13"/>
    </row>
    <row r="294" spans="1:7" ht="20.25" x14ac:dyDescent="0.3">
      <c r="A294" s="19"/>
    </row>
    <row r="295" spans="1:7" x14ac:dyDescent="0.25">
      <c r="A295" s="14"/>
      <c r="B295" s="14"/>
    </row>
    <row r="296" spans="1:7" x14ac:dyDescent="0.25">
      <c r="A296" s="13"/>
      <c r="B296" s="13"/>
    </row>
    <row r="297" spans="1:7" x14ac:dyDescent="0.25">
      <c r="A297" s="13"/>
      <c r="B297" s="13"/>
    </row>
    <row r="298" spans="1:7" x14ac:dyDescent="0.25">
      <c r="A298" s="13"/>
      <c r="B298" s="13"/>
    </row>
    <row r="299" spans="1:7" x14ac:dyDescent="0.25">
      <c r="A299" s="13"/>
      <c r="B299" s="13"/>
    </row>
    <row r="300" spans="1:7" x14ac:dyDescent="0.25">
      <c r="A300" s="13"/>
      <c r="B300" s="13"/>
    </row>
    <row r="301" spans="1:7" x14ac:dyDescent="0.25">
      <c r="A301" s="13"/>
      <c r="B301" s="13"/>
    </row>
    <row r="302" spans="1:7" x14ac:dyDescent="0.25">
      <c r="A302" s="13"/>
      <c r="B302" s="13"/>
    </row>
    <row r="303" spans="1:7" x14ac:dyDescent="0.25">
      <c r="A303" s="13"/>
      <c r="B303" s="13"/>
    </row>
    <row r="304" spans="1:7" x14ac:dyDescent="0.25">
      <c r="A304" s="13"/>
      <c r="B304" s="13"/>
    </row>
    <row r="305" spans="1:2" x14ac:dyDescent="0.25">
      <c r="A305" s="13"/>
      <c r="B305" s="13"/>
    </row>
    <row r="306" spans="1:2" x14ac:dyDescent="0.25">
      <c r="A306" s="13"/>
      <c r="B306" s="13"/>
    </row>
    <row r="307" spans="1:2" x14ac:dyDescent="0.25">
      <c r="A307" s="13"/>
      <c r="B307" s="13"/>
    </row>
    <row r="308" spans="1:2" x14ac:dyDescent="0.25">
      <c r="A308" s="13"/>
      <c r="B308" s="13"/>
    </row>
    <row r="309" spans="1:2" x14ac:dyDescent="0.25">
      <c r="A309" s="13"/>
      <c r="B309" s="13"/>
    </row>
    <row r="310" spans="1:2" x14ac:dyDescent="0.25">
      <c r="A310" s="13"/>
      <c r="B310" s="13"/>
    </row>
    <row r="311" spans="1:2" x14ac:dyDescent="0.25">
      <c r="A311" s="13"/>
      <c r="B311" s="13"/>
    </row>
    <row r="312" spans="1:2" x14ac:dyDescent="0.25">
      <c r="A312" s="13"/>
      <c r="B312" s="13"/>
    </row>
    <row r="313" spans="1:2" x14ac:dyDescent="0.25">
      <c r="A313" s="13"/>
      <c r="B313" s="13"/>
    </row>
    <row r="314" spans="1:2" x14ac:dyDescent="0.25">
      <c r="A314" s="13"/>
      <c r="B314" s="13"/>
    </row>
    <row r="315" spans="1:2" x14ac:dyDescent="0.25">
      <c r="A315" s="13"/>
      <c r="B315" s="13"/>
    </row>
    <row r="316" spans="1:2" x14ac:dyDescent="0.25">
      <c r="A316" s="13"/>
      <c r="B316" s="13"/>
    </row>
    <row r="317" spans="1:2" x14ac:dyDescent="0.25">
      <c r="A317" s="13"/>
      <c r="B317" s="13"/>
    </row>
    <row r="318" spans="1:2" x14ac:dyDescent="0.25">
      <c r="A318" s="13"/>
      <c r="B318" s="13"/>
    </row>
    <row r="319" spans="1:2" x14ac:dyDescent="0.25">
      <c r="A319" s="13"/>
      <c r="B319" s="13"/>
    </row>
    <row r="320" spans="1:2" x14ac:dyDescent="0.25">
      <c r="A320" s="13"/>
      <c r="B320" s="13"/>
    </row>
    <row r="321" spans="1:2" x14ac:dyDescent="0.25">
      <c r="A321" s="13"/>
      <c r="B321" s="13"/>
    </row>
    <row r="322" spans="1:2" x14ac:dyDescent="0.25">
      <c r="A322" s="13"/>
      <c r="B322" s="13"/>
    </row>
    <row r="323" spans="1:2" x14ac:dyDescent="0.25">
      <c r="A323" s="13"/>
      <c r="B323" s="13"/>
    </row>
    <row r="324" spans="1:2" x14ac:dyDescent="0.25">
      <c r="A324" s="13"/>
      <c r="B324" s="13"/>
    </row>
    <row r="325" spans="1:2" x14ac:dyDescent="0.25">
      <c r="A325" s="13"/>
      <c r="B325" s="13"/>
    </row>
    <row r="326" spans="1:2" x14ac:dyDescent="0.25">
      <c r="A326" s="13"/>
      <c r="B326" s="13"/>
    </row>
    <row r="327" spans="1:2" x14ac:dyDescent="0.25">
      <c r="A327" s="13"/>
      <c r="B327" s="13"/>
    </row>
    <row r="328" spans="1:2" x14ac:dyDescent="0.25">
      <c r="A328" s="13"/>
      <c r="B328" s="13"/>
    </row>
    <row r="329" spans="1:2" x14ac:dyDescent="0.25">
      <c r="A329" s="13"/>
      <c r="B329" s="13"/>
    </row>
    <row r="330" spans="1:2" x14ac:dyDescent="0.25">
      <c r="A330" s="13"/>
      <c r="B330" s="13"/>
    </row>
    <row r="331" spans="1:2" x14ac:dyDescent="0.25">
      <c r="A331" s="13"/>
      <c r="B331" s="13"/>
    </row>
    <row r="332" spans="1:2" x14ac:dyDescent="0.25">
      <c r="A332" s="13"/>
      <c r="B332" s="13"/>
    </row>
    <row r="333" spans="1:2" x14ac:dyDescent="0.25">
      <c r="A333" s="13"/>
      <c r="B333" s="13"/>
    </row>
    <row r="334" spans="1:2" x14ac:dyDescent="0.25">
      <c r="A334" s="13"/>
      <c r="B334" s="13"/>
    </row>
    <row r="335" spans="1:2" x14ac:dyDescent="0.25">
      <c r="A335" s="13"/>
      <c r="B335" s="13"/>
    </row>
    <row r="336" spans="1:2" x14ac:dyDescent="0.25">
      <c r="A336" s="13"/>
      <c r="B336" s="13"/>
    </row>
    <row r="337" spans="1:2" x14ac:dyDescent="0.25">
      <c r="A337" s="13"/>
      <c r="B337" s="13"/>
    </row>
    <row r="338" spans="1:2" x14ac:dyDescent="0.25">
      <c r="A338" s="13"/>
      <c r="B338" s="13"/>
    </row>
    <row r="339" spans="1:2" x14ac:dyDescent="0.25">
      <c r="A339" s="13"/>
      <c r="B339" s="13"/>
    </row>
    <row r="340" spans="1:2" x14ac:dyDescent="0.25">
      <c r="A340" s="13"/>
      <c r="B340" s="13"/>
    </row>
    <row r="341" spans="1:2" x14ac:dyDescent="0.25">
      <c r="A341" s="13"/>
      <c r="B341" s="13"/>
    </row>
    <row r="342" spans="1:2" x14ac:dyDescent="0.25">
      <c r="A342" s="13"/>
      <c r="B342" s="13"/>
    </row>
    <row r="343" spans="1:2" x14ac:dyDescent="0.25">
      <c r="A343" s="13"/>
      <c r="B343" s="13"/>
    </row>
    <row r="344" spans="1:2" x14ac:dyDescent="0.25">
      <c r="A344" s="13"/>
      <c r="B344" s="13"/>
    </row>
    <row r="345" spans="1:2" x14ac:dyDescent="0.25">
      <c r="A345" s="13"/>
      <c r="B345" s="13"/>
    </row>
    <row r="346" spans="1:2" x14ac:dyDescent="0.25">
      <c r="A346" s="13"/>
      <c r="B346" s="13"/>
    </row>
    <row r="347" spans="1:2" x14ac:dyDescent="0.25">
      <c r="A347" s="13"/>
      <c r="B347" s="13"/>
    </row>
    <row r="348" spans="1:2" x14ac:dyDescent="0.25">
      <c r="A348" s="13"/>
      <c r="B348" s="13"/>
    </row>
    <row r="349" spans="1:2" x14ac:dyDescent="0.25">
      <c r="A349" s="13"/>
      <c r="B349" s="13"/>
    </row>
    <row r="350" spans="1:2" x14ac:dyDescent="0.25">
      <c r="A350" s="13"/>
      <c r="B350" s="13"/>
    </row>
    <row r="351" spans="1:2" x14ac:dyDescent="0.25">
      <c r="A351" s="13"/>
      <c r="B351" s="13"/>
    </row>
    <row r="352" spans="1:2" x14ac:dyDescent="0.25">
      <c r="A352" s="13"/>
      <c r="B352" s="13"/>
    </row>
    <row r="353" spans="1:2" x14ac:dyDescent="0.25">
      <c r="A353" s="13"/>
      <c r="B353" s="13"/>
    </row>
    <row r="354" spans="1:2" x14ac:dyDescent="0.25">
      <c r="A354" s="13"/>
      <c r="B354" s="13"/>
    </row>
    <row r="355" spans="1:2" x14ac:dyDescent="0.25">
      <c r="A355" s="13"/>
      <c r="B355" s="13"/>
    </row>
    <row r="356" spans="1:2" x14ac:dyDescent="0.25">
      <c r="A356" s="13"/>
      <c r="B356" s="13"/>
    </row>
    <row r="357" spans="1:2" x14ac:dyDescent="0.25">
      <c r="A357" s="13"/>
      <c r="B357" s="13"/>
    </row>
    <row r="358" spans="1:2" x14ac:dyDescent="0.25">
      <c r="A358" s="13"/>
      <c r="B358" s="13"/>
    </row>
    <row r="359" spans="1:2" x14ac:dyDescent="0.25">
      <c r="A359" s="13"/>
      <c r="B359" s="13"/>
    </row>
    <row r="360" spans="1:2" x14ac:dyDescent="0.25">
      <c r="A360" s="13"/>
      <c r="B360" s="13"/>
    </row>
    <row r="361" spans="1:2" x14ac:dyDescent="0.25">
      <c r="A361" s="13"/>
      <c r="B361" s="13"/>
    </row>
    <row r="362" spans="1:2" x14ac:dyDescent="0.25">
      <c r="A362" s="13"/>
      <c r="B362" s="13"/>
    </row>
    <row r="363" spans="1:2" x14ac:dyDescent="0.25">
      <c r="A363" s="13"/>
      <c r="B363" s="13"/>
    </row>
    <row r="364" spans="1:2" x14ac:dyDescent="0.25">
      <c r="A364" s="13"/>
      <c r="B364" s="13"/>
    </row>
    <row r="365" spans="1:2" x14ac:dyDescent="0.25">
      <c r="A365" s="13"/>
      <c r="B365" s="13"/>
    </row>
    <row r="366" spans="1:2" x14ac:dyDescent="0.25">
      <c r="A366" s="13"/>
      <c r="B366" s="13"/>
    </row>
    <row r="367" spans="1:2" x14ac:dyDescent="0.25">
      <c r="A367" s="13"/>
      <c r="B367" s="13"/>
    </row>
    <row r="368" spans="1:2" x14ac:dyDescent="0.25">
      <c r="A368" s="13"/>
      <c r="B368" s="13"/>
    </row>
    <row r="369" spans="1:2" x14ac:dyDescent="0.25">
      <c r="A369" s="13"/>
      <c r="B369" s="13"/>
    </row>
    <row r="370" spans="1:2" x14ac:dyDescent="0.25">
      <c r="A370" s="13"/>
      <c r="B370" s="13"/>
    </row>
    <row r="373" spans="1:2" x14ac:dyDescent="0.25">
      <c r="A373" s="14"/>
      <c r="B373" s="14"/>
    </row>
    <row r="374" spans="1:2" x14ac:dyDescent="0.25">
      <c r="A374" s="13"/>
      <c r="B374" s="13"/>
    </row>
    <row r="375" spans="1:2" x14ac:dyDescent="0.25">
      <c r="A375" s="13"/>
      <c r="B375" s="13"/>
    </row>
    <row r="376" spans="1:2" x14ac:dyDescent="0.25">
      <c r="A376" s="13"/>
      <c r="B376" s="13"/>
    </row>
    <row r="377" spans="1:2" x14ac:dyDescent="0.25">
      <c r="A377" s="13"/>
      <c r="B377" s="13"/>
    </row>
    <row r="378" spans="1:2" x14ac:dyDescent="0.25">
      <c r="A378" s="13"/>
      <c r="B378" s="13"/>
    </row>
    <row r="379" spans="1:2" x14ac:dyDescent="0.25">
      <c r="A379" s="13"/>
      <c r="B379" s="13"/>
    </row>
    <row r="380" spans="1:2" x14ac:dyDescent="0.25">
      <c r="A380" s="13"/>
      <c r="B380" s="13"/>
    </row>
    <row r="381" spans="1:2" x14ac:dyDescent="0.25">
      <c r="A381" s="13"/>
      <c r="B381" s="13"/>
    </row>
    <row r="382" spans="1:2" x14ac:dyDescent="0.25">
      <c r="A382" s="13"/>
      <c r="B382" s="13"/>
    </row>
    <row r="383" spans="1:2" x14ac:dyDescent="0.25">
      <c r="A383" s="13"/>
      <c r="B383" s="13"/>
    </row>
    <row r="384" spans="1:2" x14ac:dyDescent="0.25">
      <c r="A384" s="13"/>
      <c r="B384" s="13"/>
    </row>
    <row r="385" spans="1:2" x14ac:dyDescent="0.25">
      <c r="A385" s="13"/>
      <c r="B385" s="13"/>
    </row>
    <row r="386" spans="1:2" x14ac:dyDescent="0.25">
      <c r="A386" s="13"/>
      <c r="B386" s="13"/>
    </row>
    <row r="387" spans="1:2" x14ac:dyDescent="0.25">
      <c r="A387" s="13"/>
      <c r="B387" s="13"/>
    </row>
    <row r="388" spans="1:2" x14ac:dyDescent="0.25">
      <c r="A388" s="13"/>
      <c r="B388" s="13"/>
    </row>
    <row r="389" spans="1:2" x14ac:dyDescent="0.25">
      <c r="A389" s="13"/>
      <c r="B389" s="13"/>
    </row>
    <row r="390" spans="1:2" x14ac:dyDescent="0.25">
      <c r="A390" s="13"/>
      <c r="B390" s="13"/>
    </row>
    <row r="391" spans="1:2" x14ac:dyDescent="0.25">
      <c r="A391" s="13"/>
      <c r="B391" s="13"/>
    </row>
    <row r="392" spans="1:2" x14ac:dyDescent="0.25">
      <c r="A392" s="13"/>
      <c r="B392" s="13"/>
    </row>
    <row r="393" spans="1:2" x14ac:dyDescent="0.25">
      <c r="A393" s="13"/>
      <c r="B393" s="13"/>
    </row>
    <row r="394" spans="1:2" x14ac:dyDescent="0.25">
      <c r="A394" s="13"/>
      <c r="B394" s="13"/>
    </row>
    <row r="395" spans="1:2" x14ac:dyDescent="0.25">
      <c r="A395" s="13"/>
      <c r="B395" s="13"/>
    </row>
    <row r="396" spans="1:2" x14ac:dyDescent="0.25">
      <c r="A396" s="13"/>
      <c r="B396" s="13"/>
    </row>
    <row r="397" spans="1:2" x14ac:dyDescent="0.25">
      <c r="A397" s="13"/>
      <c r="B397" s="13"/>
    </row>
    <row r="398" spans="1:2" x14ac:dyDescent="0.25">
      <c r="A398" s="13"/>
      <c r="B398" s="13"/>
    </row>
    <row r="399" spans="1:2" x14ac:dyDescent="0.25">
      <c r="A399" s="13"/>
      <c r="B399" s="13"/>
    </row>
    <row r="400" spans="1:2" x14ac:dyDescent="0.25">
      <c r="A400" s="13"/>
      <c r="B400" s="13"/>
    </row>
    <row r="401" spans="1:2" x14ac:dyDescent="0.25">
      <c r="A401" s="13"/>
      <c r="B401" s="13"/>
    </row>
    <row r="402" spans="1:2" x14ac:dyDescent="0.25">
      <c r="A402" s="13"/>
      <c r="B402" s="13"/>
    </row>
    <row r="403" spans="1:2" x14ac:dyDescent="0.25">
      <c r="A403" s="13"/>
      <c r="B403" s="13"/>
    </row>
    <row r="404" spans="1:2" x14ac:dyDescent="0.25">
      <c r="A404" s="13"/>
      <c r="B404" s="13"/>
    </row>
    <row r="405" spans="1:2" x14ac:dyDescent="0.25">
      <c r="A405" s="13"/>
      <c r="B405" s="13"/>
    </row>
    <row r="406" spans="1:2" x14ac:dyDescent="0.25">
      <c r="A406" s="13"/>
      <c r="B406" s="13"/>
    </row>
    <row r="407" spans="1:2" x14ac:dyDescent="0.25">
      <c r="A407" s="13"/>
      <c r="B407" s="13"/>
    </row>
    <row r="408" spans="1:2" x14ac:dyDescent="0.25">
      <c r="A408" s="13"/>
      <c r="B408" s="13"/>
    </row>
    <row r="409" spans="1:2" x14ac:dyDescent="0.25">
      <c r="A409" s="13"/>
      <c r="B409" s="13"/>
    </row>
    <row r="410" spans="1:2" x14ac:dyDescent="0.25">
      <c r="A410" s="13"/>
      <c r="B410" s="13"/>
    </row>
    <row r="411" spans="1:2" x14ac:dyDescent="0.25">
      <c r="A411" s="13"/>
      <c r="B411" s="13"/>
    </row>
    <row r="412" spans="1:2" x14ac:dyDescent="0.25">
      <c r="A412" s="13"/>
      <c r="B412" s="13"/>
    </row>
    <row r="413" spans="1:2" x14ac:dyDescent="0.25">
      <c r="A413" s="13"/>
      <c r="B413" s="13"/>
    </row>
    <row r="414" spans="1:2" x14ac:dyDescent="0.25">
      <c r="A414" s="13"/>
      <c r="B414" s="13"/>
    </row>
    <row r="415" spans="1:2" x14ac:dyDescent="0.25">
      <c r="A415" s="13"/>
      <c r="B415" s="13"/>
    </row>
    <row r="416" spans="1:2" x14ac:dyDescent="0.25">
      <c r="A416" s="13"/>
      <c r="B416" s="13"/>
    </row>
    <row r="417" spans="1:2" x14ac:dyDescent="0.25">
      <c r="A417" s="13"/>
      <c r="B417" s="13"/>
    </row>
    <row r="418" spans="1:2" x14ac:dyDescent="0.25">
      <c r="A418" s="13"/>
      <c r="B418" s="13"/>
    </row>
    <row r="419" spans="1:2" x14ac:dyDescent="0.25">
      <c r="A419" s="13"/>
      <c r="B419" s="13"/>
    </row>
    <row r="420" spans="1:2" x14ac:dyDescent="0.25">
      <c r="A420" s="13"/>
      <c r="B420" s="13"/>
    </row>
    <row r="421" spans="1:2" x14ac:dyDescent="0.25">
      <c r="A421" s="13"/>
      <c r="B421" s="13"/>
    </row>
    <row r="422" spans="1:2" x14ac:dyDescent="0.25">
      <c r="A422" s="13"/>
      <c r="B422" s="13"/>
    </row>
    <row r="423" spans="1:2" x14ac:dyDescent="0.25">
      <c r="A423" s="13"/>
      <c r="B423" s="13"/>
    </row>
    <row r="424" spans="1:2" x14ac:dyDescent="0.25">
      <c r="A424" s="13"/>
      <c r="B424" s="13"/>
    </row>
    <row r="425" spans="1:2" x14ac:dyDescent="0.25">
      <c r="A425" s="13"/>
      <c r="B425" s="13"/>
    </row>
    <row r="426" spans="1:2" x14ac:dyDescent="0.25">
      <c r="A426" s="13"/>
      <c r="B426" s="13"/>
    </row>
    <row r="427" spans="1:2" x14ac:dyDescent="0.25">
      <c r="A427" s="13"/>
      <c r="B427" s="13"/>
    </row>
    <row r="428" spans="1:2" x14ac:dyDescent="0.25">
      <c r="A428" s="13"/>
      <c r="B428" s="13"/>
    </row>
    <row r="429" spans="1:2" x14ac:dyDescent="0.25">
      <c r="A429" s="13"/>
      <c r="B429" s="13"/>
    </row>
    <row r="430" spans="1:2" x14ac:dyDescent="0.25">
      <c r="A430" s="13"/>
      <c r="B430" s="13"/>
    </row>
    <row r="431" spans="1:2" x14ac:dyDescent="0.25">
      <c r="A431" s="13"/>
      <c r="B431" s="13"/>
    </row>
    <row r="432" spans="1:2" x14ac:dyDescent="0.25">
      <c r="A432" s="13"/>
      <c r="B432" s="13"/>
    </row>
    <row r="433" spans="1:2" x14ac:dyDescent="0.25">
      <c r="A433" s="13"/>
      <c r="B433" s="13"/>
    </row>
    <row r="434" spans="1:2" x14ac:dyDescent="0.25">
      <c r="A434" s="13"/>
      <c r="B434" s="13"/>
    </row>
    <row r="435" spans="1:2" x14ac:dyDescent="0.25">
      <c r="A435" s="13"/>
      <c r="B435" s="13"/>
    </row>
    <row r="436" spans="1:2" x14ac:dyDescent="0.25">
      <c r="A436" s="13"/>
      <c r="B436" s="13"/>
    </row>
    <row r="437" spans="1:2" x14ac:dyDescent="0.25">
      <c r="A437" s="13"/>
      <c r="B437" s="13"/>
    </row>
    <row r="438" spans="1:2" x14ac:dyDescent="0.25">
      <c r="A438" s="13"/>
      <c r="B438" s="13"/>
    </row>
    <row r="439" spans="1:2" x14ac:dyDescent="0.25">
      <c r="A439" s="13"/>
      <c r="B439" s="13"/>
    </row>
    <row r="440" spans="1:2" x14ac:dyDescent="0.25">
      <c r="A440" s="13"/>
      <c r="B440" s="13"/>
    </row>
    <row r="441" spans="1:2" x14ac:dyDescent="0.25">
      <c r="A441" s="13"/>
      <c r="B441" s="13"/>
    </row>
    <row r="442" spans="1:2" x14ac:dyDescent="0.25">
      <c r="A442" s="13"/>
      <c r="B442" s="13"/>
    </row>
    <row r="443" spans="1:2" x14ac:dyDescent="0.25">
      <c r="A443" s="13"/>
      <c r="B443" s="13"/>
    </row>
    <row r="444" spans="1:2" x14ac:dyDescent="0.25">
      <c r="A444" s="13"/>
      <c r="B444" s="13"/>
    </row>
    <row r="445" spans="1:2" x14ac:dyDescent="0.25">
      <c r="A445" s="13"/>
      <c r="B445" s="13"/>
    </row>
    <row r="446" spans="1:2" x14ac:dyDescent="0.25">
      <c r="A446" s="13"/>
      <c r="B446" s="13"/>
    </row>
    <row r="447" spans="1:2" x14ac:dyDescent="0.25">
      <c r="A447" s="13"/>
      <c r="B447" s="13"/>
    </row>
    <row r="448" spans="1:2" x14ac:dyDescent="0.25">
      <c r="A448" s="13"/>
      <c r="B448" s="13"/>
    </row>
    <row r="449" spans="1:2" x14ac:dyDescent="0.25">
      <c r="A449" s="13"/>
      <c r="B449" s="13"/>
    </row>
    <row r="450" spans="1:2" x14ac:dyDescent="0.25">
      <c r="A450" s="13"/>
      <c r="B450" s="13"/>
    </row>
    <row r="451" spans="1:2" x14ac:dyDescent="0.25">
      <c r="A451" s="13"/>
      <c r="B451" s="13"/>
    </row>
    <row r="452" spans="1:2" x14ac:dyDescent="0.25">
      <c r="A452" s="13"/>
      <c r="B452" s="13"/>
    </row>
    <row r="453" spans="1:2" x14ac:dyDescent="0.25">
      <c r="A453" s="13"/>
      <c r="B453" s="13"/>
    </row>
    <row r="454" spans="1:2" x14ac:dyDescent="0.25">
      <c r="A454" s="13"/>
      <c r="B454" s="13"/>
    </row>
    <row r="455" spans="1:2" x14ac:dyDescent="0.25">
      <c r="A455" s="13"/>
      <c r="B455" s="13"/>
    </row>
    <row r="456" spans="1:2" x14ac:dyDescent="0.25">
      <c r="A456" s="13"/>
      <c r="B456" s="13"/>
    </row>
    <row r="457" spans="1:2" x14ac:dyDescent="0.25">
      <c r="A457" s="13"/>
      <c r="B457" s="13"/>
    </row>
    <row r="458" spans="1:2" x14ac:dyDescent="0.25">
      <c r="A458" s="13"/>
      <c r="B458" s="13"/>
    </row>
    <row r="459" spans="1:2" x14ac:dyDescent="0.25">
      <c r="A459" s="13"/>
      <c r="B459" s="13"/>
    </row>
    <row r="462" spans="1:2" ht="23.25" x14ac:dyDescent="0.35">
      <c r="A462" s="18"/>
    </row>
    <row r="463" spans="1:2" ht="20.25" x14ac:dyDescent="0.3">
      <c r="A463" s="19"/>
    </row>
    <row r="464" spans="1:2" x14ac:dyDescent="0.25">
      <c r="A464" s="14"/>
      <c r="B464" s="14"/>
    </row>
    <row r="465" spans="1:2" x14ac:dyDescent="0.25">
      <c r="A465" s="13"/>
      <c r="B465" s="13"/>
    </row>
    <row r="466" spans="1:2" x14ac:dyDescent="0.25">
      <c r="A466" s="13"/>
      <c r="B466" s="13"/>
    </row>
    <row r="467" spans="1:2" x14ac:dyDescent="0.25">
      <c r="A467" s="13"/>
      <c r="B467" s="13"/>
    </row>
    <row r="468" spans="1:2" x14ac:dyDescent="0.25">
      <c r="A468" s="13"/>
      <c r="B468" s="13"/>
    </row>
    <row r="469" spans="1:2" x14ac:dyDescent="0.25">
      <c r="A469" s="13"/>
      <c r="B469" s="13"/>
    </row>
    <row r="470" spans="1:2" x14ac:dyDescent="0.25">
      <c r="A470" s="13"/>
      <c r="B470" s="13"/>
    </row>
    <row r="472" spans="1:2" ht="20.25" x14ac:dyDescent="0.3">
      <c r="A472" s="19"/>
    </row>
    <row r="473" spans="1:2" x14ac:dyDescent="0.25">
      <c r="A473" s="14"/>
      <c r="B473" s="14"/>
    </row>
    <row r="474" spans="1:2" x14ac:dyDescent="0.25">
      <c r="A474" s="13"/>
      <c r="B474" s="13"/>
    </row>
    <row r="475" spans="1:2" x14ac:dyDescent="0.25">
      <c r="A475" s="13"/>
      <c r="B475" s="13"/>
    </row>
    <row r="476" spans="1:2" x14ac:dyDescent="0.25">
      <c r="A476" s="13"/>
      <c r="B476" s="13"/>
    </row>
    <row r="477" spans="1:2" x14ac:dyDescent="0.25">
      <c r="A477" s="13"/>
      <c r="B477" s="13"/>
    </row>
    <row r="478" spans="1:2" x14ac:dyDescent="0.25">
      <c r="A478" s="13"/>
      <c r="B478" s="13"/>
    </row>
    <row r="479" spans="1:2" x14ac:dyDescent="0.25">
      <c r="A479" s="13"/>
      <c r="B479" s="13"/>
    </row>
    <row r="480" spans="1:2" x14ac:dyDescent="0.25">
      <c r="A480" s="13"/>
      <c r="B480" s="13"/>
    </row>
    <row r="481" spans="1:2" x14ac:dyDescent="0.25">
      <c r="A481" s="13"/>
      <c r="B481" s="13"/>
    </row>
    <row r="482" spans="1:2" x14ac:dyDescent="0.25">
      <c r="A482" s="13"/>
      <c r="B482" s="13"/>
    </row>
    <row r="483" spans="1:2" x14ac:dyDescent="0.25">
      <c r="A483" s="13"/>
      <c r="B483" s="13"/>
    </row>
    <row r="484" spans="1:2" x14ac:dyDescent="0.25">
      <c r="A484" s="13"/>
      <c r="B484" s="13"/>
    </row>
    <row r="485" spans="1:2" x14ac:dyDescent="0.25">
      <c r="A485" s="13"/>
      <c r="B485" s="13"/>
    </row>
    <row r="486" spans="1:2" x14ac:dyDescent="0.25">
      <c r="A486" s="13"/>
      <c r="B486" s="13"/>
    </row>
    <row r="487" spans="1:2" x14ac:dyDescent="0.25">
      <c r="A487" s="13"/>
      <c r="B487" s="13"/>
    </row>
    <row r="488" spans="1:2" x14ac:dyDescent="0.25">
      <c r="A488" s="13"/>
      <c r="B488" s="13"/>
    </row>
    <row r="489" spans="1:2" x14ac:dyDescent="0.25">
      <c r="A489" s="13"/>
      <c r="B489" s="13"/>
    </row>
    <row r="490" spans="1:2" x14ac:dyDescent="0.25">
      <c r="A490" s="13"/>
      <c r="B490" s="13"/>
    </row>
    <row r="491" spans="1:2" x14ac:dyDescent="0.25">
      <c r="A491" s="13"/>
      <c r="B491" s="13"/>
    </row>
    <row r="492" spans="1:2" x14ac:dyDescent="0.25">
      <c r="A492" s="13"/>
      <c r="B492" s="13"/>
    </row>
    <row r="493" spans="1:2" x14ac:dyDescent="0.25">
      <c r="A493" s="13"/>
      <c r="B493" s="13"/>
    </row>
    <row r="496" spans="1:2" ht="23.25" x14ac:dyDescent="0.35">
      <c r="A496" s="18"/>
    </row>
    <row r="497" spans="1:4" ht="20.25" x14ac:dyDescent="0.3">
      <c r="A497" s="19"/>
    </row>
    <row r="498" spans="1:4" x14ac:dyDescent="0.25">
      <c r="A498" s="14"/>
      <c r="B498" s="14"/>
      <c r="C498" s="14"/>
      <c r="D498" s="14"/>
    </row>
    <row r="499" spans="1:4" x14ac:dyDescent="0.25">
      <c r="A499" s="13"/>
      <c r="B499" s="13"/>
      <c r="C499" s="13"/>
      <c r="D499" s="13"/>
    </row>
    <row r="500" spans="1:4" x14ac:dyDescent="0.25">
      <c r="A500" s="13"/>
      <c r="B500" s="13"/>
      <c r="C500" s="13"/>
      <c r="D500" s="13"/>
    </row>
    <row r="501" spans="1:4" x14ac:dyDescent="0.25">
      <c r="A501" s="13"/>
      <c r="B501" s="13"/>
      <c r="C501" s="13"/>
      <c r="D501" s="13"/>
    </row>
    <row r="502" spans="1:4" x14ac:dyDescent="0.25">
      <c r="A502" s="13"/>
      <c r="B502" s="13"/>
      <c r="C502" s="13"/>
      <c r="D502" s="13"/>
    </row>
    <row r="503" spans="1:4" x14ac:dyDescent="0.25">
      <c r="A503" s="13"/>
      <c r="B503" s="13"/>
      <c r="C503" s="13"/>
      <c r="D503" s="13"/>
    </row>
    <row r="504" spans="1:4" x14ac:dyDescent="0.25">
      <c r="A504" s="13"/>
      <c r="B504" s="13"/>
      <c r="C504" s="13"/>
      <c r="D504" s="13"/>
    </row>
    <row r="505" spans="1:4" x14ac:dyDescent="0.25">
      <c r="A505" s="13"/>
      <c r="B505" s="13"/>
      <c r="C505" s="13"/>
      <c r="D505" s="13"/>
    </row>
    <row r="506" spans="1:4" x14ac:dyDescent="0.25">
      <c r="A506" s="13"/>
      <c r="B506" s="13"/>
      <c r="C506" s="13"/>
      <c r="D506" s="13"/>
    </row>
    <row r="507" spans="1:4" x14ac:dyDescent="0.25">
      <c r="A507" s="13"/>
      <c r="B507" s="13"/>
      <c r="C507" s="13"/>
      <c r="D507" s="13"/>
    </row>
    <row r="508" spans="1:4" x14ac:dyDescent="0.25">
      <c r="A508" s="13"/>
      <c r="B508" s="13"/>
      <c r="C508" s="13"/>
      <c r="D508" s="13"/>
    </row>
    <row r="509" spans="1:4" x14ac:dyDescent="0.25">
      <c r="A509" s="13"/>
      <c r="B509" s="13"/>
      <c r="C509" s="13"/>
      <c r="D509" s="13"/>
    </row>
    <row r="510" spans="1:4" x14ac:dyDescent="0.25">
      <c r="A510" s="13"/>
      <c r="B510" s="13"/>
      <c r="C510" s="13"/>
      <c r="D510" s="13"/>
    </row>
    <row r="511" spans="1:4" x14ac:dyDescent="0.25">
      <c r="A511" s="13"/>
      <c r="B511" s="13"/>
      <c r="C511" s="13"/>
      <c r="D511" s="13"/>
    </row>
    <row r="512" spans="1:4" x14ac:dyDescent="0.25">
      <c r="A512" s="13"/>
      <c r="B512" s="13"/>
      <c r="C512" s="13"/>
      <c r="D512" s="13"/>
    </row>
    <row r="513" spans="1:4" x14ac:dyDescent="0.25">
      <c r="A513" s="13"/>
      <c r="B513" s="13"/>
      <c r="C513" s="13"/>
      <c r="D513" s="13"/>
    </row>
    <row r="514" spans="1:4" x14ac:dyDescent="0.25">
      <c r="A514" s="13"/>
      <c r="B514" s="13"/>
      <c r="C514" s="13"/>
      <c r="D514" s="13"/>
    </row>
    <row r="515" spans="1:4" x14ac:dyDescent="0.25">
      <c r="A515" s="13"/>
      <c r="B515" s="13"/>
      <c r="C515" s="13"/>
      <c r="D515" s="13"/>
    </row>
    <row r="516" spans="1:4" x14ac:dyDescent="0.25">
      <c r="A516" s="13"/>
      <c r="B516" s="13"/>
      <c r="C516" s="13"/>
      <c r="D516" s="13"/>
    </row>
    <row r="517" spans="1:4" x14ac:dyDescent="0.25">
      <c r="A517" s="13"/>
      <c r="B517" s="13"/>
      <c r="C517" s="13"/>
      <c r="D517" s="13"/>
    </row>
    <row r="518" spans="1:4" x14ac:dyDescent="0.25">
      <c r="A518" s="13"/>
      <c r="B518" s="13"/>
      <c r="C518" s="13"/>
      <c r="D518" s="13"/>
    </row>
    <row r="519" spans="1:4" x14ac:dyDescent="0.25">
      <c r="A519" s="13"/>
      <c r="B519" s="13"/>
      <c r="C519" s="13"/>
      <c r="D519" s="13"/>
    </row>
    <row r="520" spans="1:4" x14ac:dyDescent="0.25">
      <c r="A520" s="13"/>
      <c r="B520" s="13"/>
      <c r="C520" s="13"/>
      <c r="D520" s="13"/>
    </row>
    <row r="521" spans="1:4" x14ac:dyDescent="0.25">
      <c r="A521" s="13"/>
      <c r="B521" s="13"/>
      <c r="C521" s="13"/>
      <c r="D521" s="13"/>
    </row>
    <row r="522" spans="1:4" x14ac:dyDescent="0.25">
      <c r="A522" s="13"/>
      <c r="B522" s="13"/>
      <c r="C522" s="13"/>
      <c r="D522" s="13"/>
    </row>
    <row r="523" spans="1:4" x14ac:dyDescent="0.25">
      <c r="A523" s="13"/>
      <c r="B523" s="13"/>
      <c r="C523" s="13"/>
      <c r="D523" s="13"/>
    </row>
    <row r="524" spans="1:4" x14ac:dyDescent="0.25">
      <c r="A524" s="13"/>
      <c r="B524" s="13"/>
      <c r="C524" s="13"/>
      <c r="D524" s="13"/>
    </row>
    <row r="525" spans="1:4" x14ac:dyDescent="0.25">
      <c r="A525" s="13"/>
      <c r="B525" s="13"/>
      <c r="C525" s="13"/>
      <c r="D525" s="13"/>
    </row>
    <row r="526" spans="1:4" x14ac:dyDescent="0.25">
      <c r="A526" s="13"/>
      <c r="B526" s="13"/>
      <c r="C526" s="13"/>
      <c r="D526" s="13"/>
    </row>
    <row r="527" spans="1:4" x14ac:dyDescent="0.25">
      <c r="A527" s="13"/>
      <c r="B527" s="13"/>
      <c r="C527" s="13"/>
      <c r="D527" s="13"/>
    </row>
    <row r="528" spans="1:4" x14ac:dyDescent="0.25">
      <c r="A528" s="13"/>
      <c r="B528" s="13"/>
      <c r="C528" s="13"/>
      <c r="D528" s="13"/>
    </row>
    <row r="529" spans="1:4" x14ac:dyDescent="0.25">
      <c r="A529" s="13"/>
      <c r="B529" s="13"/>
      <c r="C529" s="13"/>
      <c r="D529" s="13"/>
    </row>
    <row r="530" spans="1:4" x14ac:dyDescent="0.25">
      <c r="A530" s="13"/>
      <c r="B530" s="13"/>
      <c r="C530" s="13"/>
      <c r="D530" s="13"/>
    </row>
    <row r="531" spans="1:4" x14ac:dyDescent="0.25">
      <c r="A531" s="13"/>
      <c r="B531" s="13"/>
      <c r="C531" s="13"/>
      <c r="D531" s="13"/>
    </row>
    <row r="532" spans="1:4" x14ac:dyDescent="0.25">
      <c r="A532" s="13"/>
      <c r="B532" s="13"/>
      <c r="C532" s="13"/>
      <c r="D532" s="13"/>
    </row>
    <row r="533" spans="1:4" x14ac:dyDescent="0.25">
      <c r="A533" s="13"/>
      <c r="B533" s="13"/>
      <c r="C533" s="13"/>
      <c r="D533" s="13"/>
    </row>
    <row r="534" spans="1:4" x14ac:dyDescent="0.25">
      <c r="A534" s="13"/>
      <c r="B534" s="13"/>
      <c r="C534" s="13"/>
      <c r="D534" s="13"/>
    </row>
    <row r="535" spans="1:4" x14ac:dyDescent="0.25">
      <c r="A535" s="13"/>
      <c r="B535" s="13"/>
      <c r="C535" s="13"/>
      <c r="D535" s="13"/>
    </row>
    <row r="536" spans="1:4" x14ac:dyDescent="0.25">
      <c r="A536" s="13"/>
      <c r="B536" s="13"/>
      <c r="C536" s="13"/>
      <c r="D536" s="13"/>
    </row>
    <row r="537" spans="1:4" x14ac:dyDescent="0.25">
      <c r="A537" s="13"/>
      <c r="B537" s="13"/>
      <c r="C537" s="13"/>
      <c r="D537" s="13"/>
    </row>
    <row r="538" spans="1:4" x14ac:dyDescent="0.25">
      <c r="A538" s="13"/>
      <c r="B538" s="13"/>
      <c r="C538" s="13"/>
      <c r="D538" s="13"/>
    </row>
    <row r="539" spans="1:4" x14ac:dyDescent="0.25">
      <c r="A539" s="13"/>
      <c r="B539" s="13"/>
      <c r="C539" s="13"/>
      <c r="D539" s="13"/>
    </row>
    <row r="540" spans="1:4" x14ac:dyDescent="0.25">
      <c r="A540" s="13"/>
      <c r="B540" s="13"/>
      <c r="C540" s="13"/>
      <c r="D540" s="13"/>
    </row>
    <row r="541" spans="1:4" x14ac:dyDescent="0.25">
      <c r="A541" s="13"/>
      <c r="B541" s="13"/>
      <c r="C541" s="13"/>
      <c r="D541" s="13"/>
    </row>
    <row r="542" spans="1:4" x14ac:dyDescent="0.25">
      <c r="A542" s="13"/>
      <c r="B542" s="13"/>
      <c r="C542" s="13"/>
      <c r="D542" s="13"/>
    </row>
    <row r="543" spans="1:4" x14ac:dyDescent="0.25">
      <c r="A543" s="13"/>
      <c r="B543" s="13"/>
      <c r="C543" s="13"/>
      <c r="D543" s="13"/>
    </row>
    <row r="544" spans="1:4" x14ac:dyDescent="0.25">
      <c r="A544" s="13"/>
      <c r="B544" s="13"/>
      <c r="C544" s="13"/>
      <c r="D544" s="13"/>
    </row>
    <row r="545" spans="1:4" x14ac:dyDescent="0.25">
      <c r="A545" s="13"/>
      <c r="B545" s="13"/>
      <c r="C545" s="13"/>
      <c r="D545" s="13"/>
    </row>
    <row r="546" spans="1:4" x14ac:dyDescent="0.25">
      <c r="A546" s="13"/>
      <c r="B546" s="13"/>
      <c r="C546" s="13"/>
      <c r="D546" s="13"/>
    </row>
    <row r="547" spans="1:4" x14ac:dyDescent="0.25">
      <c r="A547" s="13"/>
      <c r="B547" s="13"/>
      <c r="C547" s="13"/>
      <c r="D547" s="13"/>
    </row>
    <row r="548" spans="1:4" x14ac:dyDescent="0.25">
      <c r="A548" s="13"/>
      <c r="B548" s="13"/>
      <c r="C548" s="13"/>
      <c r="D548" s="13"/>
    </row>
    <row r="549" spans="1:4" x14ac:dyDescent="0.25">
      <c r="A549" s="13"/>
      <c r="B549" s="13"/>
      <c r="C549" s="13"/>
      <c r="D549" s="13"/>
    </row>
    <row r="550" spans="1:4" x14ac:dyDescent="0.25">
      <c r="A550" s="13"/>
      <c r="B550" s="13"/>
      <c r="C550" s="13"/>
      <c r="D550" s="13"/>
    </row>
    <row r="551" spans="1:4" x14ac:dyDescent="0.25">
      <c r="A551" s="13"/>
      <c r="B551" s="13"/>
      <c r="C551" s="13"/>
      <c r="D551" s="13"/>
    </row>
    <row r="552" spans="1:4" x14ac:dyDescent="0.25">
      <c r="A552" s="13"/>
      <c r="B552" s="13"/>
      <c r="C552" s="13"/>
      <c r="D552" s="13"/>
    </row>
    <row r="553" spans="1:4" x14ac:dyDescent="0.25">
      <c r="A553" s="13"/>
      <c r="B553" s="13"/>
      <c r="C553" s="13"/>
      <c r="D553" s="13"/>
    </row>
    <row r="554" spans="1:4" x14ac:dyDescent="0.25">
      <c r="A554" s="13"/>
      <c r="B554" s="13"/>
      <c r="C554" s="13"/>
      <c r="D554" s="13"/>
    </row>
    <row r="555" spans="1:4" x14ac:dyDescent="0.25">
      <c r="A555" s="13"/>
      <c r="B555" s="13"/>
      <c r="C555" s="13"/>
      <c r="D555" s="13"/>
    </row>
    <row r="556" spans="1:4" x14ac:dyDescent="0.25">
      <c r="A556" s="13"/>
      <c r="B556" s="13"/>
      <c r="C556" s="13"/>
      <c r="D556" s="13"/>
    </row>
    <row r="557" spans="1:4" x14ac:dyDescent="0.25">
      <c r="A557" s="13"/>
      <c r="B557" s="13"/>
      <c r="C557" s="13"/>
      <c r="D557" s="13"/>
    </row>
    <row r="558" spans="1:4" x14ac:dyDescent="0.25">
      <c r="A558" s="13"/>
      <c r="B558" s="13"/>
      <c r="C558" s="13"/>
      <c r="D558" s="13"/>
    </row>
    <row r="559" spans="1:4" x14ac:dyDescent="0.25">
      <c r="A559" s="13"/>
      <c r="B559" s="13"/>
      <c r="C559" s="13"/>
      <c r="D559" s="13"/>
    </row>
    <row r="560" spans="1:4" x14ac:dyDescent="0.25">
      <c r="A560" s="13"/>
      <c r="B560" s="13"/>
      <c r="C560" s="13"/>
      <c r="D560" s="13"/>
    </row>
    <row r="561" spans="1:4" x14ac:dyDescent="0.25">
      <c r="A561" s="13"/>
      <c r="B561" s="13"/>
      <c r="C561" s="13"/>
      <c r="D561" s="13"/>
    </row>
    <row r="562" spans="1:4" x14ac:dyDescent="0.25">
      <c r="A562" s="13"/>
      <c r="B562" s="13"/>
      <c r="C562" s="13"/>
      <c r="D562" s="13"/>
    </row>
    <row r="563" spans="1:4" x14ac:dyDescent="0.25">
      <c r="A563" s="13"/>
      <c r="B563" s="13"/>
      <c r="C563" s="13"/>
      <c r="D563" s="13"/>
    </row>
    <row r="564" spans="1:4" x14ac:dyDescent="0.25">
      <c r="A564" s="13"/>
      <c r="B564" s="13"/>
      <c r="C564" s="13"/>
      <c r="D564" s="13"/>
    </row>
    <row r="565" spans="1:4" x14ac:dyDescent="0.25">
      <c r="A565" s="13"/>
      <c r="B565" s="13"/>
      <c r="C565" s="13"/>
      <c r="D565" s="13"/>
    </row>
    <row r="566" spans="1:4" x14ac:dyDescent="0.25">
      <c r="A566" s="13"/>
      <c r="B566" s="13"/>
      <c r="C566" s="13"/>
      <c r="D566" s="13"/>
    </row>
    <row r="567" spans="1:4" x14ac:dyDescent="0.25">
      <c r="A567" s="13"/>
      <c r="B567" s="13"/>
      <c r="C567" s="13"/>
      <c r="D567" s="13"/>
    </row>
    <row r="568" spans="1:4" x14ac:dyDescent="0.25">
      <c r="A568" s="13"/>
      <c r="B568" s="13"/>
      <c r="C568" s="13"/>
      <c r="D568" s="13"/>
    </row>
    <row r="569" spans="1:4" x14ac:dyDescent="0.25">
      <c r="A569" s="13"/>
      <c r="B569" s="13"/>
      <c r="C569" s="13"/>
      <c r="D569" s="13"/>
    </row>
    <row r="570" spans="1:4" x14ac:dyDescent="0.25">
      <c r="A570" s="13"/>
      <c r="B570" s="13"/>
      <c r="C570" s="13"/>
      <c r="D570" s="13"/>
    </row>
    <row r="571" spans="1:4" x14ac:dyDescent="0.25">
      <c r="A571" s="13"/>
      <c r="B571" s="13"/>
      <c r="C571" s="13"/>
      <c r="D571" s="13"/>
    </row>
    <row r="572" spans="1:4" x14ac:dyDescent="0.25">
      <c r="A572" s="13"/>
      <c r="B572" s="13"/>
      <c r="C572" s="13"/>
      <c r="D572" s="13"/>
    </row>
    <row r="573" spans="1:4" x14ac:dyDescent="0.25">
      <c r="A573" s="13"/>
      <c r="B573" s="13"/>
      <c r="C573" s="13"/>
      <c r="D573" s="13"/>
    </row>
    <row r="574" spans="1:4" x14ac:dyDescent="0.25">
      <c r="A574" s="13"/>
      <c r="B574" s="13"/>
      <c r="C574" s="13"/>
      <c r="D574" s="13"/>
    </row>
    <row r="575" spans="1:4" x14ac:dyDescent="0.25">
      <c r="A575" s="13"/>
      <c r="B575" s="13"/>
      <c r="C575" s="13"/>
      <c r="D575" s="13"/>
    </row>
    <row r="576" spans="1:4" x14ac:dyDescent="0.25">
      <c r="A576" s="13"/>
      <c r="B576" s="13"/>
      <c r="C576" s="13"/>
      <c r="D576" s="13"/>
    </row>
    <row r="577" spans="1:4" x14ac:dyDescent="0.25">
      <c r="A577" s="13"/>
      <c r="B577" s="13"/>
      <c r="C577" s="13"/>
      <c r="D577" s="13"/>
    </row>
    <row r="578" spans="1:4" x14ac:dyDescent="0.25">
      <c r="A578" s="13"/>
      <c r="B578" s="13"/>
      <c r="C578" s="13"/>
      <c r="D578" s="13"/>
    </row>
    <row r="579" spans="1:4" x14ac:dyDescent="0.25">
      <c r="A579" s="13"/>
      <c r="B579" s="13"/>
      <c r="C579" s="13"/>
      <c r="D579" s="13"/>
    </row>
    <row r="580" spans="1:4" x14ac:dyDescent="0.25">
      <c r="A580" s="13"/>
      <c r="B580" s="13"/>
      <c r="C580" s="13"/>
      <c r="D580" s="13"/>
    </row>
    <row r="581" spans="1:4" x14ac:dyDescent="0.25">
      <c r="A581" s="13"/>
      <c r="B581" s="13"/>
      <c r="C581" s="13"/>
      <c r="D581" s="13"/>
    </row>
    <row r="582" spans="1:4" x14ac:dyDescent="0.25">
      <c r="A582" s="13"/>
      <c r="B582" s="13"/>
      <c r="C582" s="13"/>
      <c r="D582" s="13"/>
    </row>
    <row r="583" spans="1:4" x14ac:dyDescent="0.25">
      <c r="A583" s="13"/>
      <c r="B583" s="13"/>
      <c r="C583" s="13"/>
      <c r="D583" s="13"/>
    </row>
    <row r="584" spans="1:4" x14ac:dyDescent="0.25">
      <c r="A584" s="13"/>
      <c r="B584" s="13"/>
      <c r="C584" s="13"/>
      <c r="D584" s="13"/>
    </row>
    <row r="585" spans="1:4" x14ac:dyDescent="0.25">
      <c r="A585" s="13"/>
      <c r="B585" s="13"/>
      <c r="C585" s="13"/>
      <c r="D585" s="13"/>
    </row>
    <row r="586" spans="1:4" x14ac:dyDescent="0.25">
      <c r="A586" s="13"/>
      <c r="B586" s="13"/>
      <c r="C586" s="13"/>
      <c r="D586" s="13"/>
    </row>
    <row r="587" spans="1:4" x14ac:dyDescent="0.25">
      <c r="A587" s="13"/>
      <c r="B587" s="13"/>
      <c r="C587" s="13"/>
      <c r="D587" s="13"/>
    </row>
    <row r="588" spans="1:4" x14ac:dyDescent="0.25">
      <c r="A588" s="13"/>
      <c r="B588" s="13"/>
      <c r="C588" s="13"/>
      <c r="D588" s="13"/>
    </row>
    <row r="589" spans="1:4" x14ac:dyDescent="0.25">
      <c r="A589" s="13"/>
      <c r="B589" s="13"/>
      <c r="C589" s="13"/>
      <c r="D589" s="13"/>
    </row>
    <row r="590" spans="1:4" x14ac:dyDescent="0.25">
      <c r="A590" s="13"/>
      <c r="B590" s="13"/>
      <c r="C590" s="13"/>
      <c r="D590" s="13"/>
    </row>
    <row r="591" spans="1:4" x14ac:dyDescent="0.25">
      <c r="A591" s="13"/>
      <c r="B591" s="13"/>
      <c r="C591" s="13"/>
      <c r="D591" s="13"/>
    </row>
    <row r="592" spans="1:4" x14ac:dyDescent="0.25">
      <c r="A592" s="13"/>
      <c r="B592" s="13"/>
      <c r="C592" s="13"/>
      <c r="D592" s="13"/>
    </row>
    <row r="593" spans="1:4" x14ac:dyDescent="0.25">
      <c r="A593" s="13"/>
      <c r="B593" s="13"/>
      <c r="C593" s="13"/>
      <c r="D593" s="13"/>
    </row>
    <row r="594" spans="1:4" x14ac:dyDescent="0.25">
      <c r="A594" s="13"/>
      <c r="B594" s="13"/>
      <c r="C594" s="13"/>
      <c r="D594" s="13"/>
    </row>
    <row r="595" spans="1:4" x14ac:dyDescent="0.25">
      <c r="A595" s="13"/>
      <c r="B595" s="13"/>
      <c r="C595" s="13"/>
      <c r="D595" s="13"/>
    </row>
    <row r="596" spans="1:4" x14ac:dyDescent="0.25">
      <c r="A596" s="13"/>
      <c r="B596" s="13"/>
      <c r="C596" s="13"/>
      <c r="D596" s="13"/>
    </row>
    <row r="597" spans="1:4" x14ac:dyDescent="0.25">
      <c r="A597" s="13"/>
      <c r="B597" s="13"/>
      <c r="C597" s="13"/>
      <c r="D597" s="13"/>
    </row>
    <row r="598" spans="1:4" x14ac:dyDescent="0.25">
      <c r="A598" s="13"/>
      <c r="B598" s="13"/>
      <c r="C598" s="13"/>
      <c r="D598" s="13"/>
    </row>
    <row r="601" spans="1:4" ht="20.25" x14ac:dyDescent="0.3">
      <c r="A601" s="19"/>
    </row>
    <row r="602" spans="1:4" x14ac:dyDescent="0.25">
      <c r="A602" s="14"/>
      <c r="B602" s="14"/>
      <c r="C602" s="14"/>
      <c r="D602" s="14"/>
    </row>
    <row r="603" spans="1:4" x14ac:dyDescent="0.25">
      <c r="A603" s="13"/>
      <c r="B603" s="13"/>
      <c r="C603" s="13"/>
      <c r="D603" s="13"/>
    </row>
    <row r="604" spans="1:4" x14ac:dyDescent="0.25">
      <c r="A604" s="13"/>
      <c r="B604" s="13"/>
      <c r="C604" s="13"/>
      <c r="D604" s="13"/>
    </row>
    <row r="605" spans="1:4" x14ac:dyDescent="0.25">
      <c r="A605" s="13"/>
      <c r="B605" s="13"/>
      <c r="C605" s="13"/>
      <c r="D605" s="13"/>
    </row>
    <row r="606" spans="1:4" x14ac:dyDescent="0.25">
      <c r="A606" s="13"/>
      <c r="B606" s="13"/>
      <c r="C606" s="13"/>
      <c r="D606" s="13"/>
    </row>
    <row r="607" spans="1:4" x14ac:dyDescent="0.25">
      <c r="A607" s="13"/>
      <c r="B607" s="13"/>
      <c r="C607" s="13"/>
      <c r="D607" s="13"/>
    </row>
    <row r="608" spans="1:4" x14ac:dyDescent="0.25">
      <c r="A608" s="13"/>
      <c r="B608" s="13"/>
      <c r="C608" s="13"/>
      <c r="D608" s="13"/>
    </row>
    <row r="609" spans="1:4" x14ac:dyDescent="0.25">
      <c r="A609" s="13"/>
      <c r="B609" s="13"/>
      <c r="C609" s="13"/>
      <c r="D609" s="13"/>
    </row>
    <row r="610" spans="1:4" x14ac:dyDescent="0.25">
      <c r="A610" s="13"/>
      <c r="B610" s="13"/>
      <c r="C610" s="13"/>
      <c r="D610" s="13"/>
    </row>
    <row r="611" spans="1:4" x14ac:dyDescent="0.25">
      <c r="A611" s="13"/>
      <c r="B611" s="13"/>
      <c r="C611" s="13"/>
      <c r="D611" s="13"/>
    </row>
    <row r="612" spans="1:4" x14ac:dyDescent="0.25">
      <c r="A612" s="13"/>
      <c r="B612" s="13"/>
      <c r="C612" s="13"/>
      <c r="D612" s="13"/>
    </row>
    <row r="613" spans="1:4" x14ac:dyDescent="0.25">
      <c r="A613" s="13"/>
      <c r="B613" s="13"/>
      <c r="C613" s="13"/>
      <c r="D613" s="13"/>
    </row>
    <row r="614" spans="1:4" x14ac:dyDescent="0.25">
      <c r="A614" s="13"/>
      <c r="B614" s="13"/>
      <c r="C614" s="13"/>
      <c r="D614" s="13"/>
    </row>
    <row r="615" spans="1:4" x14ac:dyDescent="0.25">
      <c r="A615" s="13"/>
      <c r="B615" s="13"/>
      <c r="C615" s="13"/>
      <c r="D615" s="13"/>
    </row>
    <row r="616" spans="1:4" x14ac:dyDescent="0.25">
      <c r="A616" s="13"/>
      <c r="B616" s="13"/>
      <c r="C616" s="13"/>
      <c r="D616" s="13"/>
    </row>
    <row r="617" spans="1:4" x14ac:dyDescent="0.25">
      <c r="A617" s="13"/>
      <c r="B617" s="13"/>
      <c r="C617" s="13"/>
      <c r="D617" s="13"/>
    </row>
    <row r="618" spans="1:4" x14ac:dyDescent="0.25">
      <c r="A618" s="13"/>
      <c r="B618" s="13"/>
      <c r="C618" s="13"/>
      <c r="D618" s="13"/>
    </row>
    <row r="619" spans="1:4" x14ac:dyDescent="0.25">
      <c r="A619" s="13"/>
      <c r="B619" s="13"/>
      <c r="C619" s="13"/>
      <c r="D619" s="13"/>
    </row>
    <row r="620" spans="1:4" x14ac:dyDescent="0.25">
      <c r="A620" s="13"/>
      <c r="B620" s="13"/>
      <c r="C620" s="13"/>
      <c r="D620" s="13"/>
    </row>
    <row r="621" spans="1:4" x14ac:dyDescent="0.25">
      <c r="A621" s="13"/>
      <c r="B621" s="13"/>
      <c r="C621" s="13"/>
      <c r="D621" s="13"/>
    </row>
    <row r="622" spans="1:4" x14ac:dyDescent="0.25">
      <c r="A622" s="13"/>
      <c r="B622" s="13"/>
      <c r="C622" s="13"/>
      <c r="D622" s="13"/>
    </row>
    <row r="623" spans="1:4" x14ac:dyDescent="0.25">
      <c r="A623" s="13"/>
      <c r="B623" s="13"/>
      <c r="C623" s="13"/>
      <c r="D623" s="13"/>
    </row>
    <row r="624" spans="1:4" x14ac:dyDescent="0.25">
      <c r="A624" s="13"/>
      <c r="B624" s="13"/>
      <c r="C624" s="13"/>
      <c r="D624" s="13"/>
    </row>
    <row r="625" spans="1:4" x14ac:dyDescent="0.25">
      <c r="A625" s="13"/>
      <c r="B625" s="13"/>
      <c r="C625" s="13"/>
      <c r="D625" s="13"/>
    </row>
    <row r="626" spans="1:4" x14ac:dyDescent="0.25">
      <c r="A626" s="13"/>
      <c r="B626" s="13"/>
      <c r="C626" s="13"/>
      <c r="D626" s="13"/>
    </row>
    <row r="627" spans="1:4" x14ac:dyDescent="0.25">
      <c r="A627" s="13"/>
      <c r="B627" s="13"/>
      <c r="C627" s="13"/>
      <c r="D627" s="13"/>
    </row>
    <row r="628" spans="1:4" x14ac:dyDescent="0.25">
      <c r="A628" s="13"/>
      <c r="B628" s="13"/>
      <c r="C628" s="13"/>
      <c r="D628" s="13"/>
    </row>
    <row r="629" spans="1:4" x14ac:dyDescent="0.25">
      <c r="A629" s="13"/>
      <c r="B629" s="13"/>
      <c r="C629" s="13"/>
      <c r="D629" s="13"/>
    </row>
    <row r="630" spans="1:4" x14ac:dyDescent="0.25">
      <c r="A630" s="13"/>
      <c r="B630" s="13"/>
      <c r="C630" s="13"/>
      <c r="D630" s="13"/>
    </row>
    <row r="631" spans="1:4" x14ac:dyDescent="0.25">
      <c r="A631" s="13"/>
      <c r="B631" s="13"/>
      <c r="C631" s="13"/>
      <c r="D631" s="13"/>
    </row>
    <row r="632" spans="1:4" x14ac:dyDescent="0.25">
      <c r="A632" s="13"/>
      <c r="B632" s="13"/>
      <c r="C632" s="13"/>
      <c r="D632" s="13"/>
    </row>
    <row r="633" spans="1:4" x14ac:dyDescent="0.25">
      <c r="A633" s="13"/>
      <c r="B633" s="13"/>
      <c r="C633" s="13"/>
      <c r="D633" s="13"/>
    </row>
    <row r="634" spans="1:4" x14ac:dyDescent="0.25">
      <c r="A634" s="13"/>
      <c r="B634" s="13"/>
      <c r="C634" s="13"/>
      <c r="D634" s="13"/>
    </row>
    <row r="635" spans="1:4" x14ac:dyDescent="0.25">
      <c r="A635" s="13"/>
      <c r="B635" s="13"/>
      <c r="C635" s="13"/>
      <c r="D635" s="13"/>
    </row>
    <row r="636" spans="1:4" x14ac:dyDescent="0.25">
      <c r="A636" s="13"/>
      <c r="B636" s="13"/>
      <c r="C636" s="13"/>
      <c r="D636" s="13"/>
    </row>
    <row r="637" spans="1:4" x14ac:dyDescent="0.25">
      <c r="A637" s="13"/>
      <c r="B637" s="13"/>
      <c r="C637" s="13"/>
      <c r="D637" s="13"/>
    </row>
    <row r="638" spans="1:4" x14ac:dyDescent="0.25">
      <c r="A638" s="13"/>
      <c r="B638" s="13"/>
      <c r="C638" s="13"/>
      <c r="D638" s="13"/>
    </row>
    <row r="639" spans="1:4" x14ac:dyDescent="0.25">
      <c r="A639" s="13"/>
      <c r="B639" s="13"/>
      <c r="C639" s="13"/>
      <c r="D639" s="13"/>
    </row>
    <row r="640" spans="1:4" x14ac:dyDescent="0.25">
      <c r="A640" s="13"/>
      <c r="B640" s="13"/>
      <c r="C640" s="13"/>
      <c r="D640" s="13"/>
    </row>
    <row r="641" spans="1:4" x14ac:dyDescent="0.25">
      <c r="A641" s="13"/>
      <c r="B641" s="13"/>
      <c r="C641" s="13"/>
      <c r="D641" s="13"/>
    </row>
    <row r="642" spans="1:4" x14ac:dyDescent="0.25">
      <c r="A642" s="13"/>
      <c r="B642" s="13"/>
      <c r="C642" s="13"/>
      <c r="D642" s="13"/>
    </row>
    <row r="643" spans="1:4" x14ac:dyDescent="0.25">
      <c r="A643" s="13"/>
      <c r="B643" s="13"/>
      <c r="C643" s="13"/>
      <c r="D643" s="13"/>
    </row>
    <row r="644" spans="1:4" x14ac:dyDescent="0.25">
      <c r="A644" s="13"/>
      <c r="B644" s="13"/>
      <c r="C644" s="13"/>
      <c r="D644" s="13"/>
    </row>
    <row r="645" spans="1:4" x14ac:dyDescent="0.25">
      <c r="A645" s="13"/>
      <c r="B645" s="13"/>
      <c r="C645" s="13"/>
      <c r="D645" s="13"/>
    </row>
    <row r="646" spans="1:4" x14ac:dyDescent="0.25">
      <c r="A646" s="13"/>
      <c r="B646" s="13"/>
      <c r="C646" s="13"/>
      <c r="D646" s="13"/>
    </row>
    <row r="647" spans="1:4" x14ac:dyDescent="0.25">
      <c r="A647" s="13"/>
      <c r="B647" s="13"/>
      <c r="C647" s="13"/>
      <c r="D647" s="13"/>
    </row>
    <row r="648" spans="1:4" x14ac:dyDescent="0.25">
      <c r="A648" s="13"/>
      <c r="B648" s="13"/>
      <c r="C648" s="13"/>
      <c r="D648" s="13"/>
    </row>
    <row r="649" spans="1:4" x14ac:dyDescent="0.25">
      <c r="A649" s="13"/>
      <c r="B649" s="13"/>
      <c r="C649" s="13"/>
      <c r="D649" s="13"/>
    </row>
    <row r="650" spans="1:4" x14ac:dyDescent="0.25">
      <c r="A650" s="13"/>
      <c r="B650" s="13"/>
      <c r="C650" s="13"/>
      <c r="D650" s="13"/>
    </row>
    <row r="651" spans="1:4" x14ac:dyDescent="0.25">
      <c r="A651" s="13"/>
      <c r="B651" s="13"/>
      <c r="C651" s="13"/>
      <c r="D651" s="13"/>
    </row>
    <row r="652" spans="1:4" x14ac:dyDescent="0.25">
      <c r="A652" s="13"/>
      <c r="B652" s="13"/>
      <c r="C652" s="13"/>
      <c r="D652" s="13"/>
    </row>
    <row r="653" spans="1:4" x14ac:dyDescent="0.25">
      <c r="A653" s="13"/>
      <c r="B653" s="13"/>
      <c r="C653" s="13"/>
      <c r="D653" s="13"/>
    </row>
    <row r="654" spans="1:4" x14ac:dyDescent="0.25">
      <c r="A654" s="13"/>
      <c r="B654" s="13"/>
      <c r="C654" s="13"/>
      <c r="D654" s="13"/>
    </row>
    <row r="655" spans="1:4" x14ac:dyDescent="0.25">
      <c r="A655" s="13"/>
      <c r="B655" s="13"/>
      <c r="C655" s="13"/>
      <c r="D655" s="13"/>
    </row>
    <row r="656" spans="1:4" x14ac:dyDescent="0.25">
      <c r="A656" s="13"/>
      <c r="B656" s="13"/>
      <c r="C656" s="13"/>
      <c r="D656" s="13"/>
    </row>
    <row r="657" spans="1:4" x14ac:dyDescent="0.25">
      <c r="A657" s="13"/>
      <c r="B657" s="13"/>
      <c r="C657" s="13"/>
      <c r="D657" s="13"/>
    </row>
    <row r="658" spans="1:4" x14ac:dyDescent="0.25">
      <c r="A658" s="13"/>
      <c r="B658" s="13"/>
      <c r="C658" s="13"/>
      <c r="D658" s="13"/>
    </row>
    <row r="659" spans="1:4" x14ac:dyDescent="0.25">
      <c r="A659" s="13"/>
      <c r="B659" s="13"/>
      <c r="C659" s="13"/>
      <c r="D659" s="13"/>
    </row>
    <row r="660" spans="1:4" x14ac:dyDescent="0.25">
      <c r="A660" s="13"/>
      <c r="B660" s="13"/>
      <c r="C660" s="13"/>
      <c r="D660" s="13"/>
    </row>
    <row r="661" spans="1:4" x14ac:dyDescent="0.25">
      <c r="A661" s="13"/>
      <c r="B661" s="13"/>
      <c r="C661" s="13"/>
      <c r="D661" s="13"/>
    </row>
    <row r="662" spans="1:4" x14ac:dyDescent="0.25">
      <c r="A662" s="13"/>
      <c r="B662" s="13"/>
      <c r="C662" s="13"/>
      <c r="D662" s="13"/>
    </row>
    <row r="663" spans="1:4" x14ac:dyDescent="0.25">
      <c r="A663" s="13"/>
      <c r="B663" s="13"/>
      <c r="C663" s="13"/>
      <c r="D663" s="13"/>
    </row>
    <row r="664" spans="1:4" x14ac:dyDescent="0.25">
      <c r="A664" s="13"/>
      <c r="B664" s="13"/>
      <c r="C664" s="13"/>
      <c r="D664" s="13"/>
    </row>
    <row r="665" spans="1:4" x14ac:dyDescent="0.25">
      <c r="A665" s="13"/>
      <c r="B665" s="13"/>
      <c r="C665" s="13"/>
      <c r="D665" s="13"/>
    </row>
    <row r="666" spans="1:4" x14ac:dyDescent="0.25">
      <c r="A666" s="13"/>
      <c r="B666" s="13"/>
      <c r="C666" s="13"/>
      <c r="D666" s="13"/>
    </row>
    <row r="667" spans="1:4" x14ac:dyDescent="0.25">
      <c r="A667" s="13"/>
      <c r="B667" s="13"/>
      <c r="C667" s="13"/>
      <c r="D667" s="13"/>
    </row>
    <row r="668" spans="1:4" x14ac:dyDescent="0.25">
      <c r="A668" s="13"/>
      <c r="B668" s="13"/>
      <c r="C668" s="13"/>
      <c r="D668" s="13"/>
    </row>
    <row r="669" spans="1:4" x14ac:dyDescent="0.25">
      <c r="A669" s="13"/>
      <c r="B669" s="13"/>
      <c r="C669" s="13"/>
      <c r="D669" s="13"/>
    </row>
    <row r="670" spans="1:4" x14ac:dyDescent="0.25">
      <c r="A670" s="13"/>
      <c r="B670" s="13"/>
      <c r="C670" s="13"/>
      <c r="D670" s="13"/>
    </row>
    <row r="671" spans="1:4" x14ac:dyDescent="0.25">
      <c r="A671" s="13"/>
      <c r="B671" s="13"/>
      <c r="C671" s="13"/>
      <c r="D671" s="13"/>
    </row>
    <row r="672" spans="1:4" x14ac:dyDescent="0.25">
      <c r="A672" s="13"/>
      <c r="B672" s="13"/>
      <c r="C672" s="13"/>
      <c r="D672" s="13"/>
    </row>
    <row r="673" spans="1:4" x14ac:dyDescent="0.25">
      <c r="A673" s="13"/>
      <c r="B673" s="13"/>
      <c r="C673" s="13"/>
      <c r="D673" s="13"/>
    </row>
    <row r="674" spans="1:4" x14ac:dyDescent="0.25">
      <c r="A674" s="13"/>
      <c r="B674" s="13"/>
      <c r="C674" s="13"/>
      <c r="D674" s="13"/>
    </row>
    <row r="675" spans="1:4" x14ac:dyDescent="0.25">
      <c r="A675" s="13"/>
      <c r="B675" s="13"/>
      <c r="C675" s="13"/>
      <c r="D675" s="13"/>
    </row>
    <row r="676" spans="1:4" x14ac:dyDescent="0.25">
      <c r="A676" s="13"/>
      <c r="B676" s="13"/>
      <c r="C676" s="13"/>
      <c r="D676" s="13"/>
    </row>
    <row r="677" spans="1:4" x14ac:dyDescent="0.25">
      <c r="A677" s="13"/>
      <c r="B677" s="13"/>
      <c r="C677" s="13"/>
      <c r="D677" s="13"/>
    </row>
    <row r="678" spans="1:4" x14ac:dyDescent="0.25">
      <c r="A678" s="13"/>
      <c r="B678" s="13"/>
      <c r="C678" s="13"/>
      <c r="D678" s="13"/>
    </row>
    <row r="679" spans="1:4" x14ac:dyDescent="0.25">
      <c r="A679" s="13"/>
      <c r="B679" s="13"/>
      <c r="C679" s="13"/>
      <c r="D679" s="13"/>
    </row>
    <row r="680" spans="1:4" x14ac:dyDescent="0.25">
      <c r="A680" s="13"/>
      <c r="B680" s="13"/>
      <c r="C680" s="13"/>
      <c r="D680" s="13"/>
    </row>
    <row r="681" spans="1:4" x14ac:dyDescent="0.25">
      <c r="A681" s="13"/>
      <c r="B681" s="13"/>
      <c r="C681" s="13"/>
      <c r="D681" s="13"/>
    </row>
    <row r="682" spans="1:4" x14ac:dyDescent="0.25">
      <c r="A682" s="13"/>
      <c r="B682" s="13"/>
      <c r="C682" s="13"/>
      <c r="D682" s="13"/>
    </row>
    <row r="683" spans="1:4" x14ac:dyDescent="0.25">
      <c r="A683" s="13"/>
      <c r="B683" s="13"/>
      <c r="C683" s="13"/>
      <c r="D683" s="13"/>
    </row>
    <row r="684" spans="1:4" x14ac:dyDescent="0.25">
      <c r="A684" s="13"/>
      <c r="B684" s="13"/>
      <c r="C684" s="13"/>
      <c r="D684" s="13"/>
    </row>
    <row r="685" spans="1:4" x14ac:dyDescent="0.25">
      <c r="A685" s="13"/>
      <c r="B685" s="13"/>
      <c r="C685" s="13"/>
      <c r="D685" s="13"/>
    </row>
    <row r="686" spans="1:4" x14ac:dyDescent="0.25">
      <c r="A686" s="13"/>
      <c r="B686" s="13"/>
      <c r="C686" s="13"/>
      <c r="D686" s="13"/>
    </row>
    <row r="687" spans="1:4" x14ac:dyDescent="0.25">
      <c r="A687" s="13"/>
      <c r="B687" s="13"/>
      <c r="C687" s="13"/>
      <c r="D687" s="13"/>
    </row>
    <row r="688" spans="1:4" x14ac:dyDescent="0.25">
      <c r="A688" s="13"/>
      <c r="B688" s="13"/>
      <c r="C688" s="13"/>
      <c r="D688" s="13"/>
    </row>
    <row r="689" spans="1:4" x14ac:dyDescent="0.25">
      <c r="A689" s="13"/>
      <c r="B689" s="13"/>
      <c r="C689" s="13"/>
      <c r="D689" s="13"/>
    </row>
    <row r="690" spans="1:4" x14ac:dyDescent="0.25">
      <c r="A690" s="13"/>
      <c r="B690" s="13"/>
      <c r="C690" s="13"/>
      <c r="D690" s="13"/>
    </row>
    <row r="691" spans="1:4" x14ac:dyDescent="0.25">
      <c r="A691" s="13"/>
      <c r="B691" s="13"/>
      <c r="C691" s="13"/>
      <c r="D691" s="13"/>
    </row>
    <row r="692" spans="1:4" x14ac:dyDescent="0.25">
      <c r="A692" s="13"/>
      <c r="B692" s="13"/>
      <c r="C692" s="13"/>
      <c r="D692" s="13"/>
    </row>
    <row r="693" spans="1:4" x14ac:dyDescent="0.25">
      <c r="A693" s="13"/>
      <c r="B693" s="13"/>
      <c r="C693" s="13"/>
      <c r="D693" s="13"/>
    </row>
    <row r="694" spans="1:4" x14ac:dyDescent="0.25">
      <c r="A694" s="13"/>
      <c r="B694" s="13"/>
      <c r="C694" s="13"/>
      <c r="D694" s="13"/>
    </row>
    <row r="695" spans="1:4" x14ac:dyDescent="0.25">
      <c r="A695" s="13"/>
      <c r="B695" s="13"/>
      <c r="C695" s="13"/>
      <c r="D695" s="13"/>
    </row>
    <row r="696" spans="1:4" x14ac:dyDescent="0.25">
      <c r="A696" s="13"/>
      <c r="B696" s="13"/>
      <c r="C696" s="13"/>
      <c r="D696" s="13"/>
    </row>
    <row r="697" spans="1:4" x14ac:dyDescent="0.25">
      <c r="A697" s="13"/>
      <c r="B697" s="13"/>
      <c r="C697" s="13"/>
      <c r="D697" s="13"/>
    </row>
    <row r="698" spans="1:4" x14ac:dyDescent="0.25">
      <c r="A698" s="13"/>
      <c r="B698" s="13"/>
      <c r="C698" s="13"/>
      <c r="D698" s="13"/>
    </row>
    <row r="699" spans="1:4" x14ac:dyDescent="0.25">
      <c r="A699" s="13"/>
      <c r="B699" s="13"/>
      <c r="C699" s="13"/>
      <c r="D699" s="13"/>
    </row>
    <row r="700" spans="1:4" x14ac:dyDescent="0.25">
      <c r="A700" s="13"/>
      <c r="B700" s="13"/>
      <c r="C700" s="13"/>
      <c r="D700" s="13"/>
    </row>
    <row r="701" spans="1:4" x14ac:dyDescent="0.25">
      <c r="A701" s="13"/>
      <c r="B701" s="13"/>
      <c r="C701" s="13"/>
      <c r="D701" s="13"/>
    </row>
    <row r="702" spans="1:4" x14ac:dyDescent="0.25">
      <c r="A702" s="13"/>
      <c r="B702" s="13"/>
      <c r="C702" s="13"/>
      <c r="D702" s="13"/>
    </row>
    <row r="705" spans="1:4" ht="20.25" x14ac:dyDescent="0.3">
      <c r="A705" s="19"/>
    </row>
    <row r="706" spans="1:4" x14ac:dyDescent="0.25">
      <c r="A706" s="14"/>
      <c r="B706" s="14"/>
      <c r="C706" s="14"/>
      <c r="D706" s="14"/>
    </row>
    <row r="707" spans="1:4" x14ac:dyDescent="0.25">
      <c r="A707" s="13"/>
      <c r="B707" s="13"/>
      <c r="C707" s="13"/>
      <c r="D707" s="13"/>
    </row>
    <row r="708" spans="1:4" x14ac:dyDescent="0.25">
      <c r="A708" s="13"/>
      <c r="B708" s="13"/>
      <c r="C708" s="13"/>
      <c r="D708" s="13"/>
    </row>
    <row r="709" spans="1:4" x14ac:dyDescent="0.25">
      <c r="A709" s="13"/>
      <c r="B709" s="13"/>
      <c r="C709" s="13"/>
      <c r="D709" s="13"/>
    </row>
    <row r="710" spans="1:4" x14ac:dyDescent="0.25">
      <c r="A710" s="13"/>
      <c r="B710" s="13"/>
      <c r="C710" s="13"/>
      <c r="D710" s="13"/>
    </row>
    <row r="711" spans="1:4" x14ac:dyDescent="0.25">
      <c r="A711" s="13"/>
      <c r="B711" s="13"/>
      <c r="C711" s="13"/>
      <c r="D711" s="13"/>
    </row>
    <row r="712" spans="1:4" x14ac:dyDescent="0.25">
      <c r="A712" s="13"/>
      <c r="B712" s="13"/>
      <c r="C712" s="13"/>
      <c r="D712" s="13"/>
    </row>
    <row r="713" spans="1:4" x14ac:dyDescent="0.25">
      <c r="A713" s="13"/>
      <c r="B713" s="13"/>
      <c r="C713" s="13"/>
      <c r="D713" s="13"/>
    </row>
    <row r="714" spans="1:4" x14ac:dyDescent="0.25">
      <c r="A714" s="13"/>
      <c r="B714" s="13"/>
      <c r="C714" s="13"/>
      <c r="D714" s="13"/>
    </row>
    <row r="715" spans="1:4" x14ac:dyDescent="0.25">
      <c r="A715" s="13"/>
      <c r="B715" s="13"/>
      <c r="C715" s="13"/>
      <c r="D715" s="13"/>
    </row>
    <row r="716" spans="1:4" x14ac:dyDescent="0.25">
      <c r="A716" s="13"/>
      <c r="B716" s="13"/>
      <c r="C716" s="13"/>
      <c r="D716" s="13"/>
    </row>
    <row r="717" spans="1:4" x14ac:dyDescent="0.25">
      <c r="A717" s="13"/>
      <c r="B717" s="13"/>
      <c r="C717" s="13"/>
      <c r="D717" s="13"/>
    </row>
    <row r="718" spans="1:4" x14ac:dyDescent="0.25">
      <c r="A718" s="13"/>
      <c r="B718" s="13"/>
      <c r="C718" s="13"/>
      <c r="D718" s="13"/>
    </row>
    <row r="719" spans="1:4" x14ac:dyDescent="0.25">
      <c r="A719" s="13"/>
      <c r="B719" s="13"/>
      <c r="C719" s="13"/>
      <c r="D719" s="13"/>
    </row>
    <row r="720" spans="1:4" x14ac:dyDescent="0.25">
      <c r="A720" s="13"/>
      <c r="B720" s="13"/>
      <c r="C720" s="13"/>
      <c r="D720" s="13"/>
    </row>
    <row r="721" spans="1:4" x14ac:dyDescent="0.25">
      <c r="A721" s="13"/>
      <c r="B721" s="13"/>
      <c r="C721" s="13"/>
      <c r="D721" s="13"/>
    </row>
    <row r="722" spans="1:4" x14ac:dyDescent="0.25">
      <c r="A722" s="13"/>
      <c r="B722" s="13"/>
      <c r="C722" s="13"/>
      <c r="D722" s="13"/>
    </row>
    <row r="723" spans="1:4" x14ac:dyDescent="0.25">
      <c r="A723" s="13"/>
      <c r="B723" s="13"/>
      <c r="C723" s="13"/>
      <c r="D723" s="13"/>
    </row>
    <row r="724" spans="1:4" x14ac:dyDescent="0.25">
      <c r="A724" s="13"/>
      <c r="B724" s="13"/>
      <c r="C724" s="13"/>
      <c r="D724" s="13"/>
    </row>
    <row r="725" spans="1:4" x14ac:dyDescent="0.25">
      <c r="A725" s="13"/>
      <c r="B725" s="13"/>
      <c r="C725" s="13"/>
      <c r="D725" s="13"/>
    </row>
    <row r="726" spans="1:4" x14ac:dyDescent="0.25">
      <c r="A726" s="13"/>
      <c r="B726" s="13"/>
      <c r="C726" s="13"/>
      <c r="D726" s="13"/>
    </row>
    <row r="727" spans="1:4" x14ac:dyDescent="0.25">
      <c r="A727" s="13"/>
      <c r="B727" s="13"/>
      <c r="C727" s="13"/>
      <c r="D727" s="13"/>
    </row>
    <row r="728" spans="1:4" x14ac:dyDescent="0.25">
      <c r="A728" s="13"/>
      <c r="B728" s="13"/>
      <c r="C728" s="13"/>
      <c r="D728" s="13"/>
    </row>
    <row r="729" spans="1:4" x14ac:dyDescent="0.25">
      <c r="A729" s="13"/>
      <c r="B729" s="13"/>
      <c r="C729" s="13"/>
      <c r="D729" s="13"/>
    </row>
    <row r="730" spans="1:4" x14ac:dyDescent="0.25">
      <c r="A730" s="13"/>
      <c r="B730" s="13"/>
      <c r="C730" s="13"/>
      <c r="D730" s="13"/>
    </row>
    <row r="731" spans="1:4" x14ac:dyDescent="0.25">
      <c r="A731" s="13"/>
      <c r="B731" s="13"/>
      <c r="C731" s="13"/>
      <c r="D731" s="13"/>
    </row>
    <row r="732" spans="1:4" x14ac:dyDescent="0.25">
      <c r="A732" s="13"/>
      <c r="B732" s="13"/>
      <c r="C732" s="13"/>
      <c r="D732" s="13"/>
    </row>
    <row r="733" spans="1:4" x14ac:dyDescent="0.25">
      <c r="A733" s="13"/>
      <c r="B733" s="13"/>
      <c r="C733" s="13"/>
      <c r="D733" s="13"/>
    </row>
    <row r="734" spans="1:4" x14ac:dyDescent="0.25">
      <c r="A734" s="13"/>
      <c r="B734" s="13"/>
      <c r="C734" s="13"/>
      <c r="D734" s="13"/>
    </row>
    <row r="735" spans="1:4" x14ac:dyDescent="0.25">
      <c r="A735" s="13"/>
      <c r="B735" s="13"/>
      <c r="C735" s="13"/>
      <c r="D735" s="13"/>
    </row>
    <row r="736" spans="1:4" x14ac:dyDescent="0.25">
      <c r="A736" s="13"/>
      <c r="B736" s="13"/>
      <c r="C736" s="13"/>
      <c r="D736" s="13"/>
    </row>
    <row r="737" spans="1:4" x14ac:dyDescent="0.25">
      <c r="A737" s="13"/>
      <c r="B737" s="13"/>
      <c r="C737" s="13"/>
      <c r="D737" s="13"/>
    </row>
    <row r="738" spans="1:4" x14ac:dyDescent="0.25">
      <c r="A738" s="13"/>
      <c r="B738" s="13"/>
      <c r="C738" s="13"/>
      <c r="D738" s="13"/>
    </row>
    <row r="739" spans="1:4" x14ac:dyDescent="0.25">
      <c r="A739" s="13"/>
      <c r="B739" s="13"/>
      <c r="C739" s="13"/>
      <c r="D739" s="13"/>
    </row>
    <row r="740" spans="1:4" x14ac:dyDescent="0.25">
      <c r="A740" s="13"/>
      <c r="B740" s="13"/>
      <c r="C740" s="13"/>
      <c r="D740" s="13"/>
    </row>
    <row r="741" spans="1:4" x14ac:dyDescent="0.25">
      <c r="A741" s="13"/>
      <c r="B741" s="13"/>
      <c r="C741" s="13"/>
      <c r="D741" s="13"/>
    </row>
    <row r="742" spans="1:4" x14ac:dyDescent="0.25">
      <c r="A742" s="13"/>
      <c r="B742" s="13"/>
      <c r="C742" s="13"/>
      <c r="D742" s="13"/>
    </row>
    <row r="743" spans="1:4" x14ac:dyDescent="0.25">
      <c r="A743" s="13"/>
      <c r="B743" s="13"/>
      <c r="C743" s="13"/>
      <c r="D743" s="13"/>
    </row>
    <row r="744" spans="1:4" x14ac:dyDescent="0.25">
      <c r="A744" s="13"/>
      <c r="B744" s="13"/>
      <c r="C744" s="13"/>
      <c r="D744" s="13"/>
    </row>
    <row r="745" spans="1:4" x14ac:dyDescent="0.25">
      <c r="A745" s="13"/>
      <c r="B745" s="13"/>
      <c r="C745" s="13"/>
      <c r="D745" s="13"/>
    </row>
    <row r="746" spans="1:4" x14ac:dyDescent="0.25">
      <c r="A746" s="13"/>
      <c r="B746" s="13"/>
      <c r="C746" s="13"/>
      <c r="D746" s="13"/>
    </row>
    <row r="747" spans="1:4" x14ac:dyDescent="0.25">
      <c r="A747" s="13"/>
      <c r="B747" s="13"/>
      <c r="C747" s="13"/>
      <c r="D747" s="13"/>
    </row>
    <row r="748" spans="1:4" x14ac:dyDescent="0.25">
      <c r="A748" s="13"/>
      <c r="B748" s="13"/>
      <c r="C748" s="13"/>
      <c r="D748" s="13"/>
    </row>
    <row r="749" spans="1:4" x14ac:dyDescent="0.25">
      <c r="A749" s="13"/>
      <c r="B749" s="13"/>
      <c r="C749" s="13"/>
      <c r="D749" s="13"/>
    </row>
    <row r="750" spans="1:4" x14ac:dyDescent="0.25">
      <c r="A750" s="13"/>
      <c r="B750" s="13"/>
      <c r="C750" s="13"/>
      <c r="D750" s="13"/>
    </row>
    <row r="751" spans="1:4" x14ac:dyDescent="0.25">
      <c r="A751" s="13"/>
      <c r="B751" s="13"/>
      <c r="C751" s="13"/>
      <c r="D751" s="13"/>
    </row>
    <row r="752" spans="1:4" x14ac:dyDescent="0.25">
      <c r="A752" s="13"/>
      <c r="B752" s="13"/>
      <c r="C752" s="13"/>
      <c r="D752" s="13"/>
    </row>
    <row r="753" spans="1:4" x14ac:dyDescent="0.25">
      <c r="A753" s="13"/>
      <c r="B753" s="13"/>
      <c r="C753" s="13"/>
      <c r="D753" s="13"/>
    </row>
    <row r="754" spans="1:4" x14ac:dyDescent="0.25">
      <c r="A754" s="13"/>
      <c r="B754" s="13"/>
      <c r="C754" s="13"/>
      <c r="D754" s="13"/>
    </row>
    <row r="755" spans="1:4" x14ac:dyDescent="0.25">
      <c r="A755" s="13"/>
      <c r="B755" s="13"/>
      <c r="C755" s="13"/>
      <c r="D755" s="13"/>
    </row>
    <row r="756" spans="1:4" x14ac:dyDescent="0.25">
      <c r="A756" s="13"/>
      <c r="B756" s="13"/>
      <c r="C756" s="13"/>
      <c r="D756" s="13"/>
    </row>
    <row r="757" spans="1:4" x14ac:dyDescent="0.25">
      <c r="A757" s="13"/>
      <c r="B757" s="13"/>
      <c r="C757" s="13"/>
      <c r="D757" s="13"/>
    </row>
    <row r="758" spans="1:4" x14ac:dyDescent="0.25">
      <c r="A758" s="13"/>
      <c r="B758" s="13"/>
      <c r="C758" s="13"/>
      <c r="D758" s="13"/>
    </row>
    <row r="759" spans="1:4" x14ac:dyDescent="0.25">
      <c r="A759" s="13"/>
      <c r="B759" s="13"/>
      <c r="C759" s="13"/>
      <c r="D759" s="13"/>
    </row>
    <row r="760" spans="1:4" x14ac:dyDescent="0.25">
      <c r="A760" s="13"/>
      <c r="B760" s="13"/>
      <c r="C760" s="13"/>
      <c r="D760" s="13"/>
    </row>
    <row r="761" spans="1:4" x14ac:dyDescent="0.25">
      <c r="A761" s="13"/>
      <c r="B761" s="13"/>
      <c r="C761" s="13"/>
      <c r="D761" s="13"/>
    </row>
    <row r="762" spans="1:4" x14ac:dyDescent="0.25">
      <c r="A762" s="13"/>
      <c r="B762" s="13"/>
      <c r="C762" s="13"/>
      <c r="D762" s="13"/>
    </row>
    <row r="763" spans="1:4" x14ac:dyDescent="0.25">
      <c r="A763" s="13"/>
      <c r="B763" s="13"/>
      <c r="C763" s="13"/>
      <c r="D763" s="13"/>
    </row>
    <row r="764" spans="1:4" x14ac:dyDescent="0.25">
      <c r="A764" s="13"/>
      <c r="B764" s="13"/>
      <c r="C764" s="13"/>
      <c r="D764" s="13"/>
    </row>
    <row r="765" spans="1:4" x14ac:dyDescent="0.25">
      <c r="A765" s="13"/>
      <c r="B765" s="13"/>
      <c r="C765" s="13"/>
      <c r="D765" s="13"/>
    </row>
    <row r="766" spans="1:4" x14ac:dyDescent="0.25">
      <c r="A766" s="13"/>
      <c r="B766" s="13"/>
      <c r="C766" s="13"/>
      <c r="D766" s="13"/>
    </row>
    <row r="767" spans="1:4" x14ac:dyDescent="0.25">
      <c r="A767" s="13"/>
      <c r="B767" s="13"/>
      <c r="C767" s="13"/>
      <c r="D767" s="13"/>
    </row>
    <row r="768" spans="1:4" x14ac:dyDescent="0.25">
      <c r="A768" s="13"/>
      <c r="B768" s="13"/>
      <c r="C768" s="13"/>
      <c r="D768" s="13"/>
    </row>
    <row r="769" spans="1:4" x14ac:dyDescent="0.25">
      <c r="A769" s="13"/>
      <c r="B769" s="13"/>
      <c r="C769" s="13"/>
      <c r="D769" s="13"/>
    </row>
    <row r="770" spans="1:4" x14ac:dyDescent="0.25">
      <c r="A770" s="13"/>
      <c r="B770" s="13"/>
      <c r="C770" s="13"/>
      <c r="D770" s="13"/>
    </row>
    <row r="771" spans="1:4" x14ac:dyDescent="0.25">
      <c r="A771" s="13"/>
      <c r="B771" s="13"/>
      <c r="C771" s="13"/>
      <c r="D771" s="13"/>
    </row>
    <row r="772" spans="1:4" x14ac:dyDescent="0.25">
      <c r="A772" s="13"/>
      <c r="B772" s="13"/>
      <c r="C772" s="13"/>
      <c r="D772" s="13"/>
    </row>
    <row r="773" spans="1:4" x14ac:dyDescent="0.25">
      <c r="A773" s="13"/>
      <c r="B773" s="13"/>
      <c r="C773" s="13"/>
      <c r="D773" s="13"/>
    </row>
    <row r="774" spans="1:4" x14ac:dyDescent="0.25">
      <c r="A774" s="13"/>
      <c r="B774" s="13"/>
      <c r="C774" s="13"/>
      <c r="D774" s="13"/>
    </row>
    <row r="775" spans="1:4" x14ac:dyDescent="0.25">
      <c r="A775" s="13"/>
      <c r="B775" s="13"/>
      <c r="C775" s="13"/>
      <c r="D775" s="13"/>
    </row>
    <row r="776" spans="1:4" x14ac:dyDescent="0.25">
      <c r="A776" s="13"/>
      <c r="B776" s="13"/>
      <c r="C776" s="13"/>
      <c r="D776" s="13"/>
    </row>
    <row r="777" spans="1:4" x14ac:dyDescent="0.25">
      <c r="A777" s="13"/>
      <c r="B777" s="13"/>
      <c r="C777" s="13"/>
      <c r="D777" s="13"/>
    </row>
    <row r="778" spans="1:4" x14ac:dyDescent="0.25">
      <c r="A778" s="13"/>
      <c r="B778" s="13"/>
      <c r="C778" s="13"/>
      <c r="D778" s="13"/>
    </row>
    <row r="779" spans="1:4" x14ac:dyDescent="0.25">
      <c r="A779" s="13"/>
      <c r="B779" s="13"/>
      <c r="C779" s="13"/>
      <c r="D779" s="13"/>
    </row>
    <row r="780" spans="1:4" x14ac:dyDescent="0.25">
      <c r="A780" s="13"/>
      <c r="B780" s="13"/>
      <c r="C780" s="13"/>
      <c r="D780" s="13"/>
    </row>
    <row r="781" spans="1:4" x14ac:dyDescent="0.25">
      <c r="A781" s="13"/>
      <c r="B781" s="13"/>
      <c r="C781" s="13"/>
      <c r="D781" s="13"/>
    </row>
    <row r="782" spans="1:4" x14ac:dyDescent="0.25">
      <c r="A782" s="13"/>
      <c r="B782" s="13"/>
      <c r="C782" s="13"/>
      <c r="D782" s="13"/>
    </row>
    <row r="783" spans="1:4" x14ac:dyDescent="0.25">
      <c r="A783" s="13"/>
      <c r="B783" s="13"/>
      <c r="C783" s="13"/>
      <c r="D783" s="13"/>
    </row>
    <row r="784" spans="1:4" x14ac:dyDescent="0.25">
      <c r="A784" s="13"/>
      <c r="B784" s="13"/>
      <c r="C784" s="13"/>
      <c r="D784" s="13"/>
    </row>
    <row r="785" spans="1:4" x14ac:dyDescent="0.25">
      <c r="A785" s="13"/>
      <c r="B785" s="13"/>
      <c r="C785" s="13"/>
      <c r="D785" s="13"/>
    </row>
    <row r="786" spans="1:4" x14ac:dyDescent="0.25">
      <c r="A786" s="13"/>
      <c r="B786" s="13"/>
      <c r="C786" s="13"/>
      <c r="D786" s="13"/>
    </row>
    <row r="787" spans="1:4" x14ac:dyDescent="0.25">
      <c r="A787" s="13"/>
      <c r="B787" s="13"/>
      <c r="C787" s="13"/>
      <c r="D787" s="13"/>
    </row>
    <row r="788" spans="1:4" x14ac:dyDescent="0.25">
      <c r="A788" s="13"/>
      <c r="B788" s="13"/>
      <c r="C788" s="13"/>
      <c r="D788" s="13"/>
    </row>
    <row r="789" spans="1:4" x14ac:dyDescent="0.25">
      <c r="A789" s="13"/>
      <c r="B789" s="13"/>
      <c r="C789" s="13"/>
      <c r="D789" s="13"/>
    </row>
    <row r="790" spans="1:4" x14ac:dyDescent="0.25">
      <c r="A790" s="13"/>
      <c r="B790" s="13"/>
      <c r="C790" s="13"/>
      <c r="D790" s="13"/>
    </row>
    <row r="791" spans="1:4" x14ac:dyDescent="0.25">
      <c r="A791" s="13"/>
      <c r="B791" s="13"/>
      <c r="C791" s="13"/>
      <c r="D791" s="13"/>
    </row>
    <row r="792" spans="1:4" x14ac:dyDescent="0.25">
      <c r="A792" s="13"/>
      <c r="B792" s="13"/>
      <c r="C792" s="13"/>
      <c r="D792" s="13"/>
    </row>
    <row r="793" spans="1:4" x14ac:dyDescent="0.25">
      <c r="A793" s="13"/>
      <c r="B793" s="13"/>
      <c r="C793" s="13"/>
      <c r="D793" s="13"/>
    </row>
    <row r="794" spans="1:4" x14ac:dyDescent="0.25">
      <c r="A794" s="13"/>
      <c r="B794" s="13"/>
      <c r="C794" s="13"/>
      <c r="D794" s="13"/>
    </row>
    <row r="795" spans="1:4" x14ac:dyDescent="0.25">
      <c r="A795" s="13"/>
      <c r="B795" s="13"/>
      <c r="C795" s="13"/>
      <c r="D795" s="13"/>
    </row>
    <row r="796" spans="1:4" x14ac:dyDescent="0.25">
      <c r="A796" s="13"/>
      <c r="B796" s="13"/>
      <c r="C796" s="13"/>
      <c r="D796" s="13"/>
    </row>
    <row r="797" spans="1:4" x14ac:dyDescent="0.25">
      <c r="A797" s="13"/>
      <c r="B797" s="13"/>
      <c r="C797" s="13"/>
      <c r="D797" s="13"/>
    </row>
    <row r="798" spans="1:4" x14ac:dyDescent="0.25">
      <c r="A798" s="13"/>
      <c r="B798" s="13"/>
      <c r="C798" s="13"/>
      <c r="D798" s="13"/>
    </row>
    <row r="799" spans="1:4" x14ac:dyDescent="0.25">
      <c r="A799" s="13"/>
      <c r="B799" s="13"/>
      <c r="C799" s="13"/>
      <c r="D799" s="13"/>
    </row>
    <row r="800" spans="1:4" x14ac:dyDescent="0.25">
      <c r="A800" s="13"/>
      <c r="B800" s="13"/>
      <c r="C800" s="13"/>
      <c r="D800" s="13"/>
    </row>
    <row r="801" spans="1:4" x14ac:dyDescent="0.25">
      <c r="A801" s="13"/>
      <c r="B801" s="13"/>
      <c r="C801" s="13"/>
      <c r="D801" s="13"/>
    </row>
    <row r="802" spans="1:4" x14ac:dyDescent="0.25">
      <c r="A802" s="13"/>
      <c r="B802" s="13"/>
      <c r="C802" s="13"/>
      <c r="D802" s="13"/>
    </row>
    <row r="803" spans="1:4" x14ac:dyDescent="0.25">
      <c r="A803" s="13"/>
      <c r="B803" s="13"/>
      <c r="C803" s="13"/>
      <c r="D803" s="13"/>
    </row>
    <row r="804" spans="1:4" x14ac:dyDescent="0.25">
      <c r="A804" s="13"/>
      <c r="B804" s="13"/>
      <c r="C804" s="13"/>
      <c r="D804" s="13"/>
    </row>
    <row r="805" spans="1:4" x14ac:dyDescent="0.25">
      <c r="A805" s="13"/>
      <c r="B805" s="13"/>
      <c r="C805" s="13"/>
      <c r="D805" s="13"/>
    </row>
    <row r="806" spans="1:4" x14ac:dyDescent="0.25">
      <c r="A806" s="13"/>
      <c r="B806" s="13"/>
      <c r="C806" s="13"/>
      <c r="D806" s="13"/>
    </row>
    <row r="809" spans="1:4" ht="23.25" x14ac:dyDescent="0.35">
      <c r="A809" s="18"/>
    </row>
    <row r="810" spans="1:4" ht="20.25" x14ac:dyDescent="0.3">
      <c r="A810" s="19"/>
    </row>
    <row r="811" spans="1:4" x14ac:dyDescent="0.25">
      <c r="A811" s="14"/>
      <c r="B811" s="14"/>
    </row>
    <row r="812" spans="1:4" x14ac:dyDescent="0.25">
      <c r="A812" s="13"/>
      <c r="B812" s="13"/>
    </row>
    <row r="813" spans="1:4" x14ac:dyDescent="0.25">
      <c r="A813" s="13"/>
      <c r="B813" s="13"/>
    </row>
    <row r="814" spans="1:4" x14ac:dyDescent="0.25">
      <c r="A814" s="13"/>
      <c r="B814" s="13"/>
    </row>
    <row r="815" spans="1:4" x14ac:dyDescent="0.25">
      <c r="A815" s="13"/>
      <c r="B815" s="13"/>
    </row>
    <row r="816" spans="1:4" x14ac:dyDescent="0.25">
      <c r="A816" s="13"/>
      <c r="B816" s="13"/>
    </row>
    <row r="817" spans="1:2" x14ac:dyDescent="0.25">
      <c r="A817" s="13"/>
      <c r="B817" s="13"/>
    </row>
    <row r="818" spans="1:2" x14ac:dyDescent="0.25">
      <c r="A818" s="13"/>
      <c r="B818" s="13"/>
    </row>
    <row r="819" spans="1:2" x14ac:dyDescent="0.25">
      <c r="A819" s="13"/>
      <c r="B819" s="13"/>
    </row>
    <row r="820" spans="1:2" x14ac:dyDescent="0.25">
      <c r="A820" s="13"/>
      <c r="B820" s="13"/>
    </row>
    <row r="821" spans="1:2" x14ac:dyDescent="0.25">
      <c r="A821" s="13"/>
      <c r="B821" s="13"/>
    </row>
    <row r="822" spans="1:2" x14ac:dyDescent="0.25">
      <c r="A822" s="13"/>
      <c r="B822" s="13"/>
    </row>
    <row r="823" spans="1:2" x14ac:dyDescent="0.25">
      <c r="A823" s="13"/>
      <c r="B823" s="13"/>
    </row>
    <row r="824" spans="1:2" x14ac:dyDescent="0.25">
      <c r="A824" s="13"/>
      <c r="B824" s="13"/>
    </row>
    <row r="825" spans="1:2" x14ac:dyDescent="0.25">
      <c r="A825" s="13"/>
      <c r="B825" s="13"/>
    </row>
    <row r="826" spans="1:2" x14ac:dyDescent="0.25">
      <c r="A826" s="13"/>
      <c r="B826" s="13"/>
    </row>
    <row r="827" spans="1:2" x14ac:dyDescent="0.25">
      <c r="A827" s="13"/>
      <c r="B827" s="13"/>
    </row>
    <row r="828" spans="1:2" x14ac:dyDescent="0.25">
      <c r="A828" s="13"/>
      <c r="B828" s="13"/>
    </row>
    <row r="829" spans="1:2" x14ac:dyDescent="0.25">
      <c r="A829" s="13"/>
      <c r="B829" s="13"/>
    </row>
    <row r="830" spans="1:2" x14ac:dyDescent="0.25">
      <c r="A830" s="13"/>
      <c r="B830" s="13"/>
    </row>
    <row r="831" spans="1:2" x14ac:dyDescent="0.25">
      <c r="A831" s="13"/>
      <c r="B831" s="13"/>
    </row>
    <row r="832" spans="1:2" x14ac:dyDescent="0.25">
      <c r="A832" s="13"/>
      <c r="B832" s="13"/>
    </row>
    <row r="833" spans="1:2" x14ac:dyDescent="0.25">
      <c r="A833" s="13"/>
      <c r="B833" s="13"/>
    </row>
    <row r="834" spans="1:2" x14ac:dyDescent="0.25">
      <c r="A834" s="13"/>
      <c r="B834" s="13"/>
    </row>
    <row r="835" spans="1:2" x14ac:dyDescent="0.25">
      <c r="A835" s="13"/>
      <c r="B835" s="13"/>
    </row>
    <row r="836" spans="1:2" x14ac:dyDescent="0.25">
      <c r="A836" s="13"/>
      <c r="B836" s="13"/>
    </row>
    <row r="837" spans="1:2" x14ac:dyDescent="0.25">
      <c r="A837" s="13"/>
      <c r="B837" s="13"/>
    </row>
    <row r="838" spans="1:2" x14ac:dyDescent="0.25">
      <c r="A838" s="13"/>
      <c r="B838" s="13"/>
    </row>
    <row r="839" spans="1:2" x14ac:dyDescent="0.25">
      <c r="A839" s="13"/>
      <c r="B839" s="13"/>
    </row>
    <row r="840" spans="1:2" x14ac:dyDescent="0.25">
      <c r="A840" s="13"/>
      <c r="B840" s="13"/>
    </row>
    <row r="841" spans="1:2" x14ac:dyDescent="0.25">
      <c r="A841" s="13"/>
      <c r="B841" s="13"/>
    </row>
    <row r="842" spans="1:2" x14ac:dyDescent="0.25">
      <c r="A842" s="13"/>
      <c r="B842" s="13"/>
    </row>
    <row r="843" spans="1:2" x14ac:dyDescent="0.25">
      <c r="A843" s="13"/>
      <c r="B843" s="13"/>
    </row>
    <row r="844" spans="1:2" x14ac:dyDescent="0.25">
      <c r="A844" s="13"/>
      <c r="B844" s="13"/>
    </row>
    <row r="845" spans="1:2" x14ac:dyDescent="0.25">
      <c r="A845" s="13"/>
      <c r="B845" s="13"/>
    </row>
    <row r="846" spans="1:2" x14ac:dyDescent="0.25">
      <c r="A846" s="13"/>
      <c r="B846" s="13"/>
    </row>
    <row r="847" spans="1:2" x14ac:dyDescent="0.25">
      <c r="A847" s="13"/>
      <c r="B847" s="13"/>
    </row>
    <row r="848" spans="1:2" x14ac:dyDescent="0.25">
      <c r="A848" s="13"/>
      <c r="B848" s="13"/>
    </row>
    <row r="849" spans="1:2" x14ac:dyDescent="0.25">
      <c r="A849" s="13"/>
      <c r="B849" s="13"/>
    </row>
    <row r="850" spans="1:2" x14ac:dyDescent="0.25">
      <c r="A850" s="13"/>
      <c r="B850" s="13"/>
    </row>
    <row r="851" spans="1:2" x14ac:dyDescent="0.25">
      <c r="A851" s="13"/>
      <c r="B851" s="13"/>
    </row>
    <row r="852" spans="1:2" x14ac:dyDescent="0.25">
      <c r="A852" s="13"/>
      <c r="B852" s="13"/>
    </row>
    <row r="853" spans="1:2" x14ac:dyDescent="0.25">
      <c r="A853" s="13"/>
      <c r="B853" s="13"/>
    </row>
    <row r="854" spans="1:2" x14ac:dyDescent="0.25">
      <c r="A854" s="13"/>
      <c r="B854" s="13"/>
    </row>
    <row r="855" spans="1:2" x14ac:dyDescent="0.25">
      <c r="A855" s="13"/>
      <c r="B855" s="13"/>
    </row>
    <row r="856" spans="1:2" x14ac:dyDescent="0.25">
      <c r="A856" s="13"/>
      <c r="B856" s="13"/>
    </row>
    <row r="857" spans="1:2" x14ac:dyDescent="0.25">
      <c r="A857" s="13"/>
      <c r="B857" s="13"/>
    </row>
    <row r="858" spans="1:2" x14ac:dyDescent="0.25">
      <c r="A858" s="13"/>
      <c r="B858" s="13"/>
    </row>
    <row r="859" spans="1:2" x14ac:dyDescent="0.25">
      <c r="A859" s="13"/>
      <c r="B859" s="13"/>
    </row>
    <row r="860" spans="1:2" x14ac:dyDescent="0.25">
      <c r="A860" s="13"/>
      <c r="B860" s="13"/>
    </row>
    <row r="861" spans="1:2" x14ac:dyDescent="0.25">
      <c r="A861" s="13"/>
      <c r="B861" s="13"/>
    </row>
    <row r="862" spans="1:2" x14ac:dyDescent="0.25">
      <c r="A862" s="13"/>
      <c r="B862" s="13"/>
    </row>
    <row r="863" spans="1:2" x14ac:dyDescent="0.25">
      <c r="A863" s="13"/>
      <c r="B863" s="13"/>
    </row>
    <row r="864" spans="1:2" x14ac:dyDescent="0.25">
      <c r="A864" s="13"/>
      <c r="B864" s="13"/>
    </row>
    <row r="865" spans="1:2" x14ac:dyDescent="0.25">
      <c r="A865" s="13"/>
      <c r="B865" s="13"/>
    </row>
    <row r="866" spans="1:2" x14ac:dyDescent="0.25">
      <c r="A866" s="13"/>
      <c r="B866" s="13"/>
    </row>
    <row r="867" spans="1:2" x14ac:dyDescent="0.25">
      <c r="A867" s="13"/>
      <c r="B867" s="13"/>
    </row>
    <row r="868" spans="1:2" x14ac:dyDescent="0.25">
      <c r="A868" s="13"/>
      <c r="B868" s="13"/>
    </row>
    <row r="869" spans="1:2" x14ac:dyDescent="0.25">
      <c r="A869" s="13"/>
      <c r="B869" s="13"/>
    </row>
    <row r="870" spans="1:2" x14ac:dyDescent="0.25">
      <c r="A870" s="13"/>
      <c r="B870" s="13"/>
    </row>
    <row r="871" spans="1:2" x14ac:dyDescent="0.25">
      <c r="A871" s="13"/>
      <c r="B871" s="13"/>
    </row>
    <row r="872" spans="1:2" x14ac:dyDescent="0.25">
      <c r="A872" s="13"/>
      <c r="B872" s="13"/>
    </row>
    <row r="873" spans="1:2" x14ac:dyDescent="0.25">
      <c r="A873" s="13"/>
      <c r="B873" s="13"/>
    </row>
    <row r="874" spans="1:2" x14ac:dyDescent="0.25">
      <c r="A874" s="13"/>
      <c r="B874" s="13"/>
    </row>
    <row r="875" spans="1:2" x14ac:dyDescent="0.25">
      <c r="A875" s="13"/>
      <c r="B875" s="13"/>
    </row>
    <row r="876" spans="1:2" x14ac:dyDescent="0.25">
      <c r="A876" s="13"/>
      <c r="B876" s="13"/>
    </row>
    <row r="877" spans="1:2" x14ac:dyDescent="0.25">
      <c r="A877" s="13"/>
      <c r="B877" s="13"/>
    </row>
    <row r="878" spans="1:2" x14ac:dyDescent="0.25">
      <c r="A878" s="13"/>
      <c r="B878" s="13"/>
    </row>
    <row r="879" spans="1:2" x14ac:dyDescent="0.25">
      <c r="A879" s="13"/>
      <c r="B879" s="13"/>
    </row>
    <row r="880" spans="1:2" x14ac:dyDescent="0.25">
      <c r="A880" s="13"/>
      <c r="B880" s="13"/>
    </row>
    <row r="881" spans="1:2" x14ac:dyDescent="0.25">
      <c r="A881" s="13"/>
      <c r="B881" s="13"/>
    </row>
    <row r="882" spans="1:2" x14ac:dyDescent="0.25">
      <c r="A882" s="13"/>
      <c r="B882" s="13"/>
    </row>
    <row r="883" spans="1:2" x14ac:dyDescent="0.25">
      <c r="A883" s="13"/>
      <c r="B883" s="13"/>
    </row>
    <row r="884" spans="1:2" x14ac:dyDescent="0.25">
      <c r="A884" s="13"/>
      <c r="B884" s="13"/>
    </row>
    <row r="885" spans="1:2" x14ac:dyDescent="0.25">
      <c r="A885" s="13"/>
      <c r="B885" s="13"/>
    </row>
    <row r="886" spans="1:2" x14ac:dyDescent="0.25">
      <c r="A886" s="13"/>
      <c r="B886" s="13"/>
    </row>
    <row r="887" spans="1:2" x14ac:dyDescent="0.25">
      <c r="A887" s="13"/>
      <c r="B887" s="13"/>
    </row>
    <row r="888" spans="1:2" x14ac:dyDescent="0.25">
      <c r="A888" s="13"/>
      <c r="B888" s="13"/>
    </row>
    <row r="889" spans="1:2" x14ac:dyDescent="0.25">
      <c r="A889" s="13"/>
      <c r="B889" s="13"/>
    </row>
    <row r="890" spans="1:2" x14ac:dyDescent="0.25">
      <c r="A890" s="13"/>
      <c r="B890" s="13"/>
    </row>
    <row r="891" spans="1:2" x14ac:dyDescent="0.25">
      <c r="A891" s="13"/>
      <c r="B891" s="13"/>
    </row>
    <row r="892" spans="1:2" x14ac:dyDescent="0.25">
      <c r="A892" s="13"/>
      <c r="B892" s="13"/>
    </row>
    <row r="893" spans="1:2" x14ac:dyDescent="0.25">
      <c r="A893" s="13"/>
      <c r="B893" s="13"/>
    </row>
    <row r="894" spans="1:2" x14ac:dyDescent="0.25">
      <c r="A894" s="13"/>
      <c r="B894" s="13"/>
    </row>
    <row r="895" spans="1:2" x14ac:dyDescent="0.25">
      <c r="A895" s="13"/>
      <c r="B895" s="13"/>
    </row>
    <row r="896" spans="1:2" x14ac:dyDescent="0.25">
      <c r="A896" s="13"/>
      <c r="B896" s="13"/>
    </row>
    <row r="897" spans="1:2" x14ac:dyDescent="0.25">
      <c r="A897" s="13"/>
      <c r="B897" s="13"/>
    </row>
    <row r="898" spans="1:2" x14ac:dyDescent="0.25">
      <c r="A898" s="13"/>
      <c r="B898" s="13"/>
    </row>
    <row r="899" spans="1:2" x14ac:dyDescent="0.25">
      <c r="A899" s="13"/>
      <c r="B899" s="13"/>
    </row>
    <row r="900" spans="1:2" x14ac:dyDescent="0.25">
      <c r="A900" s="13"/>
      <c r="B900" s="13"/>
    </row>
    <row r="901" spans="1:2" x14ac:dyDescent="0.25">
      <c r="A901" s="13"/>
      <c r="B901" s="13"/>
    </row>
    <row r="902" spans="1:2" x14ac:dyDescent="0.25">
      <c r="A902" s="13"/>
      <c r="B902" s="13"/>
    </row>
    <row r="903" spans="1:2" x14ac:dyDescent="0.25">
      <c r="A903" s="13"/>
      <c r="B903" s="13"/>
    </row>
    <row r="904" spans="1:2" x14ac:dyDescent="0.25">
      <c r="A904" s="13"/>
      <c r="B904" s="13"/>
    </row>
    <row r="905" spans="1:2" x14ac:dyDescent="0.25">
      <c r="A905" s="13"/>
      <c r="B905" s="13"/>
    </row>
    <row r="906" spans="1:2" x14ac:dyDescent="0.25">
      <c r="A906" s="13"/>
      <c r="B906" s="13"/>
    </row>
    <row r="907" spans="1:2" x14ac:dyDescent="0.25">
      <c r="A907" s="13"/>
      <c r="B907" s="13"/>
    </row>
    <row r="908" spans="1:2" x14ac:dyDescent="0.25">
      <c r="A908" s="13"/>
      <c r="B908" s="13"/>
    </row>
    <row r="909" spans="1:2" x14ac:dyDescent="0.25">
      <c r="A909" s="13"/>
      <c r="B909" s="13"/>
    </row>
    <row r="910" spans="1:2" x14ac:dyDescent="0.25">
      <c r="A910" s="13"/>
      <c r="B910" s="13"/>
    </row>
    <row r="911" spans="1:2" x14ac:dyDescent="0.25">
      <c r="A911" s="13"/>
      <c r="B911" s="13"/>
    </row>
    <row r="912" spans="1:2" x14ac:dyDescent="0.25">
      <c r="A912" s="13"/>
      <c r="B912" s="13"/>
    </row>
    <row r="913" spans="1:2" x14ac:dyDescent="0.25">
      <c r="A913" s="13"/>
      <c r="B913" s="13"/>
    </row>
    <row r="914" spans="1:2" x14ac:dyDescent="0.25">
      <c r="A914" s="13"/>
      <c r="B914" s="13"/>
    </row>
    <row r="915" spans="1:2" x14ac:dyDescent="0.25">
      <c r="A915" s="13"/>
      <c r="B915" s="13"/>
    </row>
    <row r="916" spans="1:2" x14ac:dyDescent="0.25">
      <c r="A916" s="13"/>
      <c r="B916" s="13"/>
    </row>
    <row r="917" spans="1:2" x14ac:dyDescent="0.25">
      <c r="A917" s="13"/>
      <c r="B917" s="13"/>
    </row>
    <row r="918" spans="1:2" x14ac:dyDescent="0.25">
      <c r="A918" s="13"/>
      <c r="B918" s="13"/>
    </row>
    <row r="919" spans="1:2" x14ac:dyDescent="0.25">
      <c r="A919" s="13"/>
      <c r="B919" s="13"/>
    </row>
    <row r="920" spans="1:2" x14ac:dyDescent="0.25">
      <c r="A920" s="13"/>
      <c r="B920" s="13"/>
    </row>
    <row r="921" spans="1:2" x14ac:dyDescent="0.25">
      <c r="A921" s="13"/>
      <c r="B921" s="13"/>
    </row>
    <row r="922" spans="1:2" x14ac:dyDescent="0.25">
      <c r="A922" s="13"/>
      <c r="B922" s="13"/>
    </row>
    <row r="923" spans="1:2" x14ac:dyDescent="0.25">
      <c r="A923" s="13"/>
      <c r="B923" s="13"/>
    </row>
    <row r="924" spans="1:2" x14ac:dyDescent="0.25">
      <c r="A924" s="13"/>
      <c r="B924" s="13"/>
    </row>
    <row r="925" spans="1:2" x14ac:dyDescent="0.25">
      <c r="A925" s="13"/>
      <c r="B925" s="13"/>
    </row>
    <row r="926" spans="1:2" x14ac:dyDescent="0.25">
      <c r="A926" s="13"/>
      <c r="B926" s="13"/>
    </row>
    <row r="927" spans="1:2" x14ac:dyDescent="0.25">
      <c r="A927" s="13"/>
      <c r="B927" s="13"/>
    </row>
    <row r="928" spans="1:2" x14ac:dyDescent="0.25">
      <c r="A928" s="13"/>
      <c r="B928" s="13"/>
    </row>
    <row r="929" spans="1:2" x14ac:dyDescent="0.25">
      <c r="A929" s="13"/>
      <c r="B929" s="13"/>
    </row>
    <row r="930" spans="1:2" x14ac:dyDescent="0.25">
      <c r="A930" s="13"/>
      <c r="B930" s="13"/>
    </row>
    <row r="931" spans="1:2" x14ac:dyDescent="0.25">
      <c r="A931" s="13"/>
      <c r="B931" s="13"/>
    </row>
    <row r="932" spans="1:2" x14ac:dyDescent="0.25">
      <c r="A932" s="13"/>
      <c r="B932" s="13"/>
    </row>
    <row r="933" spans="1:2" x14ac:dyDescent="0.25">
      <c r="A933" s="13"/>
      <c r="B933" s="13"/>
    </row>
    <row r="934" spans="1:2" x14ac:dyDescent="0.25">
      <c r="A934" s="13"/>
      <c r="B934" s="13"/>
    </row>
    <row r="935" spans="1:2" x14ac:dyDescent="0.25">
      <c r="A935" s="13"/>
      <c r="B935" s="13"/>
    </row>
    <row r="936" spans="1:2" x14ac:dyDescent="0.25">
      <c r="A936" s="13"/>
      <c r="B936" s="13"/>
    </row>
    <row r="937" spans="1:2" x14ac:dyDescent="0.25">
      <c r="A937" s="13"/>
      <c r="B937" s="13"/>
    </row>
    <row r="938" spans="1:2" x14ac:dyDescent="0.25">
      <c r="A938" s="13"/>
      <c r="B938" s="13"/>
    </row>
    <row r="939" spans="1:2" x14ac:dyDescent="0.25">
      <c r="A939" s="13"/>
      <c r="B939" s="13"/>
    </row>
    <row r="940" spans="1:2" x14ac:dyDescent="0.25">
      <c r="A940" s="13"/>
      <c r="B940" s="13"/>
    </row>
    <row r="941" spans="1:2" x14ac:dyDescent="0.25">
      <c r="A941" s="13"/>
      <c r="B941" s="13"/>
    </row>
    <row r="942" spans="1:2" x14ac:dyDescent="0.25">
      <c r="A942" s="13"/>
      <c r="B942" s="13"/>
    </row>
    <row r="943" spans="1:2" x14ac:dyDescent="0.25">
      <c r="A943" s="13"/>
      <c r="B943" s="13"/>
    </row>
    <row r="944" spans="1:2" x14ac:dyDescent="0.25">
      <c r="A944" s="13"/>
      <c r="B944" s="13"/>
    </row>
    <row r="945" spans="1:2" x14ac:dyDescent="0.25">
      <c r="A945" s="13"/>
      <c r="B945" s="13"/>
    </row>
    <row r="946" spans="1:2" x14ac:dyDescent="0.25">
      <c r="A946" s="13"/>
      <c r="B946" s="13"/>
    </row>
    <row r="947" spans="1:2" x14ac:dyDescent="0.25">
      <c r="A947" s="13"/>
      <c r="B947" s="13"/>
    </row>
    <row r="948" spans="1:2" x14ac:dyDescent="0.25">
      <c r="A948" s="13"/>
      <c r="B948" s="13"/>
    </row>
    <row r="949" spans="1:2" x14ac:dyDescent="0.25">
      <c r="A949" s="13"/>
      <c r="B949" s="13"/>
    </row>
    <row r="950" spans="1:2" x14ac:dyDescent="0.25">
      <c r="A950" s="13"/>
      <c r="B950" s="13"/>
    </row>
    <row r="951" spans="1:2" x14ac:dyDescent="0.25">
      <c r="A951" s="13"/>
      <c r="B951" s="13"/>
    </row>
    <row r="952" spans="1:2" x14ac:dyDescent="0.25">
      <c r="A952" s="13"/>
      <c r="B952" s="13"/>
    </row>
    <row r="953" spans="1:2" x14ac:dyDescent="0.25">
      <c r="A953" s="13"/>
      <c r="B953" s="13"/>
    </row>
    <row r="954" spans="1:2" x14ac:dyDescent="0.25">
      <c r="A954" s="13"/>
      <c r="B954" s="13"/>
    </row>
    <row r="955" spans="1:2" x14ac:dyDescent="0.25">
      <c r="A955" s="13"/>
      <c r="B955" s="13"/>
    </row>
    <row r="956" spans="1:2" x14ac:dyDescent="0.25">
      <c r="A956" s="13"/>
      <c r="B956" s="13"/>
    </row>
    <row r="957" spans="1:2" x14ac:dyDescent="0.25">
      <c r="A957" s="13"/>
      <c r="B957" s="13"/>
    </row>
    <row r="958" spans="1:2" x14ac:dyDescent="0.25">
      <c r="A958" s="13"/>
      <c r="B958" s="13"/>
    </row>
    <row r="959" spans="1:2" x14ac:dyDescent="0.25">
      <c r="A959" s="13"/>
      <c r="B959" s="13"/>
    </row>
    <row r="960" spans="1:2" x14ac:dyDescent="0.25">
      <c r="A960" s="13"/>
      <c r="B960" s="13"/>
    </row>
    <row r="961" spans="1:2" x14ac:dyDescent="0.25">
      <c r="A961" s="13"/>
      <c r="B961" s="13"/>
    </row>
    <row r="962" spans="1:2" x14ac:dyDescent="0.25">
      <c r="A962" s="13"/>
      <c r="B962" s="13"/>
    </row>
    <row r="963" spans="1:2" x14ac:dyDescent="0.25">
      <c r="A963" s="13"/>
      <c r="B963" s="13"/>
    </row>
    <row r="964" spans="1:2" x14ac:dyDescent="0.25">
      <c r="A964" s="13"/>
      <c r="B964" s="13"/>
    </row>
    <row r="965" spans="1:2" x14ac:dyDescent="0.25">
      <c r="A965" s="13"/>
      <c r="B965" s="13"/>
    </row>
    <row r="966" spans="1:2" x14ac:dyDescent="0.25">
      <c r="A966" s="13"/>
      <c r="B966" s="13"/>
    </row>
    <row r="967" spans="1:2" x14ac:dyDescent="0.25">
      <c r="A967" s="13"/>
      <c r="B967" s="13"/>
    </row>
    <row r="968" spans="1:2" x14ac:dyDescent="0.25">
      <c r="A968" s="13"/>
      <c r="B968" s="13"/>
    </row>
    <row r="969" spans="1:2" x14ac:dyDescent="0.25">
      <c r="A969" s="13"/>
      <c r="B969" s="13"/>
    </row>
    <row r="970" spans="1:2" x14ac:dyDescent="0.25">
      <c r="A970" s="13"/>
      <c r="B970" s="13"/>
    </row>
    <row r="971" spans="1:2" x14ac:dyDescent="0.25">
      <c r="A971" s="13"/>
      <c r="B971" s="13"/>
    </row>
    <row r="972" spans="1:2" x14ac:dyDescent="0.25">
      <c r="A972" s="13"/>
      <c r="B972" s="13"/>
    </row>
    <row r="973" spans="1:2" x14ac:dyDescent="0.25">
      <c r="A973" s="13"/>
      <c r="B973" s="13"/>
    </row>
    <row r="974" spans="1:2" x14ac:dyDescent="0.25">
      <c r="A974" s="13"/>
      <c r="B974" s="13"/>
    </row>
    <row r="975" spans="1:2" x14ac:dyDescent="0.25">
      <c r="A975" s="13"/>
      <c r="B975" s="13"/>
    </row>
    <row r="976" spans="1:2" x14ac:dyDescent="0.25">
      <c r="A976" s="13"/>
      <c r="B976" s="13"/>
    </row>
    <row r="977" spans="1:2" x14ac:dyDescent="0.25">
      <c r="A977" s="13"/>
      <c r="B977" s="13"/>
    </row>
    <row r="978" spans="1:2" x14ac:dyDescent="0.25">
      <c r="A978" s="13"/>
      <c r="B978" s="13"/>
    </row>
    <row r="979" spans="1:2" x14ac:dyDescent="0.25">
      <c r="A979" s="13"/>
      <c r="B979" s="13"/>
    </row>
    <row r="980" spans="1:2" x14ac:dyDescent="0.25">
      <c r="A980" s="13"/>
      <c r="B980" s="13"/>
    </row>
    <row r="981" spans="1:2" x14ac:dyDescent="0.25">
      <c r="A981" s="13"/>
      <c r="B981" s="13"/>
    </row>
    <row r="982" spans="1:2" x14ac:dyDescent="0.25">
      <c r="A982" s="13"/>
      <c r="B982" s="13"/>
    </row>
    <row r="983" spans="1:2" x14ac:dyDescent="0.25">
      <c r="A983" s="13"/>
      <c r="B983" s="13"/>
    </row>
    <row r="984" spans="1:2" x14ac:dyDescent="0.25">
      <c r="A984" s="13"/>
      <c r="B984" s="13"/>
    </row>
    <row r="985" spans="1:2" x14ac:dyDescent="0.25">
      <c r="A985" s="13"/>
      <c r="B985" s="13"/>
    </row>
    <row r="986" spans="1:2" x14ac:dyDescent="0.25">
      <c r="A986" s="13"/>
      <c r="B986" s="13"/>
    </row>
    <row r="987" spans="1:2" x14ac:dyDescent="0.25">
      <c r="A987" s="13"/>
      <c r="B987" s="13"/>
    </row>
    <row r="988" spans="1:2" x14ac:dyDescent="0.25">
      <c r="A988" s="13"/>
      <c r="B988" s="13"/>
    </row>
    <row r="989" spans="1:2" x14ac:dyDescent="0.25">
      <c r="A989" s="13"/>
      <c r="B989" s="13"/>
    </row>
    <row r="990" spans="1:2" x14ac:dyDescent="0.25">
      <c r="A990" s="13"/>
      <c r="B990" s="13"/>
    </row>
    <row r="991" spans="1:2" x14ac:dyDescent="0.25">
      <c r="A991" s="13"/>
      <c r="B991" s="13"/>
    </row>
    <row r="992" spans="1:2" x14ac:dyDescent="0.25">
      <c r="A992" s="13"/>
      <c r="B992" s="13"/>
    </row>
    <row r="993" spans="1:2" x14ac:dyDescent="0.25">
      <c r="A993" s="13"/>
      <c r="B993" s="13"/>
    </row>
    <row r="994" spans="1:2" x14ac:dyDescent="0.25">
      <c r="A994" s="13"/>
      <c r="B994" s="13"/>
    </row>
    <row r="995" spans="1:2" x14ac:dyDescent="0.25">
      <c r="A995" s="13"/>
      <c r="B995" s="13"/>
    </row>
    <row r="996" spans="1:2" x14ac:dyDescent="0.25">
      <c r="A996" s="13"/>
      <c r="B996" s="13"/>
    </row>
    <row r="997" spans="1:2" x14ac:dyDescent="0.25">
      <c r="A997" s="13"/>
      <c r="B997" s="13"/>
    </row>
    <row r="998" spans="1:2" x14ac:dyDescent="0.25">
      <c r="A998" s="13"/>
      <c r="B998" s="13"/>
    </row>
    <row r="999" spans="1:2" x14ac:dyDescent="0.25">
      <c r="A999" s="13"/>
      <c r="B999" s="13"/>
    </row>
    <row r="1000" spans="1:2" x14ac:dyDescent="0.25">
      <c r="A1000" s="13"/>
      <c r="B1000" s="13"/>
    </row>
    <row r="1001" spans="1:2" x14ac:dyDescent="0.25">
      <c r="A1001" s="13"/>
      <c r="B1001" s="13"/>
    </row>
    <row r="1002" spans="1:2" x14ac:dyDescent="0.25">
      <c r="A1002" s="13"/>
      <c r="B1002" s="13"/>
    </row>
    <row r="1003" spans="1:2" x14ac:dyDescent="0.25">
      <c r="A1003" s="13"/>
      <c r="B1003" s="13"/>
    </row>
    <row r="1004" spans="1:2" x14ac:dyDescent="0.25">
      <c r="A1004" s="13"/>
      <c r="B1004" s="13"/>
    </row>
    <row r="1005" spans="1:2" x14ac:dyDescent="0.25">
      <c r="A1005" s="13"/>
      <c r="B1005" s="13"/>
    </row>
    <row r="1006" spans="1:2" x14ac:dyDescent="0.25">
      <c r="A1006" s="13"/>
      <c r="B1006" s="13"/>
    </row>
    <row r="1007" spans="1:2" x14ac:dyDescent="0.25">
      <c r="A1007" s="13"/>
      <c r="B1007" s="13"/>
    </row>
    <row r="1008" spans="1:2" x14ac:dyDescent="0.25">
      <c r="A1008" s="13"/>
      <c r="B1008" s="13"/>
    </row>
    <row r="1009" spans="1:2" x14ac:dyDescent="0.25">
      <c r="A1009" s="13"/>
      <c r="B1009" s="13"/>
    </row>
    <row r="1010" spans="1:2" x14ac:dyDescent="0.25">
      <c r="A1010" s="13"/>
      <c r="B1010" s="13"/>
    </row>
    <row r="1011" spans="1:2" x14ac:dyDescent="0.25">
      <c r="A1011" s="13"/>
      <c r="B1011" s="13"/>
    </row>
    <row r="1012" spans="1:2" x14ac:dyDescent="0.25">
      <c r="A1012" s="13"/>
      <c r="B1012" s="13"/>
    </row>
    <row r="1013" spans="1:2" x14ac:dyDescent="0.25">
      <c r="A1013" s="13"/>
      <c r="B1013" s="13"/>
    </row>
    <row r="1014" spans="1:2" x14ac:dyDescent="0.25">
      <c r="A1014" s="13"/>
      <c r="B1014" s="13"/>
    </row>
    <row r="1015" spans="1:2" x14ac:dyDescent="0.25">
      <c r="A1015" s="13"/>
      <c r="B1015" s="13"/>
    </row>
    <row r="1016" spans="1:2" x14ac:dyDescent="0.25">
      <c r="A1016" s="13"/>
      <c r="B1016" s="13"/>
    </row>
    <row r="1017" spans="1:2" x14ac:dyDescent="0.25">
      <c r="A1017" s="13"/>
      <c r="B1017" s="13"/>
    </row>
    <row r="1018" spans="1:2" x14ac:dyDescent="0.25">
      <c r="A1018" s="13"/>
      <c r="B1018" s="13"/>
    </row>
    <row r="1019" spans="1:2" x14ac:dyDescent="0.25">
      <c r="A1019" s="13"/>
      <c r="B1019" s="13"/>
    </row>
    <row r="1020" spans="1:2" x14ac:dyDescent="0.25">
      <c r="A1020" s="13"/>
      <c r="B1020" s="13"/>
    </row>
    <row r="1021" spans="1:2" x14ac:dyDescent="0.25">
      <c r="A1021" s="13"/>
      <c r="B1021" s="13"/>
    </row>
    <row r="1022" spans="1:2" x14ac:dyDescent="0.25">
      <c r="A1022" s="13"/>
      <c r="B1022" s="13"/>
    </row>
    <row r="1023" spans="1:2" x14ac:dyDescent="0.25">
      <c r="A1023" s="13"/>
      <c r="B1023" s="13"/>
    </row>
    <row r="1024" spans="1:2" x14ac:dyDescent="0.25">
      <c r="A1024" s="13"/>
      <c r="B1024" s="13"/>
    </row>
    <row r="1025" spans="1:2" x14ac:dyDescent="0.25">
      <c r="A1025" s="13"/>
      <c r="B1025" s="13"/>
    </row>
    <row r="1026" spans="1:2" x14ac:dyDescent="0.25">
      <c r="A1026" s="13"/>
      <c r="B1026" s="13"/>
    </row>
    <row r="1027" spans="1:2" x14ac:dyDescent="0.25">
      <c r="A1027" s="13"/>
      <c r="B1027" s="13"/>
    </row>
    <row r="1028" spans="1:2" x14ac:dyDescent="0.25">
      <c r="A1028" s="13"/>
      <c r="B1028" s="13"/>
    </row>
    <row r="1029" spans="1:2" x14ac:dyDescent="0.25">
      <c r="A1029" s="13"/>
      <c r="B1029" s="13"/>
    </row>
    <row r="1030" spans="1:2" x14ac:dyDescent="0.25">
      <c r="A1030" s="13"/>
      <c r="B1030" s="13"/>
    </row>
    <row r="1031" spans="1:2" x14ac:dyDescent="0.25">
      <c r="A1031" s="13"/>
      <c r="B1031" s="13"/>
    </row>
    <row r="1032" spans="1:2" x14ac:dyDescent="0.25">
      <c r="A1032" s="13"/>
      <c r="B1032" s="13"/>
    </row>
    <row r="1033" spans="1:2" x14ac:dyDescent="0.25">
      <c r="A1033" s="13"/>
      <c r="B1033" s="13"/>
    </row>
    <row r="1034" spans="1:2" x14ac:dyDescent="0.25">
      <c r="A1034" s="13"/>
      <c r="B1034" s="13"/>
    </row>
    <row r="1035" spans="1:2" x14ac:dyDescent="0.25">
      <c r="A1035" s="13"/>
      <c r="B1035" s="13"/>
    </row>
    <row r="1036" spans="1:2" x14ac:dyDescent="0.25">
      <c r="A1036" s="13"/>
      <c r="B1036" s="13"/>
    </row>
    <row r="1037" spans="1:2" x14ac:dyDescent="0.25">
      <c r="A1037" s="13"/>
      <c r="B1037" s="13"/>
    </row>
    <row r="1038" spans="1:2" x14ac:dyDescent="0.25">
      <c r="A1038" s="13"/>
      <c r="B1038" s="13"/>
    </row>
    <row r="1039" spans="1:2" x14ac:dyDescent="0.25">
      <c r="A1039" s="13"/>
      <c r="B1039" s="13"/>
    </row>
    <row r="1040" spans="1:2" x14ac:dyDescent="0.25">
      <c r="A1040" s="13"/>
      <c r="B1040" s="13"/>
    </row>
    <row r="1041" spans="1:2" x14ac:dyDescent="0.25">
      <c r="A1041" s="13"/>
      <c r="B1041" s="13"/>
    </row>
    <row r="1042" spans="1:2" x14ac:dyDescent="0.25">
      <c r="A1042" s="13"/>
      <c r="B1042" s="13"/>
    </row>
    <row r="1043" spans="1:2" x14ac:dyDescent="0.25">
      <c r="A1043" s="13"/>
      <c r="B1043" s="13"/>
    </row>
    <row r="1044" spans="1:2" x14ac:dyDescent="0.25">
      <c r="A1044" s="13"/>
      <c r="B1044" s="13"/>
    </row>
    <row r="1045" spans="1:2" x14ac:dyDescent="0.25">
      <c r="A1045" s="13"/>
      <c r="B1045" s="13"/>
    </row>
    <row r="1046" spans="1:2" x14ac:dyDescent="0.25">
      <c r="A1046" s="13"/>
      <c r="B1046" s="13"/>
    </row>
    <row r="1047" spans="1:2" x14ac:dyDescent="0.25">
      <c r="A1047" s="13"/>
      <c r="B1047" s="13"/>
    </row>
    <row r="1048" spans="1:2" x14ac:dyDescent="0.25">
      <c r="A1048" s="13"/>
      <c r="B1048" s="13"/>
    </row>
    <row r="1049" spans="1:2" x14ac:dyDescent="0.25">
      <c r="A1049" s="13"/>
      <c r="B1049" s="13"/>
    </row>
    <row r="1050" spans="1:2" x14ac:dyDescent="0.25">
      <c r="A1050" s="13"/>
      <c r="B1050" s="13"/>
    </row>
    <row r="1051" spans="1:2" x14ac:dyDescent="0.25">
      <c r="A1051" s="13"/>
      <c r="B1051" s="13"/>
    </row>
    <row r="1052" spans="1:2" x14ac:dyDescent="0.25">
      <c r="A1052" s="13"/>
      <c r="B1052" s="13"/>
    </row>
    <row r="1053" spans="1:2" x14ac:dyDescent="0.25">
      <c r="A1053" s="13"/>
      <c r="B1053" s="13"/>
    </row>
    <row r="1054" spans="1:2" x14ac:dyDescent="0.25">
      <c r="A1054" s="13"/>
      <c r="B1054" s="13"/>
    </row>
    <row r="1055" spans="1:2" x14ac:dyDescent="0.25">
      <c r="A1055" s="13"/>
      <c r="B1055" s="13"/>
    </row>
    <row r="1056" spans="1:2" x14ac:dyDescent="0.25">
      <c r="A1056" s="13"/>
      <c r="B1056" s="13"/>
    </row>
    <row r="1057" spans="1:2" x14ac:dyDescent="0.25">
      <c r="A1057" s="13"/>
      <c r="B1057" s="13"/>
    </row>
    <row r="1058" spans="1:2" x14ac:dyDescent="0.25">
      <c r="A1058" s="13"/>
      <c r="B1058" s="13"/>
    </row>
    <row r="1059" spans="1:2" x14ac:dyDescent="0.25">
      <c r="A1059" s="13"/>
      <c r="B1059" s="13"/>
    </row>
    <row r="1060" spans="1:2" x14ac:dyDescent="0.25">
      <c r="A1060" s="13"/>
      <c r="B1060" s="13"/>
    </row>
    <row r="1061" spans="1:2" x14ac:dyDescent="0.25">
      <c r="A1061" s="13"/>
      <c r="B1061" s="13"/>
    </row>
    <row r="1062" spans="1:2" x14ac:dyDescent="0.25">
      <c r="A1062" s="13"/>
      <c r="B1062" s="13"/>
    </row>
    <row r="1063" spans="1:2" x14ac:dyDescent="0.25">
      <c r="A1063" s="13"/>
      <c r="B1063" s="13"/>
    </row>
    <row r="1064" spans="1:2" x14ac:dyDescent="0.25">
      <c r="A1064" s="13"/>
      <c r="B1064" s="13"/>
    </row>
    <row r="1065" spans="1:2" x14ac:dyDescent="0.25">
      <c r="A1065" s="13"/>
      <c r="B1065" s="13"/>
    </row>
    <row r="1066" spans="1:2" x14ac:dyDescent="0.25">
      <c r="A1066" s="13"/>
      <c r="B1066" s="13"/>
    </row>
    <row r="1067" spans="1:2" x14ac:dyDescent="0.25">
      <c r="A1067" s="13"/>
      <c r="B1067" s="13"/>
    </row>
    <row r="1068" spans="1:2" x14ac:dyDescent="0.25">
      <c r="A1068" s="13"/>
      <c r="B1068" s="13"/>
    </row>
    <row r="1069" spans="1:2" x14ac:dyDescent="0.25">
      <c r="A1069" s="13"/>
      <c r="B1069" s="13"/>
    </row>
    <row r="1070" spans="1:2" x14ac:dyDescent="0.25">
      <c r="A1070" s="13"/>
      <c r="B1070" s="13"/>
    </row>
    <row r="1071" spans="1:2" x14ac:dyDescent="0.25">
      <c r="A1071" s="13"/>
      <c r="B1071" s="13"/>
    </row>
    <row r="1072" spans="1:2" x14ac:dyDescent="0.25">
      <c r="A1072" s="13"/>
      <c r="B1072" s="13"/>
    </row>
    <row r="1073" spans="1:2" x14ac:dyDescent="0.25">
      <c r="A1073" s="13"/>
      <c r="B1073" s="13"/>
    </row>
    <row r="1074" spans="1:2" x14ac:dyDescent="0.25">
      <c r="A1074" s="13"/>
      <c r="B1074" s="13"/>
    </row>
    <row r="1075" spans="1:2" x14ac:dyDescent="0.25">
      <c r="A1075" s="13"/>
      <c r="B1075" s="13"/>
    </row>
    <row r="1076" spans="1:2" x14ac:dyDescent="0.25">
      <c r="A1076" s="13"/>
      <c r="B1076" s="13"/>
    </row>
    <row r="1077" spans="1:2" x14ac:dyDescent="0.25">
      <c r="A1077" s="13"/>
      <c r="B1077" s="13"/>
    </row>
    <row r="1078" spans="1:2" x14ac:dyDescent="0.25">
      <c r="A1078" s="13"/>
      <c r="B1078" s="13"/>
    </row>
    <row r="1079" spans="1:2" x14ac:dyDescent="0.25">
      <c r="A1079" s="13"/>
      <c r="B1079" s="13"/>
    </row>
    <row r="1080" spans="1:2" x14ac:dyDescent="0.25">
      <c r="A1080" s="13"/>
      <c r="B1080" s="13"/>
    </row>
    <row r="1081" spans="1:2" x14ac:dyDescent="0.25">
      <c r="A1081" s="13"/>
      <c r="B1081" s="13"/>
    </row>
    <row r="1082" spans="1:2" x14ac:dyDescent="0.25">
      <c r="A1082" s="13"/>
      <c r="B1082" s="13"/>
    </row>
    <row r="1083" spans="1:2" x14ac:dyDescent="0.25">
      <c r="A1083" s="13"/>
      <c r="B1083" s="13"/>
    </row>
    <row r="1084" spans="1:2" x14ac:dyDescent="0.25">
      <c r="A1084" s="13"/>
      <c r="B1084" s="13"/>
    </row>
    <row r="1085" spans="1:2" x14ac:dyDescent="0.25">
      <c r="A1085" s="13"/>
      <c r="B1085" s="13"/>
    </row>
    <row r="1086" spans="1:2" x14ac:dyDescent="0.25">
      <c r="A1086" s="13"/>
      <c r="B1086" s="13"/>
    </row>
    <row r="1087" spans="1:2" x14ac:dyDescent="0.25">
      <c r="A1087" s="13"/>
      <c r="B1087" s="13"/>
    </row>
    <row r="1088" spans="1:2" x14ac:dyDescent="0.25">
      <c r="A1088" s="13"/>
      <c r="B1088" s="13"/>
    </row>
    <row r="1089" spans="1:2" x14ac:dyDescent="0.25">
      <c r="A1089" s="13"/>
      <c r="B1089" s="13"/>
    </row>
    <row r="1090" spans="1:2" x14ac:dyDescent="0.25">
      <c r="A1090" s="13"/>
      <c r="B1090" s="13"/>
    </row>
    <row r="1091" spans="1:2" x14ac:dyDescent="0.25">
      <c r="A1091" s="13"/>
      <c r="B1091" s="13"/>
    </row>
    <row r="1092" spans="1:2" x14ac:dyDescent="0.25">
      <c r="A1092" s="13"/>
      <c r="B1092" s="13"/>
    </row>
    <row r="1093" spans="1:2" x14ac:dyDescent="0.25">
      <c r="A1093" s="13"/>
      <c r="B1093" s="13"/>
    </row>
    <row r="1094" spans="1:2" x14ac:dyDescent="0.25">
      <c r="A1094" s="13"/>
      <c r="B1094" s="13"/>
    </row>
    <row r="1095" spans="1:2" x14ac:dyDescent="0.25">
      <c r="A1095" s="13"/>
      <c r="B1095" s="13"/>
    </row>
    <row r="1096" spans="1:2" x14ac:dyDescent="0.25">
      <c r="A1096" s="13"/>
      <c r="B1096" s="13"/>
    </row>
    <row r="1097" spans="1:2" x14ac:dyDescent="0.25">
      <c r="A1097" s="13"/>
      <c r="B1097" s="13"/>
    </row>
    <row r="1098" spans="1:2" x14ac:dyDescent="0.25">
      <c r="A1098" s="13"/>
      <c r="B1098" s="13"/>
    </row>
    <row r="1099" spans="1:2" x14ac:dyDescent="0.25">
      <c r="A1099" s="13"/>
      <c r="B1099" s="13"/>
    </row>
    <row r="1100" spans="1:2" x14ac:dyDescent="0.25">
      <c r="A1100" s="13"/>
      <c r="B1100" s="13"/>
    </row>
    <row r="1101" spans="1:2" x14ac:dyDescent="0.25">
      <c r="A1101" s="13"/>
      <c r="B1101" s="13"/>
    </row>
    <row r="1102" spans="1:2" x14ac:dyDescent="0.25">
      <c r="A1102" s="13"/>
      <c r="B1102" s="13"/>
    </row>
    <row r="1103" spans="1:2" x14ac:dyDescent="0.25">
      <c r="A1103" s="13"/>
      <c r="B1103" s="13"/>
    </row>
    <row r="1104" spans="1:2" x14ac:dyDescent="0.25">
      <c r="A1104" s="13"/>
      <c r="B1104" s="13"/>
    </row>
    <row r="1105" spans="1:2" x14ac:dyDescent="0.25">
      <c r="A1105" s="13"/>
      <c r="B1105" s="13"/>
    </row>
    <row r="1106" spans="1:2" x14ac:dyDescent="0.25">
      <c r="A1106" s="13"/>
      <c r="B1106" s="13"/>
    </row>
    <row r="1107" spans="1:2" x14ac:dyDescent="0.25">
      <c r="A1107" s="13"/>
      <c r="B1107" s="13"/>
    </row>
    <row r="1108" spans="1:2" x14ac:dyDescent="0.25">
      <c r="A1108" s="13"/>
      <c r="B1108" s="13"/>
    </row>
    <row r="1109" spans="1:2" x14ac:dyDescent="0.25">
      <c r="A1109" s="13"/>
      <c r="B1109" s="13"/>
    </row>
    <row r="1110" spans="1:2" x14ac:dyDescent="0.25">
      <c r="A1110" s="13"/>
      <c r="B1110" s="13"/>
    </row>
    <row r="1111" spans="1:2" x14ac:dyDescent="0.25">
      <c r="A1111" s="13"/>
      <c r="B1111" s="13"/>
    </row>
    <row r="1112" spans="1:2" x14ac:dyDescent="0.25">
      <c r="A1112" s="13"/>
      <c r="B1112" s="13"/>
    </row>
    <row r="1113" spans="1:2" x14ac:dyDescent="0.25">
      <c r="A1113" s="13"/>
      <c r="B1113" s="13"/>
    </row>
    <row r="1114" spans="1:2" x14ac:dyDescent="0.25">
      <c r="A1114" s="13"/>
      <c r="B1114" s="13"/>
    </row>
    <row r="1115" spans="1:2" x14ac:dyDescent="0.25">
      <c r="A1115" s="13"/>
      <c r="B1115" s="13"/>
    </row>
    <row r="1116" spans="1:2" x14ac:dyDescent="0.25">
      <c r="A1116" s="13"/>
      <c r="B1116" s="13"/>
    </row>
    <row r="1117" spans="1:2" x14ac:dyDescent="0.25">
      <c r="A1117" s="13"/>
      <c r="B1117" s="13"/>
    </row>
    <row r="1118" spans="1:2" x14ac:dyDescent="0.25">
      <c r="A1118" s="13"/>
      <c r="B1118" s="13"/>
    </row>
    <row r="1119" spans="1:2" x14ac:dyDescent="0.25">
      <c r="A1119" s="13"/>
      <c r="B1119" s="13"/>
    </row>
    <row r="1120" spans="1:2" x14ac:dyDescent="0.25">
      <c r="A1120" s="13"/>
      <c r="B1120" s="13"/>
    </row>
    <row r="1121" spans="1:2" x14ac:dyDescent="0.25">
      <c r="A1121" s="13"/>
      <c r="B1121" s="13"/>
    </row>
    <row r="1122" spans="1:2" x14ac:dyDescent="0.25">
      <c r="A1122" s="13"/>
      <c r="B1122" s="13"/>
    </row>
    <row r="1123" spans="1:2" x14ac:dyDescent="0.25">
      <c r="A1123" s="13"/>
      <c r="B1123" s="13"/>
    </row>
    <row r="1124" spans="1:2" x14ac:dyDescent="0.25">
      <c r="A1124" s="13"/>
      <c r="B1124" s="13"/>
    </row>
    <row r="1125" spans="1:2" x14ac:dyDescent="0.25">
      <c r="A1125" s="13"/>
      <c r="B1125" s="13"/>
    </row>
    <row r="1126" spans="1:2" x14ac:dyDescent="0.25">
      <c r="A1126" s="13"/>
      <c r="B1126" s="13"/>
    </row>
    <row r="1127" spans="1:2" x14ac:dyDescent="0.25">
      <c r="A1127" s="13"/>
      <c r="B1127" s="13"/>
    </row>
    <row r="1128" spans="1:2" x14ac:dyDescent="0.25">
      <c r="A1128" s="13"/>
      <c r="B1128" s="13"/>
    </row>
    <row r="1129" spans="1:2" x14ac:dyDescent="0.25">
      <c r="A1129" s="13"/>
      <c r="B1129" s="13"/>
    </row>
    <row r="1130" spans="1:2" x14ac:dyDescent="0.25">
      <c r="A1130" s="13"/>
      <c r="B1130" s="13"/>
    </row>
    <row r="1131" spans="1:2" x14ac:dyDescent="0.25">
      <c r="A1131" s="13"/>
      <c r="B1131" s="13"/>
    </row>
    <row r="1132" spans="1:2" x14ac:dyDescent="0.25">
      <c r="A1132" s="13"/>
      <c r="B1132" s="13"/>
    </row>
    <row r="1133" spans="1:2" x14ac:dyDescent="0.25">
      <c r="A1133" s="13"/>
      <c r="B1133" s="13"/>
    </row>
    <row r="1134" spans="1:2" x14ac:dyDescent="0.25">
      <c r="A1134" s="13"/>
      <c r="B1134" s="13"/>
    </row>
    <row r="1135" spans="1:2" x14ac:dyDescent="0.25">
      <c r="A1135" s="13"/>
      <c r="B1135" s="13"/>
    </row>
    <row r="1136" spans="1:2" x14ac:dyDescent="0.25">
      <c r="A1136" s="13"/>
      <c r="B1136" s="13"/>
    </row>
    <row r="1137" spans="1:2" x14ac:dyDescent="0.25">
      <c r="A1137" s="13"/>
      <c r="B1137" s="13"/>
    </row>
    <row r="1138" spans="1:2" x14ac:dyDescent="0.25">
      <c r="A1138" s="13"/>
      <c r="B1138" s="13"/>
    </row>
    <row r="1139" spans="1:2" x14ac:dyDescent="0.25">
      <c r="A1139" s="13"/>
      <c r="B1139" s="13"/>
    </row>
    <row r="1140" spans="1:2" x14ac:dyDescent="0.25">
      <c r="A1140" s="13"/>
      <c r="B1140" s="13"/>
    </row>
    <row r="1141" spans="1:2" x14ac:dyDescent="0.25">
      <c r="A1141" s="13"/>
      <c r="B1141" s="13"/>
    </row>
    <row r="1142" spans="1:2" x14ac:dyDescent="0.25">
      <c r="A1142" s="13"/>
      <c r="B1142" s="13"/>
    </row>
    <row r="1143" spans="1:2" x14ac:dyDescent="0.25">
      <c r="A1143" s="13"/>
      <c r="B1143" s="13"/>
    </row>
    <row r="1144" spans="1:2" x14ac:dyDescent="0.25">
      <c r="A1144" s="13"/>
      <c r="B1144" s="13"/>
    </row>
    <row r="1145" spans="1:2" x14ac:dyDescent="0.25">
      <c r="A1145" s="13"/>
      <c r="B1145" s="13"/>
    </row>
    <row r="1146" spans="1:2" x14ac:dyDescent="0.25">
      <c r="A1146" s="13"/>
      <c r="B1146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C00030</vt:lpstr>
      <vt:lpstr>Raw Data Cut 1.3</vt:lpstr>
      <vt:lpstr>Raw Data Hotspot</vt:lpstr>
      <vt:lpstr>Insertion</vt:lpstr>
      <vt:lpstr>Deletion</vt:lpstr>
      <vt:lpstr>Coverage Reports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2018-02-19T20:24:58Z</cp:lastPrinted>
  <dcterms:created xsi:type="dcterms:W3CDTF">2018-02-10T17:26:11Z</dcterms:created>
  <dcterms:modified xsi:type="dcterms:W3CDTF">2021-08-04T15:45:59Z</dcterms:modified>
</cp:coreProperties>
</file>
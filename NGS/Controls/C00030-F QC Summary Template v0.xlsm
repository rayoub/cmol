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77755\Documents\git\Workbooks\"/>
    </mc:Choice>
  </mc:AlternateContent>
  <xr:revisionPtr revIDLastSave="0" documentId="13_ncr:1_{3D2036D3-64F9-4DDF-A2BC-357109835A80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C00030" sheetId="1" r:id="rId1"/>
    <sheet name="Raw Data Cut 1.3" sheetId="4" r:id="rId2"/>
    <sheet name="Raw Data Hotspot" sheetId="10" r:id="rId3"/>
    <sheet name="Insertion" sheetId="12" r:id="rId4"/>
    <sheet name="Deletion" sheetId="13" r:id="rId5"/>
    <sheet name="Coverage Reports" sheetId="11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8" i="1" l="1"/>
  <c r="J68" i="1"/>
  <c r="K68" i="1"/>
  <c r="L68" i="1"/>
  <c r="M68" i="1"/>
  <c r="N68" i="1"/>
  <c r="O68" i="1"/>
  <c r="P68" i="1"/>
  <c r="T68" i="1" s="1"/>
  <c r="Q68" i="1"/>
  <c r="R68" i="1"/>
  <c r="S68" i="1"/>
  <c r="U68" i="1" s="1"/>
  <c r="I69" i="1"/>
  <c r="J69" i="1"/>
  <c r="V69" i="1" s="1"/>
  <c r="K69" i="1"/>
  <c r="L69" i="1"/>
  <c r="M69" i="1"/>
  <c r="N69" i="1"/>
  <c r="O69" i="1"/>
  <c r="P69" i="1"/>
  <c r="Q69" i="1"/>
  <c r="R69" i="1"/>
  <c r="S69" i="1"/>
  <c r="I70" i="1"/>
  <c r="J70" i="1"/>
  <c r="V70" i="1" s="1"/>
  <c r="K70" i="1"/>
  <c r="L70" i="1"/>
  <c r="M70" i="1"/>
  <c r="N70" i="1"/>
  <c r="O70" i="1"/>
  <c r="P70" i="1"/>
  <c r="T70" i="1" s="1"/>
  <c r="Q70" i="1"/>
  <c r="R70" i="1"/>
  <c r="S70" i="1"/>
  <c r="I71" i="1"/>
  <c r="J71" i="1"/>
  <c r="V71" i="1" s="1"/>
  <c r="K71" i="1"/>
  <c r="L71" i="1"/>
  <c r="M71" i="1"/>
  <c r="N71" i="1"/>
  <c r="O71" i="1"/>
  <c r="P71" i="1"/>
  <c r="T71" i="1" s="1"/>
  <c r="Q71" i="1"/>
  <c r="R71" i="1"/>
  <c r="S71" i="1"/>
  <c r="I72" i="1"/>
  <c r="J72" i="1"/>
  <c r="V72" i="1" s="1"/>
  <c r="K72" i="1"/>
  <c r="L72" i="1"/>
  <c r="M72" i="1"/>
  <c r="N72" i="1"/>
  <c r="O72" i="1"/>
  <c r="P72" i="1"/>
  <c r="T72" i="1" s="1"/>
  <c r="Q72" i="1"/>
  <c r="R72" i="1"/>
  <c r="S72" i="1"/>
  <c r="U72" i="1" s="1"/>
  <c r="I73" i="1"/>
  <c r="J73" i="1"/>
  <c r="K73" i="1"/>
  <c r="L73" i="1"/>
  <c r="M73" i="1"/>
  <c r="N73" i="1"/>
  <c r="O73" i="1"/>
  <c r="P73" i="1"/>
  <c r="Q73" i="1"/>
  <c r="R73" i="1"/>
  <c r="S73" i="1"/>
  <c r="U73" i="1" s="1"/>
  <c r="I74" i="1"/>
  <c r="J74" i="1"/>
  <c r="K74" i="1"/>
  <c r="L74" i="1"/>
  <c r="M74" i="1"/>
  <c r="N74" i="1"/>
  <c r="O74" i="1"/>
  <c r="P74" i="1"/>
  <c r="Q74" i="1"/>
  <c r="R74" i="1"/>
  <c r="S74" i="1"/>
  <c r="U74" i="1" s="1"/>
  <c r="I75" i="1"/>
  <c r="J75" i="1"/>
  <c r="K75" i="1"/>
  <c r="L75" i="1"/>
  <c r="M75" i="1"/>
  <c r="N75" i="1"/>
  <c r="O75" i="1"/>
  <c r="P75" i="1"/>
  <c r="Q75" i="1"/>
  <c r="R75" i="1"/>
  <c r="S75" i="1"/>
  <c r="I76" i="1"/>
  <c r="J76" i="1"/>
  <c r="V76" i="1" s="1"/>
  <c r="K76" i="1"/>
  <c r="L76" i="1"/>
  <c r="M76" i="1"/>
  <c r="N76" i="1"/>
  <c r="O76" i="1"/>
  <c r="P76" i="1"/>
  <c r="T76" i="1" s="1"/>
  <c r="Q76" i="1"/>
  <c r="R76" i="1"/>
  <c r="S76" i="1"/>
  <c r="I77" i="1"/>
  <c r="J77" i="1"/>
  <c r="V77" i="1" s="1"/>
  <c r="K77" i="1"/>
  <c r="L77" i="1"/>
  <c r="M77" i="1"/>
  <c r="N77" i="1"/>
  <c r="O77" i="1"/>
  <c r="P77" i="1"/>
  <c r="T77" i="1" s="1"/>
  <c r="Q77" i="1"/>
  <c r="R77" i="1"/>
  <c r="S77" i="1"/>
  <c r="I78" i="1"/>
  <c r="J78" i="1"/>
  <c r="K78" i="1"/>
  <c r="L78" i="1"/>
  <c r="M78" i="1"/>
  <c r="N78" i="1"/>
  <c r="O78" i="1"/>
  <c r="P78" i="1"/>
  <c r="T78" i="1" s="1"/>
  <c r="Q78" i="1"/>
  <c r="R78" i="1"/>
  <c r="S78" i="1"/>
  <c r="U78" i="1" s="1"/>
  <c r="I79" i="1"/>
  <c r="J79" i="1"/>
  <c r="K79" i="1"/>
  <c r="L79" i="1"/>
  <c r="M79" i="1"/>
  <c r="N79" i="1"/>
  <c r="O79" i="1"/>
  <c r="P79" i="1"/>
  <c r="Q79" i="1"/>
  <c r="R79" i="1"/>
  <c r="S79" i="1"/>
  <c r="I80" i="1"/>
  <c r="J80" i="1"/>
  <c r="K80" i="1"/>
  <c r="L80" i="1"/>
  <c r="M80" i="1"/>
  <c r="N80" i="1"/>
  <c r="O80" i="1"/>
  <c r="P80" i="1"/>
  <c r="Q80" i="1"/>
  <c r="R80" i="1"/>
  <c r="S80" i="1"/>
  <c r="U80" i="1" s="1"/>
  <c r="I81" i="1"/>
  <c r="J81" i="1"/>
  <c r="K81" i="1"/>
  <c r="L81" i="1"/>
  <c r="M81" i="1"/>
  <c r="N81" i="1"/>
  <c r="O81" i="1"/>
  <c r="P81" i="1"/>
  <c r="T81" i="1" s="1"/>
  <c r="Q81" i="1"/>
  <c r="R81" i="1"/>
  <c r="S81" i="1"/>
  <c r="I82" i="1"/>
  <c r="J82" i="1"/>
  <c r="V82" i="1" s="1"/>
  <c r="K82" i="1"/>
  <c r="L82" i="1"/>
  <c r="M82" i="1"/>
  <c r="N82" i="1"/>
  <c r="O82" i="1"/>
  <c r="P82" i="1"/>
  <c r="Q82" i="1"/>
  <c r="R82" i="1"/>
  <c r="S82" i="1"/>
  <c r="I83" i="1"/>
  <c r="J83" i="1"/>
  <c r="V83" i="1" s="1"/>
  <c r="K83" i="1"/>
  <c r="L83" i="1"/>
  <c r="M83" i="1"/>
  <c r="N83" i="1"/>
  <c r="O83" i="1"/>
  <c r="P83" i="1"/>
  <c r="Q83" i="1"/>
  <c r="R83" i="1"/>
  <c r="S83" i="1"/>
  <c r="I84" i="1"/>
  <c r="J84" i="1"/>
  <c r="K84" i="1"/>
  <c r="L84" i="1"/>
  <c r="M84" i="1"/>
  <c r="N84" i="1"/>
  <c r="O84" i="1"/>
  <c r="P84" i="1"/>
  <c r="Q84" i="1"/>
  <c r="R84" i="1"/>
  <c r="S84" i="1"/>
  <c r="U84" i="1" s="1"/>
  <c r="I85" i="1"/>
  <c r="J85" i="1"/>
  <c r="K85" i="1"/>
  <c r="L85" i="1"/>
  <c r="M85" i="1"/>
  <c r="N85" i="1"/>
  <c r="O85" i="1"/>
  <c r="P85" i="1"/>
  <c r="Q85" i="1"/>
  <c r="R85" i="1"/>
  <c r="S85" i="1"/>
  <c r="U85" i="1" s="1"/>
  <c r="I86" i="1"/>
  <c r="J86" i="1"/>
  <c r="K86" i="1"/>
  <c r="L86" i="1"/>
  <c r="M86" i="1"/>
  <c r="N86" i="1"/>
  <c r="O86" i="1"/>
  <c r="P86" i="1"/>
  <c r="Q86" i="1"/>
  <c r="R86" i="1"/>
  <c r="S86" i="1"/>
  <c r="U86" i="1" s="1"/>
  <c r="I87" i="1"/>
  <c r="J87" i="1"/>
  <c r="K87" i="1"/>
  <c r="L87" i="1"/>
  <c r="M87" i="1"/>
  <c r="N87" i="1"/>
  <c r="O87" i="1"/>
  <c r="P87" i="1"/>
  <c r="T87" i="1" s="1"/>
  <c r="Q87" i="1"/>
  <c r="R87" i="1"/>
  <c r="S87" i="1"/>
  <c r="I88" i="1"/>
  <c r="J88" i="1"/>
  <c r="V88" i="1" s="1"/>
  <c r="K88" i="1"/>
  <c r="L88" i="1"/>
  <c r="M88" i="1"/>
  <c r="N88" i="1"/>
  <c r="O88" i="1"/>
  <c r="P88" i="1"/>
  <c r="T88" i="1" s="1"/>
  <c r="Q88" i="1"/>
  <c r="R88" i="1"/>
  <c r="S88" i="1"/>
  <c r="I89" i="1"/>
  <c r="J89" i="1"/>
  <c r="V89" i="1" s="1"/>
  <c r="K89" i="1"/>
  <c r="L89" i="1"/>
  <c r="M89" i="1"/>
  <c r="N89" i="1"/>
  <c r="O89" i="1"/>
  <c r="P89" i="1"/>
  <c r="T89" i="1" s="1"/>
  <c r="Q89" i="1"/>
  <c r="R89" i="1"/>
  <c r="S89" i="1"/>
  <c r="U89" i="1" s="1"/>
  <c r="I90" i="1"/>
  <c r="J90" i="1"/>
  <c r="K90" i="1"/>
  <c r="L90" i="1"/>
  <c r="M90" i="1"/>
  <c r="N90" i="1"/>
  <c r="O90" i="1"/>
  <c r="P90" i="1"/>
  <c r="Q90" i="1"/>
  <c r="R90" i="1"/>
  <c r="S90" i="1"/>
  <c r="U90" i="1" s="1"/>
  <c r="I91" i="1"/>
  <c r="J91" i="1"/>
  <c r="K91" i="1"/>
  <c r="L91" i="1"/>
  <c r="M91" i="1"/>
  <c r="N91" i="1"/>
  <c r="O91" i="1"/>
  <c r="P91" i="1"/>
  <c r="Q91" i="1"/>
  <c r="R91" i="1"/>
  <c r="S91" i="1"/>
  <c r="U91" i="1" s="1"/>
  <c r="I92" i="1"/>
  <c r="J92" i="1"/>
  <c r="K92" i="1"/>
  <c r="L92" i="1"/>
  <c r="M92" i="1"/>
  <c r="N92" i="1"/>
  <c r="O92" i="1"/>
  <c r="P92" i="1"/>
  <c r="Q92" i="1"/>
  <c r="R92" i="1"/>
  <c r="S92" i="1"/>
  <c r="U92" i="1" s="1"/>
  <c r="I93" i="1"/>
  <c r="J93" i="1"/>
  <c r="V93" i="1" s="1"/>
  <c r="K93" i="1"/>
  <c r="L93" i="1"/>
  <c r="M93" i="1"/>
  <c r="N93" i="1"/>
  <c r="O93" i="1"/>
  <c r="P93" i="1"/>
  <c r="T93" i="1" s="1"/>
  <c r="Q93" i="1"/>
  <c r="R93" i="1"/>
  <c r="S93" i="1"/>
  <c r="I94" i="1"/>
  <c r="J94" i="1"/>
  <c r="V94" i="1" s="1"/>
  <c r="K94" i="1"/>
  <c r="L94" i="1"/>
  <c r="M94" i="1"/>
  <c r="N94" i="1"/>
  <c r="O94" i="1"/>
  <c r="P94" i="1"/>
  <c r="Q94" i="1"/>
  <c r="R94" i="1"/>
  <c r="S94" i="1"/>
  <c r="I95" i="1"/>
  <c r="J95" i="1"/>
  <c r="K95" i="1"/>
  <c r="L95" i="1"/>
  <c r="M95" i="1"/>
  <c r="N95" i="1"/>
  <c r="O95" i="1"/>
  <c r="P95" i="1"/>
  <c r="T95" i="1" s="1"/>
  <c r="Q95" i="1"/>
  <c r="R95" i="1"/>
  <c r="S95" i="1"/>
  <c r="I96" i="1"/>
  <c r="J96" i="1"/>
  <c r="K96" i="1"/>
  <c r="L96" i="1"/>
  <c r="M96" i="1"/>
  <c r="N96" i="1"/>
  <c r="O96" i="1"/>
  <c r="P96" i="1"/>
  <c r="T96" i="1" s="1"/>
  <c r="Q96" i="1"/>
  <c r="R96" i="1"/>
  <c r="S96" i="1"/>
  <c r="I97" i="1"/>
  <c r="J97" i="1"/>
  <c r="V97" i="1" s="1"/>
  <c r="K97" i="1"/>
  <c r="L97" i="1"/>
  <c r="M97" i="1"/>
  <c r="N97" i="1"/>
  <c r="O97" i="1"/>
  <c r="P97" i="1"/>
  <c r="Q97" i="1"/>
  <c r="R97" i="1"/>
  <c r="S97" i="1"/>
  <c r="U97" i="1" s="1"/>
  <c r="I98" i="1"/>
  <c r="J98" i="1"/>
  <c r="K98" i="1"/>
  <c r="L98" i="1"/>
  <c r="M98" i="1"/>
  <c r="N98" i="1"/>
  <c r="O98" i="1"/>
  <c r="P98" i="1"/>
  <c r="Q98" i="1"/>
  <c r="R98" i="1"/>
  <c r="S98" i="1"/>
  <c r="I99" i="1"/>
  <c r="J99" i="1"/>
  <c r="V99" i="1" s="1"/>
  <c r="K99" i="1"/>
  <c r="L99" i="1"/>
  <c r="M99" i="1"/>
  <c r="N99" i="1"/>
  <c r="O99" i="1"/>
  <c r="P99" i="1"/>
  <c r="T99" i="1" s="1"/>
  <c r="Q99" i="1"/>
  <c r="R99" i="1"/>
  <c r="S99" i="1"/>
  <c r="U99" i="1" s="1"/>
  <c r="I100" i="1"/>
  <c r="J100" i="1"/>
  <c r="V100" i="1" s="1"/>
  <c r="K100" i="1"/>
  <c r="L100" i="1"/>
  <c r="M100" i="1"/>
  <c r="N100" i="1"/>
  <c r="O100" i="1"/>
  <c r="P100" i="1"/>
  <c r="T100" i="1" s="1"/>
  <c r="Q100" i="1"/>
  <c r="R100" i="1"/>
  <c r="S100" i="1"/>
  <c r="I101" i="1"/>
  <c r="J101" i="1"/>
  <c r="K101" i="1"/>
  <c r="L101" i="1"/>
  <c r="M101" i="1"/>
  <c r="N101" i="1"/>
  <c r="O101" i="1"/>
  <c r="P101" i="1"/>
  <c r="Q101" i="1"/>
  <c r="R101" i="1"/>
  <c r="S101" i="1"/>
  <c r="I102" i="1"/>
  <c r="J102" i="1"/>
  <c r="K102" i="1"/>
  <c r="L102" i="1"/>
  <c r="M102" i="1"/>
  <c r="N102" i="1"/>
  <c r="O102" i="1"/>
  <c r="P102" i="1"/>
  <c r="Q102" i="1"/>
  <c r="R102" i="1"/>
  <c r="S102" i="1"/>
  <c r="U102" i="1" s="1"/>
  <c r="I103" i="1"/>
  <c r="J103" i="1"/>
  <c r="K103" i="1"/>
  <c r="L103" i="1"/>
  <c r="M103" i="1"/>
  <c r="N103" i="1"/>
  <c r="O103" i="1"/>
  <c r="P103" i="1"/>
  <c r="Q103" i="1"/>
  <c r="R103" i="1"/>
  <c r="S103" i="1"/>
  <c r="U103" i="1" s="1"/>
  <c r="I104" i="1"/>
  <c r="J104" i="1"/>
  <c r="K104" i="1"/>
  <c r="L104" i="1"/>
  <c r="M104" i="1"/>
  <c r="N104" i="1"/>
  <c r="O104" i="1"/>
  <c r="P104" i="1"/>
  <c r="Q104" i="1"/>
  <c r="R104" i="1"/>
  <c r="S104" i="1"/>
  <c r="U104" i="1" s="1"/>
  <c r="I105" i="1"/>
  <c r="J105" i="1"/>
  <c r="V105" i="1" s="1"/>
  <c r="K105" i="1"/>
  <c r="L105" i="1"/>
  <c r="M105" i="1"/>
  <c r="N105" i="1"/>
  <c r="O105" i="1"/>
  <c r="P105" i="1"/>
  <c r="Q105" i="1"/>
  <c r="R105" i="1"/>
  <c r="S105" i="1"/>
  <c r="I106" i="1"/>
  <c r="J106" i="1"/>
  <c r="V106" i="1" s="1"/>
  <c r="K106" i="1"/>
  <c r="L106" i="1"/>
  <c r="M106" i="1"/>
  <c r="N106" i="1"/>
  <c r="O106" i="1"/>
  <c r="P106" i="1"/>
  <c r="T106" i="1" s="1"/>
  <c r="Q106" i="1"/>
  <c r="R106" i="1"/>
  <c r="S106" i="1"/>
  <c r="I107" i="1"/>
  <c r="J107" i="1"/>
  <c r="K107" i="1"/>
  <c r="L107" i="1"/>
  <c r="M107" i="1"/>
  <c r="N107" i="1"/>
  <c r="O107" i="1"/>
  <c r="P107" i="1"/>
  <c r="T107" i="1" s="1"/>
  <c r="Q107" i="1"/>
  <c r="R107" i="1"/>
  <c r="S107" i="1"/>
  <c r="I108" i="1"/>
  <c r="J108" i="1"/>
  <c r="K108" i="1"/>
  <c r="L108" i="1"/>
  <c r="M108" i="1"/>
  <c r="N108" i="1"/>
  <c r="O108" i="1"/>
  <c r="P108" i="1"/>
  <c r="Q108" i="1"/>
  <c r="R108" i="1"/>
  <c r="S108" i="1"/>
  <c r="I109" i="1"/>
  <c r="J109" i="1"/>
  <c r="K109" i="1"/>
  <c r="L109" i="1"/>
  <c r="M109" i="1"/>
  <c r="N109" i="1"/>
  <c r="O109" i="1"/>
  <c r="P109" i="1"/>
  <c r="Q109" i="1"/>
  <c r="R109" i="1"/>
  <c r="S109" i="1"/>
  <c r="U109" i="1" s="1"/>
  <c r="I110" i="1"/>
  <c r="J110" i="1"/>
  <c r="K110" i="1"/>
  <c r="L110" i="1"/>
  <c r="M110" i="1"/>
  <c r="N110" i="1"/>
  <c r="O110" i="1"/>
  <c r="P110" i="1"/>
  <c r="Q110" i="1"/>
  <c r="R110" i="1"/>
  <c r="S110" i="1"/>
  <c r="I111" i="1"/>
  <c r="J111" i="1"/>
  <c r="V111" i="1" s="1"/>
  <c r="K111" i="1"/>
  <c r="L111" i="1"/>
  <c r="M111" i="1"/>
  <c r="N111" i="1"/>
  <c r="O111" i="1"/>
  <c r="P111" i="1"/>
  <c r="T111" i="1" s="1"/>
  <c r="Q111" i="1"/>
  <c r="R111" i="1"/>
  <c r="S111" i="1"/>
  <c r="I112" i="1"/>
  <c r="J112" i="1"/>
  <c r="V112" i="1" s="1"/>
  <c r="K112" i="1"/>
  <c r="L112" i="1"/>
  <c r="M112" i="1"/>
  <c r="N112" i="1"/>
  <c r="O112" i="1"/>
  <c r="P112" i="1"/>
  <c r="T112" i="1" s="1"/>
  <c r="Q112" i="1"/>
  <c r="R112" i="1"/>
  <c r="S112" i="1"/>
  <c r="I113" i="1"/>
  <c r="J113" i="1"/>
  <c r="K113" i="1"/>
  <c r="L113" i="1"/>
  <c r="M113" i="1"/>
  <c r="N113" i="1"/>
  <c r="O113" i="1"/>
  <c r="P113" i="1"/>
  <c r="Q113" i="1"/>
  <c r="R113" i="1"/>
  <c r="S113" i="1"/>
  <c r="I114" i="1"/>
  <c r="J114" i="1"/>
  <c r="K114" i="1"/>
  <c r="L114" i="1"/>
  <c r="M114" i="1"/>
  <c r="N114" i="1"/>
  <c r="O114" i="1"/>
  <c r="P114" i="1"/>
  <c r="Q114" i="1"/>
  <c r="R114" i="1"/>
  <c r="S114" i="1"/>
  <c r="U114" i="1" s="1"/>
  <c r="I115" i="1"/>
  <c r="J115" i="1"/>
  <c r="K115" i="1"/>
  <c r="L115" i="1"/>
  <c r="M115" i="1"/>
  <c r="N115" i="1"/>
  <c r="O115" i="1"/>
  <c r="P115" i="1"/>
  <c r="Q115" i="1"/>
  <c r="R115" i="1"/>
  <c r="S115" i="1"/>
  <c r="U115" i="1" s="1"/>
  <c r="I116" i="1"/>
  <c r="J116" i="1"/>
  <c r="K116" i="1"/>
  <c r="L116" i="1"/>
  <c r="M116" i="1"/>
  <c r="N116" i="1"/>
  <c r="O116" i="1"/>
  <c r="P116" i="1"/>
  <c r="Q116" i="1"/>
  <c r="R116" i="1"/>
  <c r="S116" i="1"/>
  <c r="U116" i="1" s="1"/>
  <c r="I117" i="1"/>
  <c r="J117" i="1"/>
  <c r="V117" i="1" s="1"/>
  <c r="K117" i="1"/>
  <c r="L117" i="1"/>
  <c r="M117" i="1"/>
  <c r="N117" i="1"/>
  <c r="O117" i="1"/>
  <c r="P117" i="1"/>
  <c r="Q117" i="1"/>
  <c r="R117" i="1"/>
  <c r="S117" i="1"/>
  <c r="I118" i="1"/>
  <c r="J118" i="1"/>
  <c r="V118" i="1" s="1"/>
  <c r="K118" i="1"/>
  <c r="L118" i="1"/>
  <c r="M118" i="1"/>
  <c r="N118" i="1"/>
  <c r="O118" i="1"/>
  <c r="P118" i="1"/>
  <c r="T118" i="1" s="1"/>
  <c r="Q118" i="1"/>
  <c r="R118" i="1"/>
  <c r="S118" i="1"/>
  <c r="I119" i="1"/>
  <c r="J119" i="1"/>
  <c r="K119" i="1"/>
  <c r="L119" i="1"/>
  <c r="M119" i="1"/>
  <c r="N119" i="1"/>
  <c r="O119" i="1"/>
  <c r="P119" i="1"/>
  <c r="T119" i="1" s="1"/>
  <c r="Q119" i="1"/>
  <c r="R119" i="1"/>
  <c r="S119" i="1"/>
  <c r="I120" i="1"/>
  <c r="J120" i="1"/>
  <c r="K120" i="1"/>
  <c r="L120" i="1"/>
  <c r="M120" i="1"/>
  <c r="N120" i="1"/>
  <c r="O120" i="1"/>
  <c r="P120" i="1"/>
  <c r="Q120" i="1"/>
  <c r="R120" i="1"/>
  <c r="S120" i="1"/>
  <c r="U120" i="1" s="1"/>
  <c r="I121" i="1"/>
  <c r="J121" i="1"/>
  <c r="K121" i="1"/>
  <c r="L121" i="1"/>
  <c r="M121" i="1"/>
  <c r="N121" i="1"/>
  <c r="O121" i="1"/>
  <c r="P121" i="1"/>
  <c r="Q121" i="1"/>
  <c r="R121" i="1"/>
  <c r="S121" i="1"/>
  <c r="I122" i="1"/>
  <c r="J122" i="1"/>
  <c r="K122" i="1"/>
  <c r="L122" i="1"/>
  <c r="M122" i="1"/>
  <c r="N122" i="1"/>
  <c r="O122" i="1"/>
  <c r="P122" i="1"/>
  <c r="Q122" i="1"/>
  <c r="R122" i="1"/>
  <c r="S122" i="1"/>
  <c r="U122" i="1" s="1"/>
  <c r="I123" i="1"/>
  <c r="J123" i="1"/>
  <c r="V123" i="1" s="1"/>
  <c r="K123" i="1"/>
  <c r="L123" i="1"/>
  <c r="M123" i="1"/>
  <c r="N123" i="1"/>
  <c r="O123" i="1"/>
  <c r="P123" i="1"/>
  <c r="T123" i="1" s="1"/>
  <c r="Q123" i="1"/>
  <c r="R123" i="1"/>
  <c r="S123" i="1"/>
  <c r="I124" i="1"/>
  <c r="J124" i="1"/>
  <c r="V124" i="1" s="1"/>
  <c r="K124" i="1"/>
  <c r="L124" i="1"/>
  <c r="M124" i="1"/>
  <c r="N124" i="1"/>
  <c r="O124" i="1"/>
  <c r="P124" i="1"/>
  <c r="Q124" i="1"/>
  <c r="R124" i="1"/>
  <c r="S124" i="1"/>
  <c r="I125" i="1"/>
  <c r="J125" i="1"/>
  <c r="K125" i="1"/>
  <c r="L125" i="1"/>
  <c r="M125" i="1"/>
  <c r="N125" i="1"/>
  <c r="O125" i="1"/>
  <c r="P125" i="1"/>
  <c r="Q125" i="1"/>
  <c r="R125" i="1"/>
  <c r="S125" i="1"/>
  <c r="I126" i="1"/>
  <c r="J126" i="1"/>
  <c r="K126" i="1"/>
  <c r="L126" i="1"/>
  <c r="M126" i="1"/>
  <c r="N126" i="1"/>
  <c r="O126" i="1"/>
  <c r="P126" i="1"/>
  <c r="Q126" i="1"/>
  <c r="R126" i="1"/>
  <c r="S126" i="1"/>
  <c r="U126" i="1" s="1"/>
  <c r="I127" i="1"/>
  <c r="J127" i="1"/>
  <c r="K127" i="1"/>
  <c r="L127" i="1"/>
  <c r="M127" i="1"/>
  <c r="N127" i="1"/>
  <c r="O127" i="1"/>
  <c r="P127" i="1"/>
  <c r="Q127" i="1"/>
  <c r="R127" i="1"/>
  <c r="S127" i="1"/>
  <c r="U127" i="1" s="1"/>
  <c r="I128" i="1"/>
  <c r="J128" i="1"/>
  <c r="K128" i="1"/>
  <c r="L128" i="1"/>
  <c r="M128" i="1"/>
  <c r="N128" i="1"/>
  <c r="O128" i="1"/>
  <c r="P128" i="1"/>
  <c r="Q128" i="1"/>
  <c r="R128" i="1"/>
  <c r="S128" i="1"/>
  <c r="I129" i="1"/>
  <c r="J129" i="1"/>
  <c r="V129" i="1" s="1"/>
  <c r="K129" i="1"/>
  <c r="L129" i="1"/>
  <c r="M129" i="1"/>
  <c r="N129" i="1"/>
  <c r="O129" i="1"/>
  <c r="P129" i="1"/>
  <c r="T129" i="1" s="1"/>
  <c r="Q129" i="1"/>
  <c r="R129" i="1"/>
  <c r="S129" i="1"/>
  <c r="I130" i="1"/>
  <c r="J130" i="1"/>
  <c r="V130" i="1" s="1"/>
  <c r="K130" i="1"/>
  <c r="L130" i="1"/>
  <c r="M130" i="1"/>
  <c r="N130" i="1"/>
  <c r="O130" i="1"/>
  <c r="P130" i="1"/>
  <c r="T130" i="1" s="1"/>
  <c r="Q130" i="1"/>
  <c r="R130" i="1"/>
  <c r="S130" i="1"/>
  <c r="S67" i="1"/>
  <c r="U67" i="1" s="1"/>
  <c r="R67" i="1"/>
  <c r="S7" i="1"/>
  <c r="S8" i="1"/>
  <c r="U8" i="1" s="1"/>
  <c r="S9" i="1"/>
  <c r="U9" i="1" s="1"/>
  <c r="S10" i="1"/>
  <c r="U10" i="1" s="1"/>
  <c r="P7" i="1"/>
  <c r="T7" i="1" s="1"/>
  <c r="P8" i="1"/>
  <c r="T8" i="1" s="1"/>
  <c r="P9" i="1"/>
  <c r="T9" i="1" s="1"/>
  <c r="P10" i="1"/>
  <c r="T10" i="1" s="1"/>
  <c r="S11" i="1"/>
  <c r="U11" i="1" s="1"/>
  <c r="P11" i="1"/>
  <c r="T11" i="1" s="1"/>
  <c r="S12" i="1"/>
  <c r="U12" i="1" s="1"/>
  <c r="P12" i="1"/>
  <c r="T12" i="1" s="1"/>
  <c r="S13" i="1"/>
  <c r="U13" i="1" s="1"/>
  <c r="P13" i="1"/>
  <c r="T13" i="1" s="1"/>
  <c r="S14" i="1"/>
  <c r="U14" i="1" s="1"/>
  <c r="P14" i="1"/>
  <c r="T14" i="1" s="1"/>
  <c r="S15" i="1"/>
  <c r="U15" i="1" s="1"/>
  <c r="P15" i="1"/>
  <c r="T15" i="1" s="1"/>
  <c r="S16" i="1"/>
  <c r="U16" i="1" s="1"/>
  <c r="P16" i="1"/>
  <c r="T16" i="1" s="1"/>
  <c r="S17" i="1"/>
  <c r="U17" i="1" s="1"/>
  <c r="P17" i="1"/>
  <c r="T17" i="1" s="1"/>
  <c r="S18" i="1"/>
  <c r="U18" i="1" s="1"/>
  <c r="P18" i="1"/>
  <c r="T18" i="1" s="1"/>
  <c r="S19" i="1"/>
  <c r="U19" i="1" s="1"/>
  <c r="P19" i="1"/>
  <c r="T19" i="1" s="1"/>
  <c r="S20" i="1"/>
  <c r="U20" i="1" s="1"/>
  <c r="P20" i="1"/>
  <c r="T20" i="1" s="1"/>
  <c r="S21" i="1"/>
  <c r="U21" i="1" s="1"/>
  <c r="P21" i="1"/>
  <c r="T21" i="1" s="1"/>
  <c r="S22" i="1"/>
  <c r="U22" i="1" s="1"/>
  <c r="P22" i="1"/>
  <c r="T22" i="1" s="1"/>
  <c r="S23" i="1"/>
  <c r="U23" i="1" s="1"/>
  <c r="P23" i="1"/>
  <c r="T23" i="1" s="1"/>
  <c r="S24" i="1"/>
  <c r="U24" i="1" s="1"/>
  <c r="P24" i="1"/>
  <c r="T24" i="1" s="1"/>
  <c r="S25" i="1"/>
  <c r="U25" i="1" s="1"/>
  <c r="P25" i="1"/>
  <c r="T25" i="1" s="1"/>
  <c r="S26" i="1"/>
  <c r="U26" i="1" s="1"/>
  <c r="P26" i="1"/>
  <c r="T26" i="1" s="1"/>
  <c r="S27" i="1"/>
  <c r="U27" i="1" s="1"/>
  <c r="P27" i="1"/>
  <c r="T27" i="1" s="1"/>
  <c r="S28" i="1"/>
  <c r="U28" i="1" s="1"/>
  <c r="P28" i="1"/>
  <c r="T28" i="1" s="1"/>
  <c r="S29" i="1"/>
  <c r="U29" i="1" s="1"/>
  <c r="P29" i="1"/>
  <c r="T29" i="1" s="1"/>
  <c r="S30" i="1"/>
  <c r="U30" i="1" s="1"/>
  <c r="P30" i="1"/>
  <c r="T30" i="1" s="1"/>
  <c r="S31" i="1"/>
  <c r="P31" i="1"/>
  <c r="T31" i="1" s="1"/>
  <c r="S32" i="1"/>
  <c r="U32" i="1" s="1"/>
  <c r="P32" i="1"/>
  <c r="T32" i="1" s="1"/>
  <c r="S33" i="1"/>
  <c r="U33" i="1" s="1"/>
  <c r="P33" i="1"/>
  <c r="T33" i="1" s="1"/>
  <c r="S34" i="1"/>
  <c r="U34" i="1" s="1"/>
  <c r="P34" i="1"/>
  <c r="T34" i="1" s="1"/>
  <c r="S35" i="1"/>
  <c r="U35" i="1" s="1"/>
  <c r="P35" i="1"/>
  <c r="T35" i="1" s="1"/>
  <c r="S36" i="1"/>
  <c r="U36" i="1" s="1"/>
  <c r="P36" i="1"/>
  <c r="T36" i="1" s="1"/>
  <c r="S37" i="1"/>
  <c r="U37" i="1" s="1"/>
  <c r="P37" i="1"/>
  <c r="T37" i="1" s="1"/>
  <c r="S38" i="1"/>
  <c r="U38" i="1" s="1"/>
  <c r="P38" i="1"/>
  <c r="T38" i="1" s="1"/>
  <c r="S39" i="1"/>
  <c r="P39" i="1"/>
  <c r="T39" i="1" s="1"/>
  <c r="S40" i="1"/>
  <c r="P40" i="1"/>
  <c r="T40" i="1" s="1"/>
  <c r="S41" i="1"/>
  <c r="U41" i="1" s="1"/>
  <c r="P41" i="1"/>
  <c r="T41" i="1" s="1"/>
  <c r="S42" i="1"/>
  <c r="U42" i="1" s="1"/>
  <c r="P42" i="1"/>
  <c r="T42" i="1" s="1"/>
  <c r="S43" i="1"/>
  <c r="U43" i="1" s="1"/>
  <c r="P43" i="1"/>
  <c r="T43" i="1" s="1"/>
  <c r="S44" i="1"/>
  <c r="U44" i="1" s="1"/>
  <c r="P44" i="1"/>
  <c r="T44" i="1"/>
  <c r="S45" i="1"/>
  <c r="P45" i="1"/>
  <c r="T45" i="1" s="1"/>
  <c r="S46" i="1"/>
  <c r="U46" i="1" s="1"/>
  <c r="P46" i="1"/>
  <c r="T46" i="1"/>
  <c r="S47" i="1"/>
  <c r="P47" i="1"/>
  <c r="T47" i="1"/>
  <c r="S48" i="1"/>
  <c r="P48" i="1"/>
  <c r="T48" i="1"/>
  <c r="S49" i="1"/>
  <c r="U49" i="1"/>
  <c r="P49" i="1"/>
  <c r="T49" i="1" s="1"/>
  <c r="S50" i="1"/>
  <c r="P50" i="1"/>
  <c r="T50" i="1" s="1"/>
  <c r="S51" i="1"/>
  <c r="U51" i="1"/>
  <c r="P51" i="1"/>
  <c r="T51" i="1" s="1"/>
  <c r="S52" i="1"/>
  <c r="U52" i="1" s="1"/>
  <c r="P52" i="1"/>
  <c r="T52" i="1"/>
  <c r="U69" i="1"/>
  <c r="U70" i="1"/>
  <c r="P67" i="1"/>
  <c r="T67" i="1" s="1"/>
  <c r="T69" i="1"/>
  <c r="U71" i="1"/>
  <c r="T73" i="1"/>
  <c r="T74" i="1"/>
  <c r="T75" i="1"/>
  <c r="U77" i="1"/>
  <c r="U79" i="1"/>
  <c r="T79" i="1"/>
  <c r="T80" i="1"/>
  <c r="U81" i="1"/>
  <c r="U82" i="1"/>
  <c r="T82" i="1"/>
  <c r="T83" i="1"/>
  <c r="T84" i="1"/>
  <c r="T85" i="1"/>
  <c r="T86" i="1"/>
  <c r="U87" i="1"/>
  <c r="T90" i="1"/>
  <c r="T91" i="1"/>
  <c r="T92" i="1"/>
  <c r="T94" i="1"/>
  <c r="U95" i="1"/>
  <c r="T97" i="1"/>
  <c r="U98" i="1"/>
  <c r="T98" i="1"/>
  <c r="U100" i="1"/>
  <c r="T101" i="1"/>
  <c r="T102" i="1"/>
  <c r="T103" i="1"/>
  <c r="T104" i="1"/>
  <c r="U105" i="1"/>
  <c r="T105" i="1"/>
  <c r="U106" i="1"/>
  <c r="U107" i="1"/>
  <c r="U108" i="1"/>
  <c r="T108" i="1"/>
  <c r="T109" i="1"/>
  <c r="T110" i="1"/>
  <c r="U111" i="1"/>
  <c r="U113" i="1"/>
  <c r="T113" i="1"/>
  <c r="T114" i="1"/>
  <c r="T115" i="1"/>
  <c r="T116" i="1"/>
  <c r="T117" i="1"/>
  <c r="U119" i="1"/>
  <c r="T120" i="1"/>
  <c r="U121" i="1"/>
  <c r="T121" i="1"/>
  <c r="T122" i="1"/>
  <c r="U124" i="1"/>
  <c r="T124" i="1"/>
  <c r="T125" i="1"/>
  <c r="T126" i="1"/>
  <c r="T127" i="1"/>
  <c r="U128" i="1"/>
  <c r="T128" i="1"/>
  <c r="U129" i="1"/>
  <c r="U130" i="1"/>
  <c r="S53" i="1"/>
  <c r="U53" i="1" s="1"/>
  <c r="S54" i="1"/>
  <c r="U54" i="1" s="1"/>
  <c r="S55" i="1"/>
  <c r="S56" i="1"/>
  <c r="P53" i="1"/>
  <c r="T53" i="1"/>
  <c r="P54" i="1"/>
  <c r="T54" i="1" s="1"/>
  <c r="P55" i="1"/>
  <c r="T55" i="1"/>
  <c r="P56" i="1"/>
  <c r="T56" i="1"/>
  <c r="S57" i="1"/>
  <c r="U57" i="1" s="1"/>
  <c r="P57" i="1"/>
  <c r="T57" i="1"/>
  <c r="S58" i="1"/>
  <c r="P58" i="1"/>
  <c r="T58" i="1"/>
  <c r="S59" i="1"/>
  <c r="U59" i="1" s="1"/>
  <c r="P59" i="1"/>
  <c r="T59" i="1" s="1"/>
  <c r="S60" i="1"/>
  <c r="U60" i="1"/>
  <c r="P60" i="1"/>
  <c r="T60" i="1" s="1"/>
  <c r="S61" i="1"/>
  <c r="P61" i="1"/>
  <c r="T61" i="1"/>
  <c r="S62" i="1"/>
  <c r="U62" i="1" s="1"/>
  <c r="P62" i="1"/>
  <c r="T62" i="1"/>
  <c r="S63" i="1"/>
  <c r="P63" i="1"/>
  <c r="T63" i="1"/>
  <c r="S64" i="1"/>
  <c r="U64" i="1" s="1"/>
  <c r="P64" i="1"/>
  <c r="T64" i="1"/>
  <c r="S66" i="1"/>
  <c r="U66" i="1"/>
  <c r="P66" i="1"/>
  <c r="T66" i="1" s="1"/>
  <c r="U31" i="1"/>
  <c r="U39" i="1"/>
  <c r="U40" i="1"/>
  <c r="U45" i="1"/>
  <c r="U47" i="1"/>
  <c r="U48" i="1"/>
  <c r="U50" i="1"/>
  <c r="U75" i="1"/>
  <c r="U76" i="1"/>
  <c r="U83" i="1"/>
  <c r="U88" i="1"/>
  <c r="U93" i="1"/>
  <c r="U94" i="1"/>
  <c r="U96" i="1"/>
  <c r="U101" i="1"/>
  <c r="U110" i="1"/>
  <c r="U112" i="1"/>
  <c r="U117" i="1"/>
  <c r="U118" i="1"/>
  <c r="U123" i="1"/>
  <c r="U125" i="1"/>
  <c r="U55" i="1"/>
  <c r="U56" i="1"/>
  <c r="U58" i="1"/>
  <c r="U61" i="1"/>
  <c r="U63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6" i="1"/>
  <c r="Q67" i="1"/>
  <c r="J7" i="1"/>
  <c r="V7" i="1" s="1"/>
  <c r="J53" i="1"/>
  <c r="V53" i="1" s="1"/>
  <c r="J27" i="1"/>
  <c r="V27" i="1" s="1"/>
  <c r="V95" i="1"/>
  <c r="V96" i="1"/>
  <c r="V98" i="1"/>
  <c r="V101" i="1"/>
  <c r="V102" i="1"/>
  <c r="V103" i="1"/>
  <c r="V104" i="1"/>
  <c r="V107" i="1"/>
  <c r="V108" i="1"/>
  <c r="V109" i="1"/>
  <c r="V110" i="1"/>
  <c r="V113" i="1"/>
  <c r="V114" i="1"/>
  <c r="V115" i="1"/>
  <c r="V116" i="1"/>
  <c r="V119" i="1"/>
  <c r="V120" i="1"/>
  <c r="V121" i="1"/>
  <c r="V122" i="1"/>
  <c r="V125" i="1"/>
  <c r="V126" i="1"/>
  <c r="V127" i="1"/>
  <c r="V128" i="1"/>
  <c r="B4" i="1"/>
  <c r="V68" i="1"/>
  <c r="V73" i="1"/>
  <c r="V74" i="1"/>
  <c r="V75" i="1"/>
  <c r="V78" i="1"/>
  <c r="V79" i="1"/>
  <c r="V80" i="1"/>
  <c r="V81" i="1"/>
  <c r="V84" i="1"/>
  <c r="V85" i="1"/>
  <c r="V86" i="1"/>
  <c r="V87" i="1"/>
  <c r="V90" i="1"/>
  <c r="V91" i="1"/>
  <c r="V92" i="1"/>
  <c r="J67" i="1"/>
  <c r="V67" i="1" s="1"/>
  <c r="K67" i="1"/>
  <c r="L67" i="1"/>
  <c r="M67" i="1"/>
  <c r="N67" i="1"/>
  <c r="O67" i="1"/>
  <c r="I67" i="1"/>
  <c r="J36" i="1"/>
  <c r="V36" i="1" s="1"/>
  <c r="J61" i="1"/>
  <c r="V61" i="1"/>
  <c r="J34" i="1"/>
  <c r="V34" i="1" s="1"/>
  <c r="J35" i="1"/>
  <c r="V35" i="1" s="1"/>
  <c r="J37" i="1"/>
  <c r="V37" i="1" s="1"/>
  <c r="J28" i="1"/>
  <c r="V28" i="1" s="1"/>
  <c r="J29" i="1"/>
  <c r="V29" i="1" s="1"/>
  <c r="J30" i="1"/>
  <c r="V30" i="1" s="1"/>
  <c r="J31" i="1"/>
  <c r="V31" i="1" s="1"/>
  <c r="J32" i="1"/>
  <c r="V32" i="1" s="1"/>
  <c r="J33" i="1"/>
  <c r="V33" i="1" s="1"/>
  <c r="J18" i="1"/>
  <c r="V18" i="1" s="1"/>
  <c r="J19" i="1"/>
  <c r="V19" i="1" s="1"/>
  <c r="J57" i="1"/>
  <c r="V57" i="1"/>
  <c r="J58" i="1"/>
  <c r="V58" i="1" s="1"/>
  <c r="J59" i="1"/>
  <c r="V59" i="1" s="1"/>
  <c r="J60" i="1"/>
  <c r="V60" i="1"/>
  <c r="J50" i="1"/>
  <c r="V50" i="1" s="1"/>
  <c r="J11" i="1"/>
  <c r="V11" i="1" s="1"/>
  <c r="J12" i="1"/>
  <c r="V12" i="1" s="1"/>
  <c r="J13" i="1"/>
  <c r="V13" i="1" s="1"/>
  <c r="J62" i="1"/>
  <c r="V62" i="1" s="1"/>
  <c r="J63" i="1"/>
  <c r="V63" i="1" s="1"/>
  <c r="J64" i="1"/>
  <c r="V64" i="1"/>
  <c r="J66" i="1"/>
  <c r="V66" i="1" s="1"/>
  <c r="J20" i="1"/>
  <c r="V20" i="1" s="1"/>
  <c r="J23" i="1"/>
  <c r="V23" i="1" s="1"/>
  <c r="J24" i="1"/>
  <c r="V24" i="1" s="1"/>
  <c r="J52" i="1"/>
  <c r="V52" i="1" s="1"/>
  <c r="J54" i="1"/>
  <c r="V54" i="1" s="1"/>
  <c r="J55" i="1"/>
  <c r="V55" i="1"/>
  <c r="J56" i="1"/>
  <c r="V56" i="1" s="1"/>
  <c r="J40" i="1"/>
  <c r="V40" i="1" s="1"/>
  <c r="J41" i="1"/>
  <c r="V41" i="1"/>
  <c r="J45" i="1"/>
  <c r="V45" i="1" s="1"/>
  <c r="J46" i="1"/>
  <c r="V46" i="1" s="1"/>
  <c r="J25" i="1"/>
  <c r="V25" i="1" s="1"/>
  <c r="J26" i="1"/>
  <c r="V26" i="1" s="1"/>
  <c r="J8" i="1"/>
  <c r="V8" i="1" s="1"/>
  <c r="J9" i="1"/>
  <c r="V9" i="1" s="1"/>
  <c r="J10" i="1"/>
  <c r="V10" i="1" s="1"/>
  <c r="J14" i="1"/>
  <c r="V14" i="1" s="1"/>
  <c r="J15" i="1"/>
  <c r="V15" i="1" s="1"/>
  <c r="J16" i="1"/>
  <c r="V16" i="1" s="1"/>
  <c r="J17" i="1"/>
  <c r="V17" i="1" s="1"/>
  <c r="J49" i="1"/>
  <c r="V49" i="1" s="1"/>
  <c r="J21" i="1"/>
  <c r="V21" i="1" s="1"/>
  <c r="J22" i="1"/>
  <c r="V22" i="1" s="1"/>
  <c r="J38" i="1"/>
  <c r="V38" i="1" s="1"/>
  <c r="J39" i="1"/>
  <c r="V39" i="1" s="1"/>
  <c r="J42" i="1"/>
  <c r="V42" i="1" s="1"/>
  <c r="J43" i="1"/>
  <c r="V43" i="1" s="1"/>
  <c r="J44" i="1"/>
  <c r="V44" i="1" s="1"/>
  <c r="J47" i="1"/>
  <c r="V47" i="1" s="1"/>
  <c r="J48" i="1"/>
  <c r="V48" i="1" s="1"/>
  <c r="J51" i="1"/>
  <c r="V51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T6" i="1"/>
  <c r="I7" i="1"/>
  <c r="K7" i="1"/>
  <c r="L7" i="1"/>
  <c r="M7" i="1"/>
  <c r="N7" i="1"/>
  <c r="O7" i="1"/>
  <c r="I8" i="1"/>
  <c r="K8" i="1"/>
  <c r="L8" i="1"/>
  <c r="M8" i="1"/>
  <c r="N8" i="1"/>
  <c r="O8" i="1"/>
  <c r="I9" i="1"/>
  <c r="K9" i="1"/>
  <c r="L9" i="1"/>
  <c r="M9" i="1"/>
  <c r="N9" i="1"/>
  <c r="O9" i="1"/>
  <c r="I10" i="1"/>
  <c r="K10" i="1"/>
  <c r="L10" i="1"/>
  <c r="M10" i="1"/>
  <c r="N10" i="1"/>
  <c r="O10" i="1"/>
  <c r="I11" i="1"/>
  <c r="K11" i="1"/>
  <c r="L11" i="1"/>
  <c r="M11" i="1"/>
  <c r="N11" i="1"/>
  <c r="O11" i="1"/>
  <c r="I12" i="1"/>
  <c r="K12" i="1"/>
  <c r="L12" i="1"/>
  <c r="M12" i="1"/>
  <c r="N12" i="1"/>
  <c r="O12" i="1"/>
  <c r="I13" i="1"/>
  <c r="K13" i="1"/>
  <c r="L13" i="1"/>
  <c r="M13" i="1"/>
  <c r="N13" i="1"/>
  <c r="O13" i="1"/>
  <c r="I14" i="1"/>
  <c r="K14" i="1"/>
  <c r="L14" i="1"/>
  <c r="M14" i="1"/>
  <c r="N14" i="1"/>
  <c r="O14" i="1"/>
  <c r="I15" i="1"/>
  <c r="K15" i="1"/>
  <c r="L15" i="1"/>
  <c r="M15" i="1"/>
  <c r="N15" i="1"/>
  <c r="O15" i="1"/>
  <c r="I16" i="1"/>
  <c r="K16" i="1"/>
  <c r="L16" i="1"/>
  <c r="M16" i="1"/>
  <c r="N16" i="1"/>
  <c r="O16" i="1"/>
  <c r="I17" i="1"/>
  <c r="K17" i="1"/>
  <c r="L17" i="1"/>
  <c r="M17" i="1"/>
  <c r="N17" i="1"/>
  <c r="O17" i="1"/>
  <c r="I18" i="1"/>
  <c r="K18" i="1"/>
  <c r="L18" i="1"/>
  <c r="M18" i="1"/>
  <c r="N18" i="1"/>
  <c r="O18" i="1"/>
  <c r="I19" i="1"/>
  <c r="K19" i="1"/>
  <c r="L19" i="1"/>
  <c r="M19" i="1"/>
  <c r="N19" i="1"/>
  <c r="O19" i="1"/>
  <c r="I20" i="1"/>
  <c r="K20" i="1"/>
  <c r="L20" i="1"/>
  <c r="M20" i="1"/>
  <c r="N20" i="1"/>
  <c r="O20" i="1"/>
  <c r="I21" i="1"/>
  <c r="K21" i="1"/>
  <c r="L21" i="1"/>
  <c r="M21" i="1"/>
  <c r="N21" i="1"/>
  <c r="O21" i="1"/>
  <c r="I22" i="1"/>
  <c r="K22" i="1"/>
  <c r="L22" i="1"/>
  <c r="M22" i="1"/>
  <c r="N22" i="1"/>
  <c r="O22" i="1"/>
  <c r="I23" i="1"/>
  <c r="K23" i="1"/>
  <c r="L23" i="1"/>
  <c r="M23" i="1"/>
  <c r="N23" i="1"/>
  <c r="O23" i="1"/>
  <c r="I24" i="1"/>
  <c r="K24" i="1"/>
  <c r="L24" i="1"/>
  <c r="M24" i="1"/>
  <c r="N24" i="1"/>
  <c r="O24" i="1"/>
  <c r="I25" i="1"/>
  <c r="K25" i="1"/>
  <c r="L25" i="1"/>
  <c r="M25" i="1"/>
  <c r="N25" i="1"/>
  <c r="O25" i="1"/>
  <c r="I26" i="1"/>
  <c r="K26" i="1"/>
  <c r="L26" i="1"/>
  <c r="M26" i="1"/>
  <c r="N26" i="1"/>
  <c r="O26" i="1"/>
  <c r="I27" i="1"/>
  <c r="K27" i="1"/>
  <c r="L27" i="1"/>
  <c r="M27" i="1"/>
  <c r="N27" i="1"/>
  <c r="O27" i="1"/>
  <c r="I28" i="1"/>
  <c r="K28" i="1"/>
  <c r="L28" i="1"/>
  <c r="M28" i="1"/>
  <c r="N28" i="1"/>
  <c r="O28" i="1"/>
  <c r="I29" i="1"/>
  <c r="K29" i="1"/>
  <c r="L29" i="1"/>
  <c r="M29" i="1"/>
  <c r="N29" i="1"/>
  <c r="O29" i="1"/>
  <c r="I30" i="1"/>
  <c r="K30" i="1"/>
  <c r="L30" i="1"/>
  <c r="M30" i="1"/>
  <c r="N30" i="1"/>
  <c r="O30" i="1"/>
  <c r="I31" i="1"/>
  <c r="K31" i="1"/>
  <c r="L31" i="1"/>
  <c r="M31" i="1"/>
  <c r="N31" i="1"/>
  <c r="O31" i="1"/>
  <c r="I32" i="1"/>
  <c r="K32" i="1"/>
  <c r="L32" i="1"/>
  <c r="M32" i="1"/>
  <c r="N32" i="1"/>
  <c r="O32" i="1"/>
  <c r="I33" i="1"/>
  <c r="K33" i="1"/>
  <c r="L33" i="1"/>
  <c r="M33" i="1"/>
  <c r="N33" i="1"/>
  <c r="O33" i="1"/>
  <c r="I34" i="1"/>
  <c r="K34" i="1"/>
  <c r="L34" i="1"/>
  <c r="M34" i="1"/>
  <c r="N34" i="1"/>
  <c r="O34" i="1"/>
  <c r="I35" i="1"/>
  <c r="K35" i="1"/>
  <c r="L35" i="1"/>
  <c r="M35" i="1"/>
  <c r="N35" i="1"/>
  <c r="O35" i="1"/>
  <c r="I36" i="1"/>
  <c r="K36" i="1"/>
  <c r="L36" i="1"/>
  <c r="M36" i="1"/>
  <c r="N36" i="1"/>
  <c r="O36" i="1"/>
  <c r="I37" i="1"/>
  <c r="K37" i="1"/>
  <c r="L37" i="1"/>
  <c r="M37" i="1"/>
  <c r="N37" i="1"/>
  <c r="O37" i="1"/>
  <c r="I38" i="1"/>
  <c r="K38" i="1"/>
  <c r="L38" i="1"/>
  <c r="M38" i="1"/>
  <c r="N38" i="1"/>
  <c r="O38" i="1"/>
  <c r="I39" i="1"/>
  <c r="K39" i="1"/>
  <c r="L39" i="1"/>
  <c r="M39" i="1"/>
  <c r="N39" i="1"/>
  <c r="O39" i="1"/>
  <c r="I40" i="1"/>
  <c r="K40" i="1"/>
  <c r="L40" i="1"/>
  <c r="M40" i="1"/>
  <c r="N40" i="1"/>
  <c r="O40" i="1"/>
  <c r="I41" i="1"/>
  <c r="K41" i="1"/>
  <c r="L41" i="1"/>
  <c r="M41" i="1"/>
  <c r="N41" i="1"/>
  <c r="O41" i="1"/>
  <c r="I42" i="1"/>
  <c r="K42" i="1"/>
  <c r="L42" i="1"/>
  <c r="M42" i="1"/>
  <c r="N42" i="1"/>
  <c r="O42" i="1"/>
  <c r="I43" i="1"/>
  <c r="K43" i="1"/>
  <c r="L43" i="1"/>
  <c r="M43" i="1"/>
  <c r="N43" i="1"/>
  <c r="O43" i="1"/>
  <c r="I44" i="1"/>
  <c r="K44" i="1"/>
  <c r="L44" i="1"/>
  <c r="M44" i="1"/>
  <c r="N44" i="1"/>
  <c r="O44" i="1"/>
  <c r="I45" i="1"/>
  <c r="K45" i="1"/>
  <c r="L45" i="1"/>
  <c r="M45" i="1"/>
  <c r="N45" i="1"/>
  <c r="O45" i="1"/>
  <c r="I46" i="1"/>
  <c r="K46" i="1"/>
  <c r="L46" i="1"/>
  <c r="M46" i="1"/>
  <c r="N46" i="1"/>
  <c r="O46" i="1"/>
  <c r="I47" i="1"/>
  <c r="K47" i="1"/>
  <c r="L47" i="1"/>
  <c r="M47" i="1"/>
  <c r="N47" i="1"/>
  <c r="O47" i="1"/>
  <c r="I48" i="1"/>
  <c r="K48" i="1"/>
  <c r="L48" i="1"/>
  <c r="M48" i="1"/>
  <c r="N48" i="1"/>
  <c r="O48" i="1"/>
  <c r="I49" i="1"/>
  <c r="K49" i="1"/>
  <c r="L49" i="1"/>
  <c r="M49" i="1"/>
  <c r="N49" i="1"/>
  <c r="O49" i="1"/>
  <c r="I50" i="1"/>
  <c r="K50" i="1"/>
  <c r="L50" i="1"/>
  <c r="M50" i="1"/>
  <c r="N50" i="1"/>
  <c r="O50" i="1"/>
  <c r="I51" i="1"/>
  <c r="K51" i="1"/>
  <c r="L51" i="1"/>
  <c r="M51" i="1"/>
  <c r="N51" i="1"/>
  <c r="O51" i="1"/>
  <c r="I52" i="1"/>
  <c r="K52" i="1"/>
  <c r="L52" i="1"/>
  <c r="M52" i="1"/>
  <c r="N52" i="1"/>
  <c r="O52" i="1"/>
  <c r="I53" i="1"/>
  <c r="K53" i="1"/>
  <c r="L53" i="1"/>
  <c r="M53" i="1"/>
  <c r="N53" i="1"/>
  <c r="O53" i="1"/>
  <c r="I54" i="1"/>
  <c r="K54" i="1"/>
  <c r="L54" i="1"/>
  <c r="M54" i="1"/>
  <c r="N54" i="1"/>
  <c r="O54" i="1"/>
  <c r="I55" i="1"/>
  <c r="K55" i="1"/>
  <c r="L55" i="1"/>
  <c r="M55" i="1"/>
  <c r="N55" i="1"/>
  <c r="O55" i="1"/>
  <c r="I56" i="1"/>
  <c r="K56" i="1"/>
  <c r="L56" i="1"/>
  <c r="M56" i="1"/>
  <c r="N56" i="1"/>
  <c r="O56" i="1"/>
  <c r="I57" i="1"/>
  <c r="K57" i="1"/>
  <c r="L57" i="1"/>
  <c r="M57" i="1"/>
  <c r="N57" i="1"/>
  <c r="O57" i="1"/>
  <c r="I58" i="1"/>
  <c r="K58" i="1"/>
  <c r="L58" i="1"/>
  <c r="M58" i="1"/>
  <c r="N58" i="1"/>
  <c r="O58" i="1"/>
  <c r="I59" i="1"/>
  <c r="K59" i="1"/>
  <c r="L59" i="1"/>
  <c r="M59" i="1"/>
  <c r="N59" i="1"/>
  <c r="O59" i="1"/>
  <c r="I60" i="1"/>
  <c r="K60" i="1"/>
  <c r="L60" i="1"/>
  <c r="M60" i="1"/>
  <c r="N60" i="1"/>
  <c r="O60" i="1"/>
  <c r="I61" i="1"/>
  <c r="K61" i="1"/>
  <c r="L61" i="1"/>
  <c r="M61" i="1"/>
  <c r="N61" i="1"/>
  <c r="O61" i="1"/>
  <c r="I62" i="1"/>
  <c r="K62" i="1"/>
  <c r="L62" i="1"/>
  <c r="M62" i="1"/>
  <c r="N62" i="1"/>
  <c r="O62" i="1"/>
  <c r="I63" i="1"/>
  <c r="K63" i="1"/>
  <c r="L63" i="1"/>
  <c r="M63" i="1"/>
  <c r="N63" i="1"/>
  <c r="O63" i="1"/>
  <c r="I64" i="1"/>
  <c r="K64" i="1"/>
  <c r="L64" i="1"/>
  <c r="M64" i="1"/>
  <c r="N64" i="1"/>
  <c r="O64" i="1"/>
  <c r="R64" i="1"/>
  <c r="I66" i="1"/>
  <c r="K66" i="1"/>
  <c r="L66" i="1"/>
  <c r="M66" i="1"/>
  <c r="N66" i="1"/>
  <c r="O66" i="1"/>
  <c r="R66" i="1"/>
  <c r="D25" i="1" l="1"/>
  <c r="E25" i="1" s="1"/>
  <c r="F25" i="1" s="1"/>
  <c r="D13" i="1"/>
  <c r="E13" i="1" s="1"/>
  <c r="F13" i="1" s="1"/>
  <c r="D23" i="1"/>
  <c r="E23" i="1" s="1"/>
  <c r="F23" i="1" s="1"/>
  <c r="D50" i="1"/>
  <c r="E50" i="1" s="1"/>
  <c r="F50" i="1" s="1"/>
  <c r="D61" i="1"/>
  <c r="E61" i="1" s="1"/>
  <c r="F61" i="1" s="1"/>
  <c r="D44" i="1"/>
  <c r="E44" i="1" s="1"/>
  <c r="F44" i="1" s="1"/>
  <c r="D30" i="1"/>
  <c r="E30" i="1" s="1"/>
  <c r="F30" i="1" s="1"/>
  <c r="D9" i="1"/>
  <c r="E9" i="1" s="1"/>
  <c r="F9" i="1" s="1"/>
  <c r="U7" i="1"/>
  <c r="C73" i="1" s="1" a="1"/>
  <c r="C73" i="1" s="1"/>
  <c r="D34" i="1"/>
  <c r="E34" i="1" s="1"/>
  <c r="F34" i="1" s="1"/>
  <c r="D29" i="1"/>
  <c r="E29" i="1" s="1"/>
  <c r="F29" i="1" s="1"/>
  <c r="D7" i="1"/>
  <c r="E7" i="1" s="1"/>
  <c r="F7" i="1" s="1"/>
  <c r="D22" i="1"/>
  <c r="E22" i="1" s="1"/>
  <c r="F22" i="1" s="1"/>
  <c r="D51" i="1"/>
  <c r="E51" i="1" s="1"/>
  <c r="F51" i="1" s="1"/>
  <c r="D19" i="1"/>
  <c r="E19" i="1" s="1"/>
  <c r="F19" i="1" s="1"/>
  <c r="D40" i="1"/>
  <c r="E40" i="1" s="1"/>
  <c r="F40" i="1" s="1"/>
  <c r="D8" i="1"/>
  <c r="E8" i="1" s="1"/>
  <c r="F8" i="1" s="1"/>
  <c r="D31" i="1"/>
  <c r="E31" i="1" s="1"/>
  <c r="F31" i="1" s="1"/>
  <c r="D42" i="1"/>
  <c r="E42" i="1" s="1"/>
  <c r="F42" i="1" s="1"/>
  <c r="D60" i="1"/>
  <c r="E60" i="1" s="1"/>
  <c r="F60" i="1" s="1"/>
  <c r="D33" i="1"/>
  <c r="E33" i="1" s="1"/>
  <c r="F33" i="1" s="1"/>
  <c r="D39" i="1"/>
  <c r="E39" i="1" s="1"/>
  <c r="F39" i="1" s="1"/>
  <c r="D59" i="1"/>
  <c r="E59" i="1" s="1"/>
  <c r="F59" i="1" s="1"/>
  <c r="D16" i="1"/>
  <c r="E16" i="1" s="1"/>
  <c r="F16" i="1" s="1"/>
  <c r="D26" i="1"/>
  <c r="E26" i="1" s="1"/>
  <c r="F26" i="1" s="1"/>
  <c r="D38" i="1"/>
  <c r="E38" i="1" s="1"/>
  <c r="F38" i="1" s="1"/>
  <c r="D12" i="1"/>
  <c r="E12" i="1" s="1"/>
  <c r="F12" i="1" s="1"/>
  <c r="D17" i="1"/>
  <c r="E17" i="1" s="1"/>
  <c r="F17" i="1" s="1"/>
  <c r="D55" i="1"/>
  <c r="E55" i="1" s="1"/>
  <c r="F55" i="1" s="1"/>
  <c r="D46" i="1"/>
  <c r="E46" i="1" s="1"/>
  <c r="F46" i="1" s="1"/>
  <c r="D27" i="1"/>
  <c r="E27" i="1" s="1"/>
  <c r="F27" i="1" s="1"/>
  <c r="D15" i="1"/>
  <c r="E15" i="1" s="1"/>
  <c r="F15" i="1" s="1"/>
  <c r="D49" i="1"/>
  <c r="E49" i="1" s="1"/>
  <c r="F49" i="1" s="1"/>
  <c r="D53" i="1"/>
  <c r="E53" i="1" s="1"/>
  <c r="F53" i="1" s="1"/>
  <c r="D45" i="1"/>
  <c r="E45" i="1" s="1"/>
  <c r="F45" i="1" s="1"/>
  <c r="D54" i="1"/>
  <c r="E54" i="1" s="1"/>
  <c r="F54" i="1" s="1"/>
  <c r="D43" i="1"/>
  <c r="E43" i="1" s="1"/>
  <c r="F43" i="1" s="1"/>
  <c r="D11" i="1"/>
  <c r="E11" i="1" s="1"/>
  <c r="F11" i="1" s="1"/>
  <c r="D32" i="1"/>
  <c r="E32" i="1" s="1"/>
  <c r="F32" i="1" s="1"/>
  <c r="D36" i="1"/>
  <c r="E36" i="1" s="1"/>
  <c r="F36" i="1" s="1"/>
  <c r="D47" i="1"/>
  <c r="E47" i="1" s="1"/>
  <c r="F47" i="1" s="1"/>
  <c r="D58" i="1"/>
  <c r="E58" i="1" s="1"/>
  <c r="F58" i="1" s="1"/>
  <c r="D41" i="1"/>
  <c r="E41" i="1" s="1"/>
  <c r="F41" i="1" s="1"/>
  <c r="D57" i="1"/>
  <c r="E57" i="1" s="1"/>
  <c r="F57" i="1" s="1"/>
  <c r="D20" i="1"/>
  <c r="E20" i="1" s="1"/>
  <c r="F20" i="1" s="1"/>
  <c r="D37" i="1"/>
  <c r="E37" i="1" s="1"/>
  <c r="F37" i="1" s="1"/>
  <c r="D48" i="1"/>
  <c r="E48" i="1" s="1"/>
  <c r="F48" i="1" s="1"/>
  <c r="D21" i="1"/>
  <c r="E21" i="1" s="1"/>
  <c r="F21" i="1" s="1"/>
  <c r="D14" i="1"/>
  <c r="E14" i="1" s="1"/>
  <c r="F14" i="1" s="1"/>
  <c r="D35" i="1"/>
  <c r="E35" i="1" s="1"/>
  <c r="F35" i="1" s="1"/>
  <c r="D56" i="1"/>
  <c r="E56" i="1" s="1"/>
  <c r="F56" i="1" s="1"/>
  <c r="D24" i="1"/>
  <c r="E24" i="1" s="1"/>
  <c r="F24" i="1" s="1"/>
  <c r="D52" i="1"/>
  <c r="E52" i="1" s="1"/>
  <c r="F52" i="1" s="1"/>
  <c r="D10" i="1"/>
  <c r="E10" i="1" s="1"/>
  <c r="F10" i="1" s="1"/>
  <c r="D18" i="1"/>
  <c r="E18" i="1" s="1"/>
  <c r="F18" i="1" s="1"/>
  <c r="D28" i="1"/>
  <c r="E28" i="1" s="1"/>
  <c r="F28" i="1" s="1"/>
  <c r="C89" i="1" a="1"/>
  <c r="C89" i="1" s="1"/>
  <c r="D86" i="1" a="1"/>
  <c r="D86" i="1" s="1"/>
  <c r="B84" i="1" a="1"/>
  <c r="B84" i="1" s="1"/>
  <c r="G84" i="1" s="1"/>
  <c r="A78" i="1" a="1"/>
  <c r="A78" i="1" s="1"/>
  <c r="B90" i="1" a="1"/>
  <c r="B90" i="1" s="1"/>
  <c r="G90" i="1" s="1"/>
  <c r="B74" i="1" a="1"/>
  <c r="B74" i="1" s="1"/>
  <c r="G74" i="1" s="1"/>
  <c r="C90" i="1" a="1"/>
  <c r="C90" i="1" s="1"/>
  <c r="D84" i="1" a="1"/>
  <c r="D84" i="1" s="1"/>
  <c r="A75" i="1" a="1"/>
  <c r="A75" i="1" s="1"/>
  <c r="A88" i="1" a="1"/>
  <c r="A88" i="1" s="1"/>
  <c r="C81" i="1" a="1"/>
  <c r="C81" i="1" s="1"/>
  <c r="C76" i="1" a="1"/>
  <c r="C76" i="1" s="1"/>
  <c r="C84" i="1" a="1"/>
  <c r="C84" i="1" s="1"/>
  <c r="B87" i="1" a="1"/>
  <c r="B87" i="1" s="1"/>
  <c r="G87" i="1" s="1"/>
  <c r="D91" i="1" a="1"/>
  <c r="D91" i="1" s="1"/>
  <c r="A87" i="1" a="1"/>
  <c r="A87" i="1" s="1"/>
  <c r="B77" i="1" a="1"/>
  <c r="B77" i="1" s="1"/>
  <c r="G77" i="1" s="1"/>
  <c r="D87" i="1" a="1"/>
  <c r="D87" i="1" s="1"/>
  <c r="C79" i="1" a="1"/>
  <c r="C79" i="1" s="1"/>
  <c r="B76" i="1" a="1"/>
  <c r="B76" i="1" s="1"/>
  <c r="G76" i="1" s="1"/>
  <c r="D82" i="1" a="1"/>
  <c r="D82" i="1" s="1"/>
  <c r="B80" i="1" a="1"/>
  <c r="B80" i="1" s="1"/>
  <c r="G80" i="1" s="1"/>
  <c r="C78" i="1" a="1"/>
  <c r="C78" i="1" s="1"/>
  <c r="D90" i="1" a="1"/>
  <c r="D90" i="1" s="1"/>
  <c r="A80" i="1" a="1"/>
  <c r="A80" i="1" s="1"/>
  <c r="B91" i="1" a="1"/>
  <c r="B91" i="1" s="1"/>
  <c r="G91" i="1" s="1"/>
  <c r="C80" i="1" a="1"/>
  <c r="C80" i="1" s="1"/>
  <c r="A79" i="1" a="1"/>
  <c r="A79" i="1" s="1"/>
  <c r="A84" i="1" a="1"/>
  <c r="A84" i="1" s="1"/>
  <c r="A83" i="1" a="1"/>
  <c r="A83" i="1" s="1"/>
  <c r="C92" i="1" a="1"/>
  <c r="C92" i="1" s="1"/>
  <c r="B79" i="1" a="1"/>
  <c r="B79" i="1" s="1"/>
  <c r="G79" i="1" s="1"/>
  <c r="D80" i="1" a="1"/>
  <c r="D80" i="1" s="1"/>
  <c r="C77" i="1" a="1"/>
  <c r="C77" i="1" s="1"/>
  <c r="A74" i="1" a="1"/>
  <c r="A74" i="1" s="1"/>
  <c r="A89" i="1" a="1"/>
  <c r="A89" i="1" s="1"/>
  <c r="B89" i="1" a="1"/>
  <c r="B89" i="1" s="1"/>
  <c r="G89" i="1" s="1"/>
  <c r="D89" i="1" a="1"/>
  <c r="D89" i="1" s="1"/>
  <c r="A71" i="1" a="1"/>
  <c r="A71" i="1" s="1"/>
  <c r="C72" i="1" a="1"/>
  <c r="C72" i="1" s="1"/>
  <c r="A91" i="1" a="1"/>
  <c r="A91" i="1" s="1"/>
  <c r="B71" i="1" a="1"/>
  <c r="B71" i="1" s="1"/>
  <c r="G71" i="1" s="1"/>
  <c r="D78" i="1" a="1"/>
  <c r="D78" i="1" s="1"/>
  <c r="D85" i="1" a="1"/>
  <c r="D85" i="1" s="1"/>
  <c r="D70" i="1" a="1"/>
  <c r="D70" i="1" s="1"/>
  <c r="D75" i="1" a="1"/>
  <c r="D75" i="1" s="1"/>
  <c r="C82" i="1" a="1"/>
  <c r="C82" i="1" s="1"/>
  <c r="B82" i="1" a="1"/>
  <c r="B82" i="1" s="1"/>
  <c r="G82" i="1" s="1"/>
  <c r="C87" i="1" a="1"/>
  <c r="C87" i="1" s="1"/>
  <c r="D71" i="1" a="1"/>
  <c r="D71" i="1" s="1"/>
  <c r="D81" i="1" a="1"/>
  <c r="D81" i="1" s="1"/>
  <c r="C74" i="1" a="1"/>
  <c r="C74" i="1" s="1"/>
  <c r="A81" i="1" a="1"/>
  <c r="A81" i="1" s="1"/>
  <c r="C88" i="1" a="1"/>
  <c r="C88" i="1" s="1"/>
  <c r="B86" i="1" a="1"/>
  <c r="B86" i="1" s="1"/>
  <c r="G86" i="1" s="1"/>
  <c r="A76" i="1" a="1"/>
  <c r="A76" i="1" s="1"/>
  <c r="A90" i="1" a="1"/>
  <c r="A90" i="1" s="1"/>
  <c r="D88" i="1" a="1"/>
  <c r="D88" i="1" s="1"/>
  <c r="D73" i="1" a="1"/>
  <c r="D73" i="1" s="1"/>
  <c r="C91" i="1" a="1"/>
  <c r="C91" i="1" s="1"/>
  <c r="C86" i="1" a="1"/>
  <c r="C86" i="1" s="1"/>
  <c r="E86" i="1" s="1"/>
  <c r="A77" i="1" a="1"/>
  <c r="A77" i="1" s="1"/>
  <c r="C85" i="1" a="1"/>
  <c r="C85" i="1" s="1"/>
  <c r="A70" i="1" a="1"/>
  <c r="A70" i="1" s="1"/>
  <c r="A73" i="1" a="1"/>
  <c r="A73" i="1" s="1"/>
  <c r="B73" i="1" a="1"/>
  <c r="B73" i="1" s="1"/>
  <c r="G73" i="1" s="1"/>
  <c r="B88" i="1" a="1"/>
  <c r="B88" i="1" s="1"/>
  <c r="G88" i="1" s="1"/>
  <c r="B72" i="1" a="1"/>
  <c r="B72" i="1" s="1"/>
  <c r="G72" i="1" s="1"/>
  <c r="C75" i="1" a="1"/>
  <c r="C75" i="1" s="1"/>
  <c r="D72" i="1" a="1"/>
  <c r="D72" i="1" s="1"/>
  <c r="B70" i="1" a="1"/>
  <c r="B70" i="1" s="1"/>
  <c r="G70" i="1" s="1"/>
  <c r="B78" i="1" a="1"/>
  <c r="B78" i="1" s="1"/>
  <c r="G78" i="1" s="1"/>
  <c r="A92" i="1" a="1"/>
  <c r="A92" i="1" s="1"/>
  <c r="B83" i="1" a="1"/>
  <c r="B83" i="1" s="1"/>
  <c r="G83" i="1" s="1"/>
  <c r="C71" i="1" a="1"/>
  <c r="C71" i="1" s="1"/>
  <c r="A82" i="1" a="1"/>
  <c r="A82" i="1" s="1"/>
  <c r="A86" i="1" a="1"/>
  <c r="A86" i="1" s="1"/>
  <c r="D83" i="1" a="1"/>
  <c r="D83" i="1" s="1"/>
  <c r="D74" i="1" a="1"/>
  <c r="D74" i="1" s="1"/>
  <c r="D77" i="1" a="1"/>
  <c r="D77" i="1" s="1"/>
  <c r="C70" i="1" a="1"/>
  <c r="C70" i="1" s="1"/>
  <c r="E70" i="1" s="1"/>
  <c r="B81" i="1" a="1"/>
  <c r="B81" i="1" s="1"/>
  <c r="G81" i="1" s="1"/>
  <c r="D92" i="1" a="1"/>
  <c r="D92" i="1" s="1"/>
  <c r="D79" i="1" a="1"/>
  <c r="D79" i="1" s="1"/>
  <c r="D76" i="1" a="1"/>
  <c r="D76" i="1" s="1"/>
  <c r="A85" i="1" a="1"/>
  <c r="A85" i="1" s="1"/>
  <c r="B92" i="1" a="1"/>
  <c r="B92" i="1" s="1"/>
  <c r="G92" i="1" s="1"/>
  <c r="A72" i="1" a="1"/>
  <c r="A72" i="1" s="1"/>
  <c r="C83" i="1" a="1"/>
  <c r="C83" i="1" s="1"/>
  <c r="B85" i="1" a="1"/>
  <c r="B85" i="1" s="1"/>
  <c r="G85" i="1" s="1"/>
  <c r="B75" i="1" a="1"/>
  <c r="B75" i="1" s="1"/>
  <c r="G75" i="1" s="1"/>
  <c r="E71" i="1" l="1"/>
  <c r="E85" i="1"/>
  <c r="E84" i="1"/>
  <c r="E91" i="1"/>
  <c r="E82" i="1"/>
  <c r="E87" i="1"/>
  <c r="E92" i="1"/>
  <c r="E83" i="1"/>
  <c r="E73" i="1"/>
  <c r="E64" i="1"/>
  <c r="E66" i="1"/>
  <c r="E65" i="1"/>
  <c r="E79" i="1"/>
  <c r="E90" i="1"/>
  <c r="E89" i="1"/>
  <c r="E88" i="1"/>
  <c r="E76" i="1"/>
  <c r="E78" i="1"/>
  <c r="E81" i="1"/>
  <c r="E74" i="1"/>
  <c r="E72" i="1"/>
  <c r="E77" i="1"/>
  <c r="E75" i="1"/>
  <c r="E80" i="1"/>
  <c r="E67" i="1" l="1"/>
</calcChain>
</file>

<file path=xl/sharedStrings.xml><?xml version="1.0" encoding="utf-8"?>
<sst xmlns="http://schemas.openxmlformats.org/spreadsheetml/2006/main" count="161" uniqueCount="157">
  <si>
    <t>Variant</t>
  </si>
  <si>
    <t>Expected frequency</t>
  </si>
  <si>
    <t>Detected Frequency</t>
  </si>
  <si>
    <r>
      <rPr>
        <i/>
        <sz val="14"/>
        <color theme="1"/>
        <rFont val="Arial Narrow"/>
        <family val="2"/>
      </rPr>
      <t>FLT3</t>
    </r>
    <r>
      <rPr>
        <sz val="14"/>
        <color theme="1"/>
        <rFont val="Arial Narrow"/>
        <family val="2"/>
      </rPr>
      <t xml:space="preserve"> p.ΔI836 </t>
    </r>
  </si>
  <si>
    <r>
      <rPr>
        <i/>
        <sz val="14"/>
        <color theme="1"/>
        <rFont val="Arial Narrow"/>
        <family val="2"/>
      </rPr>
      <t>KRAS</t>
    </r>
    <r>
      <rPr>
        <sz val="14"/>
        <color theme="1"/>
        <rFont val="Arial Narrow"/>
        <family val="2"/>
      </rPr>
      <t xml:space="preserve"> p.G12R</t>
    </r>
  </si>
  <si>
    <r>
      <rPr>
        <i/>
        <sz val="14"/>
        <color theme="1"/>
        <rFont val="Arial Narrow"/>
        <family val="2"/>
      </rPr>
      <t>PIK3CA</t>
    </r>
    <r>
      <rPr>
        <sz val="14"/>
        <color theme="1"/>
        <rFont val="Arial Narrow"/>
        <family val="2"/>
      </rPr>
      <t xml:space="preserve"> p.H1047R</t>
    </r>
  </si>
  <si>
    <r>
      <rPr>
        <i/>
        <sz val="14"/>
        <color theme="1"/>
        <rFont val="Arial Narrow"/>
        <family val="2"/>
      </rPr>
      <t>AKT1</t>
    </r>
    <r>
      <rPr>
        <sz val="14"/>
        <color theme="1"/>
        <rFont val="Arial Narrow"/>
        <family val="2"/>
      </rPr>
      <t xml:space="preserve"> p.Glu117del</t>
    </r>
  </si>
  <si>
    <r>
      <rPr>
        <i/>
        <sz val="14"/>
        <color theme="1"/>
        <rFont val="Arial Narrow"/>
        <family val="2"/>
      </rPr>
      <t>AKT2</t>
    </r>
    <r>
      <rPr>
        <sz val="14"/>
        <color theme="1"/>
        <rFont val="Arial Narrow"/>
        <family val="2"/>
      </rPr>
      <t xml:space="preserve"> p.Arg251Trp</t>
    </r>
  </si>
  <si>
    <r>
      <rPr>
        <i/>
        <sz val="14"/>
        <color theme="1"/>
        <rFont val="Arial Narrow"/>
        <family val="2"/>
      </rPr>
      <t>CALR</t>
    </r>
    <r>
      <rPr>
        <sz val="14"/>
        <color theme="1"/>
        <rFont val="Arial Narrow"/>
        <family val="2"/>
      </rPr>
      <t xml:space="preserve"> p.Asp244Gly</t>
    </r>
  </si>
  <si>
    <r>
      <rPr>
        <i/>
        <sz val="14"/>
        <color theme="1"/>
        <rFont val="Arial Narrow"/>
        <family val="2"/>
      </rPr>
      <t>EGFR</t>
    </r>
    <r>
      <rPr>
        <sz val="14"/>
        <color theme="1"/>
        <rFont val="Arial Narrow"/>
        <family val="2"/>
      </rPr>
      <t xml:space="preserve"> p.Tyr1016His</t>
    </r>
  </si>
  <si>
    <r>
      <rPr>
        <i/>
        <sz val="14"/>
        <color theme="1"/>
        <rFont val="Arial Narrow"/>
        <family val="2"/>
      </rPr>
      <t>PDGFRA</t>
    </r>
    <r>
      <rPr>
        <sz val="14"/>
        <color theme="1"/>
        <rFont val="Arial Narrow"/>
        <family val="2"/>
      </rPr>
      <t xml:space="preserve"> p.Ser923Thr</t>
    </r>
  </si>
  <si>
    <r>
      <rPr>
        <i/>
        <sz val="14"/>
        <color theme="1"/>
        <rFont val="Arial Narrow"/>
        <family val="2"/>
      </rPr>
      <t>HRAS</t>
    </r>
    <r>
      <rPr>
        <sz val="14"/>
        <color theme="1"/>
        <rFont val="Arial Narrow"/>
        <family val="2"/>
      </rPr>
      <t xml:space="preserve"> p.Gly161Arg</t>
    </r>
  </si>
  <si>
    <r>
      <rPr>
        <i/>
        <sz val="14"/>
        <color theme="1"/>
        <rFont val="Arial Narrow"/>
        <family val="2"/>
      </rPr>
      <t>IDH2</t>
    </r>
    <r>
      <rPr>
        <sz val="14"/>
        <color theme="1"/>
        <rFont val="Arial Narrow"/>
        <family val="2"/>
      </rPr>
      <t xml:space="preserve"> p.Gly190Asp</t>
    </r>
  </si>
  <si>
    <r>
      <rPr>
        <i/>
        <sz val="14"/>
        <color theme="1"/>
        <rFont val="Arial Narrow"/>
        <family val="2"/>
      </rPr>
      <t>KIT</t>
    </r>
    <r>
      <rPr>
        <sz val="14"/>
        <color theme="1"/>
        <rFont val="Arial Narrow"/>
        <family val="2"/>
      </rPr>
      <t xml:space="preserve"> p.Asn400Ser</t>
    </r>
  </si>
  <si>
    <r>
      <rPr>
        <i/>
        <sz val="14"/>
        <color theme="1"/>
        <rFont val="Arial Narrow"/>
        <family val="2"/>
      </rPr>
      <t>NOTCH1</t>
    </r>
    <r>
      <rPr>
        <sz val="14"/>
        <color theme="1"/>
        <rFont val="Arial Narrow"/>
        <family val="2"/>
      </rPr>
      <t xml:space="preserve"> p.Ile807Val</t>
    </r>
  </si>
  <si>
    <r>
      <rPr>
        <i/>
        <sz val="14"/>
        <color theme="1"/>
        <rFont val="Arial Narrow"/>
        <family val="2"/>
      </rPr>
      <t>PIK3CA</t>
    </r>
    <r>
      <rPr>
        <sz val="14"/>
        <color theme="1"/>
        <rFont val="Arial Narrow"/>
        <family val="2"/>
      </rPr>
      <t xml:space="preserve"> p.Gly914Arg</t>
    </r>
  </si>
  <si>
    <t>QC</t>
  </si>
  <si>
    <t>Assay ID:</t>
  </si>
  <si>
    <t>Date:</t>
  </si>
  <si>
    <r>
      <rPr>
        <i/>
        <sz val="14"/>
        <color theme="1"/>
        <rFont val="Arial Narrow"/>
        <family val="2"/>
      </rPr>
      <t>BRAF</t>
    </r>
    <r>
      <rPr>
        <sz val="14"/>
        <color theme="1"/>
        <rFont val="Arial Narrow"/>
        <family val="2"/>
      </rPr>
      <t xml:space="preserve">  p.Val600Glu</t>
    </r>
  </si>
  <si>
    <r>
      <rPr>
        <i/>
        <sz val="14"/>
        <color theme="1"/>
        <rFont val="Arial Narrow"/>
        <family val="2"/>
      </rPr>
      <t>EGFR</t>
    </r>
    <r>
      <rPr>
        <sz val="14"/>
        <color theme="1"/>
        <rFont val="Arial Narrow"/>
        <family val="2"/>
      </rPr>
      <t xml:space="preserve"> p.Gly719Ser</t>
    </r>
  </si>
  <si>
    <r>
      <rPr>
        <i/>
        <sz val="14"/>
        <color theme="1"/>
        <rFont val="Arial Narrow"/>
        <family val="2"/>
      </rPr>
      <t>PDGFRA</t>
    </r>
    <r>
      <rPr>
        <sz val="14"/>
        <color theme="1"/>
        <rFont val="Arial Narrow"/>
        <family val="2"/>
      </rPr>
      <t xml:space="preserve"> p.Gly426Asp</t>
    </r>
  </si>
  <si>
    <r>
      <rPr>
        <i/>
        <sz val="14"/>
        <color theme="1"/>
        <rFont val="Arial Narrow"/>
        <family val="2"/>
      </rPr>
      <t>BRAF</t>
    </r>
    <r>
      <rPr>
        <sz val="14"/>
        <color theme="1"/>
        <rFont val="Arial Narrow"/>
        <family val="2"/>
      </rPr>
      <t xml:space="preserve">  p.Val600Gly</t>
    </r>
  </si>
  <si>
    <r>
      <rPr>
        <i/>
        <sz val="14"/>
        <color theme="1"/>
        <rFont val="Arial Narrow"/>
        <family val="2"/>
      </rPr>
      <t>BRAF</t>
    </r>
    <r>
      <rPr>
        <sz val="14"/>
        <color theme="1"/>
        <rFont val="Arial Narrow"/>
        <family val="2"/>
      </rPr>
      <t xml:space="preserve"> p.Val600Lys</t>
    </r>
  </si>
  <si>
    <r>
      <rPr>
        <i/>
        <sz val="14"/>
        <color theme="1"/>
        <rFont val="Arial Narrow"/>
        <family val="2"/>
      </rPr>
      <t>BRAF</t>
    </r>
    <r>
      <rPr>
        <sz val="14"/>
        <color theme="1"/>
        <rFont val="Arial Narrow"/>
        <family val="2"/>
      </rPr>
      <t xml:space="preserve"> p.Val600Met</t>
    </r>
  </si>
  <si>
    <r>
      <rPr>
        <i/>
        <sz val="14"/>
        <color theme="1"/>
        <rFont val="Arial Narrow"/>
        <family val="2"/>
      </rPr>
      <t>BRAF</t>
    </r>
    <r>
      <rPr>
        <sz val="14"/>
        <color theme="1"/>
        <rFont val="Arial Narrow"/>
        <family val="2"/>
      </rPr>
      <t xml:space="preserve"> p.Val600Arg</t>
    </r>
  </si>
  <si>
    <r>
      <rPr>
        <i/>
        <sz val="14"/>
        <color theme="1"/>
        <rFont val="Arial Narrow"/>
        <family val="2"/>
      </rPr>
      <t>JAK2</t>
    </r>
    <r>
      <rPr>
        <sz val="14"/>
        <color theme="1"/>
        <rFont val="Arial Narrow"/>
        <family val="2"/>
      </rPr>
      <t xml:space="preserve"> p.Val617Phe</t>
    </r>
  </si>
  <si>
    <r>
      <rPr>
        <i/>
        <sz val="14"/>
        <color theme="1"/>
        <rFont val="Arial Narrow"/>
        <family val="2"/>
      </rPr>
      <t>KRAS</t>
    </r>
    <r>
      <rPr>
        <sz val="14"/>
        <color theme="1"/>
        <rFont val="Arial Narrow"/>
        <family val="2"/>
      </rPr>
      <t xml:space="preserve"> p.G12V</t>
    </r>
  </si>
  <si>
    <t>Cutoff:</t>
  </si>
  <si>
    <t>Panel:</t>
  </si>
  <si>
    <r>
      <rPr>
        <i/>
        <sz val="14"/>
        <color theme="1"/>
        <rFont val="Arial Narrow"/>
        <family val="2"/>
      </rPr>
      <t>EGFR</t>
    </r>
    <r>
      <rPr>
        <sz val="14"/>
        <color theme="1"/>
        <rFont val="Arial Narrow"/>
        <family val="2"/>
      </rPr>
      <t xml:space="preserve"> p.Asn234Asp</t>
    </r>
  </si>
  <si>
    <r>
      <rPr>
        <i/>
        <sz val="14"/>
        <color theme="1"/>
        <rFont val="Arial Narrow"/>
        <family val="2"/>
      </rPr>
      <t>EGFR</t>
    </r>
    <r>
      <rPr>
        <sz val="14"/>
        <color theme="1"/>
        <rFont val="Arial Narrow"/>
        <family val="2"/>
      </rPr>
      <t xml:space="preserve"> p.Leu858Arg</t>
    </r>
  </si>
  <si>
    <r>
      <rPr>
        <i/>
        <sz val="14"/>
        <color theme="1"/>
        <rFont val="Arial Narrow"/>
        <family val="2"/>
      </rPr>
      <t>EGFR</t>
    </r>
    <r>
      <rPr>
        <sz val="14"/>
        <color theme="1"/>
        <rFont val="Arial Narrow"/>
        <family val="2"/>
      </rPr>
      <t xml:space="preserve"> p.Leu861Gln</t>
    </r>
  </si>
  <si>
    <r>
      <rPr>
        <i/>
        <sz val="14"/>
        <color theme="1"/>
        <rFont val="Arial Narrow"/>
        <family val="2"/>
      </rPr>
      <t>PDGFRA</t>
    </r>
    <r>
      <rPr>
        <sz val="14"/>
        <color theme="1"/>
        <rFont val="Arial Narrow"/>
        <family val="2"/>
      </rPr>
      <t xml:space="preserve"> p.Asp842Val</t>
    </r>
  </si>
  <si>
    <t>FLT3 p.Asp835Tyr</t>
  </si>
  <si>
    <r>
      <rPr>
        <i/>
        <sz val="14"/>
        <color theme="1"/>
        <rFont val="Arial Narrow"/>
        <family val="2"/>
      </rPr>
      <t>FLT3</t>
    </r>
    <r>
      <rPr>
        <sz val="14"/>
        <color theme="1"/>
        <rFont val="Arial Narrow"/>
        <family val="2"/>
      </rPr>
      <t xml:space="preserve"> p.Pro989fs </t>
    </r>
  </si>
  <si>
    <r>
      <rPr>
        <i/>
        <sz val="14"/>
        <color theme="1"/>
        <rFont val="Arial Narrow"/>
        <family val="2"/>
      </rPr>
      <t>FLT3</t>
    </r>
    <r>
      <rPr>
        <sz val="14"/>
        <color theme="1"/>
        <rFont val="Arial Narrow"/>
        <family val="2"/>
      </rPr>
      <t xml:space="preserve"> p.Val197Ala </t>
    </r>
  </si>
  <si>
    <r>
      <rPr>
        <i/>
        <sz val="14"/>
        <color theme="1"/>
        <rFont val="Arial Narrow"/>
        <family val="2"/>
      </rPr>
      <t>IDH1</t>
    </r>
    <r>
      <rPr>
        <sz val="14"/>
        <color theme="1"/>
        <rFont val="Arial Narrow"/>
        <family val="2"/>
      </rPr>
      <t xml:space="preserve"> p.Ser261Leu</t>
    </r>
  </si>
  <si>
    <r>
      <rPr>
        <i/>
        <sz val="14"/>
        <color theme="1"/>
        <rFont val="Arial Narrow"/>
        <family val="2"/>
      </rPr>
      <t>IDH1</t>
    </r>
    <r>
      <rPr>
        <sz val="14"/>
        <color theme="1"/>
        <rFont val="Arial Narrow"/>
        <family val="2"/>
      </rPr>
      <t xml:space="preserve"> p.Arg132His</t>
    </r>
  </si>
  <si>
    <r>
      <rPr>
        <i/>
        <sz val="14"/>
        <color theme="1"/>
        <rFont val="Arial Narrow"/>
        <family val="2"/>
      </rPr>
      <t>IDH1</t>
    </r>
    <r>
      <rPr>
        <sz val="14"/>
        <color theme="1"/>
        <rFont val="Arial Narrow"/>
        <family val="2"/>
      </rPr>
      <t xml:space="preserve"> p.Arg132Cys</t>
    </r>
  </si>
  <si>
    <r>
      <rPr>
        <i/>
        <sz val="14"/>
        <color theme="1"/>
        <rFont val="Arial Narrow"/>
        <family val="2"/>
      </rPr>
      <t>IDH2</t>
    </r>
    <r>
      <rPr>
        <sz val="14"/>
        <color theme="1"/>
        <rFont val="Arial Narrow"/>
        <family val="2"/>
      </rPr>
      <t xml:space="preserve"> p.Arg172Lys</t>
    </r>
  </si>
  <si>
    <r>
      <rPr>
        <i/>
        <sz val="14"/>
        <color theme="1"/>
        <rFont val="Arial Narrow"/>
        <family val="2"/>
      </rPr>
      <t>IDH2</t>
    </r>
    <r>
      <rPr>
        <sz val="14"/>
        <color theme="1"/>
        <rFont val="Arial Narrow"/>
        <family val="2"/>
      </rPr>
      <t xml:space="preserve"> p.Arg140Gln</t>
    </r>
  </si>
  <si>
    <t>KIT p.Asp816Val</t>
  </si>
  <si>
    <r>
      <rPr>
        <i/>
        <sz val="14"/>
        <color theme="1"/>
        <rFont val="Arial Narrow"/>
        <family val="2"/>
      </rPr>
      <t>KRAS</t>
    </r>
    <r>
      <rPr>
        <sz val="14"/>
        <color theme="1"/>
        <rFont val="Arial Narrow"/>
        <family val="2"/>
      </rPr>
      <t xml:space="preserve"> p.Gln61His</t>
    </r>
  </si>
  <si>
    <r>
      <rPr>
        <i/>
        <sz val="14"/>
        <color theme="1"/>
        <rFont val="Arial Narrow"/>
        <family val="2"/>
      </rPr>
      <t>KRAS</t>
    </r>
    <r>
      <rPr>
        <sz val="14"/>
        <color theme="1"/>
        <rFont val="Arial Narrow"/>
        <family val="2"/>
      </rPr>
      <t xml:space="preserve"> p.Gln61Leu</t>
    </r>
  </si>
  <si>
    <r>
      <rPr>
        <i/>
        <sz val="14"/>
        <color theme="1"/>
        <rFont val="Arial Narrow"/>
        <family val="2"/>
      </rPr>
      <t>KRAS</t>
    </r>
    <r>
      <rPr>
        <sz val="14"/>
        <color theme="1"/>
        <rFont val="Arial Narrow"/>
        <family val="2"/>
      </rPr>
      <t xml:space="preserve"> p.Gly13Asp</t>
    </r>
  </si>
  <si>
    <r>
      <rPr>
        <i/>
        <sz val="14"/>
        <color theme="1"/>
        <rFont val="Arial Narrow"/>
        <family val="2"/>
      </rPr>
      <t>KRAS</t>
    </r>
    <r>
      <rPr>
        <sz val="14"/>
        <color theme="1"/>
        <rFont val="Arial Narrow"/>
        <family val="2"/>
      </rPr>
      <t xml:space="preserve"> p.Gly12Ala</t>
    </r>
  </si>
  <si>
    <r>
      <rPr>
        <i/>
        <sz val="14"/>
        <color theme="1"/>
        <rFont val="Arial Narrow"/>
        <family val="2"/>
      </rPr>
      <t>KRAS</t>
    </r>
    <r>
      <rPr>
        <sz val="14"/>
        <color theme="1"/>
        <rFont val="Arial Narrow"/>
        <family val="2"/>
      </rPr>
      <t xml:space="preserve"> p.Gly12Cys</t>
    </r>
  </si>
  <si>
    <r>
      <rPr>
        <i/>
        <sz val="14"/>
        <color theme="1"/>
        <rFont val="Arial Narrow"/>
        <family val="2"/>
      </rPr>
      <t>KRAS</t>
    </r>
    <r>
      <rPr>
        <sz val="14"/>
        <color theme="1"/>
        <rFont val="Arial Narrow"/>
        <family val="2"/>
      </rPr>
      <t xml:space="preserve"> p.Gly12Asp</t>
    </r>
  </si>
  <si>
    <r>
      <rPr>
        <i/>
        <sz val="14"/>
        <color theme="1"/>
        <rFont val="Arial Narrow"/>
        <family val="2"/>
      </rPr>
      <t>NOTCH1</t>
    </r>
    <r>
      <rPr>
        <sz val="14"/>
        <color theme="1"/>
        <rFont val="Arial Narrow"/>
        <family val="2"/>
      </rPr>
      <t xml:space="preserve"> p.Gly1788Ser</t>
    </r>
  </si>
  <si>
    <r>
      <rPr>
        <i/>
        <sz val="14"/>
        <color theme="1"/>
        <rFont val="Arial Narrow"/>
        <family val="2"/>
      </rPr>
      <t>NOTCH1</t>
    </r>
    <r>
      <rPr>
        <sz val="14"/>
        <color theme="1"/>
        <rFont val="Arial Narrow"/>
        <family val="2"/>
      </rPr>
      <t xml:space="preserve"> p.Leu1600Pro</t>
    </r>
  </si>
  <si>
    <r>
      <rPr>
        <i/>
        <sz val="14"/>
        <color theme="1"/>
        <rFont val="Arial Narrow"/>
        <family val="2"/>
      </rPr>
      <t>NOTCH1</t>
    </r>
    <r>
      <rPr>
        <sz val="14"/>
        <color theme="1"/>
        <rFont val="Arial Narrow"/>
        <family val="2"/>
      </rPr>
      <t xml:space="preserve"> p.Pro668Ser</t>
    </r>
  </si>
  <si>
    <r>
      <rPr>
        <i/>
        <sz val="14"/>
        <color theme="1"/>
        <rFont val="Arial Narrow"/>
        <family val="2"/>
      </rPr>
      <t>NPM1</t>
    </r>
    <r>
      <rPr>
        <sz val="14"/>
        <color theme="1"/>
        <rFont val="Arial Narrow"/>
        <family val="2"/>
      </rPr>
      <t xml:space="preserve"> p.Glu68*</t>
    </r>
  </si>
  <si>
    <r>
      <rPr>
        <i/>
        <sz val="14"/>
        <color theme="1"/>
        <rFont val="Arial Narrow"/>
        <family val="2"/>
      </rPr>
      <t>NPM1</t>
    </r>
    <r>
      <rPr>
        <sz val="14"/>
        <color theme="1"/>
        <rFont val="Arial Narrow"/>
        <family val="2"/>
      </rPr>
      <t xml:space="preserve"> p.Asp180del</t>
    </r>
  </si>
  <si>
    <r>
      <rPr>
        <i/>
        <sz val="14"/>
        <color theme="1"/>
        <rFont val="Arial Narrow"/>
        <family val="2"/>
      </rPr>
      <t>NRAS</t>
    </r>
    <r>
      <rPr>
        <sz val="14"/>
        <color theme="1"/>
        <rFont val="Arial Narrow"/>
        <family val="2"/>
      </rPr>
      <t xml:space="preserve"> p.Gln61His</t>
    </r>
  </si>
  <si>
    <r>
      <rPr>
        <i/>
        <sz val="14"/>
        <color theme="1"/>
        <rFont val="Arial Narrow"/>
        <family val="2"/>
      </rPr>
      <t>NRAS</t>
    </r>
    <r>
      <rPr>
        <sz val="14"/>
        <color theme="1"/>
        <rFont val="Arial Narrow"/>
        <family val="2"/>
      </rPr>
      <t xml:space="preserve"> p.Gln61Leu</t>
    </r>
  </si>
  <si>
    <r>
      <rPr>
        <i/>
        <sz val="14"/>
        <color theme="1"/>
        <rFont val="Arial Narrow"/>
        <family val="2"/>
      </rPr>
      <t>NRAS</t>
    </r>
    <r>
      <rPr>
        <sz val="14"/>
        <color theme="1"/>
        <rFont val="Arial Narrow"/>
        <family val="2"/>
      </rPr>
      <t xml:space="preserve"> p.Gln61Lys</t>
    </r>
  </si>
  <si>
    <r>
      <rPr>
        <i/>
        <sz val="14"/>
        <color theme="1"/>
        <rFont val="Arial Narrow"/>
        <family val="2"/>
      </rPr>
      <t>NRAS</t>
    </r>
    <r>
      <rPr>
        <sz val="14"/>
        <color theme="1"/>
        <rFont val="Arial Narrow"/>
        <family val="2"/>
      </rPr>
      <t xml:space="preserve"> p.Gln61Arg</t>
    </r>
  </si>
  <si>
    <r>
      <rPr>
        <i/>
        <sz val="14"/>
        <color theme="1"/>
        <rFont val="Arial Narrow"/>
        <family val="2"/>
      </rPr>
      <t>PIK3CA</t>
    </r>
    <r>
      <rPr>
        <sz val="14"/>
        <color theme="1"/>
        <rFont val="Arial Narrow"/>
        <family val="2"/>
      </rPr>
      <t xml:space="preserve"> p.Glu545Lys</t>
    </r>
  </si>
  <si>
    <t>NGS Common</t>
  </si>
  <si>
    <r>
      <rPr>
        <i/>
        <sz val="14"/>
        <color theme="1"/>
        <rFont val="Arial Narrow"/>
        <family val="2"/>
      </rPr>
      <t>KRAS</t>
    </r>
    <r>
      <rPr>
        <sz val="14"/>
        <color theme="1"/>
        <rFont val="Arial Narrow"/>
        <family val="2"/>
      </rPr>
      <t xml:space="preserve"> p.Gly12Ser</t>
    </r>
  </si>
  <si>
    <t>Average Coverage:</t>
  </si>
  <si>
    <t>Chromosome</t>
  </si>
  <si>
    <t>Region</t>
  </si>
  <si>
    <t>Type</t>
  </si>
  <si>
    <t>Reference</t>
  </si>
  <si>
    <t>Allele</t>
  </si>
  <si>
    <t>Count</t>
  </si>
  <si>
    <t>Coverage</t>
  </si>
  <si>
    <t>Frequency</t>
  </si>
  <si>
    <t>Average quality</t>
  </si>
  <si>
    <t>Gene Cards</t>
  </si>
  <si>
    <t>Amino acid change in longest transcript</t>
  </si>
  <si>
    <t>105242073..105242075</t>
  </si>
  <si>
    <t>ENSP00000451828:p.Glu117del</t>
  </si>
  <si>
    <t>ENSP00000375892:p.Arg251Trp</t>
  </si>
  <si>
    <t>ENSP00000419060:p.Val207Gly</t>
  </si>
  <si>
    <t>ENSP00000419060:p.Val207Glu</t>
  </si>
  <si>
    <t>140453136..140453137</t>
  </si>
  <si>
    <t>ENSP00000419060:p.Val207Arg</t>
  </si>
  <si>
    <t>ENSP00000419060:p.Val207Lys</t>
  </si>
  <si>
    <t>ENSP00000419060:p.Val207Met</t>
  </si>
  <si>
    <t>ENSP00000320866:p.Asp244Gly</t>
  </si>
  <si>
    <t>ENSP00000275493:p.Asn234Asp</t>
  </si>
  <si>
    <t>ENSP00000275493:p.Gly719Ser</t>
  </si>
  <si>
    <t>55242465..55242479</t>
  </si>
  <si>
    <t>ENSP00000275493:p.Glu746_Ala750del</t>
  </si>
  <si>
    <t>ENSP00000275493:p.Leu858Arg</t>
  </si>
  <si>
    <t>ENSP00000275493:p.Leu861Gln</t>
  </si>
  <si>
    <t>ENSP00000275493:p.Tyr1016His</t>
  </si>
  <si>
    <t>ENSP00000257290:p.Gly426Asp</t>
  </si>
  <si>
    <t>ENSP00000257290:p.Ser923Thr</t>
  </si>
  <si>
    <t>28578215..28578216</t>
  </si>
  <si>
    <t>ENSP00000370369:p.Pro989fs</t>
  </si>
  <si>
    <t>28592635..28592637</t>
  </si>
  <si>
    <t>ENSP00000370369:p.Ile836del</t>
  </si>
  <si>
    <t>ENSP00000370369:p.Asp835Tyr</t>
  </si>
  <si>
    <t>ENSP00000370369:p.Val197Ala</t>
  </si>
  <si>
    <t>ENSP00000388246:p.Gly161Arg</t>
  </si>
  <si>
    <t>ENSP00000390265:p.Ser261Leu</t>
  </si>
  <si>
    <t>ENSP00000390265:p.Arg132His</t>
  </si>
  <si>
    <t>ENSP00000390265:p.Arg132Cys</t>
  </si>
  <si>
    <t>ENSP00000331897:p.Gly190Asp</t>
  </si>
  <si>
    <t>ENSP00000331897:p.Arg172Lys</t>
  </si>
  <si>
    <t>ENSP00000331897:p.Arg140Gln</t>
  </si>
  <si>
    <t>ENSP00000288135:p.Asn400Ser</t>
  </si>
  <si>
    <t>ENSP00000288135:p.Asp816Val</t>
  </si>
  <si>
    <t>ENSP00000308495:p.Gln61His</t>
  </si>
  <si>
    <t>ENSP00000308495:p.Gln61Leu</t>
  </si>
  <si>
    <t>ENSP00000308495:p.Gly13Asp</t>
  </si>
  <si>
    <t>ENSP00000308495:p.Gly12Asp</t>
  </si>
  <si>
    <t>ENSP00000308495:p.Gly12Cys</t>
  </si>
  <si>
    <t>ENSP00000277541:p.Gly1788Ser</t>
  </si>
  <si>
    <t>ENSP00000277541:p.Leu1600Pro</t>
  </si>
  <si>
    <t>ENSP00000277541:p.Ile807Val</t>
  </si>
  <si>
    <t>ENSP00000277541:p.Pro668Ser</t>
  </si>
  <si>
    <t>ENSP00000296930:p.Glu68*</t>
  </si>
  <si>
    <t>170827157..170827159</t>
  </si>
  <si>
    <t>ENSP00000296930:p.Asp180del</t>
  </si>
  <si>
    <t>ENSP00000358548:p.Gln61His</t>
  </si>
  <si>
    <t>ENSP00000358548:p.Gln61Leu</t>
  </si>
  <si>
    <t>ENSP00000358548:p.Gln61Arg</t>
  </si>
  <si>
    <t>ENSP00000358548:p.Gln61Lys</t>
  </si>
  <si>
    <t>ENSP00000263967:p.Glu542Lys</t>
  </si>
  <si>
    <t>ENSP00000263967:p.Glu545Lys</t>
  </si>
  <si>
    <t>ENSP00000263967:p.Gly914Arg</t>
  </si>
  <si>
    <t>ENSP00000263967:p.His1047Arg</t>
  </si>
  <si>
    <r>
      <rPr>
        <i/>
        <sz val="14"/>
        <color theme="1"/>
        <rFont val="Arial Narrow"/>
        <family val="2"/>
      </rPr>
      <t>PIK3CA</t>
    </r>
    <r>
      <rPr>
        <sz val="14"/>
        <color theme="1"/>
        <rFont val="Arial Narrow"/>
        <family val="2"/>
      </rPr>
      <t xml:space="preserve"> p.Glu542Lys</t>
    </r>
  </si>
  <si>
    <t>Raw Data</t>
  </si>
  <si>
    <t>Amino Acid Change</t>
  </si>
  <si>
    <t>In Hotspot List?</t>
  </si>
  <si>
    <t>Notes</t>
  </si>
  <si>
    <r>
      <rPr>
        <i/>
        <sz val="14"/>
        <color theme="1"/>
        <rFont val="Arial Narrow"/>
        <family val="2"/>
      </rPr>
      <t>EGRF</t>
    </r>
    <r>
      <rPr>
        <sz val="14"/>
        <color theme="1"/>
        <rFont val="Arial Narrow"/>
        <family val="2"/>
      </rPr>
      <t xml:space="preserve"> p.Glu746-Ala750del</t>
    </r>
  </si>
  <si>
    <r>
      <rPr>
        <i/>
        <sz val="14"/>
        <color theme="1"/>
        <rFont val="Arial Narrow"/>
        <family val="2"/>
      </rPr>
      <t>EGFR</t>
    </r>
    <r>
      <rPr>
        <sz val="14"/>
        <color theme="1"/>
        <rFont val="Arial Narrow"/>
        <family val="2"/>
      </rPr>
      <t xml:space="preserve"> p.Thr790Met</t>
    </r>
  </si>
  <si>
    <t>ENSP00000275493:p.Thr790Met</t>
  </si>
  <si>
    <t>ENSP00000308495:p.Gly12Ala</t>
  </si>
  <si>
    <t>ENSP00000308495:p.Gly12Ser</t>
  </si>
  <si>
    <t>BGW Version:</t>
  </si>
  <si>
    <t>Control ID:</t>
  </si>
  <si>
    <t>ENSP00000257290:p.Asp842Val</t>
  </si>
  <si>
    <t>ENSP00000371067:p.Val617Phe</t>
  </si>
  <si>
    <t>ENSP00000308495:p.Gly12Arg</t>
  </si>
  <si>
    <t>ENSP00000308495:p.Gly12Val</t>
  </si>
  <si>
    <t>Expected variant detected:</t>
  </si>
  <si>
    <t>C00030-F (HD734)</t>
  </si>
  <si>
    <t>Other False Positives</t>
  </si>
  <si>
    <t>False Positives:</t>
  </si>
  <si>
    <t>FN</t>
  </si>
  <si>
    <t>False Negative Percentage:</t>
  </si>
  <si>
    <t>False Negative:</t>
  </si>
  <si>
    <t>TP=True Positive</t>
  </si>
  <si>
    <t>FP=False Positive</t>
  </si>
  <si>
    <t>FN=False Negative</t>
  </si>
  <si>
    <t>Pathogenic/likely pathogenic: frequency &gt; 0.7%, AQ&gt;30; VUS/Likely benign/benign: frequency &gt; 1.3%, AQ&gt;40.</t>
  </si>
  <si>
    <t>TN=True Negative</t>
  </si>
  <si>
    <t>BGW 5.0, CMOL Common V5.4</t>
  </si>
  <si>
    <t>Analyzed by: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</si>
</sst>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14"/>
      <color theme="1"/>
      <name val="Arial Narrow"/>
      <family val="2"/>
    </font>
    <font>
      <i/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sz val="14"/>
      <color theme="1"/>
      <name val="Arial Narrow"/>
      <family val="2"/>
    </font>
    <font>
      <b/>
      <sz val="14"/>
      <color rgb="FFFF0000"/>
      <name val="Arial Narrow"/>
      <family val="2"/>
    </font>
    <font>
      <sz val="14"/>
      <color rgb="FFFF0000"/>
      <name val="Arial Narrow"/>
      <family val="2"/>
    </font>
    <font>
      <b/>
      <sz val="18"/>
      <name val="Arial"/>
      <family val="2"/>
    </font>
    <font>
      <b/>
      <sz val="16"/>
      <name val="Arial"/>
      <family val="2"/>
    </font>
    <font>
      <sz val="16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0" fillId="0" borderId="9" xfId="0" applyBorder="1"/>
    <xf numFmtId="0" fontId="0" fillId="4" borderId="9" xfId="0" applyFill="1" applyBorder="1" applyAlignment="1">
      <alignment wrapText="1"/>
    </xf>
    <xf numFmtId="164" fontId="1" fillId="2" borderId="1" xfId="0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/>
    </xf>
    <xf numFmtId="2" fontId="1" fillId="2" borderId="0" xfId="0" applyNumberFormat="1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6" fillId="0" borderId="10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right" vertical="center"/>
    </xf>
    <xf numFmtId="0" fontId="6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/>
    </xf>
    <xf numFmtId="0" fontId="1" fillId="0" borderId="1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/>
  </cellXfs>
  <cellStyles count="1">
    <cellStyle name="Normal" xfId="0" builtinId="0"/>
  </cellStyles>
  <dxfs count="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5</xdr:row>
          <xdr:rowOff>142875</xdr:rowOff>
        </xdr:from>
        <xdr:to>
          <xdr:col>27</xdr:col>
          <xdr:colOff>419100</xdr:colOff>
          <xdr:row>8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114300</xdr:colOff>
          <xdr:row>10</xdr:row>
          <xdr:rowOff>133350</xdr:rowOff>
        </xdr:from>
        <xdr:to>
          <xdr:col>27</xdr:col>
          <xdr:colOff>447675</xdr:colOff>
          <xdr:row>13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Tabs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G63" totalsRowShown="0" headerRowDxfId="32" dataDxfId="30" headerRowBorderDxfId="31" tableBorderDxfId="29" totalsRowBorderDxfId="28">
  <autoFilter ref="A6:G63" xr:uid="{00000000-0009-0000-0100-000001000000}"/>
  <sortState xmlns:xlrd2="http://schemas.microsoft.com/office/spreadsheetml/2017/richdata2" ref="A5:D65">
    <sortCondition ref="A4:A65"/>
  </sortState>
  <tableColumns count="7">
    <tableColumn id="1" xr3:uid="{00000000-0010-0000-0000-000001000000}" name="Variant" dataDxfId="27"/>
    <tableColumn id="5" xr3:uid="{00000000-0010-0000-0000-000005000000}" name="Amino Acid Change" dataDxfId="26"/>
    <tableColumn id="2" xr3:uid="{00000000-0010-0000-0000-000002000000}" name="Expected frequency" dataDxfId="25"/>
    <tableColumn id="3" xr3:uid="{00000000-0010-0000-0000-000003000000}" name="Detected Frequency" dataDxfId="24">
      <calculatedColumnFormula>VLOOKUP(B7,$S$7:$T$130,COLUMN($T$7:$T$130)-COLUMN($S$7:$T$130)+1,0)</calculatedColumnFormula>
    </tableColumn>
    <tableColumn id="4" xr3:uid="{00000000-0010-0000-0000-000004000000}" name="QC" dataDxfId="23">
      <calculatedColumnFormula>IF(Table1[[#This Row],[Detected Frequency]]="#N/A","Inspect","Pass")</calculatedColumnFormula>
    </tableColumn>
    <tableColumn id="6" xr3:uid="{00000000-0010-0000-0000-000006000000}" name="Notes" dataDxfId="22">
      <calculatedColumnFormula>IF(Table1[[#This Row],[QC]]="Pass","-","")</calculatedColumnFormula>
    </tableColumn>
    <tableColumn id="9" xr3:uid="{00000000-0010-0000-0000-000009000000}" name="Region" dataDxfId="2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FalsePositives" displayName="FalsePositives" ref="A70:G194" headerRowCount="0" totalsRowShown="0" headerRowDxfId="20" dataDxfId="18" headerRowBorderDxfId="19" tableBorderDxfId="17" totalsRowBorderDxfId="16">
  <tableColumns count="7">
    <tableColumn id="1" xr3:uid="{00000000-0010-0000-0100-000001000000}" name="Gene" headerRowDxfId="15" dataDxfId="14">
      <calculatedColumnFormula array="1">IFERROR(INDEX(R$7:R$130, SMALL(IF($U$7:$U$130="Missing", ROW(R7:R$130)-ROW(R7)+1), ROW(1:1))), "")</calculatedColumnFormula>
    </tableColumn>
    <tableColumn id="2" xr3:uid="{00000000-0010-0000-0100-000002000000}" name="Amino Acid Change" headerRowDxfId="13" dataDxfId="12">
      <calculatedColumnFormula array="1">IFERROR(INDEX(S$7:S$130, SMALL(IF($U$7:$U$130="Missing", ROW(S7:S$130)-ROW(S7)+1), ROW(1:1))), "")</calculatedColumnFormula>
    </tableColumn>
    <tableColumn id="3" xr3:uid="{00000000-0010-0000-0100-000003000000}" name="Average Quality" headerRowDxfId="11" dataDxfId="10">
      <calculatedColumnFormula array="1">IFERROR(INDEX(Q$7:Q$130, SMALL(IF($U$7:$U$130="Missing", ROW(Q7:Q$130)-ROW(Q7)+1), ROW(1:1))), "")</calculatedColumnFormula>
    </tableColumn>
    <tableColumn id="4" xr3:uid="{00000000-0010-0000-0100-000004000000}" name="Frequency" headerRowDxfId="9" dataDxfId="8">
      <calculatedColumnFormula array="1">IFERROR(INDEX(P$7:P$130, SMALL(IF($U$7:$U$130="Missing", ROW(P7:P$130)-ROW(P7)+1), ROW(1:1))), "")</calculatedColumnFormula>
    </tableColumn>
    <tableColumn id="5" xr3:uid="{00000000-0010-0000-0100-000005000000}" name="QC" headerRowDxfId="7" dataDxfId="6">
      <calculatedColumnFormula>IF(FalsePositives[[#This Row],[Gene]]="", "", IF(C70&lt;40,"Pass","Inspect"))</calculatedColumnFormula>
    </tableColumn>
    <tableColumn id="6" xr3:uid="{00000000-0010-0000-0100-000006000000}" name="Notes" headerRowDxfId="5" dataDxfId="4"/>
    <tableColumn id="7" xr3:uid="{00000000-0010-0000-0100-000007000000}" name="Region" headerRowDxfId="3" dataDxfId="2">
      <calculatedColumnFormula>VLOOKUP(B70,$S$7:$V$130,COLUMN($V$7:$V$130)-COLUMN($S$7:$V$130)+1,0)</calculatedColumnFormula>
    </tableColumn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194"/>
  <sheetViews>
    <sheetView showZeros="0" tabSelected="1" zoomScale="68" zoomScaleNormal="68" workbookViewId="0">
      <selection activeCell="AB20" sqref="AB20"/>
    </sheetView>
  </sheetViews>
  <sheetFormatPr defaultColWidth="8.7109375" defaultRowHeight="18" x14ac:dyDescent="0.25"/>
  <cols>
    <col min="1" max="1" width="31.85546875" style="1" customWidth="1"/>
    <col min="2" max="2" width="45.140625" style="8" customWidth="1"/>
    <col min="3" max="3" width="27.5703125" style="1" customWidth="1"/>
    <col min="4" max="4" width="43.7109375" style="1" customWidth="1"/>
    <col min="5" max="5" width="33.42578125" style="1" customWidth="1"/>
    <col min="6" max="6" width="28.42578125" style="24" customWidth="1"/>
    <col min="7" max="8" width="28.42578125" style="14" customWidth="1"/>
    <col min="9" max="9" width="15.85546875" style="1" hidden="1" customWidth="1"/>
    <col min="10" max="10" width="24.85546875" style="1" hidden="1" customWidth="1"/>
    <col min="11" max="11" width="8.7109375" style="1" hidden="1" customWidth="1"/>
    <col min="12" max="12" width="12.5703125" style="1" hidden="1" customWidth="1"/>
    <col min="13" max="14" width="8.7109375" style="1" hidden="1" customWidth="1"/>
    <col min="15" max="15" width="12.140625" style="1" hidden="1" customWidth="1"/>
    <col min="16" max="16" width="12.85546875" style="1" hidden="1" customWidth="1"/>
    <col min="17" max="17" width="17.5703125" style="1" hidden="1" customWidth="1"/>
    <col min="18" max="18" width="14.28515625" style="1" hidden="1" customWidth="1"/>
    <col min="19" max="19" width="61.5703125" style="1" hidden="1" customWidth="1"/>
    <col min="20" max="20" width="15" style="1" hidden="1" customWidth="1"/>
    <col min="21" max="21" width="19.28515625" style="1" hidden="1" customWidth="1"/>
    <col min="22" max="22" width="12.85546875" style="1" hidden="1" customWidth="1"/>
    <col min="23" max="25" width="8.7109375" style="1" customWidth="1"/>
    <col min="26" max="16384" width="8.7109375" style="1"/>
  </cols>
  <sheetData>
    <row r="1" spans="1:22" ht="49.9" customHeight="1" x14ac:dyDescent="0.25">
      <c r="A1" s="6" t="s">
        <v>17</v>
      </c>
      <c r="B1" s="34"/>
      <c r="C1" s="6" t="s">
        <v>138</v>
      </c>
      <c r="D1" s="63" t="s">
        <v>144</v>
      </c>
      <c r="G1" s="35" t="s">
        <v>150</v>
      </c>
    </row>
    <row r="2" spans="1:22" ht="49.9" customHeight="1" x14ac:dyDescent="0.25">
      <c r="A2" s="6" t="s">
        <v>156</v>
      </c>
      <c r="B2" s="34"/>
      <c r="C2" s="6" t="s">
        <v>18</v>
      </c>
      <c r="D2" s="64"/>
      <c r="G2" s="35" t="s">
        <v>154</v>
      </c>
    </row>
    <row r="3" spans="1:22" ht="49.9" customHeight="1" x14ac:dyDescent="0.25">
      <c r="A3" s="6" t="s">
        <v>29</v>
      </c>
      <c r="B3" s="7" t="s">
        <v>59</v>
      </c>
      <c r="C3" s="6" t="s">
        <v>28</v>
      </c>
      <c r="D3" s="63" t="s">
        <v>153</v>
      </c>
      <c r="G3" s="35" t="s">
        <v>151</v>
      </c>
    </row>
    <row r="4" spans="1:22" ht="49.9" customHeight="1" x14ac:dyDescent="0.25">
      <c r="A4" s="6" t="s">
        <v>61</v>
      </c>
      <c r="B4" s="7">
        <f>'Coverage Reports'!B5</f>
        <v>0</v>
      </c>
      <c r="C4" s="6" t="s">
        <v>137</v>
      </c>
      <c r="D4" s="65" t="s">
        <v>155</v>
      </c>
      <c r="G4" s="35" t="s">
        <v>152</v>
      </c>
    </row>
    <row r="5" spans="1:22" x14ac:dyDescent="0.25">
      <c r="A5" s="5"/>
      <c r="B5" s="9"/>
      <c r="I5" s="3" t="s">
        <v>128</v>
      </c>
    </row>
    <row r="6" spans="1:22" x14ac:dyDescent="0.25">
      <c r="A6" s="16" t="s">
        <v>0</v>
      </c>
      <c r="B6" s="17" t="s">
        <v>129</v>
      </c>
      <c r="C6" s="18" t="s">
        <v>1</v>
      </c>
      <c r="D6" s="18" t="s">
        <v>2</v>
      </c>
      <c r="E6" s="18" t="s">
        <v>16</v>
      </c>
      <c r="F6" s="25" t="s">
        <v>131</v>
      </c>
      <c r="G6" s="27" t="s">
        <v>63</v>
      </c>
      <c r="H6" s="15"/>
      <c r="I6" s="12" t="s">
        <v>62</v>
      </c>
      <c r="J6" s="10" t="s">
        <v>63</v>
      </c>
      <c r="K6" s="10" t="s">
        <v>64</v>
      </c>
      <c r="L6" s="10" t="s">
        <v>65</v>
      </c>
      <c r="M6" s="10" t="s">
        <v>66</v>
      </c>
      <c r="N6" s="10" t="s">
        <v>67</v>
      </c>
      <c r="O6" s="10" t="s">
        <v>68</v>
      </c>
      <c r="P6" s="10" t="s">
        <v>69</v>
      </c>
      <c r="Q6" s="10" t="s">
        <v>70</v>
      </c>
      <c r="R6" s="10" t="s">
        <v>71</v>
      </c>
      <c r="S6" s="10" t="s">
        <v>72</v>
      </c>
      <c r="T6" s="10" t="str">
        <f>P6</f>
        <v>Frequency</v>
      </c>
      <c r="U6" s="7" t="s">
        <v>130</v>
      </c>
      <c r="V6" s="1" t="s">
        <v>63</v>
      </c>
    </row>
    <row r="7" spans="1:22" x14ac:dyDescent="0.25">
      <c r="A7" s="19" t="s">
        <v>6</v>
      </c>
      <c r="B7" s="20" t="s">
        <v>74</v>
      </c>
      <c r="C7" s="21">
        <v>1</v>
      </c>
      <c r="D7" s="22" t="e">
        <f t="shared" ref="D7:D38" si="0">VLOOKUP(B7,$S$7:$T$130,COLUMN($T$7:$T$130)-COLUMN($S$7:$T$130)+1,0)</f>
        <v>#N/A</v>
      </c>
      <c r="E7" s="21" t="e">
        <f>IF(Table1[[#This Row],[Detected Frequency]]&lt;0.6,"FN","TP")</f>
        <v>#N/A</v>
      </c>
      <c r="F7" s="28" t="e">
        <f>IF(Table1[[#This Row],[QC]]="TP","-","")</f>
        <v>#N/A</v>
      </c>
      <c r="G7" s="29" t="s">
        <v>73</v>
      </c>
      <c r="H7" s="15"/>
      <c r="I7" s="13">
        <f>'Raw Data Cut 1.3'!A2</f>
        <v>0</v>
      </c>
      <c r="J7" s="2">
        <f>'Raw Data Cut 1.3'!B2</f>
        <v>0</v>
      </c>
      <c r="K7" s="2">
        <f>'Raw Data Cut 1.3'!C2</f>
        <v>0</v>
      </c>
      <c r="L7" s="2">
        <f>'Raw Data Cut 1.3'!D2</f>
        <v>0</v>
      </c>
      <c r="M7" s="2">
        <f>'Raw Data Cut 1.3'!E2</f>
        <v>0</v>
      </c>
      <c r="N7" s="2">
        <f>'Raw Data Cut 1.3'!G2</f>
        <v>0</v>
      </c>
      <c r="O7" s="2">
        <f>'Raw Data Cut 1.3'!H2</f>
        <v>0</v>
      </c>
      <c r="P7" s="2">
        <f>'Raw Data Cut 1.3'!I2</f>
        <v>0</v>
      </c>
      <c r="Q7" s="2">
        <f>'Raw Data Cut 1.3'!J2</f>
        <v>0</v>
      </c>
      <c r="R7" s="2">
        <f>'Raw Data Cut 1.3'!K2</f>
        <v>0</v>
      </c>
      <c r="S7" s="2">
        <f>'Raw Data Cut 1.3'!N2</f>
        <v>0</v>
      </c>
      <c r="T7" s="2">
        <f t="shared" ref="T7:T66" si="1">P7</f>
        <v>0</v>
      </c>
      <c r="U7" s="11" t="str">
        <f>IF($S7=0, "", IF(COUNTIF(Table1[Amino Acid Change], $S7)=0, "Missing", "Y"))</f>
        <v/>
      </c>
      <c r="V7" s="1">
        <f>J7</f>
        <v>0</v>
      </c>
    </row>
    <row r="8" spans="1:22" x14ac:dyDescent="0.25">
      <c r="A8" s="19" t="s">
        <v>7</v>
      </c>
      <c r="B8" s="20" t="s">
        <v>75</v>
      </c>
      <c r="C8" s="21">
        <v>25</v>
      </c>
      <c r="D8" s="22" t="e">
        <f t="shared" si="0"/>
        <v>#N/A</v>
      </c>
      <c r="E8" s="21" t="e">
        <f>IF(Table1[[#This Row],[Detected Frequency]]&lt;0.6,"FN","TP")</f>
        <v>#N/A</v>
      </c>
      <c r="F8" s="28" t="e">
        <f>IF(Table1[[#This Row],[QC]]="TP","-","")</f>
        <v>#N/A</v>
      </c>
      <c r="G8" s="29">
        <v>40743956</v>
      </c>
      <c r="H8" s="15"/>
      <c r="I8" s="13">
        <f>'Raw Data Cut 1.3'!A3</f>
        <v>0</v>
      </c>
      <c r="J8" s="2">
        <f>'Raw Data Cut 1.3'!B3</f>
        <v>0</v>
      </c>
      <c r="K8" s="2">
        <f>'Raw Data Cut 1.3'!C3</f>
        <v>0</v>
      </c>
      <c r="L8" s="2">
        <f>'Raw Data Cut 1.3'!D3</f>
        <v>0</v>
      </c>
      <c r="M8" s="2">
        <f>'Raw Data Cut 1.3'!E3</f>
        <v>0</v>
      </c>
      <c r="N8" s="2">
        <f>'Raw Data Cut 1.3'!G3</f>
        <v>0</v>
      </c>
      <c r="O8" s="2">
        <f>'Raw Data Cut 1.3'!H3</f>
        <v>0</v>
      </c>
      <c r="P8" s="2">
        <f>'Raw Data Cut 1.3'!I3</f>
        <v>0</v>
      </c>
      <c r="Q8" s="2">
        <f>'Raw Data Cut 1.3'!J3</f>
        <v>0</v>
      </c>
      <c r="R8" s="2">
        <f>'Raw Data Cut 1.3'!K3</f>
        <v>0</v>
      </c>
      <c r="S8" s="2">
        <f>'Raw Data Cut 1.3'!N3</f>
        <v>0</v>
      </c>
      <c r="T8" s="2">
        <f t="shared" si="1"/>
        <v>0</v>
      </c>
      <c r="U8" s="11" t="str">
        <f>IF($S8=0, "", IF(COUNTIF(Table1[Amino Acid Change], $S8)=0, "Missing", "Y"))</f>
        <v/>
      </c>
      <c r="V8" s="1">
        <f t="shared" ref="V8:V66" si="2">J8</f>
        <v>0</v>
      </c>
    </row>
    <row r="9" spans="1:22" x14ac:dyDescent="0.25">
      <c r="A9" s="19" t="s">
        <v>22</v>
      </c>
      <c r="B9" s="20" t="s">
        <v>76</v>
      </c>
      <c r="C9" s="21">
        <v>1</v>
      </c>
      <c r="D9" s="22" t="e">
        <f t="shared" si="0"/>
        <v>#N/A</v>
      </c>
      <c r="E9" s="21" t="e">
        <f>IF(Table1[[#This Row],[Detected Frequency]]&lt;0.6,"FN","TP")</f>
        <v>#N/A</v>
      </c>
      <c r="F9" s="28" t="e">
        <f>IF(Table1[[#This Row],[QC]]="TP","-","")</f>
        <v>#N/A</v>
      </c>
      <c r="G9" s="29">
        <v>140453136</v>
      </c>
      <c r="H9" s="15"/>
      <c r="I9" s="13">
        <f>'Raw Data Cut 1.3'!A4</f>
        <v>0</v>
      </c>
      <c r="J9" s="2">
        <f>'Raw Data Cut 1.3'!B4</f>
        <v>0</v>
      </c>
      <c r="K9" s="2">
        <f>'Raw Data Cut 1.3'!C4</f>
        <v>0</v>
      </c>
      <c r="L9" s="2">
        <f>'Raw Data Cut 1.3'!D4</f>
        <v>0</v>
      </c>
      <c r="M9" s="2">
        <f>'Raw Data Cut 1.3'!E4</f>
        <v>0</v>
      </c>
      <c r="N9" s="2">
        <f>'Raw Data Cut 1.3'!G4</f>
        <v>0</v>
      </c>
      <c r="O9" s="2">
        <f>'Raw Data Cut 1.3'!H4</f>
        <v>0</v>
      </c>
      <c r="P9" s="2">
        <f>'Raw Data Cut 1.3'!I4</f>
        <v>0</v>
      </c>
      <c r="Q9" s="2">
        <f>'Raw Data Cut 1.3'!J4</f>
        <v>0</v>
      </c>
      <c r="R9" s="2">
        <f>'Raw Data Cut 1.3'!K4</f>
        <v>0</v>
      </c>
      <c r="S9" s="2">
        <f>'Raw Data Cut 1.3'!N4</f>
        <v>0</v>
      </c>
      <c r="T9" s="2">
        <f t="shared" si="1"/>
        <v>0</v>
      </c>
      <c r="U9" s="11" t="str">
        <f>IF($S9=0, "", IF(COUNTIF(Table1[Amino Acid Change], $S9)=0, "Missing", "Y"))</f>
        <v/>
      </c>
      <c r="V9" s="1">
        <f t="shared" si="2"/>
        <v>0</v>
      </c>
    </row>
    <row r="10" spans="1:22" x14ac:dyDescent="0.25">
      <c r="A10" s="19" t="s">
        <v>19</v>
      </c>
      <c r="B10" s="20" t="s">
        <v>77</v>
      </c>
      <c r="C10" s="21">
        <v>8</v>
      </c>
      <c r="D10" s="22" t="e">
        <f t="shared" si="0"/>
        <v>#N/A</v>
      </c>
      <c r="E10" s="21" t="e">
        <f>IF(Table1[[#This Row],[Detected Frequency]]&lt;0.6,"FN","TP")</f>
        <v>#N/A</v>
      </c>
      <c r="F10" s="28" t="e">
        <f>IF(Table1[[#This Row],[QC]]="TP","-","")</f>
        <v>#N/A</v>
      </c>
      <c r="G10" s="29">
        <v>140453136</v>
      </c>
      <c r="H10" s="15"/>
      <c r="I10" s="13">
        <f>'Raw Data Cut 1.3'!A5</f>
        <v>0</v>
      </c>
      <c r="J10" s="2">
        <f>'Raw Data Cut 1.3'!B5</f>
        <v>0</v>
      </c>
      <c r="K10" s="2">
        <f>'Raw Data Cut 1.3'!C5</f>
        <v>0</v>
      </c>
      <c r="L10" s="2">
        <f>'Raw Data Cut 1.3'!D5</f>
        <v>0</v>
      </c>
      <c r="M10" s="2">
        <f>'Raw Data Cut 1.3'!E5</f>
        <v>0</v>
      </c>
      <c r="N10" s="2">
        <f>'Raw Data Cut 1.3'!G5</f>
        <v>0</v>
      </c>
      <c r="O10" s="2">
        <f>'Raw Data Cut 1.3'!H5</f>
        <v>0</v>
      </c>
      <c r="P10" s="2">
        <f>'Raw Data Cut 1.3'!I5</f>
        <v>0</v>
      </c>
      <c r="Q10" s="2">
        <f>'Raw Data Cut 1.3'!J5</f>
        <v>0</v>
      </c>
      <c r="R10" s="2">
        <f>'Raw Data Cut 1.3'!K5</f>
        <v>0</v>
      </c>
      <c r="S10" s="2">
        <f>'Raw Data Cut 1.3'!N5</f>
        <v>0</v>
      </c>
      <c r="T10" s="2">
        <f t="shared" si="1"/>
        <v>0</v>
      </c>
      <c r="U10" s="11" t="str">
        <f>IF($S10=0, "", IF(COUNTIF(Table1[Amino Acid Change], $S10)=0, "Missing", "Y"))</f>
        <v/>
      </c>
      <c r="V10" s="1">
        <f t="shared" si="2"/>
        <v>0</v>
      </c>
    </row>
    <row r="11" spans="1:22" x14ac:dyDescent="0.25">
      <c r="A11" s="19" t="s">
        <v>25</v>
      </c>
      <c r="B11" s="20" t="s">
        <v>79</v>
      </c>
      <c r="C11" s="23">
        <v>2</v>
      </c>
      <c r="D11" s="22" t="e">
        <f t="shared" si="0"/>
        <v>#N/A</v>
      </c>
      <c r="E11" s="21" t="e">
        <f>IF(Table1[[#This Row],[Detected Frequency]]&lt;0.6,"FN","TP")</f>
        <v>#N/A</v>
      </c>
      <c r="F11" s="28" t="e">
        <f>IF(Table1[[#This Row],[QC]]="TP","-","")</f>
        <v>#N/A</v>
      </c>
      <c r="G11" s="29" t="s">
        <v>78</v>
      </c>
      <c r="H11" s="15"/>
      <c r="I11" s="13">
        <f>'Raw Data Cut 1.3'!A6</f>
        <v>0</v>
      </c>
      <c r="J11" s="2">
        <f>'Raw Data Cut 1.3'!B6</f>
        <v>0</v>
      </c>
      <c r="K11" s="2">
        <f>'Raw Data Cut 1.3'!C6</f>
        <v>0</v>
      </c>
      <c r="L11" s="2">
        <f>'Raw Data Cut 1.3'!D6</f>
        <v>0</v>
      </c>
      <c r="M11" s="2">
        <f>'Raw Data Cut 1.3'!E6</f>
        <v>0</v>
      </c>
      <c r="N11" s="2">
        <f>'Raw Data Cut 1.3'!G6</f>
        <v>0</v>
      </c>
      <c r="O11" s="2">
        <f>'Raw Data Cut 1.3'!H6</f>
        <v>0</v>
      </c>
      <c r="P11" s="2">
        <f>'Raw Data Cut 1.3'!I6</f>
        <v>0</v>
      </c>
      <c r="Q11" s="2">
        <f>'Raw Data Cut 1.3'!J6</f>
        <v>0</v>
      </c>
      <c r="R11" s="2">
        <f>'Raw Data Cut 1.3'!K6</f>
        <v>0</v>
      </c>
      <c r="S11" s="2">
        <f>'Raw Data Cut 1.3'!N6</f>
        <v>0</v>
      </c>
      <c r="T11" s="2">
        <f t="shared" si="1"/>
        <v>0</v>
      </c>
      <c r="U11" s="11" t="str">
        <f>IF($S11=0, "", IF(COUNTIF(Table1[Amino Acid Change], $S11)=0, "Missing", "Y"))</f>
        <v/>
      </c>
      <c r="V11" s="1">
        <f t="shared" si="2"/>
        <v>0</v>
      </c>
    </row>
    <row r="12" spans="1:22" x14ac:dyDescent="0.25">
      <c r="A12" s="19" t="s">
        <v>23</v>
      </c>
      <c r="B12" s="20" t="s">
        <v>80</v>
      </c>
      <c r="C12" s="23">
        <v>1</v>
      </c>
      <c r="D12" s="22" t="e">
        <f t="shared" si="0"/>
        <v>#N/A</v>
      </c>
      <c r="E12" s="21" t="e">
        <f>IF(Table1[[#This Row],[Detected Frequency]]&lt;0.6,"FN","TP")</f>
        <v>#N/A</v>
      </c>
      <c r="F12" s="28" t="e">
        <f>IF(Table1[[#This Row],[QC]]="TP","-","")</f>
        <v>#N/A</v>
      </c>
      <c r="G12" s="29" t="s">
        <v>78</v>
      </c>
      <c r="H12" s="15"/>
      <c r="I12" s="13">
        <f>'Raw Data Cut 1.3'!A7</f>
        <v>0</v>
      </c>
      <c r="J12" s="2">
        <f>'Raw Data Cut 1.3'!B7</f>
        <v>0</v>
      </c>
      <c r="K12" s="2">
        <f>'Raw Data Cut 1.3'!C7</f>
        <v>0</v>
      </c>
      <c r="L12" s="2">
        <f>'Raw Data Cut 1.3'!D7</f>
        <v>0</v>
      </c>
      <c r="M12" s="2">
        <f>'Raw Data Cut 1.3'!E7</f>
        <v>0</v>
      </c>
      <c r="N12" s="2">
        <f>'Raw Data Cut 1.3'!G7</f>
        <v>0</v>
      </c>
      <c r="O12" s="2">
        <f>'Raw Data Cut 1.3'!H7</f>
        <v>0</v>
      </c>
      <c r="P12" s="2">
        <f>'Raw Data Cut 1.3'!I7</f>
        <v>0</v>
      </c>
      <c r="Q12" s="2">
        <f>'Raw Data Cut 1.3'!J7</f>
        <v>0</v>
      </c>
      <c r="R12" s="2">
        <f>'Raw Data Cut 1.3'!K7</f>
        <v>0</v>
      </c>
      <c r="S12" s="2">
        <f>'Raw Data Cut 1.3'!N7</f>
        <v>0</v>
      </c>
      <c r="T12" s="2">
        <f t="shared" si="1"/>
        <v>0</v>
      </c>
      <c r="U12" s="11" t="str">
        <f>IF($S12=0, "", IF(COUNTIF(Table1[Amino Acid Change], $S12)=0, "Missing", "Y"))</f>
        <v/>
      </c>
      <c r="V12" s="1">
        <f t="shared" si="2"/>
        <v>0</v>
      </c>
    </row>
    <row r="13" spans="1:22" x14ac:dyDescent="0.25">
      <c r="A13" s="19" t="s">
        <v>24</v>
      </c>
      <c r="B13" s="20" t="s">
        <v>81</v>
      </c>
      <c r="C13" s="23">
        <v>1</v>
      </c>
      <c r="D13" s="22" t="e">
        <f t="shared" si="0"/>
        <v>#N/A</v>
      </c>
      <c r="E13" s="21" t="e">
        <f>IF(Table1[[#This Row],[Detected Frequency]]&lt;0.6,"FN","TP")</f>
        <v>#N/A</v>
      </c>
      <c r="F13" s="28" t="e">
        <f>IF(Table1[[#This Row],[QC]]="TP","-","")</f>
        <v>#N/A</v>
      </c>
      <c r="G13" s="29">
        <v>140453137</v>
      </c>
      <c r="H13" s="15"/>
      <c r="I13" s="13">
        <f>'Raw Data Cut 1.3'!A8</f>
        <v>0</v>
      </c>
      <c r="J13" s="2">
        <f>'Raw Data Cut 1.3'!B8</f>
        <v>0</v>
      </c>
      <c r="K13" s="2">
        <f>'Raw Data Cut 1.3'!C8</f>
        <v>0</v>
      </c>
      <c r="L13" s="2">
        <f>'Raw Data Cut 1.3'!D8</f>
        <v>0</v>
      </c>
      <c r="M13" s="2">
        <f>'Raw Data Cut 1.3'!E8</f>
        <v>0</v>
      </c>
      <c r="N13" s="2">
        <f>'Raw Data Cut 1.3'!G8</f>
        <v>0</v>
      </c>
      <c r="O13" s="2">
        <f>'Raw Data Cut 1.3'!H8</f>
        <v>0</v>
      </c>
      <c r="P13" s="2">
        <f>'Raw Data Cut 1.3'!I8</f>
        <v>0</v>
      </c>
      <c r="Q13" s="2">
        <f>'Raw Data Cut 1.3'!J8</f>
        <v>0</v>
      </c>
      <c r="R13" s="2">
        <f>'Raw Data Cut 1.3'!K8</f>
        <v>0</v>
      </c>
      <c r="S13" s="2">
        <f>'Raw Data Cut 1.3'!N8</f>
        <v>0</v>
      </c>
      <c r="T13" s="2">
        <f t="shared" si="1"/>
        <v>0</v>
      </c>
      <c r="U13" s="11" t="str">
        <f>IF($S13=0, "", IF(COUNTIF(Table1[Amino Acid Change], $S13)=0, "Missing", "Y"))</f>
        <v/>
      </c>
      <c r="V13" s="1">
        <f t="shared" si="2"/>
        <v>0</v>
      </c>
    </row>
    <row r="14" spans="1:22" x14ac:dyDescent="0.25">
      <c r="A14" s="19" t="s">
        <v>8</v>
      </c>
      <c r="B14" s="20" t="s">
        <v>82</v>
      </c>
      <c r="C14" s="21">
        <v>25</v>
      </c>
      <c r="D14" s="22" t="e">
        <f t="shared" si="0"/>
        <v>#N/A</v>
      </c>
      <c r="E14" s="21" t="e">
        <f>IF(Table1[[#This Row],[Detected Frequency]]&lt;0.6,"FN","TP")</f>
        <v>#N/A</v>
      </c>
      <c r="F14" s="28" t="e">
        <f>IF(Table1[[#This Row],[QC]]="TP","-","")</f>
        <v>#N/A</v>
      </c>
      <c r="G14" s="29">
        <v>13051383</v>
      </c>
      <c r="H14" s="15"/>
      <c r="I14" s="13">
        <f>'Raw Data Cut 1.3'!A9</f>
        <v>0</v>
      </c>
      <c r="J14" s="2">
        <f>'Raw Data Cut 1.3'!B9</f>
        <v>0</v>
      </c>
      <c r="K14" s="2">
        <f>'Raw Data Cut 1.3'!C9</f>
        <v>0</v>
      </c>
      <c r="L14" s="2">
        <f>'Raw Data Cut 1.3'!D9</f>
        <v>0</v>
      </c>
      <c r="M14" s="2">
        <f>'Raw Data Cut 1.3'!E9</f>
        <v>0</v>
      </c>
      <c r="N14" s="2">
        <f>'Raw Data Cut 1.3'!G9</f>
        <v>0</v>
      </c>
      <c r="O14" s="2">
        <f>'Raw Data Cut 1.3'!H9</f>
        <v>0</v>
      </c>
      <c r="P14" s="2">
        <f>'Raw Data Cut 1.3'!I9</f>
        <v>0</v>
      </c>
      <c r="Q14" s="2">
        <f>'Raw Data Cut 1.3'!J9</f>
        <v>0</v>
      </c>
      <c r="R14" s="2">
        <f>'Raw Data Cut 1.3'!K9</f>
        <v>0</v>
      </c>
      <c r="S14" s="2">
        <f>'Raw Data Cut 1.3'!N9</f>
        <v>0</v>
      </c>
      <c r="T14" s="2">
        <f t="shared" si="1"/>
        <v>0</v>
      </c>
      <c r="U14" s="11" t="str">
        <f>IF($S14=0, "", IF(COUNTIF(Table1[Amino Acid Change], $S14)=0, "Missing", "Y"))</f>
        <v/>
      </c>
      <c r="V14" s="1">
        <f t="shared" si="2"/>
        <v>0</v>
      </c>
    </row>
    <row r="15" spans="1:22" x14ac:dyDescent="0.25">
      <c r="A15" s="19" t="s">
        <v>30</v>
      </c>
      <c r="B15" s="20" t="s">
        <v>83</v>
      </c>
      <c r="C15" s="21">
        <v>1</v>
      </c>
      <c r="D15" s="22" t="e">
        <f t="shared" si="0"/>
        <v>#N/A</v>
      </c>
      <c r="E15" s="21" t="e">
        <f>IF(Table1[[#This Row],[Detected Frequency]]&lt;0.6,"FN","TP")</f>
        <v>#N/A</v>
      </c>
      <c r="F15" s="28" t="e">
        <f>IF(Table1[[#This Row],[QC]]="TP","-","")</f>
        <v>#N/A</v>
      </c>
      <c r="G15" s="29">
        <v>55220310</v>
      </c>
      <c r="H15" s="15"/>
      <c r="I15" s="13">
        <f>'Raw Data Cut 1.3'!A10</f>
        <v>0</v>
      </c>
      <c r="J15" s="2">
        <f>'Raw Data Cut 1.3'!B10</f>
        <v>0</v>
      </c>
      <c r="K15" s="2">
        <f>'Raw Data Cut 1.3'!C10</f>
        <v>0</v>
      </c>
      <c r="L15" s="2">
        <f>'Raw Data Cut 1.3'!D10</f>
        <v>0</v>
      </c>
      <c r="M15" s="2">
        <f>'Raw Data Cut 1.3'!E10</f>
        <v>0</v>
      </c>
      <c r="N15" s="2">
        <f>'Raw Data Cut 1.3'!G10</f>
        <v>0</v>
      </c>
      <c r="O15" s="2">
        <f>'Raw Data Cut 1.3'!H10</f>
        <v>0</v>
      </c>
      <c r="P15" s="2">
        <f>'Raw Data Cut 1.3'!I10</f>
        <v>0</v>
      </c>
      <c r="Q15" s="2">
        <f>'Raw Data Cut 1.3'!J10</f>
        <v>0</v>
      </c>
      <c r="R15" s="2">
        <f>'Raw Data Cut 1.3'!K10</f>
        <v>0</v>
      </c>
      <c r="S15" s="2">
        <f>'Raw Data Cut 1.3'!N10</f>
        <v>0</v>
      </c>
      <c r="T15" s="2">
        <f t="shared" si="1"/>
        <v>0</v>
      </c>
      <c r="U15" s="11" t="str">
        <f>IF($S15=0, "", IF(COUNTIF(Table1[Amino Acid Change], $S15)=0, "Missing", "Y"))</f>
        <v/>
      </c>
      <c r="V15" s="1">
        <f t="shared" si="2"/>
        <v>0</v>
      </c>
    </row>
    <row r="16" spans="1:22" x14ac:dyDescent="0.25">
      <c r="A16" s="19" t="s">
        <v>20</v>
      </c>
      <c r="B16" s="20" t="s">
        <v>84</v>
      </c>
      <c r="C16" s="21">
        <v>16.7</v>
      </c>
      <c r="D16" s="22" t="e">
        <f t="shared" si="0"/>
        <v>#N/A</v>
      </c>
      <c r="E16" s="21" t="e">
        <f>IF(Table1[[#This Row],[Detected Frequency]]&lt;0.6,"FN","TP")</f>
        <v>#N/A</v>
      </c>
      <c r="F16" s="28" t="e">
        <f>IF(Table1[[#This Row],[QC]]="TP","-","")</f>
        <v>#N/A</v>
      </c>
      <c r="G16" s="29">
        <v>55241707</v>
      </c>
      <c r="H16" s="15"/>
      <c r="I16" s="13">
        <f>'Raw Data Cut 1.3'!A11</f>
        <v>0</v>
      </c>
      <c r="J16" s="2">
        <f>'Raw Data Cut 1.3'!B11</f>
        <v>0</v>
      </c>
      <c r="K16" s="2">
        <f>'Raw Data Cut 1.3'!C11</f>
        <v>0</v>
      </c>
      <c r="L16" s="2">
        <f>'Raw Data Cut 1.3'!D11</f>
        <v>0</v>
      </c>
      <c r="M16" s="2">
        <f>'Raw Data Cut 1.3'!E11</f>
        <v>0</v>
      </c>
      <c r="N16" s="2">
        <f>'Raw Data Cut 1.3'!G11</f>
        <v>0</v>
      </c>
      <c r="O16" s="2">
        <f>'Raw Data Cut 1.3'!H11</f>
        <v>0</v>
      </c>
      <c r="P16" s="2">
        <f>'Raw Data Cut 1.3'!I11</f>
        <v>0</v>
      </c>
      <c r="Q16" s="2">
        <f>'Raw Data Cut 1.3'!J11</f>
        <v>0</v>
      </c>
      <c r="R16" s="2">
        <f>'Raw Data Cut 1.3'!K11</f>
        <v>0</v>
      </c>
      <c r="S16" s="2">
        <f>'Raw Data Cut 1.3'!N11</f>
        <v>0</v>
      </c>
      <c r="T16" s="2">
        <f t="shared" si="1"/>
        <v>0</v>
      </c>
      <c r="U16" s="11" t="str">
        <f>IF($S16=0, "", IF(COUNTIF(Table1[Amino Acid Change], $S16)=0, "Missing", "Y"))</f>
        <v/>
      </c>
      <c r="V16" s="1">
        <f t="shared" si="2"/>
        <v>0</v>
      </c>
    </row>
    <row r="17" spans="1:22" x14ac:dyDescent="0.25">
      <c r="A17" s="19" t="s">
        <v>132</v>
      </c>
      <c r="B17" s="20" t="s">
        <v>86</v>
      </c>
      <c r="C17" s="21">
        <v>1</v>
      </c>
      <c r="D17" s="22" t="e">
        <f t="shared" si="0"/>
        <v>#N/A</v>
      </c>
      <c r="E17" s="21" t="e">
        <f>IF(Table1[[#This Row],[Detected Frequency]]&lt;0.6,"FN","TP")</f>
        <v>#N/A</v>
      </c>
      <c r="F17" s="28" t="e">
        <f>IF(Table1[[#This Row],[QC]]="TP","-","")</f>
        <v>#N/A</v>
      </c>
      <c r="G17" s="29" t="s">
        <v>85</v>
      </c>
      <c r="H17" s="15"/>
      <c r="I17" s="13">
        <f>'Raw Data Cut 1.3'!A12</f>
        <v>0</v>
      </c>
      <c r="J17" s="2">
        <f>'Raw Data Cut 1.3'!B12</f>
        <v>0</v>
      </c>
      <c r="K17" s="2">
        <f>'Raw Data Cut 1.3'!C12</f>
        <v>0</v>
      </c>
      <c r="L17" s="2">
        <f>'Raw Data Cut 1.3'!D12</f>
        <v>0</v>
      </c>
      <c r="M17" s="2">
        <f>'Raw Data Cut 1.3'!E12</f>
        <v>0</v>
      </c>
      <c r="N17" s="2">
        <f>'Raw Data Cut 1.3'!G12</f>
        <v>0</v>
      </c>
      <c r="O17" s="2">
        <f>'Raw Data Cut 1.3'!H12</f>
        <v>0</v>
      </c>
      <c r="P17" s="2">
        <f>'Raw Data Cut 1.3'!I12</f>
        <v>0</v>
      </c>
      <c r="Q17" s="2">
        <f>'Raw Data Cut 1.3'!J12</f>
        <v>0</v>
      </c>
      <c r="R17" s="2">
        <f>'Raw Data Cut 1.3'!K12</f>
        <v>0</v>
      </c>
      <c r="S17" s="2">
        <f>'Raw Data Cut 1.3'!N12</f>
        <v>0</v>
      </c>
      <c r="T17" s="2">
        <f t="shared" si="1"/>
        <v>0</v>
      </c>
      <c r="U17" s="11" t="str">
        <f>IF($S17=0, "", IF(COUNTIF(Table1[Amino Acid Change], $S17)=0, "Missing", "Y"))</f>
        <v/>
      </c>
      <c r="V17" s="1">
        <f t="shared" si="2"/>
        <v>0</v>
      </c>
    </row>
    <row r="18" spans="1:22" x14ac:dyDescent="0.25">
      <c r="A18" s="19" t="s">
        <v>31</v>
      </c>
      <c r="B18" s="20" t="s">
        <v>87</v>
      </c>
      <c r="C18" s="21">
        <v>1</v>
      </c>
      <c r="D18" s="22" t="e">
        <f t="shared" si="0"/>
        <v>#N/A</v>
      </c>
      <c r="E18" s="21" t="e">
        <f>IF(Table1[[#This Row],[Detected Frequency]]&lt;0.6,"FN","TP")</f>
        <v>#N/A</v>
      </c>
      <c r="F18" s="28" t="e">
        <f>IF(Table1[[#This Row],[QC]]="TP","-","")</f>
        <v>#N/A</v>
      </c>
      <c r="G18" s="29">
        <v>55259515</v>
      </c>
      <c r="H18" s="15"/>
      <c r="I18" s="13">
        <f>'Raw Data Cut 1.3'!A13</f>
        <v>0</v>
      </c>
      <c r="J18" s="2">
        <f>'Raw Data Cut 1.3'!B13</f>
        <v>0</v>
      </c>
      <c r="K18" s="2">
        <f>'Raw Data Cut 1.3'!C13</f>
        <v>0</v>
      </c>
      <c r="L18" s="2">
        <f>'Raw Data Cut 1.3'!D13</f>
        <v>0</v>
      </c>
      <c r="M18" s="2">
        <f>'Raw Data Cut 1.3'!E13</f>
        <v>0</v>
      </c>
      <c r="N18" s="2">
        <f>'Raw Data Cut 1.3'!G13</f>
        <v>0</v>
      </c>
      <c r="O18" s="2">
        <f>'Raw Data Cut 1.3'!H13</f>
        <v>0</v>
      </c>
      <c r="P18" s="2">
        <f>'Raw Data Cut 1.3'!I13</f>
        <v>0</v>
      </c>
      <c r="Q18" s="2">
        <f>'Raw Data Cut 1.3'!J13</f>
        <v>0</v>
      </c>
      <c r="R18" s="2">
        <f>'Raw Data Cut 1.3'!K13</f>
        <v>0</v>
      </c>
      <c r="S18" s="2">
        <f>'Raw Data Cut 1.3'!N13</f>
        <v>0</v>
      </c>
      <c r="T18" s="2">
        <f t="shared" si="1"/>
        <v>0</v>
      </c>
      <c r="U18" s="11" t="str">
        <f>IF($S18=0, "", IF(COUNTIF(Table1[Amino Acid Change], $S18)=0, "Missing", "Y"))</f>
        <v/>
      </c>
      <c r="V18" s="1">
        <f t="shared" si="2"/>
        <v>0</v>
      </c>
    </row>
    <row r="19" spans="1:22" x14ac:dyDescent="0.25">
      <c r="A19" s="19" t="s">
        <v>32</v>
      </c>
      <c r="B19" s="20" t="s">
        <v>88</v>
      </c>
      <c r="C19" s="21">
        <v>1</v>
      </c>
      <c r="D19" s="22" t="e">
        <f t="shared" si="0"/>
        <v>#N/A</v>
      </c>
      <c r="E19" s="21" t="e">
        <f>IF(Table1[[#This Row],[Detected Frequency]]&lt;0.6,"FN","TP")</f>
        <v>#N/A</v>
      </c>
      <c r="F19" s="28" t="e">
        <f>IF(Table1[[#This Row],[QC]]="TP","-","")</f>
        <v>#N/A</v>
      </c>
      <c r="G19" s="29">
        <v>55259524</v>
      </c>
      <c r="H19" s="15"/>
      <c r="I19" s="13">
        <f>'Raw Data Cut 1.3'!A14</f>
        <v>0</v>
      </c>
      <c r="J19" s="2">
        <f>'Raw Data Cut 1.3'!B14</f>
        <v>0</v>
      </c>
      <c r="K19" s="2">
        <f>'Raw Data Cut 1.3'!C14</f>
        <v>0</v>
      </c>
      <c r="L19" s="2">
        <f>'Raw Data Cut 1.3'!D14</f>
        <v>0</v>
      </c>
      <c r="M19" s="2">
        <f>'Raw Data Cut 1.3'!E14</f>
        <v>0</v>
      </c>
      <c r="N19" s="2">
        <f>'Raw Data Cut 1.3'!G14</f>
        <v>0</v>
      </c>
      <c r="O19" s="2">
        <f>'Raw Data Cut 1.3'!H14</f>
        <v>0</v>
      </c>
      <c r="P19" s="2">
        <f>'Raw Data Cut 1.3'!I14</f>
        <v>0</v>
      </c>
      <c r="Q19" s="2">
        <f>'Raw Data Cut 1.3'!J14</f>
        <v>0</v>
      </c>
      <c r="R19" s="2">
        <f>'Raw Data Cut 1.3'!K14</f>
        <v>0</v>
      </c>
      <c r="S19" s="2">
        <f>'Raw Data Cut 1.3'!N14</f>
        <v>0</v>
      </c>
      <c r="T19" s="2">
        <f t="shared" si="1"/>
        <v>0</v>
      </c>
      <c r="U19" s="11" t="str">
        <f>IF($S19=0, "", IF(COUNTIF(Table1[Amino Acid Change], $S19)=0, "Missing", "Y"))</f>
        <v/>
      </c>
      <c r="V19" s="1">
        <f t="shared" si="2"/>
        <v>0</v>
      </c>
    </row>
    <row r="20" spans="1:22" x14ac:dyDescent="0.25">
      <c r="A20" s="19" t="s">
        <v>9</v>
      </c>
      <c r="B20" s="20" t="s">
        <v>89</v>
      </c>
      <c r="C20" s="21">
        <v>16</v>
      </c>
      <c r="D20" s="22" t="e">
        <f t="shared" si="0"/>
        <v>#N/A</v>
      </c>
      <c r="E20" s="21" t="e">
        <f>IF(Table1[[#This Row],[Detected Frequency]]&lt;0.6,"FN","TP")</f>
        <v>#N/A</v>
      </c>
      <c r="F20" s="28" t="e">
        <f>IF(Table1[[#This Row],[QC]]="TP","-","")</f>
        <v>#N/A</v>
      </c>
      <c r="G20" s="29">
        <v>55268980</v>
      </c>
      <c r="H20" s="15"/>
      <c r="I20" s="13">
        <f>'Raw Data Cut 1.3'!A15</f>
        <v>0</v>
      </c>
      <c r="J20" s="2">
        <f>'Raw Data Cut 1.3'!B15</f>
        <v>0</v>
      </c>
      <c r="K20" s="2">
        <f>'Raw Data Cut 1.3'!C15</f>
        <v>0</v>
      </c>
      <c r="L20" s="2">
        <f>'Raw Data Cut 1.3'!D15</f>
        <v>0</v>
      </c>
      <c r="M20" s="2">
        <f>'Raw Data Cut 1.3'!E15</f>
        <v>0</v>
      </c>
      <c r="N20" s="2">
        <f>'Raw Data Cut 1.3'!G15</f>
        <v>0</v>
      </c>
      <c r="O20" s="2">
        <f>'Raw Data Cut 1.3'!H15</f>
        <v>0</v>
      </c>
      <c r="P20" s="2">
        <f>'Raw Data Cut 1.3'!I15</f>
        <v>0</v>
      </c>
      <c r="Q20" s="2">
        <f>'Raw Data Cut 1.3'!J15</f>
        <v>0</v>
      </c>
      <c r="R20" s="2">
        <f>'Raw Data Cut 1.3'!K15</f>
        <v>0</v>
      </c>
      <c r="S20" s="2">
        <f>'Raw Data Cut 1.3'!N15</f>
        <v>0</v>
      </c>
      <c r="T20" s="2">
        <f t="shared" si="1"/>
        <v>0</v>
      </c>
      <c r="U20" s="11" t="str">
        <f>IF($S20=0, "", IF(COUNTIF(Table1[Amino Acid Change], $S20)=0, "Missing", "Y"))</f>
        <v/>
      </c>
      <c r="V20" s="1">
        <f t="shared" si="2"/>
        <v>0</v>
      </c>
    </row>
    <row r="21" spans="1:22" x14ac:dyDescent="0.25">
      <c r="A21" s="19" t="s">
        <v>133</v>
      </c>
      <c r="B21" s="21" t="s">
        <v>134</v>
      </c>
      <c r="C21" s="21">
        <v>1</v>
      </c>
      <c r="D21" s="22" t="e">
        <f t="shared" si="0"/>
        <v>#N/A</v>
      </c>
      <c r="E21" s="21" t="e">
        <f>IF(Table1[[#This Row],[Detected Frequency]]&lt;0.6,"FN","TP")</f>
        <v>#N/A</v>
      </c>
      <c r="F21" s="28" t="e">
        <f>IF(Table1[[#This Row],[QC]]="TP","-","")</f>
        <v>#N/A</v>
      </c>
      <c r="G21" s="29">
        <v>55249071</v>
      </c>
      <c r="H21" s="15"/>
      <c r="I21" s="13">
        <f>'Raw Data Cut 1.3'!A16</f>
        <v>0</v>
      </c>
      <c r="J21" s="2">
        <f>'Raw Data Cut 1.3'!B16</f>
        <v>0</v>
      </c>
      <c r="K21" s="2">
        <f>'Raw Data Cut 1.3'!C16</f>
        <v>0</v>
      </c>
      <c r="L21" s="2">
        <f>'Raw Data Cut 1.3'!D16</f>
        <v>0</v>
      </c>
      <c r="M21" s="2">
        <f>'Raw Data Cut 1.3'!E16</f>
        <v>0</v>
      </c>
      <c r="N21" s="2">
        <f>'Raw Data Cut 1.3'!G16</f>
        <v>0</v>
      </c>
      <c r="O21" s="2">
        <f>'Raw Data Cut 1.3'!H16</f>
        <v>0</v>
      </c>
      <c r="P21" s="2">
        <f>'Raw Data Cut 1.3'!I16</f>
        <v>0</v>
      </c>
      <c r="Q21" s="2">
        <f>'Raw Data Cut 1.3'!J16</f>
        <v>0</v>
      </c>
      <c r="R21" s="2">
        <f>'Raw Data Cut 1.3'!K16</f>
        <v>0</v>
      </c>
      <c r="S21" s="2">
        <f>'Raw Data Cut 1.3'!N16</f>
        <v>0</v>
      </c>
      <c r="T21" s="2">
        <f t="shared" si="1"/>
        <v>0</v>
      </c>
      <c r="U21" s="11" t="str">
        <f>IF($S21=0, "", IF(COUNTIF(Table1[Amino Acid Change], $S21)=0, "Missing", "Y"))</f>
        <v/>
      </c>
      <c r="V21" s="1">
        <f t="shared" si="2"/>
        <v>0</v>
      </c>
    </row>
    <row r="22" spans="1:22" x14ac:dyDescent="0.25">
      <c r="A22" s="19" t="s">
        <v>21</v>
      </c>
      <c r="B22" s="20" t="s">
        <v>90</v>
      </c>
      <c r="C22" s="21">
        <v>20</v>
      </c>
      <c r="D22" s="22" t="e">
        <f t="shared" si="0"/>
        <v>#N/A</v>
      </c>
      <c r="E22" s="21" t="e">
        <f>IF(Table1[[#This Row],[Detected Frequency]]&lt;0.6,"FN","TP")</f>
        <v>#N/A</v>
      </c>
      <c r="F22" s="28" t="e">
        <f>IF(Table1[[#This Row],[QC]]="TP","-","")</f>
        <v>#N/A</v>
      </c>
      <c r="G22" s="29">
        <v>55138600</v>
      </c>
      <c r="H22" s="15"/>
      <c r="I22" s="13">
        <f>'Raw Data Cut 1.3'!A17</f>
        <v>0</v>
      </c>
      <c r="J22" s="2">
        <f>'Raw Data Cut 1.3'!B17</f>
        <v>0</v>
      </c>
      <c r="K22" s="2">
        <f>'Raw Data Cut 1.3'!C17</f>
        <v>0</v>
      </c>
      <c r="L22" s="2">
        <f>'Raw Data Cut 1.3'!D17</f>
        <v>0</v>
      </c>
      <c r="M22" s="2">
        <f>'Raw Data Cut 1.3'!E17</f>
        <v>0</v>
      </c>
      <c r="N22" s="2">
        <f>'Raw Data Cut 1.3'!G17</f>
        <v>0</v>
      </c>
      <c r="O22" s="2">
        <f>'Raw Data Cut 1.3'!H17</f>
        <v>0</v>
      </c>
      <c r="P22" s="2">
        <f>'Raw Data Cut 1.3'!I17</f>
        <v>0</v>
      </c>
      <c r="Q22" s="2">
        <f>'Raw Data Cut 1.3'!J17</f>
        <v>0</v>
      </c>
      <c r="R22" s="2">
        <f>'Raw Data Cut 1.3'!K17</f>
        <v>0</v>
      </c>
      <c r="S22" s="2">
        <f>'Raw Data Cut 1.3'!N17</f>
        <v>0</v>
      </c>
      <c r="T22" s="2">
        <f t="shared" si="1"/>
        <v>0</v>
      </c>
      <c r="U22" s="11" t="str">
        <f>IF($S22=0, "", IF(COUNTIF(Table1[Amino Acid Change], $S22)=0, "Missing", "Y"))</f>
        <v/>
      </c>
      <c r="V22" s="1">
        <f t="shared" si="2"/>
        <v>0</v>
      </c>
    </row>
    <row r="23" spans="1:22" x14ac:dyDescent="0.25">
      <c r="A23" s="19" t="s">
        <v>33</v>
      </c>
      <c r="B23" s="20" t="s">
        <v>139</v>
      </c>
      <c r="C23" s="21">
        <v>1.3</v>
      </c>
      <c r="D23" s="22" t="e">
        <f t="shared" si="0"/>
        <v>#N/A</v>
      </c>
      <c r="E23" s="21" t="e">
        <f>IF(Table1[[#This Row],[Detected Frequency]]&lt;0.6,"FN","TP")</f>
        <v>#N/A</v>
      </c>
      <c r="F23" s="28" t="e">
        <f>IF(Table1[[#This Row],[QC]]="TP","-","")</f>
        <v>#N/A</v>
      </c>
      <c r="G23" s="29">
        <v>55152093</v>
      </c>
      <c r="H23" s="15"/>
      <c r="I23" s="13">
        <f>'Raw Data Cut 1.3'!A18</f>
        <v>0</v>
      </c>
      <c r="J23" s="2">
        <f>'Raw Data Cut 1.3'!B18</f>
        <v>0</v>
      </c>
      <c r="K23" s="2">
        <f>'Raw Data Cut 1.3'!C18</f>
        <v>0</v>
      </c>
      <c r="L23" s="2">
        <f>'Raw Data Cut 1.3'!D18</f>
        <v>0</v>
      </c>
      <c r="M23" s="2">
        <f>'Raw Data Cut 1.3'!E18</f>
        <v>0</v>
      </c>
      <c r="N23" s="2">
        <f>'Raw Data Cut 1.3'!G18</f>
        <v>0</v>
      </c>
      <c r="O23" s="2">
        <f>'Raw Data Cut 1.3'!H18</f>
        <v>0</v>
      </c>
      <c r="P23" s="2">
        <f>'Raw Data Cut 1.3'!I18</f>
        <v>0</v>
      </c>
      <c r="Q23" s="2">
        <f>'Raw Data Cut 1.3'!J18</f>
        <v>0</v>
      </c>
      <c r="R23" s="2">
        <f>'Raw Data Cut 1.3'!K18</f>
        <v>0</v>
      </c>
      <c r="S23" s="2">
        <f>'Raw Data Cut 1.3'!N18</f>
        <v>0</v>
      </c>
      <c r="T23" s="2">
        <f t="shared" si="1"/>
        <v>0</v>
      </c>
      <c r="U23" s="11" t="str">
        <f>IF($S23=0, "", IF(COUNTIF(Table1[Amino Acid Change], $S23)=0, "Missing", "Y"))</f>
        <v/>
      </c>
      <c r="V23" s="1">
        <f t="shared" si="2"/>
        <v>0</v>
      </c>
    </row>
    <row r="24" spans="1:22" x14ac:dyDescent="0.25">
      <c r="A24" s="19" t="s">
        <v>10</v>
      </c>
      <c r="B24" s="20" t="s">
        <v>91</v>
      </c>
      <c r="C24" s="21">
        <v>10</v>
      </c>
      <c r="D24" s="22" t="e">
        <f t="shared" si="0"/>
        <v>#N/A</v>
      </c>
      <c r="E24" s="21" t="e">
        <f>IF(Table1[[#This Row],[Detected Frequency]]&lt;0.6,"FN","TP")</f>
        <v>#N/A</v>
      </c>
      <c r="F24" s="28" t="e">
        <f>IF(Table1[[#This Row],[QC]]="TP","-","")</f>
        <v>#N/A</v>
      </c>
      <c r="G24" s="29">
        <v>55155059</v>
      </c>
      <c r="H24" s="15"/>
      <c r="I24" s="13">
        <f>'Raw Data Cut 1.3'!A19</f>
        <v>0</v>
      </c>
      <c r="J24" s="2">
        <f>'Raw Data Cut 1.3'!B19</f>
        <v>0</v>
      </c>
      <c r="K24" s="2">
        <f>'Raw Data Cut 1.3'!C19</f>
        <v>0</v>
      </c>
      <c r="L24" s="2">
        <f>'Raw Data Cut 1.3'!D19</f>
        <v>0</v>
      </c>
      <c r="M24" s="2">
        <f>'Raw Data Cut 1.3'!E19</f>
        <v>0</v>
      </c>
      <c r="N24" s="2">
        <f>'Raw Data Cut 1.3'!G19</f>
        <v>0</v>
      </c>
      <c r="O24" s="2">
        <f>'Raw Data Cut 1.3'!H19</f>
        <v>0</v>
      </c>
      <c r="P24" s="2">
        <f>'Raw Data Cut 1.3'!I19</f>
        <v>0</v>
      </c>
      <c r="Q24" s="2">
        <f>'Raw Data Cut 1.3'!J19</f>
        <v>0</v>
      </c>
      <c r="R24" s="2">
        <f>'Raw Data Cut 1.3'!K19</f>
        <v>0</v>
      </c>
      <c r="S24" s="2">
        <f>'Raw Data Cut 1.3'!N19</f>
        <v>0</v>
      </c>
      <c r="T24" s="2">
        <f t="shared" si="1"/>
        <v>0</v>
      </c>
      <c r="U24" s="11" t="str">
        <f>IF($S24=0, "", IF(COUNTIF(Table1[Amino Acid Change], $S24)=0, "Missing", "Y"))</f>
        <v/>
      </c>
      <c r="V24" s="1">
        <f t="shared" si="2"/>
        <v>0</v>
      </c>
    </row>
    <row r="25" spans="1:22" x14ac:dyDescent="0.25">
      <c r="A25" s="19" t="s">
        <v>35</v>
      </c>
      <c r="B25" s="20" t="s">
        <v>93</v>
      </c>
      <c r="C25" s="21">
        <v>25</v>
      </c>
      <c r="D25" s="22" t="e">
        <f t="shared" si="0"/>
        <v>#N/A</v>
      </c>
      <c r="E25" s="21" t="e">
        <f>IF(Table1[[#This Row],[Detected Frequency]]&lt;0.6,"FN","TP")</f>
        <v>#N/A</v>
      </c>
      <c r="F25" s="28" t="e">
        <f>IF(Table1[[#This Row],[QC]]="TP","-","")</f>
        <v>#N/A</v>
      </c>
      <c r="G25" s="29" t="s">
        <v>92</v>
      </c>
      <c r="H25" s="15"/>
      <c r="I25" s="13">
        <f>'Raw Data Cut 1.3'!A20</f>
        <v>0</v>
      </c>
      <c r="J25" s="2">
        <f>'Raw Data Cut 1.3'!B20</f>
        <v>0</v>
      </c>
      <c r="K25" s="2">
        <f>'Raw Data Cut 1.3'!C20</f>
        <v>0</v>
      </c>
      <c r="L25" s="2">
        <f>'Raw Data Cut 1.3'!D20</f>
        <v>0</v>
      </c>
      <c r="M25" s="2">
        <f>'Raw Data Cut 1.3'!E20</f>
        <v>0</v>
      </c>
      <c r="N25" s="2">
        <f>'Raw Data Cut 1.3'!G20</f>
        <v>0</v>
      </c>
      <c r="O25" s="2">
        <f>'Raw Data Cut 1.3'!H20</f>
        <v>0</v>
      </c>
      <c r="P25" s="2">
        <f>'Raw Data Cut 1.3'!I20</f>
        <v>0</v>
      </c>
      <c r="Q25" s="2">
        <f>'Raw Data Cut 1.3'!J20</f>
        <v>0</v>
      </c>
      <c r="R25" s="2">
        <f>'Raw Data Cut 1.3'!K20</f>
        <v>0</v>
      </c>
      <c r="S25" s="2">
        <f>'Raw Data Cut 1.3'!N20</f>
        <v>0</v>
      </c>
      <c r="T25" s="2">
        <f t="shared" si="1"/>
        <v>0</v>
      </c>
      <c r="U25" s="11" t="str">
        <f>IF($S25=0, "", IF(COUNTIF(Table1[Amino Acid Change], $S25)=0, "Missing", "Y"))</f>
        <v/>
      </c>
      <c r="V25" s="1">
        <f t="shared" si="2"/>
        <v>0</v>
      </c>
    </row>
    <row r="26" spans="1:22" x14ac:dyDescent="0.25">
      <c r="A26" s="19" t="s">
        <v>3</v>
      </c>
      <c r="B26" s="20" t="s">
        <v>95</v>
      </c>
      <c r="C26" s="21">
        <v>1.3</v>
      </c>
      <c r="D26" s="22" t="e">
        <f t="shared" si="0"/>
        <v>#N/A</v>
      </c>
      <c r="E26" s="21" t="e">
        <f>IF(Table1[[#This Row],[Detected Frequency]]&lt;0.6,"FN","TP")</f>
        <v>#N/A</v>
      </c>
      <c r="F26" s="28" t="e">
        <f>IF(Table1[[#This Row],[QC]]="TP","-","")</f>
        <v>#N/A</v>
      </c>
      <c r="G26" s="29" t="s">
        <v>94</v>
      </c>
      <c r="H26" s="15"/>
      <c r="I26" s="13">
        <f>'Raw Data Cut 1.3'!A21</f>
        <v>0</v>
      </c>
      <c r="J26" s="2">
        <f>'Raw Data Cut 1.3'!B21</f>
        <v>0</v>
      </c>
      <c r="K26" s="2">
        <f>'Raw Data Cut 1.3'!C21</f>
        <v>0</v>
      </c>
      <c r="L26" s="2">
        <f>'Raw Data Cut 1.3'!D21</f>
        <v>0</v>
      </c>
      <c r="M26" s="2">
        <f>'Raw Data Cut 1.3'!E21</f>
        <v>0</v>
      </c>
      <c r="N26" s="2">
        <f>'Raw Data Cut 1.3'!G21</f>
        <v>0</v>
      </c>
      <c r="O26" s="2">
        <f>'Raw Data Cut 1.3'!H21</f>
        <v>0</v>
      </c>
      <c r="P26" s="2">
        <f>'Raw Data Cut 1.3'!I21</f>
        <v>0</v>
      </c>
      <c r="Q26" s="2">
        <f>'Raw Data Cut 1.3'!J21</f>
        <v>0</v>
      </c>
      <c r="R26" s="2">
        <f>'Raw Data Cut 1.3'!K21</f>
        <v>0</v>
      </c>
      <c r="S26" s="2">
        <f>'Raw Data Cut 1.3'!N21</f>
        <v>0</v>
      </c>
      <c r="T26" s="2">
        <f t="shared" si="1"/>
        <v>0</v>
      </c>
      <c r="U26" s="11" t="str">
        <f>IF($S26=0, "", IF(COUNTIF(Table1[Amino Acid Change], $S26)=0, "Missing", "Y"))</f>
        <v/>
      </c>
      <c r="V26" s="1">
        <f t="shared" si="2"/>
        <v>0</v>
      </c>
    </row>
    <row r="27" spans="1:22" x14ac:dyDescent="0.25">
      <c r="A27" s="19" t="s">
        <v>34</v>
      </c>
      <c r="B27" s="20" t="s">
        <v>96</v>
      </c>
      <c r="C27" s="21">
        <v>1.3</v>
      </c>
      <c r="D27" s="22" t="e">
        <f t="shared" si="0"/>
        <v>#N/A</v>
      </c>
      <c r="E27" s="21" t="e">
        <f>IF(Table1[[#This Row],[Detected Frequency]]&lt;0.6,"FN","TP")</f>
        <v>#N/A</v>
      </c>
      <c r="F27" s="28" t="e">
        <f>IF(Table1[[#This Row],[QC]]="TP","-","")</f>
        <v>#N/A</v>
      </c>
      <c r="G27" s="29">
        <v>28592642</v>
      </c>
      <c r="H27" s="15"/>
      <c r="I27" s="13">
        <f>'Raw Data Cut 1.3'!A22</f>
        <v>0</v>
      </c>
      <c r="J27" s="2">
        <f>'Raw Data Cut 1.3'!B22</f>
        <v>0</v>
      </c>
      <c r="K27" s="2">
        <f>'Raw Data Cut 1.3'!C22</f>
        <v>0</v>
      </c>
      <c r="L27" s="2">
        <f>'Raw Data Cut 1.3'!D22</f>
        <v>0</v>
      </c>
      <c r="M27" s="2">
        <f>'Raw Data Cut 1.3'!E22</f>
        <v>0</v>
      </c>
      <c r="N27" s="2">
        <f>'Raw Data Cut 1.3'!G22</f>
        <v>0</v>
      </c>
      <c r="O27" s="2">
        <f>'Raw Data Cut 1.3'!H22</f>
        <v>0</v>
      </c>
      <c r="P27" s="2">
        <f>'Raw Data Cut 1.3'!I22</f>
        <v>0</v>
      </c>
      <c r="Q27" s="2">
        <f>'Raw Data Cut 1.3'!J22</f>
        <v>0</v>
      </c>
      <c r="R27" s="2">
        <f>'Raw Data Cut 1.3'!K22</f>
        <v>0</v>
      </c>
      <c r="S27" s="2">
        <f>'Raw Data Cut 1.3'!N22</f>
        <v>0</v>
      </c>
      <c r="T27" s="2">
        <f t="shared" si="1"/>
        <v>0</v>
      </c>
      <c r="U27" s="11" t="str">
        <f>IF($S27=0, "", IF(COUNTIF(Table1[Amino Acid Change], $S27)=0, "Missing", "Y"))</f>
        <v/>
      </c>
      <c r="V27" s="1">
        <f t="shared" si="2"/>
        <v>0</v>
      </c>
    </row>
    <row r="28" spans="1:22" x14ac:dyDescent="0.25">
      <c r="A28" s="19" t="s">
        <v>36</v>
      </c>
      <c r="B28" s="20" t="s">
        <v>97</v>
      </c>
      <c r="C28" s="21">
        <v>25</v>
      </c>
      <c r="D28" s="22" t="e">
        <f t="shared" si="0"/>
        <v>#N/A</v>
      </c>
      <c r="E28" s="21" t="e">
        <f>IF(Table1[[#This Row],[Detected Frequency]]&lt;0.6,"FN","TP")</f>
        <v>#N/A</v>
      </c>
      <c r="F28" s="28" t="e">
        <f>IF(Table1[[#This Row],[QC]]="TP","-","")</f>
        <v>#N/A</v>
      </c>
      <c r="G28" s="29">
        <v>28626706</v>
      </c>
      <c r="H28" s="15"/>
      <c r="I28" s="13">
        <f>'Raw Data Cut 1.3'!A23</f>
        <v>0</v>
      </c>
      <c r="J28" s="2">
        <f>'Raw Data Cut 1.3'!B23</f>
        <v>0</v>
      </c>
      <c r="K28" s="2">
        <f>'Raw Data Cut 1.3'!C23</f>
        <v>0</v>
      </c>
      <c r="L28" s="2">
        <f>'Raw Data Cut 1.3'!D23</f>
        <v>0</v>
      </c>
      <c r="M28" s="2">
        <f>'Raw Data Cut 1.3'!E23</f>
        <v>0</v>
      </c>
      <c r="N28" s="2">
        <f>'Raw Data Cut 1.3'!G23</f>
        <v>0</v>
      </c>
      <c r="O28" s="2">
        <f>'Raw Data Cut 1.3'!H23</f>
        <v>0</v>
      </c>
      <c r="P28" s="2">
        <f>'Raw Data Cut 1.3'!I23</f>
        <v>0</v>
      </c>
      <c r="Q28" s="2">
        <f>'Raw Data Cut 1.3'!J23</f>
        <v>0</v>
      </c>
      <c r="R28" s="2">
        <f>'Raw Data Cut 1.3'!K23</f>
        <v>0</v>
      </c>
      <c r="S28" s="2">
        <f>'Raw Data Cut 1.3'!N23</f>
        <v>0</v>
      </c>
      <c r="T28" s="2">
        <f t="shared" si="1"/>
        <v>0</v>
      </c>
      <c r="U28" s="11" t="str">
        <f>IF($S28=0, "", IF(COUNTIF(Table1[Amino Acid Change], $S28)=0, "Missing", "Y"))</f>
        <v/>
      </c>
      <c r="V28" s="1">
        <f t="shared" si="2"/>
        <v>0</v>
      </c>
    </row>
    <row r="29" spans="1:22" x14ac:dyDescent="0.25">
      <c r="A29" s="19" t="s">
        <v>11</v>
      </c>
      <c r="B29" s="20" t="s">
        <v>98</v>
      </c>
      <c r="C29" s="21">
        <v>20</v>
      </c>
      <c r="D29" s="22" t="e">
        <f t="shared" si="0"/>
        <v>#N/A</v>
      </c>
      <c r="E29" s="21" t="e">
        <f>IF(Table1[[#This Row],[Detected Frequency]]&lt;0.6,"FN","TP")</f>
        <v>#N/A</v>
      </c>
      <c r="F29" s="28" t="e">
        <f>IF(Table1[[#This Row],[QC]]="TP","-","")</f>
        <v>#N/A</v>
      </c>
      <c r="G29" s="29">
        <v>533328</v>
      </c>
      <c r="H29" s="15"/>
      <c r="I29" s="13">
        <f>'Raw Data Cut 1.3'!A24</f>
        <v>0</v>
      </c>
      <c r="J29" s="2">
        <f>'Raw Data Cut 1.3'!B24</f>
        <v>0</v>
      </c>
      <c r="K29" s="2">
        <f>'Raw Data Cut 1.3'!C24</f>
        <v>0</v>
      </c>
      <c r="L29" s="2">
        <f>'Raw Data Cut 1.3'!D24</f>
        <v>0</v>
      </c>
      <c r="M29" s="2">
        <f>'Raw Data Cut 1.3'!E24</f>
        <v>0</v>
      </c>
      <c r="N29" s="2">
        <f>'Raw Data Cut 1.3'!G24</f>
        <v>0</v>
      </c>
      <c r="O29" s="2">
        <f>'Raw Data Cut 1.3'!H24</f>
        <v>0</v>
      </c>
      <c r="P29" s="2">
        <f>'Raw Data Cut 1.3'!I24</f>
        <v>0</v>
      </c>
      <c r="Q29" s="2">
        <f>'Raw Data Cut 1.3'!J24</f>
        <v>0</v>
      </c>
      <c r="R29" s="2">
        <f>'Raw Data Cut 1.3'!K24</f>
        <v>0</v>
      </c>
      <c r="S29" s="2">
        <f>'Raw Data Cut 1.3'!N24</f>
        <v>0</v>
      </c>
      <c r="T29" s="2">
        <f t="shared" si="1"/>
        <v>0</v>
      </c>
      <c r="U29" s="11" t="str">
        <f>IF($S29=0, "", IF(COUNTIF(Table1[Amino Acid Change], $S29)=0, "Missing", "Y"))</f>
        <v/>
      </c>
      <c r="V29" s="1">
        <f t="shared" si="2"/>
        <v>0</v>
      </c>
    </row>
    <row r="30" spans="1:22" x14ac:dyDescent="0.25">
      <c r="A30" s="19" t="s">
        <v>37</v>
      </c>
      <c r="B30" s="20" t="s">
        <v>99</v>
      </c>
      <c r="C30" s="21">
        <v>25</v>
      </c>
      <c r="D30" s="22" t="e">
        <f t="shared" si="0"/>
        <v>#N/A</v>
      </c>
      <c r="E30" s="21" t="e">
        <f>IF(Table1[[#This Row],[Detected Frequency]]&lt;0.6,"FN","TP")</f>
        <v>#N/A</v>
      </c>
      <c r="F30" s="28" t="e">
        <f>IF(Table1[[#This Row],[QC]]="TP","-","")</f>
        <v>#N/A</v>
      </c>
      <c r="G30" s="29">
        <v>209106786</v>
      </c>
      <c r="H30" s="15"/>
      <c r="I30" s="13">
        <f>'Raw Data Cut 1.3'!A25</f>
        <v>0</v>
      </c>
      <c r="J30" s="2">
        <f>'Raw Data Cut 1.3'!B25</f>
        <v>0</v>
      </c>
      <c r="K30" s="2">
        <f>'Raw Data Cut 1.3'!C25</f>
        <v>0</v>
      </c>
      <c r="L30" s="2">
        <f>'Raw Data Cut 1.3'!D25</f>
        <v>0</v>
      </c>
      <c r="M30" s="2">
        <f>'Raw Data Cut 1.3'!E25</f>
        <v>0</v>
      </c>
      <c r="N30" s="2">
        <f>'Raw Data Cut 1.3'!G25</f>
        <v>0</v>
      </c>
      <c r="O30" s="2">
        <f>'Raw Data Cut 1.3'!H25</f>
        <v>0</v>
      </c>
      <c r="P30" s="2">
        <f>'Raw Data Cut 1.3'!I25</f>
        <v>0</v>
      </c>
      <c r="Q30" s="2">
        <f>'Raw Data Cut 1.3'!J25</f>
        <v>0</v>
      </c>
      <c r="R30" s="2">
        <f>'Raw Data Cut 1.3'!K25</f>
        <v>0</v>
      </c>
      <c r="S30" s="2">
        <f>'Raw Data Cut 1.3'!N25</f>
        <v>0</v>
      </c>
      <c r="T30" s="2">
        <f t="shared" si="1"/>
        <v>0</v>
      </c>
      <c r="U30" s="11" t="str">
        <f>IF($S30=0, "", IF(COUNTIF(Table1[Amino Acid Change], $S30)=0, "Missing", "Y"))</f>
        <v/>
      </c>
      <c r="V30" s="1">
        <f t="shared" si="2"/>
        <v>0</v>
      </c>
    </row>
    <row r="31" spans="1:22" x14ac:dyDescent="0.25">
      <c r="A31" s="19" t="s">
        <v>38</v>
      </c>
      <c r="B31" s="20" t="s">
        <v>100</v>
      </c>
      <c r="C31" s="21">
        <v>1.3</v>
      </c>
      <c r="D31" s="22" t="e">
        <f t="shared" si="0"/>
        <v>#N/A</v>
      </c>
      <c r="E31" s="21" t="e">
        <f>IF(Table1[[#This Row],[Detected Frequency]]&lt;0.6,"FN","TP")</f>
        <v>#N/A</v>
      </c>
      <c r="F31" s="28" t="e">
        <f>IF(Table1[[#This Row],[QC]]="TP","-","")</f>
        <v>#N/A</v>
      </c>
      <c r="G31" s="29">
        <v>209113112</v>
      </c>
      <c r="H31" s="15"/>
      <c r="I31" s="13">
        <f>'Raw Data Cut 1.3'!A26</f>
        <v>0</v>
      </c>
      <c r="J31" s="2">
        <f>'Raw Data Cut 1.3'!B26</f>
        <v>0</v>
      </c>
      <c r="K31" s="2">
        <f>'Raw Data Cut 1.3'!C26</f>
        <v>0</v>
      </c>
      <c r="L31" s="2">
        <f>'Raw Data Cut 1.3'!D26</f>
        <v>0</v>
      </c>
      <c r="M31" s="2">
        <f>'Raw Data Cut 1.3'!E26</f>
        <v>0</v>
      </c>
      <c r="N31" s="2">
        <f>'Raw Data Cut 1.3'!G26</f>
        <v>0</v>
      </c>
      <c r="O31" s="2">
        <f>'Raw Data Cut 1.3'!H26</f>
        <v>0</v>
      </c>
      <c r="P31" s="2">
        <f>'Raw Data Cut 1.3'!I26</f>
        <v>0</v>
      </c>
      <c r="Q31" s="2">
        <f>'Raw Data Cut 1.3'!J26</f>
        <v>0</v>
      </c>
      <c r="R31" s="2">
        <f>'Raw Data Cut 1.3'!K26</f>
        <v>0</v>
      </c>
      <c r="S31" s="2">
        <f>'Raw Data Cut 1.3'!N26</f>
        <v>0</v>
      </c>
      <c r="T31" s="2">
        <f t="shared" si="1"/>
        <v>0</v>
      </c>
      <c r="U31" s="11" t="str">
        <f>IF($S31=0, "", IF(COUNTIF(Table1[Amino Acid Change], $S31)=0, "Missing", "Y"))</f>
        <v/>
      </c>
      <c r="V31" s="1">
        <f t="shared" si="2"/>
        <v>0</v>
      </c>
    </row>
    <row r="32" spans="1:22" x14ac:dyDescent="0.25">
      <c r="A32" s="19" t="s">
        <v>39</v>
      </c>
      <c r="B32" s="20" t="s">
        <v>101</v>
      </c>
      <c r="C32" s="21">
        <v>1.3</v>
      </c>
      <c r="D32" s="22" t="e">
        <f t="shared" si="0"/>
        <v>#N/A</v>
      </c>
      <c r="E32" s="21" t="e">
        <f>IF(Table1[[#This Row],[Detected Frequency]]&lt;0.6,"FN","TP")</f>
        <v>#N/A</v>
      </c>
      <c r="F32" s="28" t="e">
        <f>IF(Table1[[#This Row],[QC]]="TP","-","")</f>
        <v>#N/A</v>
      </c>
      <c r="G32" s="29">
        <v>209113113</v>
      </c>
      <c r="H32" s="15"/>
      <c r="I32" s="13">
        <f>'Raw Data Cut 1.3'!A27</f>
        <v>0</v>
      </c>
      <c r="J32" s="2">
        <f>'Raw Data Cut 1.3'!B27</f>
        <v>0</v>
      </c>
      <c r="K32" s="2">
        <f>'Raw Data Cut 1.3'!C27</f>
        <v>0</v>
      </c>
      <c r="L32" s="2">
        <f>'Raw Data Cut 1.3'!D27</f>
        <v>0</v>
      </c>
      <c r="M32" s="2">
        <f>'Raw Data Cut 1.3'!E27</f>
        <v>0</v>
      </c>
      <c r="N32" s="2">
        <f>'Raw Data Cut 1.3'!G27</f>
        <v>0</v>
      </c>
      <c r="O32" s="2">
        <f>'Raw Data Cut 1.3'!H27</f>
        <v>0</v>
      </c>
      <c r="P32" s="2">
        <f>'Raw Data Cut 1.3'!I27</f>
        <v>0</v>
      </c>
      <c r="Q32" s="2">
        <f>'Raw Data Cut 1.3'!J27</f>
        <v>0</v>
      </c>
      <c r="R32" s="2">
        <f>'Raw Data Cut 1.3'!K27</f>
        <v>0</v>
      </c>
      <c r="S32" s="2">
        <f>'Raw Data Cut 1.3'!N27</f>
        <v>0</v>
      </c>
      <c r="T32" s="2">
        <f t="shared" si="1"/>
        <v>0</v>
      </c>
      <c r="U32" s="11" t="str">
        <f>IF($S32=0, "", IF(COUNTIF(Table1[Amino Acid Change], $S32)=0, "Missing", "Y"))</f>
        <v/>
      </c>
      <c r="V32" s="1">
        <f t="shared" si="2"/>
        <v>0</v>
      </c>
    </row>
    <row r="33" spans="1:22" x14ac:dyDescent="0.25">
      <c r="A33" s="19" t="s">
        <v>12</v>
      </c>
      <c r="B33" s="20" t="s">
        <v>102</v>
      </c>
      <c r="C33" s="21">
        <v>5</v>
      </c>
      <c r="D33" s="22" t="e">
        <f t="shared" si="0"/>
        <v>#N/A</v>
      </c>
      <c r="E33" s="21" t="e">
        <f>IF(Table1[[#This Row],[Detected Frequency]]&lt;0.6,"FN","TP")</f>
        <v>#N/A</v>
      </c>
      <c r="F33" s="28" t="e">
        <f>IF(Table1[[#This Row],[QC]]="TP","-","")</f>
        <v>#N/A</v>
      </c>
      <c r="G33" s="29">
        <v>90631700</v>
      </c>
      <c r="H33" s="15"/>
      <c r="I33" s="13">
        <f>'Raw Data Cut 1.3'!A28</f>
        <v>0</v>
      </c>
      <c r="J33" s="2">
        <f>'Raw Data Cut 1.3'!B28</f>
        <v>0</v>
      </c>
      <c r="K33" s="2">
        <f>'Raw Data Cut 1.3'!C28</f>
        <v>0</v>
      </c>
      <c r="L33" s="2">
        <f>'Raw Data Cut 1.3'!D28</f>
        <v>0</v>
      </c>
      <c r="M33" s="2">
        <f>'Raw Data Cut 1.3'!E28</f>
        <v>0</v>
      </c>
      <c r="N33" s="2">
        <f>'Raw Data Cut 1.3'!G28</f>
        <v>0</v>
      </c>
      <c r="O33" s="2">
        <f>'Raw Data Cut 1.3'!H28</f>
        <v>0</v>
      </c>
      <c r="P33" s="2">
        <f>'Raw Data Cut 1.3'!I28</f>
        <v>0</v>
      </c>
      <c r="Q33" s="2">
        <f>'Raw Data Cut 1.3'!J28</f>
        <v>0</v>
      </c>
      <c r="R33" s="2">
        <f>'Raw Data Cut 1.3'!K28</f>
        <v>0</v>
      </c>
      <c r="S33" s="2">
        <f>'Raw Data Cut 1.3'!N28</f>
        <v>0</v>
      </c>
      <c r="T33" s="2">
        <f t="shared" si="1"/>
        <v>0</v>
      </c>
      <c r="U33" s="11" t="str">
        <f>IF($S33=0, "", IF(COUNTIF(Table1[Amino Acid Change], $S33)=0, "Missing", "Y"))</f>
        <v/>
      </c>
      <c r="V33" s="1">
        <f t="shared" si="2"/>
        <v>0</v>
      </c>
    </row>
    <row r="34" spans="1:22" x14ac:dyDescent="0.25">
      <c r="A34" s="19" t="s">
        <v>40</v>
      </c>
      <c r="B34" s="20" t="s">
        <v>103</v>
      </c>
      <c r="C34" s="21">
        <v>1.3</v>
      </c>
      <c r="D34" s="22" t="e">
        <f t="shared" si="0"/>
        <v>#N/A</v>
      </c>
      <c r="E34" s="21" t="e">
        <f>IF(Table1[[#This Row],[Detected Frequency]]&lt;0.6,"FN","TP")</f>
        <v>#N/A</v>
      </c>
      <c r="F34" s="28" t="e">
        <f>IF(Table1[[#This Row],[QC]]="TP","-","")</f>
        <v>#N/A</v>
      </c>
      <c r="G34" s="29">
        <v>90631838</v>
      </c>
      <c r="H34" s="15"/>
      <c r="I34" s="13">
        <f>'Raw Data Cut 1.3'!A29</f>
        <v>0</v>
      </c>
      <c r="J34" s="2">
        <f>'Raw Data Cut 1.3'!B29</f>
        <v>0</v>
      </c>
      <c r="K34" s="2">
        <f>'Raw Data Cut 1.3'!C29</f>
        <v>0</v>
      </c>
      <c r="L34" s="2">
        <f>'Raw Data Cut 1.3'!D29</f>
        <v>0</v>
      </c>
      <c r="M34" s="2">
        <f>'Raw Data Cut 1.3'!E29</f>
        <v>0</v>
      </c>
      <c r="N34" s="2">
        <f>'Raw Data Cut 1.3'!G29</f>
        <v>0</v>
      </c>
      <c r="O34" s="2">
        <f>'Raw Data Cut 1.3'!H29</f>
        <v>0</v>
      </c>
      <c r="P34" s="2">
        <f>'Raw Data Cut 1.3'!I29</f>
        <v>0</v>
      </c>
      <c r="Q34" s="2">
        <f>'Raw Data Cut 1.3'!J29</f>
        <v>0</v>
      </c>
      <c r="R34" s="2">
        <f>'Raw Data Cut 1.3'!K29</f>
        <v>0</v>
      </c>
      <c r="S34" s="2">
        <f>'Raw Data Cut 1.3'!N29</f>
        <v>0</v>
      </c>
      <c r="T34" s="2">
        <f t="shared" si="1"/>
        <v>0</v>
      </c>
      <c r="U34" s="11" t="str">
        <f>IF($S34=0, "", IF(COUNTIF(Table1[Amino Acid Change], $S34)=0, "Missing", "Y"))</f>
        <v/>
      </c>
      <c r="V34" s="1">
        <f t="shared" si="2"/>
        <v>0</v>
      </c>
    </row>
    <row r="35" spans="1:22" x14ac:dyDescent="0.25">
      <c r="A35" s="19" t="s">
        <v>41</v>
      </c>
      <c r="B35" s="20" t="s">
        <v>104</v>
      </c>
      <c r="C35" s="21">
        <v>1.3</v>
      </c>
      <c r="D35" s="22" t="e">
        <f t="shared" si="0"/>
        <v>#N/A</v>
      </c>
      <c r="E35" s="21" t="e">
        <f>IF(Table1[[#This Row],[Detected Frequency]]&lt;0.6,"FN","TP")</f>
        <v>#N/A</v>
      </c>
      <c r="F35" s="28" t="e">
        <f>IF(Table1[[#This Row],[QC]]="TP","-","")</f>
        <v>#N/A</v>
      </c>
      <c r="G35" s="29">
        <v>90631934</v>
      </c>
      <c r="H35" s="15"/>
      <c r="I35" s="13">
        <f>'Raw Data Cut 1.3'!A30</f>
        <v>0</v>
      </c>
      <c r="J35" s="2">
        <f>'Raw Data Cut 1.3'!B30</f>
        <v>0</v>
      </c>
      <c r="K35" s="2">
        <f>'Raw Data Cut 1.3'!C30</f>
        <v>0</v>
      </c>
      <c r="L35" s="2">
        <f>'Raw Data Cut 1.3'!D30</f>
        <v>0</v>
      </c>
      <c r="M35" s="2">
        <f>'Raw Data Cut 1.3'!E30</f>
        <v>0</v>
      </c>
      <c r="N35" s="2">
        <f>'Raw Data Cut 1.3'!G30</f>
        <v>0</v>
      </c>
      <c r="O35" s="2">
        <f>'Raw Data Cut 1.3'!H30</f>
        <v>0</v>
      </c>
      <c r="P35" s="2">
        <f>'Raw Data Cut 1.3'!I30</f>
        <v>0</v>
      </c>
      <c r="Q35" s="2">
        <f>'Raw Data Cut 1.3'!J30</f>
        <v>0</v>
      </c>
      <c r="R35" s="2">
        <f>'Raw Data Cut 1.3'!K30</f>
        <v>0</v>
      </c>
      <c r="S35" s="2">
        <f>'Raw Data Cut 1.3'!N30</f>
        <v>0</v>
      </c>
      <c r="T35" s="2">
        <f t="shared" si="1"/>
        <v>0</v>
      </c>
      <c r="U35" s="11" t="str">
        <f>IF($S35=0, "", IF(COUNTIF(Table1[Amino Acid Change], $S35)=0, "Missing", "Y"))</f>
        <v/>
      </c>
      <c r="V35" s="1">
        <f t="shared" si="2"/>
        <v>0</v>
      </c>
    </row>
    <row r="36" spans="1:22" x14ac:dyDescent="0.25">
      <c r="A36" s="19" t="s">
        <v>26</v>
      </c>
      <c r="B36" s="20" t="s">
        <v>140</v>
      </c>
      <c r="C36" s="21">
        <v>1.3</v>
      </c>
      <c r="D36" s="22" t="e">
        <f t="shared" si="0"/>
        <v>#N/A</v>
      </c>
      <c r="E36" s="21" t="e">
        <f>IF(Table1[[#This Row],[Detected Frequency]]&lt;0.6,"FN","TP")</f>
        <v>#N/A</v>
      </c>
      <c r="F36" s="28" t="e">
        <f>IF(Table1[[#This Row],[QC]]="TP","-","")</f>
        <v>#N/A</v>
      </c>
      <c r="G36" s="29">
        <v>5073770</v>
      </c>
      <c r="H36" s="15"/>
      <c r="I36" s="13">
        <f>'Raw Data Cut 1.3'!A31</f>
        <v>0</v>
      </c>
      <c r="J36" s="2">
        <f>'Raw Data Cut 1.3'!B31</f>
        <v>0</v>
      </c>
      <c r="K36" s="2">
        <f>'Raw Data Cut 1.3'!C31</f>
        <v>0</v>
      </c>
      <c r="L36" s="2">
        <f>'Raw Data Cut 1.3'!D31</f>
        <v>0</v>
      </c>
      <c r="M36" s="2">
        <f>'Raw Data Cut 1.3'!E31</f>
        <v>0</v>
      </c>
      <c r="N36" s="2">
        <f>'Raw Data Cut 1.3'!G31</f>
        <v>0</v>
      </c>
      <c r="O36" s="2">
        <f>'Raw Data Cut 1.3'!H31</f>
        <v>0</v>
      </c>
      <c r="P36" s="2">
        <f>'Raw Data Cut 1.3'!I31</f>
        <v>0</v>
      </c>
      <c r="Q36" s="2">
        <f>'Raw Data Cut 1.3'!J31</f>
        <v>0</v>
      </c>
      <c r="R36" s="2">
        <f>'Raw Data Cut 1.3'!K31</f>
        <v>0</v>
      </c>
      <c r="S36" s="2">
        <f>'Raw Data Cut 1.3'!N31</f>
        <v>0</v>
      </c>
      <c r="T36" s="2">
        <f t="shared" si="1"/>
        <v>0</v>
      </c>
      <c r="U36" s="11" t="str">
        <f>IF($S36=0, "", IF(COUNTIF(Table1[Amino Acid Change], $S36)=0, "Missing", "Y"))</f>
        <v/>
      </c>
      <c r="V36" s="1">
        <f t="shared" si="2"/>
        <v>0</v>
      </c>
    </row>
    <row r="37" spans="1:22" x14ac:dyDescent="0.25">
      <c r="A37" s="19" t="s">
        <v>13</v>
      </c>
      <c r="B37" s="20" t="s">
        <v>105</v>
      </c>
      <c r="C37" s="21">
        <v>5</v>
      </c>
      <c r="D37" s="22" t="e">
        <f t="shared" si="0"/>
        <v>#N/A</v>
      </c>
      <c r="E37" s="21" t="e">
        <f>IF(Table1[[#This Row],[Detected Frequency]]&lt;0.6,"FN","TP")</f>
        <v>#N/A</v>
      </c>
      <c r="F37" s="28" t="e">
        <f>IF(Table1[[#This Row],[QC]]="TP","-","")</f>
        <v>#N/A</v>
      </c>
      <c r="G37" s="29">
        <v>55575673</v>
      </c>
      <c r="H37" s="15"/>
      <c r="I37" s="13">
        <f>'Raw Data Cut 1.3'!A33</f>
        <v>0</v>
      </c>
      <c r="J37" s="2">
        <f>'Raw Data Cut 1.3'!B33</f>
        <v>0</v>
      </c>
      <c r="K37" s="2">
        <f>'Raw Data Cut 1.3'!C33</f>
        <v>0</v>
      </c>
      <c r="L37" s="2">
        <f>'Raw Data Cut 1.3'!D33</f>
        <v>0</v>
      </c>
      <c r="M37" s="2">
        <f>'Raw Data Cut 1.3'!E33</f>
        <v>0</v>
      </c>
      <c r="N37" s="2">
        <f>'Raw Data Cut 1.3'!G33</f>
        <v>0</v>
      </c>
      <c r="O37" s="2">
        <f>'Raw Data Cut 1.3'!H33</f>
        <v>0</v>
      </c>
      <c r="P37" s="2">
        <f>'Raw Data Cut 1.3'!I33</f>
        <v>0</v>
      </c>
      <c r="Q37" s="2">
        <f>'Raw Data Cut 1.3'!J33</f>
        <v>0</v>
      </c>
      <c r="R37" s="2">
        <f>'Raw Data Cut 1.3'!K33</f>
        <v>0</v>
      </c>
      <c r="S37" s="2">
        <f>'Raw Data Cut 1.3'!N33</f>
        <v>0</v>
      </c>
      <c r="T37" s="2">
        <f t="shared" si="1"/>
        <v>0</v>
      </c>
      <c r="U37" s="11" t="str">
        <f>IF($S37=0, "", IF(COUNTIF(Table1[Amino Acid Change], $S37)=0, "Missing", "Y"))</f>
        <v/>
      </c>
      <c r="V37" s="1">
        <f t="shared" si="2"/>
        <v>0</v>
      </c>
    </row>
    <row r="38" spans="1:22" x14ac:dyDescent="0.25">
      <c r="A38" s="19" t="s">
        <v>42</v>
      </c>
      <c r="B38" s="20" t="s">
        <v>106</v>
      </c>
      <c r="C38" s="21">
        <v>1.3</v>
      </c>
      <c r="D38" s="22" t="e">
        <f t="shared" si="0"/>
        <v>#N/A</v>
      </c>
      <c r="E38" s="21" t="e">
        <f>IF(Table1[[#This Row],[Detected Frequency]]&lt;0.6,"FN","TP")</f>
        <v>#N/A</v>
      </c>
      <c r="F38" s="28" t="e">
        <f>IF(Table1[[#This Row],[QC]]="TP","-","")</f>
        <v>#N/A</v>
      </c>
      <c r="G38" s="29">
        <v>55599321</v>
      </c>
      <c r="H38" s="15"/>
      <c r="I38" s="13">
        <f>'Raw Data Cut 1.3'!A34</f>
        <v>0</v>
      </c>
      <c r="J38" s="2">
        <f>'Raw Data Cut 1.3'!B34</f>
        <v>0</v>
      </c>
      <c r="K38" s="2">
        <f>'Raw Data Cut 1.3'!C34</f>
        <v>0</v>
      </c>
      <c r="L38" s="2">
        <f>'Raw Data Cut 1.3'!D34</f>
        <v>0</v>
      </c>
      <c r="M38" s="2">
        <f>'Raw Data Cut 1.3'!E34</f>
        <v>0</v>
      </c>
      <c r="N38" s="2">
        <f>'Raw Data Cut 1.3'!G34</f>
        <v>0</v>
      </c>
      <c r="O38" s="2">
        <f>'Raw Data Cut 1.3'!H34</f>
        <v>0</v>
      </c>
      <c r="P38" s="2">
        <f>'Raw Data Cut 1.3'!I34</f>
        <v>0</v>
      </c>
      <c r="Q38" s="2">
        <f>'Raw Data Cut 1.3'!J34</f>
        <v>0</v>
      </c>
      <c r="R38" s="2">
        <f>'Raw Data Cut 1.3'!K34</f>
        <v>0</v>
      </c>
      <c r="S38" s="2">
        <f>'Raw Data Cut 1.3'!N34</f>
        <v>0</v>
      </c>
      <c r="T38" s="2">
        <f t="shared" si="1"/>
        <v>0</v>
      </c>
      <c r="U38" s="11" t="str">
        <f>IF($S38=0, "", IF(COUNTIF(Table1[Amino Acid Change], $S38)=0, "Missing", "Y"))</f>
        <v/>
      </c>
      <c r="V38" s="1">
        <f t="shared" si="2"/>
        <v>0</v>
      </c>
    </row>
    <row r="39" spans="1:22" x14ac:dyDescent="0.25">
      <c r="A39" s="19" t="s">
        <v>43</v>
      </c>
      <c r="B39" s="20" t="s">
        <v>107</v>
      </c>
      <c r="C39" s="21">
        <v>1.3</v>
      </c>
      <c r="D39" s="22" t="e">
        <f t="shared" ref="D39:D61" si="3">VLOOKUP(B39,$S$7:$T$130,COLUMN($T$7:$T$130)-COLUMN($S$7:$T$130)+1,0)</f>
        <v>#N/A</v>
      </c>
      <c r="E39" s="21" t="e">
        <f>IF(Table1[[#This Row],[Detected Frequency]]&lt;0.6,"FN","TP")</f>
        <v>#N/A</v>
      </c>
      <c r="F39" s="28" t="e">
        <f>IF(Table1[[#This Row],[QC]]="TP","-","")</f>
        <v>#N/A</v>
      </c>
      <c r="G39" s="29">
        <v>25380275</v>
      </c>
      <c r="H39" s="15"/>
      <c r="I39" s="13">
        <f>'Raw Data Cut 1.3'!A35</f>
        <v>0</v>
      </c>
      <c r="J39" s="2">
        <f>'Raw Data Cut 1.3'!B35</f>
        <v>0</v>
      </c>
      <c r="K39" s="2">
        <f>'Raw Data Cut 1.3'!C35</f>
        <v>0</v>
      </c>
      <c r="L39" s="2">
        <f>'Raw Data Cut 1.3'!D35</f>
        <v>0</v>
      </c>
      <c r="M39" s="2">
        <f>'Raw Data Cut 1.3'!E35</f>
        <v>0</v>
      </c>
      <c r="N39" s="2">
        <f>'Raw Data Cut 1.3'!G35</f>
        <v>0</v>
      </c>
      <c r="O39" s="2">
        <f>'Raw Data Cut 1.3'!H35</f>
        <v>0</v>
      </c>
      <c r="P39" s="2">
        <f>'Raw Data Cut 1.3'!I35</f>
        <v>0</v>
      </c>
      <c r="Q39" s="2">
        <f>'Raw Data Cut 1.3'!J35</f>
        <v>0</v>
      </c>
      <c r="R39" s="2">
        <f>'Raw Data Cut 1.3'!K35</f>
        <v>0</v>
      </c>
      <c r="S39" s="2">
        <f>'Raw Data Cut 1.3'!N35</f>
        <v>0</v>
      </c>
      <c r="T39" s="2">
        <f t="shared" si="1"/>
        <v>0</v>
      </c>
      <c r="U39" s="11" t="str">
        <f>IF($S39=0, "", IF(COUNTIF(Table1[Amino Acid Change], $S39)=0, "Missing", "Y"))</f>
        <v/>
      </c>
      <c r="V39" s="1">
        <f t="shared" si="2"/>
        <v>0</v>
      </c>
    </row>
    <row r="40" spans="1:22" x14ac:dyDescent="0.25">
      <c r="A40" s="19" t="s">
        <v>44</v>
      </c>
      <c r="B40" s="20" t="s">
        <v>108</v>
      </c>
      <c r="C40" s="21">
        <v>1.3</v>
      </c>
      <c r="D40" s="22" t="e">
        <f t="shared" si="3"/>
        <v>#N/A</v>
      </c>
      <c r="E40" s="21" t="e">
        <f>IF(Table1[[#This Row],[Detected Frequency]]&lt;0.6,"FN","TP")</f>
        <v>#N/A</v>
      </c>
      <c r="F40" s="28" t="e">
        <f>IF(Table1[[#This Row],[QC]]="TP","-","")</f>
        <v>#N/A</v>
      </c>
      <c r="G40" s="29">
        <v>25380276</v>
      </c>
      <c r="H40" s="15"/>
      <c r="I40" s="13">
        <f>'Raw Data Cut 1.3'!A36</f>
        <v>0</v>
      </c>
      <c r="J40" s="2">
        <f>'Raw Data Cut 1.3'!B36</f>
        <v>0</v>
      </c>
      <c r="K40" s="2">
        <f>'Raw Data Cut 1.3'!C36</f>
        <v>0</v>
      </c>
      <c r="L40" s="2">
        <f>'Raw Data Cut 1.3'!D36</f>
        <v>0</v>
      </c>
      <c r="M40" s="2">
        <f>'Raw Data Cut 1.3'!E36</f>
        <v>0</v>
      </c>
      <c r="N40" s="2">
        <f>'Raw Data Cut 1.3'!G36</f>
        <v>0</v>
      </c>
      <c r="O40" s="2">
        <f>'Raw Data Cut 1.3'!H36</f>
        <v>0</v>
      </c>
      <c r="P40" s="2">
        <f>'Raw Data Cut 1.3'!I36</f>
        <v>0</v>
      </c>
      <c r="Q40" s="2">
        <f>'Raw Data Cut 1.3'!J36</f>
        <v>0</v>
      </c>
      <c r="R40" s="2">
        <f>'Raw Data Cut 1.3'!K36</f>
        <v>0</v>
      </c>
      <c r="S40" s="2">
        <f>'Raw Data Cut 1.3'!N36</f>
        <v>0</v>
      </c>
      <c r="T40" s="2">
        <f t="shared" si="1"/>
        <v>0</v>
      </c>
      <c r="U40" s="11" t="str">
        <f>IF($S40=0, "", IF(COUNTIF(Table1[Amino Acid Change], $S40)=0, "Missing", "Y"))</f>
        <v/>
      </c>
      <c r="V40" s="1">
        <f t="shared" si="2"/>
        <v>0</v>
      </c>
    </row>
    <row r="41" spans="1:22" x14ac:dyDescent="0.25">
      <c r="A41" s="19" t="s">
        <v>45</v>
      </c>
      <c r="B41" s="20" t="s">
        <v>109</v>
      </c>
      <c r="C41" s="21">
        <v>25</v>
      </c>
      <c r="D41" s="22" t="e">
        <f t="shared" si="3"/>
        <v>#N/A</v>
      </c>
      <c r="E41" s="21" t="e">
        <f>IF(Table1[[#This Row],[Detected Frequency]]&lt;0.6,"FN","TP")</f>
        <v>#N/A</v>
      </c>
      <c r="F41" s="28" t="e">
        <f>IF(Table1[[#This Row],[QC]]="TP","-","")</f>
        <v>#N/A</v>
      </c>
      <c r="G41" s="29">
        <v>25398281</v>
      </c>
      <c r="H41" s="15"/>
      <c r="I41" s="13">
        <f>'Raw Data Cut 1.3'!A37</f>
        <v>0</v>
      </c>
      <c r="J41" s="2">
        <f>'Raw Data Cut 1.3'!B37</f>
        <v>0</v>
      </c>
      <c r="K41" s="2">
        <f>'Raw Data Cut 1.3'!C37</f>
        <v>0</v>
      </c>
      <c r="L41" s="2">
        <f>'Raw Data Cut 1.3'!D37</f>
        <v>0</v>
      </c>
      <c r="M41" s="2">
        <f>'Raw Data Cut 1.3'!E37</f>
        <v>0</v>
      </c>
      <c r="N41" s="2">
        <f>'Raw Data Cut 1.3'!G37</f>
        <v>0</v>
      </c>
      <c r="O41" s="2">
        <f>'Raw Data Cut 1.3'!H37</f>
        <v>0</v>
      </c>
      <c r="P41" s="2">
        <f>'Raw Data Cut 1.3'!I37</f>
        <v>0</v>
      </c>
      <c r="Q41" s="2">
        <f>'Raw Data Cut 1.3'!J37</f>
        <v>0</v>
      </c>
      <c r="R41" s="2">
        <f>'Raw Data Cut 1.3'!K37</f>
        <v>0</v>
      </c>
      <c r="S41" s="2">
        <f>'Raw Data Cut 1.3'!N37</f>
        <v>0</v>
      </c>
      <c r="T41" s="2">
        <f t="shared" si="1"/>
        <v>0</v>
      </c>
      <c r="U41" s="11" t="str">
        <f>IF($S41=0, "", IF(COUNTIF(Table1[Amino Acid Change], $S41)=0, "Missing", "Y"))</f>
        <v/>
      </c>
      <c r="V41" s="1">
        <f t="shared" si="2"/>
        <v>0</v>
      </c>
    </row>
    <row r="42" spans="1:22" x14ac:dyDescent="0.25">
      <c r="A42" s="19" t="s">
        <v>46</v>
      </c>
      <c r="B42" s="21" t="s">
        <v>135</v>
      </c>
      <c r="C42" s="21">
        <v>1.3</v>
      </c>
      <c r="D42" s="22" t="e">
        <f t="shared" si="3"/>
        <v>#N/A</v>
      </c>
      <c r="E42" s="21" t="e">
        <f>IF(Table1[[#This Row],[Detected Frequency]]&lt;0.6,"FN","TP")</f>
        <v>#N/A</v>
      </c>
      <c r="F42" s="28" t="e">
        <f>IF(Table1[[#This Row],[QC]]="TP","-","")</f>
        <v>#N/A</v>
      </c>
      <c r="G42" s="29">
        <v>25398284</v>
      </c>
      <c r="H42" s="15"/>
      <c r="I42" s="13">
        <f>'Raw Data Cut 1.3'!A38</f>
        <v>0</v>
      </c>
      <c r="J42" s="2">
        <f>'Raw Data Cut 1.3'!B38</f>
        <v>0</v>
      </c>
      <c r="K42" s="2">
        <f>'Raw Data Cut 1.3'!C38</f>
        <v>0</v>
      </c>
      <c r="L42" s="2">
        <f>'Raw Data Cut 1.3'!D38</f>
        <v>0</v>
      </c>
      <c r="M42" s="2">
        <f>'Raw Data Cut 1.3'!E38</f>
        <v>0</v>
      </c>
      <c r="N42" s="2">
        <f>'Raw Data Cut 1.3'!G38</f>
        <v>0</v>
      </c>
      <c r="O42" s="2">
        <f>'Raw Data Cut 1.3'!H38</f>
        <v>0</v>
      </c>
      <c r="P42" s="2">
        <f>'Raw Data Cut 1.3'!I38</f>
        <v>0</v>
      </c>
      <c r="Q42" s="2">
        <f>'Raw Data Cut 1.3'!J38</f>
        <v>0</v>
      </c>
      <c r="R42" s="2">
        <f>'Raw Data Cut 1.3'!K38</f>
        <v>0</v>
      </c>
      <c r="S42" s="2">
        <f>'Raw Data Cut 1.3'!N38</f>
        <v>0</v>
      </c>
      <c r="T42" s="2">
        <f t="shared" si="1"/>
        <v>0</v>
      </c>
      <c r="U42" s="11" t="str">
        <f>IF($S42=0, "", IF(COUNTIF(Table1[Amino Acid Change], $S42)=0, "Missing", "Y"))</f>
        <v/>
      </c>
      <c r="V42" s="1">
        <f t="shared" si="2"/>
        <v>0</v>
      </c>
    </row>
    <row r="43" spans="1:22" x14ac:dyDescent="0.25">
      <c r="A43" s="19" t="s">
        <v>48</v>
      </c>
      <c r="B43" s="20" t="s">
        <v>110</v>
      </c>
      <c r="C43" s="21">
        <v>1.3</v>
      </c>
      <c r="D43" s="22" t="e">
        <f t="shared" si="3"/>
        <v>#N/A</v>
      </c>
      <c r="E43" s="21" t="e">
        <f>IF(Table1[[#This Row],[Detected Frequency]]&lt;0.6,"FN","TP")</f>
        <v>#N/A</v>
      </c>
      <c r="F43" s="28" t="e">
        <f>IF(Table1[[#This Row],[QC]]="TP","-","")</f>
        <v>#N/A</v>
      </c>
      <c r="G43" s="29">
        <v>25398284</v>
      </c>
      <c r="H43" s="15"/>
      <c r="I43" s="13">
        <f>'Raw Data Cut 1.3'!A39</f>
        <v>0</v>
      </c>
      <c r="J43" s="2">
        <f>'Raw Data Cut 1.3'!B39</f>
        <v>0</v>
      </c>
      <c r="K43" s="2">
        <f>'Raw Data Cut 1.3'!C39</f>
        <v>0</v>
      </c>
      <c r="L43" s="2">
        <f>'Raw Data Cut 1.3'!D39</f>
        <v>0</v>
      </c>
      <c r="M43" s="2">
        <f>'Raw Data Cut 1.3'!E39</f>
        <v>0</v>
      </c>
      <c r="N43" s="2">
        <f>'Raw Data Cut 1.3'!G39</f>
        <v>0</v>
      </c>
      <c r="O43" s="2">
        <f>'Raw Data Cut 1.3'!H39</f>
        <v>0</v>
      </c>
      <c r="P43" s="2">
        <f>'Raw Data Cut 1.3'!I39</f>
        <v>0</v>
      </c>
      <c r="Q43" s="2">
        <f>'Raw Data Cut 1.3'!J39</f>
        <v>0</v>
      </c>
      <c r="R43" s="2">
        <f>'Raw Data Cut 1.3'!K39</f>
        <v>0</v>
      </c>
      <c r="S43" s="2">
        <f>'Raw Data Cut 1.3'!N39</f>
        <v>0</v>
      </c>
      <c r="T43" s="2">
        <f>P43</f>
        <v>0</v>
      </c>
      <c r="U43" s="11" t="str">
        <f>IF($S43=0, "", IF(COUNTIF(Table1[Amino Acid Change], $S43)=0, "Missing", "Y"))</f>
        <v/>
      </c>
      <c r="V43" s="1">
        <f t="shared" si="2"/>
        <v>0</v>
      </c>
    </row>
    <row r="44" spans="1:22" x14ac:dyDescent="0.25">
      <c r="A44" s="19" t="s">
        <v>47</v>
      </c>
      <c r="B44" s="20" t="s">
        <v>111</v>
      </c>
      <c r="C44" s="21">
        <v>1.3</v>
      </c>
      <c r="D44" s="22" t="e">
        <f t="shared" si="3"/>
        <v>#N/A</v>
      </c>
      <c r="E44" s="21" t="e">
        <f>IF(Table1[[#This Row],[Detected Frequency]]&lt;0.6,"FN","TP")</f>
        <v>#N/A</v>
      </c>
      <c r="F44" s="28" t="e">
        <f>IF(Table1[[#This Row],[QC]]="TP","-","")</f>
        <v>#N/A</v>
      </c>
      <c r="G44" s="29">
        <v>25398285</v>
      </c>
      <c r="H44" s="15"/>
      <c r="I44" s="13">
        <f>'Raw Data Cut 1.3'!A40</f>
        <v>0</v>
      </c>
      <c r="J44" s="2">
        <f>'Raw Data Cut 1.3'!B40</f>
        <v>0</v>
      </c>
      <c r="K44" s="2">
        <f>'Raw Data Cut 1.3'!C40</f>
        <v>0</v>
      </c>
      <c r="L44" s="2">
        <f>'Raw Data Cut 1.3'!D40</f>
        <v>0</v>
      </c>
      <c r="M44" s="2">
        <f>'Raw Data Cut 1.3'!E40</f>
        <v>0</v>
      </c>
      <c r="N44" s="2">
        <f>'Raw Data Cut 1.3'!G40</f>
        <v>0</v>
      </c>
      <c r="O44" s="2">
        <f>'Raw Data Cut 1.3'!H40</f>
        <v>0</v>
      </c>
      <c r="P44" s="2">
        <f>'Raw Data Cut 1.3'!I40</f>
        <v>0</v>
      </c>
      <c r="Q44" s="2">
        <f>'Raw Data Cut 1.3'!J40</f>
        <v>0</v>
      </c>
      <c r="R44" s="2">
        <f>'Raw Data Cut 1.3'!K40</f>
        <v>0</v>
      </c>
      <c r="S44" s="2">
        <f>'Raw Data Cut 1.3'!N40</f>
        <v>0</v>
      </c>
      <c r="T44" s="2">
        <f t="shared" si="1"/>
        <v>0</v>
      </c>
      <c r="U44" s="11" t="str">
        <f>IF($S44=0, "", IF(COUNTIF(Table1[Amino Acid Change], $S44)=0, "Missing", "Y"))</f>
        <v/>
      </c>
      <c r="V44" s="1">
        <f t="shared" si="2"/>
        <v>0</v>
      </c>
    </row>
    <row r="45" spans="1:22" x14ac:dyDescent="0.25">
      <c r="A45" s="19" t="s">
        <v>4</v>
      </c>
      <c r="B45" s="20" t="s">
        <v>141</v>
      </c>
      <c r="C45" s="21">
        <v>1.3</v>
      </c>
      <c r="D45" s="22" t="e">
        <f t="shared" si="3"/>
        <v>#N/A</v>
      </c>
      <c r="E45" s="21" t="e">
        <f>IF(Table1[[#This Row],[Detected Frequency]]&lt;0.6,"FN","TP")</f>
        <v>#N/A</v>
      </c>
      <c r="F45" s="28" t="e">
        <f>IF(Table1[[#This Row],[QC]]="TP","-","")</f>
        <v>#N/A</v>
      </c>
      <c r="G45" s="29">
        <v>25398285</v>
      </c>
      <c r="H45" s="15"/>
      <c r="I45" s="13">
        <f>'Raw Data Cut 1.3'!A41</f>
        <v>0</v>
      </c>
      <c r="J45" s="2">
        <f>'Raw Data Cut 1.3'!B41</f>
        <v>0</v>
      </c>
      <c r="K45" s="2">
        <f>'Raw Data Cut 1.3'!C41</f>
        <v>0</v>
      </c>
      <c r="L45" s="2">
        <f>'Raw Data Cut 1.3'!D41</f>
        <v>0</v>
      </c>
      <c r="M45" s="2">
        <f>'Raw Data Cut 1.3'!E41</f>
        <v>0</v>
      </c>
      <c r="N45" s="2">
        <f>'Raw Data Cut 1.3'!G41</f>
        <v>0</v>
      </c>
      <c r="O45" s="2">
        <f>'Raw Data Cut 1.3'!H41</f>
        <v>0</v>
      </c>
      <c r="P45" s="2">
        <f>'Raw Data Cut 1.3'!I41</f>
        <v>0</v>
      </c>
      <c r="Q45" s="2">
        <f>'Raw Data Cut 1.3'!J41</f>
        <v>0</v>
      </c>
      <c r="R45" s="2">
        <f>'Raw Data Cut 1.3'!K41</f>
        <v>0</v>
      </c>
      <c r="S45" s="2">
        <f>'Raw Data Cut 1.3'!N41</f>
        <v>0</v>
      </c>
      <c r="T45" s="2">
        <f t="shared" si="1"/>
        <v>0</v>
      </c>
      <c r="U45" s="11" t="str">
        <f>IF($S45=0, "", IF(COUNTIF(Table1[Amino Acid Change], $S45)=0, "Missing", "Y"))</f>
        <v/>
      </c>
      <c r="V45" s="1">
        <f t="shared" si="2"/>
        <v>0</v>
      </c>
    </row>
    <row r="46" spans="1:22" x14ac:dyDescent="0.25">
      <c r="A46" s="19" t="s">
        <v>60</v>
      </c>
      <c r="B46" s="21" t="s">
        <v>136</v>
      </c>
      <c r="C46" s="21">
        <v>1.3</v>
      </c>
      <c r="D46" s="22" t="e">
        <f t="shared" si="3"/>
        <v>#N/A</v>
      </c>
      <c r="E46" s="21" t="e">
        <f>IF(Table1[[#This Row],[Detected Frequency]]&lt;0.6,"FN","TP")</f>
        <v>#N/A</v>
      </c>
      <c r="F46" s="28" t="e">
        <f>IF(Table1[[#This Row],[QC]]="TP","-","")</f>
        <v>#N/A</v>
      </c>
      <c r="G46" s="29">
        <v>25398285</v>
      </c>
      <c r="H46" s="15"/>
      <c r="I46" s="13">
        <f>'Raw Data Cut 1.3'!A42</f>
        <v>0</v>
      </c>
      <c r="J46" s="2">
        <f>'Raw Data Cut 1.3'!B42</f>
        <v>0</v>
      </c>
      <c r="K46" s="2">
        <f>'Raw Data Cut 1.3'!C42</f>
        <v>0</v>
      </c>
      <c r="L46" s="2">
        <f>'Raw Data Cut 1.3'!D42</f>
        <v>0</v>
      </c>
      <c r="M46" s="2">
        <f>'Raw Data Cut 1.3'!E42</f>
        <v>0</v>
      </c>
      <c r="N46" s="2">
        <f>'Raw Data Cut 1.3'!G42</f>
        <v>0</v>
      </c>
      <c r="O46" s="2">
        <f>'Raw Data Cut 1.3'!H42</f>
        <v>0</v>
      </c>
      <c r="P46" s="2">
        <f>'Raw Data Cut 1.3'!I42</f>
        <v>0</v>
      </c>
      <c r="Q46" s="2">
        <f>'Raw Data Cut 1.3'!J42</f>
        <v>0</v>
      </c>
      <c r="R46" s="2">
        <f>'Raw Data Cut 1.3'!K42</f>
        <v>0</v>
      </c>
      <c r="S46" s="2">
        <f>'Raw Data Cut 1.3'!N42</f>
        <v>0</v>
      </c>
      <c r="T46" s="2">
        <f t="shared" si="1"/>
        <v>0</v>
      </c>
      <c r="U46" s="11" t="str">
        <f>IF($S46=0, "", IF(COUNTIF(Table1[Amino Acid Change], $S46)=0, "Missing", "Y"))</f>
        <v/>
      </c>
      <c r="V46" s="1">
        <f t="shared" si="2"/>
        <v>0</v>
      </c>
    </row>
    <row r="47" spans="1:22" x14ac:dyDescent="0.25">
      <c r="A47" s="19" t="s">
        <v>27</v>
      </c>
      <c r="B47" s="20" t="s">
        <v>142</v>
      </c>
      <c r="C47" s="21">
        <v>1.3</v>
      </c>
      <c r="D47" s="22" t="e">
        <f t="shared" si="3"/>
        <v>#N/A</v>
      </c>
      <c r="E47" s="21" t="e">
        <f>IF(Table1[[#This Row],[Detected Frequency]]&lt;0.6,"FN","TP")</f>
        <v>#N/A</v>
      </c>
      <c r="F47" s="28" t="e">
        <f>IF(Table1[[#This Row],[QC]]="TP","-","")</f>
        <v>#N/A</v>
      </c>
      <c r="G47" s="29">
        <v>25398284</v>
      </c>
      <c r="H47" s="15"/>
      <c r="I47" s="13">
        <f>'Raw Data Cut 1.3'!A43</f>
        <v>0</v>
      </c>
      <c r="J47" s="2">
        <f>'Raw Data Cut 1.3'!B43</f>
        <v>0</v>
      </c>
      <c r="K47" s="2">
        <f>'Raw Data Cut 1.3'!C43</f>
        <v>0</v>
      </c>
      <c r="L47" s="2">
        <f>'Raw Data Cut 1.3'!D43</f>
        <v>0</v>
      </c>
      <c r="M47" s="2">
        <f>'Raw Data Cut 1.3'!E43</f>
        <v>0</v>
      </c>
      <c r="N47" s="2">
        <f>'Raw Data Cut 1.3'!G43</f>
        <v>0</v>
      </c>
      <c r="O47" s="2">
        <f>'Raw Data Cut 1.3'!H43</f>
        <v>0</v>
      </c>
      <c r="P47" s="2">
        <f>'Raw Data Cut 1.3'!I43</f>
        <v>0</v>
      </c>
      <c r="Q47" s="2">
        <f>'Raw Data Cut 1.3'!J43</f>
        <v>0</v>
      </c>
      <c r="R47" s="2">
        <f>'Raw Data Cut 1.3'!K43</f>
        <v>0</v>
      </c>
      <c r="S47" s="2">
        <f>'Raw Data Cut 1.3'!N43</f>
        <v>0</v>
      </c>
      <c r="T47" s="2">
        <f t="shared" si="1"/>
        <v>0</v>
      </c>
      <c r="U47" s="11" t="str">
        <f>IF($S47=0, "", IF(COUNTIF(Table1[Amino Acid Change], $S47)=0, "Missing", "Y"))</f>
        <v/>
      </c>
      <c r="V47" s="1">
        <f t="shared" si="2"/>
        <v>0</v>
      </c>
    </row>
    <row r="48" spans="1:22" x14ac:dyDescent="0.25">
      <c r="A48" s="19" t="s">
        <v>49</v>
      </c>
      <c r="B48" s="20" t="s">
        <v>112</v>
      </c>
      <c r="C48" s="21">
        <v>20</v>
      </c>
      <c r="D48" s="22" t="e">
        <f t="shared" si="3"/>
        <v>#N/A</v>
      </c>
      <c r="E48" s="21" t="e">
        <f>IF(Table1[[#This Row],[Detected Frequency]]&lt;0.6,"FN","TP")</f>
        <v>#N/A</v>
      </c>
      <c r="F48" s="28" t="e">
        <f>IF(Table1[[#This Row],[QC]]="TP","-","")</f>
        <v>#N/A</v>
      </c>
      <c r="G48" s="29">
        <v>139396746</v>
      </c>
      <c r="H48" s="15"/>
      <c r="I48" s="13">
        <f>'Raw Data Cut 1.3'!A44</f>
        <v>0</v>
      </c>
      <c r="J48" s="2">
        <f>'Raw Data Cut 1.3'!B44</f>
        <v>0</v>
      </c>
      <c r="K48" s="2">
        <f>'Raw Data Cut 1.3'!C44</f>
        <v>0</v>
      </c>
      <c r="L48" s="2">
        <f>'Raw Data Cut 1.3'!D44</f>
        <v>0</v>
      </c>
      <c r="M48" s="2">
        <f>'Raw Data Cut 1.3'!E44</f>
        <v>0</v>
      </c>
      <c r="N48" s="2">
        <f>'Raw Data Cut 1.3'!G44</f>
        <v>0</v>
      </c>
      <c r="O48" s="2">
        <f>'Raw Data Cut 1.3'!H44</f>
        <v>0</v>
      </c>
      <c r="P48" s="2">
        <f>'Raw Data Cut 1.3'!I44</f>
        <v>0</v>
      </c>
      <c r="Q48" s="2">
        <f>'Raw Data Cut 1.3'!J44</f>
        <v>0</v>
      </c>
      <c r="R48" s="2">
        <f>'Raw Data Cut 1.3'!K44</f>
        <v>0</v>
      </c>
      <c r="S48" s="2">
        <f>'Raw Data Cut 1.3'!N44</f>
        <v>0</v>
      </c>
      <c r="T48" s="2">
        <f t="shared" si="1"/>
        <v>0</v>
      </c>
      <c r="U48" s="11" t="str">
        <f>IF($S48=0, "", IF(COUNTIF(Table1[Amino Acid Change], $S48)=0, "Missing", "Y"))</f>
        <v/>
      </c>
      <c r="V48" s="1">
        <f t="shared" si="2"/>
        <v>0</v>
      </c>
    </row>
    <row r="49" spans="1:22" x14ac:dyDescent="0.25">
      <c r="A49" s="19" t="s">
        <v>50</v>
      </c>
      <c r="B49" s="20" t="s">
        <v>113</v>
      </c>
      <c r="C49" s="21">
        <v>1.3</v>
      </c>
      <c r="D49" s="22" t="e">
        <f t="shared" si="3"/>
        <v>#N/A</v>
      </c>
      <c r="E49" s="21" t="e">
        <f>IF(Table1[[#This Row],[Detected Frequency]]&lt;0.6,"FN","TP")</f>
        <v>#N/A</v>
      </c>
      <c r="F49" s="28" t="e">
        <f>IF(Table1[[#This Row],[QC]]="TP","-","")</f>
        <v>#N/A</v>
      </c>
      <c r="G49" s="29">
        <v>139399344</v>
      </c>
      <c r="H49" s="15"/>
      <c r="I49" s="13">
        <f>'Raw Data Cut 1.3'!A45</f>
        <v>0</v>
      </c>
      <c r="J49" s="2">
        <f>'Raw Data Cut 1.3'!B45</f>
        <v>0</v>
      </c>
      <c r="K49" s="2">
        <f>'Raw Data Cut 1.3'!C45</f>
        <v>0</v>
      </c>
      <c r="L49" s="2">
        <f>'Raw Data Cut 1.3'!D45</f>
        <v>0</v>
      </c>
      <c r="M49" s="2">
        <f>'Raw Data Cut 1.3'!E45</f>
        <v>0</v>
      </c>
      <c r="N49" s="2">
        <f>'Raw Data Cut 1.3'!G45</f>
        <v>0</v>
      </c>
      <c r="O49" s="2">
        <f>'Raw Data Cut 1.3'!H45</f>
        <v>0</v>
      </c>
      <c r="P49" s="2">
        <f>'Raw Data Cut 1.3'!I45</f>
        <v>0</v>
      </c>
      <c r="Q49" s="2">
        <f>'Raw Data Cut 1.3'!J45</f>
        <v>0</v>
      </c>
      <c r="R49" s="2">
        <f>'Raw Data Cut 1.3'!K45</f>
        <v>0</v>
      </c>
      <c r="S49" s="2">
        <f>'Raw Data Cut 1.3'!N45</f>
        <v>0</v>
      </c>
      <c r="T49" s="2">
        <f t="shared" si="1"/>
        <v>0</v>
      </c>
      <c r="U49" s="11" t="str">
        <f>IF($S49=0, "", IF(COUNTIF(Table1[Amino Acid Change], $S49)=0, "Missing", "Y"))</f>
        <v/>
      </c>
      <c r="V49" s="1">
        <f t="shared" si="2"/>
        <v>0</v>
      </c>
    </row>
    <row r="50" spans="1:22" x14ac:dyDescent="0.25">
      <c r="A50" s="19" t="s">
        <v>14</v>
      </c>
      <c r="B50" s="20" t="s">
        <v>114</v>
      </c>
      <c r="C50" s="21">
        <v>2</v>
      </c>
      <c r="D50" s="22" t="e">
        <f t="shared" si="3"/>
        <v>#N/A</v>
      </c>
      <c r="E50" s="21" t="e">
        <f>IF(Table1[[#This Row],[Detected Frequency]]&lt;0.6,"FN","TP")</f>
        <v>#N/A</v>
      </c>
      <c r="F50" s="28" t="e">
        <f>IF(Table1[[#This Row],[QC]]="TP","-","")</f>
        <v>#N/A</v>
      </c>
      <c r="G50" s="29">
        <v>139407521</v>
      </c>
      <c r="H50" s="15"/>
      <c r="I50" s="13">
        <f>'Raw Data Cut 1.3'!A46</f>
        <v>0</v>
      </c>
      <c r="J50" s="2">
        <f>'Raw Data Cut 1.3'!B46</f>
        <v>0</v>
      </c>
      <c r="K50" s="2">
        <f>'Raw Data Cut 1.3'!C46</f>
        <v>0</v>
      </c>
      <c r="L50" s="2">
        <f>'Raw Data Cut 1.3'!D46</f>
        <v>0</v>
      </c>
      <c r="M50" s="2">
        <f>'Raw Data Cut 1.3'!E46</f>
        <v>0</v>
      </c>
      <c r="N50" s="2">
        <f>'Raw Data Cut 1.3'!G46</f>
        <v>0</v>
      </c>
      <c r="O50" s="2">
        <f>'Raw Data Cut 1.3'!H46</f>
        <v>0</v>
      </c>
      <c r="P50" s="2">
        <f>'Raw Data Cut 1.3'!I46</f>
        <v>0</v>
      </c>
      <c r="Q50" s="2">
        <f>'Raw Data Cut 1.3'!J46</f>
        <v>0</v>
      </c>
      <c r="R50" s="2">
        <f>'Raw Data Cut 1.3'!K46</f>
        <v>0</v>
      </c>
      <c r="S50" s="2">
        <f>'Raw Data Cut 1.3'!N46</f>
        <v>0</v>
      </c>
      <c r="T50" s="2">
        <f t="shared" si="1"/>
        <v>0</v>
      </c>
      <c r="U50" s="11" t="str">
        <f>IF($S50=0, "", IF(COUNTIF(Table1[Amino Acid Change], $S50)=0, "Missing", "Y"))</f>
        <v/>
      </c>
      <c r="V50" s="1">
        <f t="shared" si="2"/>
        <v>0</v>
      </c>
    </row>
    <row r="51" spans="1:22" x14ac:dyDescent="0.25">
      <c r="A51" s="19" t="s">
        <v>51</v>
      </c>
      <c r="B51" s="20" t="s">
        <v>115</v>
      </c>
      <c r="C51" s="21">
        <v>19</v>
      </c>
      <c r="D51" s="22" t="e">
        <f t="shared" si="3"/>
        <v>#N/A</v>
      </c>
      <c r="E51" s="21" t="e">
        <f>IF(Table1[[#This Row],[Detected Frequency]]&lt;0.6,"FN","TP")</f>
        <v>#N/A</v>
      </c>
      <c r="F51" s="28" t="e">
        <f>IF(Table1[[#This Row],[QC]]="TP","-","")</f>
        <v>#N/A</v>
      </c>
      <c r="G51" s="29">
        <v>139409754</v>
      </c>
      <c r="H51" s="15"/>
      <c r="I51" s="13">
        <f>'Raw Data Cut 1.3'!A47</f>
        <v>0</v>
      </c>
      <c r="J51" s="2">
        <f>'Raw Data Cut 1.3'!B47</f>
        <v>0</v>
      </c>
      <c r="K51" s="2">
        <f>'Raw Data Cut 1.3'!C47</f>
        <v>0</v>
      </c>
      <c r="L51" s="2">
        <f>'Raw Data Cut 1.3'!D47</f>
        <v>0</v>
      </c>
      <c r="M51" s="2">
        <f>'Raw Data Cut 1.3'!E47</f>
        <v>0</v>
      </c>
      <c r="N51" s="2">
        <f>'Raw Data Cut 1.3'!G47</f>
        <v>0</v>
      </c>
      <c r="O51" s="2">
        <f>'Raw Data Cut 1.3'!H47</f>
        <v>0</v>
      </c>
      <c r="P51" s="2">
        <f>'Raw Data Cut 1.3'!I47</f>
        <v>0</v>
      </c>
      <c r="Q51" s="2">
        <f>'Raw Data Cut 1.3'!J47</f>
        <v>0</v>
      </c>
      <c r="R51" s="2">
        <f>'Raw Data Cut 1.3'!K47</f>
        <v>0</v>
      </c>
      <c r="S51" s="2">
        <f>'Raw Data Cut 1.3'!N47</f>
        <v>0</v>
      </c>
      <c r="T51" s="2">
        <f t="shared" si="1"/>
        <v>0</v>
      </c>
      <c r="U51" s="11" t="str">
        <f>IF($S51=0, "", IF(COUNTIF(Table1[Amino Acid Change], $S51)=0, "Missing", "Y"))</f>
        <v/>
      </c>
      <c r="V51" s="1">
        <f t="shared" si="2"/>
        <v>0</v>
      </c>
    </row>
    <row r="52" spans="1:22" x14ac:dyDescent="0.25">
      <c r="A52" s="19" t="s">
        <v>52</v>
      </c>
      <c r="B52" s="20" t="s">
        <v>116</v>
      </c>
      <c r="C52" s="21">
        <v>1</v>
      </c>
      <c r="D52" s="22" t="e">
        <f t="shared" si="3"/>
        <v>#N/A</v>
      </c>
      <c r="E52" s="21" t="e">
        <f>IF(Table1[[#This Row],[Detected Frequency]]&lt;0.6,"FN","TP")</f>
        <v>#N/A</v>
      </c>
      <c r="F52" s="28" t="e">
        <f>IF(Table1[[#This Row],[QC]]="TP","-","")</f>
        <v>#N/A</v>
      </c>
      <c r="G52" s="29">
        <v>170818372</v>
      </c>
      <c r="H52" s="15"/>
      <c r="I52" s="13">
        <f>'Raw Data Cut 1.3'!A48</f>
        <v>0</v>
      </c>
      <c r="J52" s="2">
        <f>'Raw Data Cut 1.3'!B48</f>
        <v>0</v>
      </c>
      <c r="K52" s="2">
        <f>'Raw Data Cut 1.3'!C48</f>
        <v>0</v>
      </c>
      <c r="L52" s="2">
        <f>'Raw Data Cut 1.3'!D48</f>
        <v>0</v>
      </c>
      <c r="M52" s="2">
        <f>'Raw Data Cut 1.3'!E48</f>
        <v>0</v>
      </c>
      <c r="N52" s="2">
        <f>'Raw Data Cut 1.3'!G48</f>
        <v>0</v>
      </c>
      <c r="O52" s="2">
        <f>'Raw Data Cut 1.3'!H48</f>
        <v>0</v>
      </c>
      <c r="P52" s="2">
        <f>'Raw Data Cut 1.3'!I48</f>
        <v>0</v>
      </c>
      <c r="Q52" s="2">
        <f>'Raw Data Cut 1.3'!J48</f>
        <v>0</v>
      </c>
      <c r="R52" s="2">
        <f>'Raw Data Cut 1.3'!K48</f>
        <v>0</v>
      </c>
      <c r="S52" s="2">
        <f>'Raw Data Cut 1.3'!N48</f>
        <v>0</v>
      </c>
      <c r="T52" s="2">
        <f t="shared" si="1"/>
        <v>0</v>
      </c>
      <c r="U52" s="11" t="str">
        <f>IF($S52=0, "", IF(COUNTIF(Table1[Amino Acid Change], $S52)=0, "Missing", "Y"))</f>
        <v/>
      </c>
      <c r="V52" s="1">
        <f t="shared" si="2"/>
        <v>0</v>
      </c>
    </row>
    <row r="53" spans="1:22" x14ac:dyDescent="0.25">
      <c r="A53" s="19" t="s">
        <v>53</v>
      </c>
      <c r="B53" s="20" t="s">
        <v>118</v>
      </c>
      <c r="C53" s="21">
        <v>2</v>
      </c>
      <c r="D53" s="22" t="e">
        <f t="shared" si="3"/>
        <v>#N/A</v>
      </c>
      <c r="E53" s="21" t="e">
        <f>IF(Table1[[#This Row],[Detected Frequency]]&lt;0.6,"FN","TP")</f>
        <v>#N/A</v>
      </c>
      <c r="F53" s="28" t="e">
        <f>IF(Table1[[#This Row],[QC]]="TP","-","")</f>
        <v>#N/A</v>
      </c>
      <c r="G53" s="29" t="s">
        <v>117</v>
      </c>
      <c r="H53" s="15"/>
      <c r="I53" s="13">
        <f>'Raw Data Cut 1.3'!A49</f>
        <v>0</v>
      </c>
      <c r="J53" s="2">
        <f>'Raw Data Cut 1.3'!B49</f>
        <v>0</v>
      </c>
      <c r="K53" s="2">
        <f>'Raw Data Cut 1.3'!C49</f>
        <v>0</v>
      </c>
      <c r="L53" s="2">
        <f>'Raw Data Cut 1.3'!D49</f>
        <v>0</v>
      </c>
      <c r="M53" s="2">
        <f>'Raw Data Cut 1.3'!E49</f>
        <v>0</v>
      </c>
      <c r="N53" s="2">
        <f>'Raw Data Cut 1.3'!G49</f>
        <v>0</v>
      </c>
      <c r="O53" s="2">
        <f>'Raw Data Cut 1.3'!H49</f>
        <v>0</v>
      </c>
      <c r="P53" s="2">
        <f>'Raw Data Cut 1.3'!I49</f>
        <v>0</v>
      </c>
      <c r="Q53" s="2">
        <f>'Raw Data Cut 1.3'!J49</f>
        <v>0</v>
      </c>
      <c r="R53" s="2">
        <f>'Raw Data Cut 1.3'!K49</f>
        <v>0</v>
      </c>
      <c r="S53" s="2">
        <f>'Raw Data Cut 1.3'!N49</f>
        <v>0</v>
      </c>
      <c r="T53" s="2">
        <f t="shared" si="1"/>
        <v>0</v>
      </c>
      <c r="U53" s="11" t="str">
        <f>IF($S53=0, "", IF(COUNTIF(Table1[Amino Acid Change], $S53)=0, "Missing", "Y"))</f>
        <v/>
      </c>
      <c r="V53" s="1">
        <f t="shared" si="2"/>
        <v>0</v>
      </c>
    </row>
    <row r="54" spans="1:22" x14ac:dyDescent="0.25">
      <c r="A54" s="19" t="s">
        <v>54</v>
      </c>
      <c r="B54" s="20" t="s">
        <v>119</v>
      </c>
      <c r="C54" s="21">
        <v>1.3</v>
      </c>
      <c r="D54" s="22" t="e">
        <f t="shared" si="3"/>
        <v>#N/A</v>
      </c>
      <c r="E54" s="21" t="e">
        <f>IF(Table1[[#This Row],[Detected Frequency]]&lt;0.6,"FN","TP")</f>
        <v>#N/A</v>
      </c>
      <c r="F54" s="28" t="e">
        <f>IF(Table1[[#This Row],[QC]]="TP","-","")</f>
        <v>#N/A</v>
      </c>
      <c r="G54" s="29">
        <v>115256528</v>
      </c>
      <c r="H54" s="15"/>
      <c r="I54" s="13">
        <f>'Raw Data Cut 1.3'!A50</f>
        <v>0</v>
      </c>
      <c r="J54" s="2">
        <f>'Raw Data Cut 1.3'!B50</f>
        <v>0</v>
      </c>
      <c r="K54" s="2">
        <f>'Raw Data Cut 1.3'!C50</f>
        <v>0</v>
      </c>
      <c r="L54" s="2">
        <f>'Raw Data Cut 1.3'!D50</f>
        <v>0</v>
      </c>
      <c r="M54" s="2">
        <f>'Raw Data Cut 1.3'!E50</f>
        <v>0</v>
      </c>
      <c r="N54" s="2">
        <f>'Raw Data Cut 1.3'!G50</f>
        <v>0</v>
      </c>
      <c r="O54" s="2">
        <f>'Raw Data Cut 1.3'!H50</f>
        <v>0</v>
      </c>
      <c r="P54" s="2">
        <f>'Raw Data Cut 1.3'!I50</f>
        <v>0</v>
      </c>
      <c r="Q54" s="2">
        <f>'Raw Data Cut 1.3'!J50</f>
        <v>0</v>
      </c>
      <c r="R54" s="2">
        <f>'Raw Data Cut 1.3'!K50</f>
        <v>0</v>
      </c>
      <c r="S54" s="2">
        <f>'Raw Data Cut 1.3'!N50</f>
        <v>0</v>
      </c>
      <c r="T54" s="2">
        <f t="shared" si="1"/>
        <v>0</v>
      </c>
      <c r="U54" s="11" t="str">
        <f>IF($S54=0, "", IF(COUNTIF(Table1[Amino Acid Change], $S54)=0, "Missing", "Y"))</f>
        <v/>
      </c>
      <c r="V54" s="1">
        <f t="shared" si="2"/>
        <v>0</v>
      </c>
    </row>
    <row r="55" spans="1:22" x14ac:dyDescent="0.25">
      <c r="A55" s="19" t="s">
        <v>55</v>
      </c>
      <c r="B55" s="20" t="s">
        <v>120</v>
      </c>
      <c r="C55" s="21">
        <v>1.3</v>
      </c>
      <c r="D55" s="22" t="e">
        <f t="shared" si="3"/>
        <v>#N/A</v>
      </c>
      <c r="E55" s="21" t="e">
        <f>IF(Table1[[#This Row],[Detected Frequency]]&lt;0.6,"FN","TP")</f>
        <v>#N/A</v>
      </c>
      <c r="F55" s="28" t="e">
        <f>IF(Table1[[#This Row],[QC]]="TP","-","")</f>
        <v>#N/A</v>
      </c>
      <c r="G55" s="29">
        <v>115256529</v>
      </c>
      <c r="H55" s="15"/>
      <c r="I55" s="13">
        <f>'Raw Data Cut 1.3'!A51</f>
        <v>0</v>
      </c>
      <c r="J55" s="2">
        <f>'Raw Data Cut 1.3'!B51</f>
        <v>0</v>
      </c>
      <c r="K55" s="2">
        <f>'Raw Data Cut 1.3'!C51</f>
        <v>0</v>
      </c>
      <c r="L55" s="2">
        <f>'Raw Data Cut 1.3'!D51</f>
        <v>0</v>
      </c>
      <c r="M55" s="2">
        <f>'Raw Data Cut 1.3'!E51</f>
        <v>0</v>
      </c>
      <c r="N55" s="2">
        <f>'Raw Data Cut 1.3'!G51</f>
        <v>0</v>
      </c>
      <c r="O55" s="2">
        <f>'Raw Data Cut 1.3'!H51</f>
        <v>0</v>
      </c>
      <c r="P55" s="2">
        <f>'Raw Data Cut 1.3'!I51</f>
        <v>0</v>
      </c>
      <c r="Q55" s="2">
        <f>'Raw Data Cut 1.3'!J51</f>
        <v>0</v>
      </c>
      <c r="R55" s="2">
        <f>'Raw Data Cut 1.3'!K51</f>
        <v>0</v>
      </c>
      <c r="S55" s="2">
        <f>'Raw Data Cut 1.3'!N51</f>
        <v>0</v>
      </c>
      <c r="T55" s="2">
        <f t="shared" si="1"/>
        <v>0</v>
      </c>
      <c r="U55" s="11" t="str">
        <f>IF($S55=0, "", IF(COUNTIF(Table1[Amino Acid Change], $S55)=0, "Missing", "Y"))</f>
        <v/>
      </c>
      <c r="V55" s="1">
        <f t="shared" si="2"/>
        <v>0</v>
      </c>
    </row>
    <row r="56" spans="1:22" x14ac:dyDescent="0.25">
      <c r="A56" s="19" t="s">
        <v>57</v>
      </c>
      <c r="B56" s="20" t="s">
        <v>121</v>
      </c>
      <c r="C56" s="21">
        <v>1.3</v>
      </c>
      <c r="D56" s="22" t="e">
        <f t="shared" si="3"/>
        <v>#N/A</v>
      </c>
      <c r="E56" s="21" t="e">
        <f>IF(Table1[[#This Row],[Detected Frequency]]&lt;0.6,"FN","TP")</f>
        <v>#N/A</v>
      </c>
      <c r="F56" s="28" t="e">
        <f>IF(Table1[[#This Row],[QC]]="TP","-","")</f>
        <v>#N/A</v>
      </c>
      <c r="G56" s="29">
        <v>115256529</v>
      </c>
      <c r="H56" s="15"/>
      <c r="I56" s="13">
        <f>'Raw Data Cut 1.3'!A52</f>
        <v>0</v>
      </c>
      <c r="J56" s="2">
        <f>'Raw Data Cut 1.3'!B52</f>
        <v>0</v>
      </c>
      <c r="K56" s="2">
        <f>'Raw Data Cut 1.3'!C52</f>
        <v>0</v>
      </c>
      <c r="L56" s="2">
        <f>'Raw Data Cut 1.3'!D52</f>
        <v>0</v>
      </c>
      <c r="M56" s="2">
        <f>'Raw Data Cut 1.3'!E52</f>
        <v>0</v>
      </c>
      <c r="N56" s="2">
        <f>'Raw Data Cut 1.3'!G52</f>
        <v>0</v>
      </c>
      <c r="O56" s="2">
        <f>'Raw Data Cut 1.3'!H52</f>
        <v>0</v>
      </c>
      <c r="P56" s="2">
        <f>'Raw Data Cut 1.3'!I52</f>
        <v>0</v>
      </c>
      <c r="Q56" s="2">
        <f>'Raw Data Cut 1.3'!J52</f>
        <v>0</v>
      </c>
      <c r="R56" s="2">
        <f>'Raw Data Cut 1.3'!K52</f>
        <v>0</v>
      </c>
      <c r="S56" s="2">
        <f>'Raw Data Cut 1.3'!N52</f>
        <v>0</v>
      </c>
      <c r="T56" s="2">
        <f t="shared" si="1"/>
        <v>0</v>
      </c>
      <c r="U56" s="11" t="str">
        <f>IF($S56=0, "", IF(COUNTIF(Table1[Amino Acid Change], $S56)=0, "Missing", "Y"))</f>
        <v/>
      </c>
      <c r="V56" s="1">
        <f t="shared" si="2"/>
        <v>0</v>
      </c>
    </row>
    <row r="57" spans="1:22" x14ac:dyDescent="0.25">
      <c r="A57" s="19" t="s">
        <v>56</v>
      </c>
      <c r="B57" s="20" t="s">
        <v>122</v>
      </c>
      <c r="C57" s="21">
        <v>1.3</v>
      </c>
      <c r="D57" s="22" t="e">
        <f t="shared" si="3"/>
        <v>#N/A</v>
      </c>
      <c r="E57" s="21" t="e">
        <f>IF(Table1[[#This Row],[Detected Frequency]]&lt;0.6,"FN","TP")</f>
        <v>#N/A</v>
      </c>
      <c r="F57" s="28" t="e">
        <f>IF(Table1[[#This Row],[QC]]="TP","-","")</f>
        <v>#N/A</v>
      </c>
      <c r="G57" s="29">
        <v>115256530</v>
      </c>
      <c r="H57" s="15"/>
      <c r="I57" s="13">
        <f>'Raw Data Cut 1.3'!A53</f>
        <v>0</v>
      </c>
      <c r="J57" s="2">
        <f>'Raw Data Cut 1.3'!B53</f>
        <v>0</v>
      </c>
      <c r="K57" s="2">
        <f>'Raw Data Cut 1.3'!C53</f>
        <v>0</v>
      </c>
      <c r="L57" s="2">
        <f>'Raw Data Cut 1.3'!D53</f>
        <v>0</v>
      </c>
      <c r="M57" s="2">
        <f>'Raw Data Cut 1.3'!E53</f>
        <v>0</v>
      </c>
      <c r="N57" s="2">
        <f>'Raw Data Cut 1.3'!G53</f>
        <v>0</v>
      </c>
      <c r="O57" s="2">
        <f>'Raw Data Cut 1.3'!H53</f>
        <v>0</v>
      </c>
      <c r="P57" s="2">
        <f>'Raw Data Cut 1.3'!I53</f>
        <v>0</v>
      </c>
      <c r="Q57" s="2">
        <f>'Raw Data Cut 1.3'!J53</f>
        <v>0</v>
      </c>
      <c r="R57" s="2">
        <f>'Raw Data Cut 1.3'!K53</f>
        <v>0</v>
      </c>
      <c r="S57" s="2">
        <f>'Raw Data Cut 1.3'!N53</f>
        <v>0</v>
      </c>
      <c r="T57" s="2">
        <f t="shared" si="1"/>
        <v>0</v>
      </c>
      <c r="U57" s="11" t="str">
        <f>IF($S57=0, "", IF(COUNTIF(Table1[Amino Acid Change], $S57)=0, "Missing", "Y"))</f>
        <v/>
      </c>
      <c r="V57" s="1">
        <f t="shared" si="2"/>
        <v>0</v>
      </c>
    </row>
    <row r="58" spans="1:22" x14ac:dyDescent="0.25">
      <c r="A58" s="19" t="s">
        <v>127</v>
      </c>
      <c r="B58" s="20" t="s">
        <v>123</v>
      </c>
      <c r="C58" s="21">
        <v>1.3</v>
      </c>
      <c r="D58" s="22" t="e">
        <f t="shared" si="3"/>
        <v>#N/A</v>
      </c>
      <c r="E58" s="21" t="e">
        <f>IF(Table1[[#This Row],[Detected Frequency]]&lt;0.6,"FN","TP")</f>
        <v>#N/A</v>
      </c>
      <c r="F58" s="28" t="e">
        <f>IF(Table1[[#This Row],[QC]]="TP","-","")</f>
        <v>#N/A</v>
      </c>
      <c r="G58" s="29">
        <v>178936082</v>
      </c>
      <c r="H58" s="15"/>
      <c r="I58" s="13">
        <f>'Raw Data Cut 1.3'!A54</f>
        <v>0</v>
      </c>
      <c r="J58" s="2">
        <f>'Raw Data Cut 1.3'!B54</f>
        <v>0</v>
      </c>
      <c r="K58" s="2">
        <f>'Raw Data Cut 1.3'!C54</f>
        <v>0</v>
      </c>
      <c r="L58" s="2">
        <f>'Raw Data Cut 1.3'!D54</f>
        <v>0</v>
      </c>
      <c r="M58" s="2">
        <f>'Raw Data Cut 1.3'!E54</f>
        <v>0</v>
      </c>
      <c r="N58" s="2">
        <f>'Raw Data Cut 1.3'!G54</f>
        <v>0</v>
      </c>
      <c r="O58" s="2">
        <f>'Raw Data Cut 1.3'!H54</f>
        <v>0</v>
      </c>
      <c r="P58" s="2">
        <f>'Raw Data Cut 1.3'!I54</f>
        <v>0</v>
      </c>
      <c r="Q58" s="2">
        <f>'Raw Data Cut 1.3'!J54</f>
        <v>0</v>
      </c>
      <c r="R58" s="2">
        <f>'Raw Data Cut 1.3'!K54</f>
        <v>0</v>
      </c>
      <c r="S58" s="2">
        <f>'Raw Data Cut 1.3'!N54</f>
        <v>0</v>
      </c>
      <c r="T58" s="2">
        <f t="shared" si="1"/>
        <v>0</v>
      </c>
      <c r="U58" s="11" t="str">
        <f>IF($S58=0, "", IF(COUNTIF(Table1[Amino Acid Change], $S58)=0, "Missing", "Y"))</f>
        <v/>
      </c>
      <c r="V58" s="1">
        <f t="shared" si="2"/>
        <v>0</v>
      </c>
    </row>
    <row r="59" spans="1:22" x14ac:dyDescent="0.25">
      <c r="A59" s="19" t="s">
        <v>58</v>
      </c>
      <c r="B59" s="20" t="s">
        <v>124</v>
      </c>
      <c r="C59" s="21">
        <v>1.3</v>
      </c>
      <c r="D59" s="22" t="e">
        <f t="shared" si="3"/>
        <v>#N/A</v>
      </c>
      <c r="E59" s="21" t="e">
        <f>IF(Table1[[#This Row],[Detected Frequency]]&lt;0.6,"FN","TP")</f>
        <v>#N/A</v>
      </c>
      <c r="F59" s="28" t="e">
        <f>IF(Table1[[#This Row],[QC]]="TP","-","")</f>
        <v>#N/A</v>
      </c>
      <c r="G59" s="29">
        <v>178936091</v>
      </c>
      <c r="H59" s="15"/>
      <c r="I59" s="13">
        <f>'Raw Data Cut 1.3'!A55</f>
        <v>0</v>
      </c>
      <c r="J59" s="2">
        <f>'Raw Data Cut 1.3'!B55</f>
        <v>0</v>
      </c>
      <c r="K59" s="2">
        <f>'Raw Data Cut 1.3'!C55</f>
        <v>0</v>
      </c>
      <c r="L59" s="2">
        <f>'Raw Data Cut 1.3'!D55</f>
        <v>0</v>
      </c>
      <c r="M59" s="2">
        <f>'Raw Data Cut 1.3'!E55</f>
        <v>0</v>
      </c>
      <c r="N59" s="2">
        <f>'Raw Data Cut 1.3'!G55</f>
        <v>0</v>
      </c>
      <c r="O59" s="2">
        <f>'Raw Data Cut 1.3'!H55</f>
        <v>0</v>
      </c>
      <c r="P59" s="2">
        <f>'Raw Data Cut 1.3'!I55</f>
        <v>0</v>
      </c>
      <c r="Q59" s="2">
        <f>'Raw Data Cut 1.3'!J55</f>
        <v>0</v>
      </c>
      <c r="R59" s="2">
        <f>'Raw Data Cut 1.3'!K55</f>
        <v>0</v>
      </c>
      <c r="S59" s="2">
        <f>'Raw Data Cut 1.3'!N55</f>
        <v>0</v>
      </c>
      <c r="T59" s="2">
        <f t="shared" si="1"/>
        <v>0</v>
      </c>
      <c r="U59" s="11" t="str">
        <f>IF($S59=0, "", IF(COUNTIF(Table1[Amino Acid Change], $S59)=0, "Missing", "Y"))</f>
        <v/>
      </c>
      <c r="V59" s="1">
        <f t="shared" si="2"/>
        <v>0</v>
      </c>
    </row>
    <row r="60" spans="1:22" x14ac:dyDescent="0.25">
      <c r="A60" s="19" t="s">
        <v>15</v>
      </c>
      <c r="B60" s="20" t="s">
        <v>125</v>
      </c>
      <c r="C60" s="21">
        <v>20</v>
      </c>
      <c r="D60" s="22" t="e">
        <f t="shared" si="3"/>
        <v>#N/A</v>
      </c>
      <c r="E60" s="21" t="e">
        <f>IF(Table1[[#This Row],[Detected Frequency]]&lt;0.6,"FN","TP")</f>
        <v>#N/A</v>
      </c>
      <c r="F60" s="28" t="e">
        <f>IF(Table1[[#This Row],[QC]]="TP","-","")</f>
        <v>#N/A</v>
      </c>
      <c r="G60" s="29">
        <v>178947865</v>
      </c>
      <c r="H60" s="15"/>
      <c r="I60" s="13">
        <f>'Raw Data Cut 1.3'!A56</f>
        <v>0</v>
      </c>
      <c r="J60" s="2">
        <f>'Raw Data Cut 1.3'!B56</f>
        <v>0</v>
      </c>
      <c r="K60" s="2">
        <f>'Raw Data Cut 1.3'!C56</f>
        <v>0</v>
      </c>
      <c r="L60" s="2">
        <f>'Raw Data Cut 1.3'!D56</f>
        <v>0</v>
      </c>
      <c r="M60" s="2">
        <f>'Raw Data Cut 1.3'!E56</f>
        <v>0</v>
      </c>
      <c r="N60" s="2">
        <f>'Raw Data Cut 1.3'!G56</f>
        <v>0</v>
      </c>
      <c r="O60" s="2">
        <f>'Raw Data Cut 1.3'!H56</f>
        <v>0</v>
      </c>
      <c r="P60" s="2">
        <f>'Raw Data Cut 1.3'!I56</f>
        <v>0</v>
      </c>
      <c r="Q60" s="2">
        <f>'Raw Data Cut 1.3'!J56</f>
        <v>0</v>
      </c>
      <c r="R60" s="2">
        <f>'Raw Data Cut 1.3'!K56</f>
        <v>0</v>
      </c>
      <c r="S60" s="2">
        <f>'Raw Data Cut 1.3'!N56</f>
        <v>0</v>
      </c>
      <c r="T60" s="2">
        <f t="shared" si="1"/>
        <v>0</v>
      </c>
      <c r="U60" s="11" t="str">
        <f>IF($S60=0, "", IF(COUNTIF(Table1[Amino Acid Change], $S60)=0, "Missing", "Y"))</f>
        <v/>
      </c>
      <c r="V60" s="1">
        <f t="shared" si="2"/>
        <v>0</v>
      </c>
    </row>
    <row r="61" spans="1:22" x14ac:dyDescent="0.25">
      <c r="A61" s="21" t="s">
        <v>5</v>
      </c>
      <c r="B61" s="20" t="s">
        <v>126</v>
      </c>
      <c r="C61" s="21">
        <v>30</v>
      </c>
      <c r="D61" s="22" t="e">
        <f t="shared" si="3"/>
        <v>#N/A</v>
      </c>
      <c r="E61" s="21" t="e">
        <f>IF(Table1[[#This Row],[Detected Frequency]]&lt;0.6,"FN","TP")</f>
        <v>#N/A</v>
      </c>
      <c r="F61" s="28" t="e">
        <f>IF(Table1[[#This Row],[QC]]="TP","-","")</f>
        <v>#N/A</v>
      </c>
      <c r="G61" s="29">
        <v>178952085</v>
      </c>
      <c r="H61" s="15"/>
      <c r="I61" s="13">
        <f>'Raw Data Cut 1.3'!A57</f>
        <v>0</v>
      </c>
      <c r="J61" s="2">
        <f>'Raw Data Cut 1.3'!B57</f>
        <v>0</v>
      </c>
      <c r="K61" s="2">
        <f>'Raw Data Cut 1.3'!C57</f>
        <v>0</v>
      </c>
      <c r="L61" s="2">
        <f>'Raw Data Cut 1.3'!D57</f>
        <v>0</v>
      </c>
      <c r="M61" s="2">
        <f>'Raw Data Cut 1.3'!E57</f>
        <v>0</v>
      </c>
      <c r="N61" s="2">
        <f>'Raw Data Cut 1.3'!G57</f>
        <v>0</v>
      </c>
      <c r="O61" s="2">
        <f>'Raw Data Cut 1.3'!H57</f>
        <v>0</v>
      </c>
      <c r="P61" s="2">
        <f>'Raw Data Cut 1.3'!I57</f>
        <v>0</v>
      </c>
      <c r="Q61" s="2">
        <f>'Raw Data Cut 1.3'!J57</f>
        <v>0</v>
      </c>
      <c r="R61" s="2">
        <f>'Raw Data Cut 1.3'!K57</f>
        <v>0</v>
      </c>
      <c r="S61" s="2">
        <f>'Raw Data Cut 1.3'!N57</f>
        <v>0</v>
      </c>
      <c r="T61" s="2">
        <f t="shared" si="1"/>
        <v>0</v>
      </c>
      <c r="U61" s="11" t="str">
        <f>IF($S61=0, "", IF(COUNTIF(Table1[Amino Acid Change], $S61)=0, "Missing", "Y"))</f>
        <v/>
      </c>
      <c r="V61" s="1">
        <f t="shared" si="2"/>
        <v>0</v>
      </c>
    </row>
    <row r="62" spans="1:22" x14ac:dyDescent="0.25">
      <c r="A62" s="37"/>
      <c r="B62" s="38"/>
      <c r="C62" s="37"/>
      <c r="D62" s="39"/>
      <c r="E62" s="37"/>
      <c r="F62" s="40"/>
      <c r="G62" s="41"/>
      <c r="H62" s="15"/>
      <c r="I62" s="13">
        <f>'Raw Data Cut 1.3'!A58</f>
        <v>0</v>
      </c>
      <c r="J62" s="2">
        <f>'Raw Data Cut 1.3'!B58</f>
        <v>0</v>
      </c>
      <c r="K62" s="2">
        <f>'Raw Data Cut 1.3'!C58</f>
        <v>0</v>
      </c>
      <c r="L62" s="2">
        <f>'Raw Data Cut 1.3'!D58</f>
        <v>0</v>
      </c>
      <c r="M62" s="2">
        <f>'Raw Data Cut 1.3'!E58</f>
        <v>0</v>
      </c>
      <c r="N62" s="2">
        <f>'Raw Data Cut 1.3'!G58</f>
        <v>0</v>
      </c>
      <c r="O62" s="2">
        <f>'Raw Data Cut 1.3'!H58</f>
        <v>0</v>
      </c>
      <c r="P62" s="2">
        <f>'Raw Data Cut 1.3'!I58</f>
        <v>0</v>
      </c>
      <c r="Q62" s="2">
        <f>'Raw Data Cut 1.3'!J58</f>
        <v>0</v>
      </c>
      <c r="R62" s="2">
        <f>'Raw Data Cut 1.3'!K58</f>
        <v>0</v>
      </c>
      <c r="S62" s="2">
        <f>'Raw Data Cut 1.3'!N58</f>
        <v>0</v>
      </c>
      <c r="T62" s="2">
        <f t="shared" si="1"/>
        <v>0</v>
      </c>
      <c r="U62" s="11" t="str">
        <f>IF($S62=0, "", IF(COUNTIF(Table1[Amino Acid Change], $S62)=0, "Missing", "Y"))</f>
        <v/>
      </c>
      <c r="V62" s="1">
        <f t="shared" si="2"/>
        <v>0</v>
      </c>
    </row>
    <row r="63" spans="1:22" x14ac:dyDescent="0.25">
      <c r="A63" s="37"/>
      <c r="B63" s="38"/>
      <c r="C63" s="37"/>
      <c r="D63" s="39"/>
      <c r="E63" s="37"/>
      <c r="F63" s="40"/>
      <c r="G63" s="41"/>
      <c r="H63" s="15"/>
      <c r="I63" s="13">
        <f>'Raw Data Cut 1.3'!A59</f>
        <v>0</v>
      </c>
      <c r="J63" s="2">
        <f>'Raw Data Cut 1.3'!B59</f>
        <v>0</v>
      </c>
      <c r="K63" s="2">
        <f>'Raw Data Cut 1.3'!C59</f>
        <v>0</v>
      </c>
      <c r="L63" s="2">
        <f>'Raw Data Cut 1.3'!D59</f>
        <v>0</v>
      </c>
      <c r="M63" s="2">
        <f>'Raw Data Cut 1.3'!E59</f>
        <v>0</v>
      </c>
      <c r="N63" s="2">
        <f>'Raw Data Cut 1.3'!G59</f>
        <v>0</v>
      </c>
      <c r="O63" s="2">
        <f>'Raw Data Cut 1.3'!H59</f>
        <v>0</v>
      </c>
      <c r="P63" s="2">
        <f>'Raw Data Cut 1.3'!I59</f>
        <v>0</v>
      </c>
      <c r="Q63" s="2">
        <f>'Raw Data Cut 1.3'!J59</f>
        <v>0</v>
      </c>
      <c r="R63" s="2">
        <f>'Raw Data Cut 1.3'!K59</f>
        <v>0</v>
      </c>
      <c r="S63" s="2">
        <f>'Raw Data Cut 1.3'!N59</f>
        <v>0</v>
      </c>
      <c r="T63" s="2">
        <f t="shared" si="1"/>
        <v>0</v>
      </c>
      <c r="U63" s="11" t="str">
        <f>IF($S63=0, "", IF(COUNTIF(Table1[Amino Acid Change], $S63)=0, "Missing", "Y"))</f>
        <v/>
      </c>
      <c r="V63" s="1">
        <f t="shared" si="2"/>
        <v>0</v>
      </c>
    </row>
    <row r="64" spans="1:22" x14ac:dyDescent="0.25">
      <c r="A64" s="42"/>
      <c r="B64" s="43"/>
      <c r="C64" s="44"/>
      <c r="D64" s="45" t="s">
        <v>143</v>
      </c>
      <c r="E64" s="46" t="str">
        <f>COUNTIF(E$7:E$63, "*TP*")&amp;"/55"</f>
        <v>0/55</v>
      </c>
      <c r="F64" s="47"/>
      <c r="G64" s="48"/>
      <c r="I64" s="13">
        <f>'Raw Data Cut 1.3'!A60</f>
        <v>0</v>
      </c>
      <c r="J64" s="2">
        <f>'Raw Data Cut 1.3'!B60</f>
        <v>0</v>
      </c>
      <c r="K64" s="2">
        <f>'Raw Data Cut 1.3'!C60</f>
        <v>0</v>
      </c>
      <c r="L64" s="2">
        <f>'Raw Data Cut 1.3'!D60</f>
        <v>0</v>
      </c>
      <c r="M64" s="2">
        <f>'Raw Data Cut 1.3'!E60</f>
        <v>0</v>
      </c>
      <c r="N64" s="2">
        <f>'Raw Data Cut 1.3'!G60</f>
        <v>0</v>
      </c>
      <c r="O64" s="2">
        <f>'Raw Data Cut 1.3'!H60</f>
        <v>0</v>
      </c>
      <c r="P64" s="2">
        <f>'Raw Data Cut 1.3'!I60</f>
        <v>0</v>
      </c>
      <c r="Q64" s="2">
        <f>'Raw Data Cut 1.3'!J60</f>
        <v>0</v>
      </c>
      <c r="R64" s="2">
        <f>'Raw Data Cut 1.3'!K60</f>
        <v>0</v>
      </c>
      <c r="S64" s="2">
        <f>'Raw Data Cut 1.3'!N60</f>
        <v>0</v>
      </c>
      <c r="T64" s="2">
        <f t="shared" si="1"/>
        <v>0</v>
      </c>
      <c r="U64" s="11" t="str">
        <f>IF($S64=0, "", IF(COUNTIF(Table1[Amino Acid Change], $S64)=0, "Missing", "Y"))</f>
        <v/>
      </c>
      <c r="V64" s="1">
        <f t="shared" si="2"/>
        <v>0</v>
      </c>
    </row>
    <row r="65" spans="1:22" x14ac:dyDescent="0.25">
      <c r="A65" s="49"/>
      <c r="B65" s="50"/>
      <c r="C65" s="14"/>
      <c r="D65" s="51" t="s">
        <v>149</v>
      </c>
      <c r="E65" s="52">
        <f>COUNTIF(E$7:E$63, "FN")</f>
        <v>0</v>
      </c>
      <c r="F65" s="53"/>
      <c r="G65" s="54"/>
      <c r="I65" s="13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11"/>
    </row>
    <row r="66" spans="1:22" x14ac:dyDescent="0.25">
      <c r="A66" s="49"/>
      <c r="B66" s="50"/>
      <c r="C66" s="14"/>
      <c r="D66" s="51" t="s">
        <v>148</v>
      </c>
      <c r="E66" s="55">
        <f>COUNTIF(E$7:E$63, "*TP*")/55</f>
        <v>0</v>
      </c>
      <c r="F66" s="53"/>
      <c r="G66" s="54"/>
      <c r="I66" s="13">
        <f>'Raw Data Cut 1.3'!A61</f>
        <v>0</v>
      </c>
      <c r="J66" s="2">
        <f>'Raw Data Cut 1.3'!B61</f>
        <v>0</v>
      </c>
      <c r="K66" s="2">
        <f>'Raw Data Cut 1.3'!C61</f>
        <v>0</v>
      </c>
      <c r="L66" s="2">
        <f>'Raw Data Cut 1.3'!D61</f>
        <v>0</v>
      </c>
      <c r="M66" s="2">
        <f>'Raw Data Cut 1.3'!E61</f>
        <v>0</v>
      </c>
      <c r="N66" s="2">
        <f>'Raw Data Cut 1.3'!G61</f>
        <v>0</v>
      </c>
      <c r="O66" s="2">
        <f>'Raw Data Cut 1.3'!H61</f>
        <v>0</v>
      </c>
      <c r="P66" s="2">
        <f>'Raw Data Cut 1.3'!I61</f>
        <v>0</v>
      </c>
      <c r="Q66" s="2">
        <f>'Raw Data Cut 1.3'!J61</f>
        <v>0</v>
      </c>
      <c r="R66" s="2">
        <f>'Raw Data Cut 1.3'!K61</f>
        <v>0</v>
      </c>
      <c r="S66" s="2">
        <f>'Raw Data Cut 1.3'!N61</f>
        <v>0</v>
      </c>
      <c r="T66" s="2">
        <f t="shared" si="1"/>
        <v>0</v>
      </c>
      <c r="U66" s="11" t="str">
        <f>IF($S66=0, "", IF(COUNTIF(Table1[Amino Acid Change], $S66)=0, "Missing", "Y"))</f>
        <v/>
      </c>
      <c r="V66" s="1">
        <f t="shared" si="2"/>
        <v>0</v>
      </c>
    </row>
    <row r="67" spans="1:22" x14ac:dyDescent="0.25">
      <c r="A67" s="56"/>
      <c r="B67" s="57"/>
      <c r="C67" s="58"/>
      <c r="D67" s="59" t="s">
        <v>146</v>
      </c>
      <c r="E67" s="62">
        <f>COUNTIF(E70:E185, "FP")</f>
        <v>23</v>
      </c>
      <c r="F67" s="60"/>
      <c r="G67" s="61"/>
      <c r="I67" s="13">
        <f>'Raw Data Hotspot'!A2</f>
        <v>0</v>
      </c>
      <c r="J67" s="13">
        <f>'Raw Data Hotspot'!B2</f>
        <v>0</v>
      </c>
      <c r="K67" s="13">
        <f>'Raw Data Hotspot'!C2</f>
        <v>0</v>
      </c>
      <c r="L67" s="13">
        <f>'Raw Data Hotspot'!D2</f>
        <v>0</v>
      </c>
      <c r="M67" s="13">
        <f>'Raw Data Hotspot'!E2</f>
        <v>0</v>
      </c>
      <c r="N67" s="13">
        <f>'Raw Data Hotspot'!G2</f>
        <v>0</v>
      </c>
      <c r="O67" s="13">
        <f>'Raw Data Hotspot'!H2</f>
        <v>0</v>
      </c>
      <c r="P67" s="13">
        <f>'Raw Data Hotspot'!I2</f>
        <v>0</v>
      </c>
      <c r="Q67" s="13">
        <f>'Raw Data Hotspot'!J2</f>
        <v>0</v>
      </c>
      <c r="R67" s="2">
        <f>'Raw Data Hotspot'!K2</f>
        <v>0</v>
      </c>
      <c r="S67" s="2">
        <f>'Raw Data Hotspot'!N2</f>
        <v>0</v>
      </c>
      <c r="T67" s="2">
        <f>P67</f>
        <v>0</v>
      </c>
      <c r="U67" s="11" t="str">
        <f>IF($S67=0, "", IF(COUNTIF(Table1[Amino Acid Change], $S67)=0, "Missing", "Y"))</f>
        <v/>
      </c>
      <c r="V67" s="1">
        <f>J67</f>
        <v>0</v>
      </c>
    </row>
    <row r="68" spans="1:22" x14ac:dyDescent="0.25">
      <c r="A68" s="3" t="s">
        <v>145</v>
      </c>
      <c r="D68" s="4"/>
      <c r="E68" s="36"/>
      <c r="I68" s="13">
        <f>'Raw Data Hotspot'!A3</f>
        <v>0</v>
      </c>
      <c r="J68" s="13">
        <f>'Raw Data Hotspot'!B3</f>
        <v>0</v>
      </c>
      <c r="K68" s="13">
        <f>'Raw Data Hotspot'!C3</f>
        <v>0</v>
      </c>
      <c r="L68" s="13">
        <f>'Raw Data Hotspot'!D3</f>
        <v>0</v>
      </c>
      <c r="M68" s="13">
        <f>'Raw Data Hotspot'!E3</f>
        <v>0</v>
      </c>
      <c r="N68" s="13">
        <f>'Raw Data Hotspot'!G3</f>
        <v>0</v>
      </c>
      <c r="O68" s="13">
        <f>'Raw Data Hotspot'!H3</f>
        <v>0</v>
      </c>
      <c r="P68" s="13">
        <f>'Raw Data Hotspot'!I3</f>
        <v>0</v>
      </c>
      <c r="Q68" s="13">
        <f>'Raw Data Hotspot'!J3</f>
        <v>0</v>
      </c>
      <c r="R68" s="2">
        <f>'Raw Data Hotspot'!K3</f>
        <v>0</v>
      </c>
      <c r="S68" s="2">
        <f>'Raw Data Hotspot'!N3</f>
        <v>0</v>
      </c>
      <c r="T68" s="2">
        <f t="shared" ref="T68:T130" si="4">P68</f>
        <v>0</v>
      </c>
      <c r="U68" s="11" t="str">
        <f>IF($S68=0, "", IF(COUNTIF(Table1[Amino Acid Change], $S68)=0, "Missing", "Y"))</f>
        <v/>
      </c>
      <c r="V68" s="1">
        <f t="shared" ref="V68:V130" si="5">J68</f>
        <v>0</v>
      </c>
    </row>
    <row r="69" spans="1:22" x14ac:dyDescent="0.25">
      <c r="A69"/>
      <c r="B69"/>
      <c r="C69"/>
      <c r="D69"/>
      <c r="E69"/>
      <c r="F69"/>
      <c r="G69"/>
      <c r="I69" s="13">
        <f>'Raw Data Hotspot'!A4</f>
        <v>0</v>
      </c>
      <c r="J69" s="13">
        <f>'Raw Data Hotspot'!B4</f>
        <v>0</v>
      </c>
      <c r="K69" s="13">
        <f>'Raw Data Hotspot'!C4</f>
        <v>0</v>
      </c>
      <c r="L69" s="13">
        <f>'Raw Data Hotspot'!D4</f>
        <v>0</v>
      </c>
      <c r="M69" s="13">
        <f>'Raw Data Hotspot'!E4</f>
        <v>0</v>
      </c>
      <c r="N69" s="13">
        <f>'Raw Data Hotspot'!G4</f>
        <v>0</v>
      </c>
      <c r="O69" s="13">
        <f>'Raw Data Hotspot'!H4</f>
        <v>0</v>
      </c>
      <c r="P69" s="13">
        <f>'Raw Data Hotspot'!I4</f>
        <v>0</v>
      </c>
      <c r="Q69" s="13">
        <f>'Raw Data Hotspot'!J4</f>
        <v>0</v>
      </c>
      <c r="R69" s="2">
        <f>'Raw Data Hotspot'!K4</f>
        <v>0</v>
      </c>
      <c r="S69" s="2">
        <f>'Raw Data Hotspot'!N4</f>
        <v>0</v>
      </c>
      <c r="T69" s="2">
        <f t="shared" si="4"/>
        <v>0</v>
      </c>
      <c r="U69" s="11" t="str">
        <f>IF($S69=0, "", IF(COUNTIF(Table1[Amino Acid Change], $S69)=0, "Missing", "Y"))</f>
        <v/>
      </c>
      <c r="V69" s="1">
        <f t="shared" si="5"/>
        <v>0</v>
      </c>
    </row>
    <row r="70" spans="1:22" x14ac:dyDescent="0.25">
      <c r="A70" s="19" t="str">
        <f t="array" ref="A70">IFERROR(INDEX(R$7:R$130, SMALL(IF($U$7:$U$130="Missing", ROW(R7:R$130)-ROW(R7)+1), ROW(1:1))), "")</f>
        <v/>
      </c>
      <c r="B70" s="21" t="str">
        <f t="array" ref="B70">IFERROR(INDEX(S$7:S$130, SMALL(IF($U$7:$U$130="Missing", ROW(S7:S$130)-ROW(S7)+1), ROW(1:1))), "")</f>
        <v/>
      </c>
      <c r="C70" s="32" t="str">
        <f t="array" ref="C70">IFERROR(INDEX(Q$7:Q$130, SMALL(IF($U$7:$U$130="Missing", ROW(Q7:Q$130)-ROW(Q7)+1), ROW(1:1))), "")</f>
        <v/>
      </c>
      <c r="D70" s="21" t="str">
        <f t="array" ref="D70">IFERROR(INDEX(P$7:P$130, SMALL(IF($U$7:$U$130="Missing", ROW(P7:P$130)-ROW(P7)+1), ROW(1:1))), "")</f>
        <v/>
      </c>
      <c r="E70" s="21" t="str">
        <f>IF(AND(FalsePositives[[#This Row],[Average Quality]]&gt;40,FalsePositives[[#This Row],[Frequency]]&gt;1.3),"FP","Pass")</f>
        <v>FP</v>
      </c>
      <c r="F70" s="33" t="s">
        <v>147</v>
      </c>
      <c r="G70" s="27" t="e">
        <f t="shared" ref="G70:G92" si="6">VLOOKUP(B70,$S$7:$V$130,COLUMN($V$7:$V$130)-COLUMN($S$7:$V$130)+1,0)</f>
        <v>#N/A</v>
      </c>
      <c r="I70" s="13">
        <f>'Raw Data Hotspot'!A5</f>
        <v>0</v>
      </c>
      <c r="J70" s="13">
        <f>'Raw Data Hotspot'!B5</f>
        <v>0</v>
      </c>
      <c r="K70" s="13">
        <f>'Raw Data Hotspot'!C5</f>
        <v>0</v>
      </c>
      <c r="L70" s="13">
        <f>'Raw Data Hotspot'!D5</f>
        <v>0</v>
      </c>
      <c r="M70" s="13">
        <f>'Raw Data Hotspot'!E5</f>
        <v>0</v>
      </c>
      <c r="N70" s="13">
        <f>'Raw Data Hotspot'!G5</f>
        <v>0</v>
      </c>
      <c r="O70" s="13">
        <f>'Raw Data Hotspot'!H5</f>
        <v>0</v>
      </c>
      <c r="P70" s="13">
        <f>'Raw Data Hotspot'!I5</f>
        <v>0</v>
      </c>
      <c r="Q70" s="13">
        <f>'Raw Data Hotspot'!J5</f>
        <v>0</v>
      </c>
      <c r="R70" s="2">
        <f>'Raw Data Hotspot'!K5</f>
        <v>0</v>
      </c>
      <c r="S70" s="2">
        <f>'Raw Data Hotspot'!N5</f>
        <v>0</v>
      </c>
      <c r="T70" s="2">
        <f t="shared" si="4"/>
        <v>0</v>
      </c>
      <c r="U70" s="11" t="str">
        <f>IF($S70=0, "", IF(COUNTIF(Table1[Amino Acid Change], $S70)=0, "Missing", "Y"))</f>
        <v/>
      </c>
      <c r="V70" s="1">
        <f t="shared" si="5"/>
        <v>0</v>
      </c>
    </row>
    <row r="71" spans="1:22" x14ac:dyDescent="0.25">
      <c r="A71" s="19" t="str">
        <f t="array" ref="A71">IFERROR(INDEX(R$7:R$130, SMALL(IF($U$7:$U$130="Missing", ROW(R8:R$130)-ROW(R8)+1), ROW(2:2))), "")</f>
        <v/>
      </c>
      <c r="B71" s="21" t="str">
        <f t="array" ref="B71">IFERROR(INDEX(S$7:S$130, SMALL(IF($U$7:$U$130="Missing", ROW(S8:S$130)-ROW(S8)+1), ROW(2:2))), "")</f>
        <v/>
      </c>
      <c r="C71" s="32" t="str">
        <f t="array" ref="C71">IFERROR(INDEX(Q$7:Q$130, SMALL(IF($U$7:$U$130="Missing", ROW(Q8:Q$130)-ROW(Q8)+1), ROW(2:2))), "")</f>
        <v/>
      </c>
      <c r="D71" s="21" t="str">
        <f t="array" ref="D71">IFERROR(INDEX(P$7:P$130, SMALL(IF($U$7:$U$130="Missing", ROW(P8:P$130)-ROW(P8)+1), ROW(2:2))), "")</f>
        <v/>
      </c>
      <c r="E71" s="21" t="str">
        <f>IF(AND(FalsePositives[[#This Row],[Average Quality]]&gt;40,FalsePositives[[#This Row],[Frequency]]&gt;1.3),"FP","Pass")</f>
        <v>FP</v>
      </c>
      <c r="F71" s="33" t="s">
        <v>147</v>
      </c>
      <c r="G71" s="29" t="e">
        <f t="shared" si="6"/>
        <v>#N/A</v>
      </c>
      <c r="I71" s="13">
        <f>'Raw Data Hotspot'!A6</f>
        <v>0</v>
      </c>
      <c r="J71" s="13">
        <f>'Raw Data Hotspot'!B6</f>
        <v>0</v>
      </c>
      <c r="K71" s="13">
        <f>'Raw Data Hotspot'!C6</f>
        <v>0</v>
      </c>
      <c r="L71" s="13">
        <f>'Raw Data Hotspot'!D6</f>
        <v>0</v>
      </c>
      <c r="M71" s="13">
        <f>'Raw Data Hotspot'!E6</f>
        <v>0</v>
      </c>
      <c r="N71" s="13">
        <f>'Raw Data Hotspot'!G6</f>
        <v>0</v>
      </c>
      <c r="O71" s="13">
        <f>'Raw Data Hotspot'!H6</f>
        <v>0</v>
      </c>
      <c r="P71" s="13">
        <f>'Raw Data Hotspot'!I6</f>
        <v>0</v>
      </c>
      <c r="Q71" s="13">
        <f>'Raw Data Hotspot'!J6</f>
        <v>0</v>
      </c>
      <c r="R71" s="2">
        <f>'Raw Data Hotspot'!K6</f>
        <v>0</v>
      </c>
      <c r="S71" s="2">
        <f>'Raw Data Hotspot'!N6</f>
        <v>0</v>
      </c>
      <c r="T71" s="2">
        <f t="shared" si="4"/>
        <v>0</v>
      </c>
      <c r="U71" s="11" t="str">
        <f>IF($S71=0, "", IF(COUNTIF(Table1[Amino Acid Change], $S71)=0, "Missing", "Y"))</f>
        <v/>
      </c>
      <c r="V71" s="1">
        <f t="shared" si="5"/>
        <v>0</v>
      </c>
    </row>
    <row r="72" spans="1:22" x14ac:dyDescent="0.25">
      <c r="A72" s="19" t="str">
        <f t="array" ref="A72">IFERROR(INDEX(R$7:R$130, SMALL(IF($U$7:$U$130="Missing", ROW(R9:R$130)-ROW(R9)+1), ROW(3:3))), "")</f>
        <v/>
      </c>
      <c r="B72" s="21" t="str">
        <f t="array" ref="B72">IFERROR(INDEX(S$7:S$130, SMALL(IF($U$7:$U$130="Missing", ROW(S9:S$130)-ROW(S9)+1), ROW(3:3))), "")</f>
        <v/>
      </c>
      <c r="C72" s="32" t="str">
        <f t="array" ref="C72">IFERROR(INDEX(Q$7:Q$130, SMALL(IF($U$7:$U$130="Missing", ROW(Q9:Q$130)-ROW(Q9)+1), ROW(3:3))), "")</f>
        <v/>
      </c>
      <c r="D72" s="21" t="str">
        <f t="array" ref="D72">IFERROR(INDEX(P$7:P$130, SMALL(IF($U$7:$U$130="Missing", ROW(P9:P$130)-ROW(P9)+1), ROW(3:3))), "")</f>
        <v/>
      </c>
      <c r="E72" s="21" t="str">
        <f>IF(AND(FalsePositives[[#This Row],[Average Quality]]&gt;40,FalsePositives[[#This Row],[Frequency]]&gt;1.3),"FP","Pass")</f>
        <v>FP</v>
      </c>
      <c r="F72" s="26"/>
      <c r="G72" s="29" t="e">
        <f t="shared" si="6"/>
        <v>#N/A</v>
      </c>
      <c r="I72" s="13">
        <f>'Raw Data Hotspot'!A7</f>
        <v>0</v>
      </c>
      <c r="J72" s="13">
        <f>'Raw Data Hotspot'!B7</f>
        <v>0</v>
      </c>
      <c r="K72" s="13">
        <f>'Raw Data Hotspot'!C7</f>
        <v>0</v>
      </c>
      <c r="L72" s="13">
        <f>'Raw Data Hotspot'!D7</f>
        <v>0</v>
      </c>
      <c r="M72" s="13">
        <f>'Raw Data Hotspot'!E7</f>
        <v>0</v>
      </c>
      <c r="N72" s="13">
        <f>'Raw Data Hotspot'!G7</f>
        <v>0</v>
      </c>
      <c r="O72" s="13">
        <f>'Raw Data Hotspot'!H7</f>
        <v>0</v>
      </c>
      <c r="P72" s="13">
        <f>'Raw Data Hotspot'!I7</f>
        <v>0</v>
      </c>
      <c r="Q72" s="13">
        <f>'Raw Data Hotspot'!J7</f>
        <v>0</v>
      </c>
      <c r="R72" s="2">
        <f>'Raw Data Hotspot'!K7</f>
        <v>0</v>
      </c>
      <c r="S72" s="2">
        <f>'Raw Data Hotspot'!N7</f>
        <v>0</v>
      </c>
      <c r="T72" s="2">
        <f t="shared" si="4"/>
        <v>0</v>
      </c>
      <c r="U72" s="11" t="str">
        <f>IF($S72=0, "", IF(COUNTIF(Table1[Amino Acid Change], $S72)=0, "Missing", "Y"))</f>
        <v/>
      </c>
      <c r="V72" s="1">
        <f t="shared" si="5"/>
        <v>0</v>
      </c>
    </row>
    <row r="73" spans="1:22" x14ac:dyDescent="0.25">
      <c r="A73" s="19" t="str">
        <f t="array" ref="A73">IFERROR(INDEX(R$7:R$130, SMALL(IF($U$7:$U$130="Missing", ROW(R10:R$130)-ROW(R10)+1), ROW(4:4))), "")</f>
        <v/>
      </c>
      <c r="B73" s="21" t="str">
        <f t="array" ref="B73">IFERROR(INDEX(S$7:S$130, SMALL(IF($U$7:$U$130="Missing", ROW(S10:S$130)-ROW(S10)+1), ROW(4:4))), "")</f>
        <v/>
      </c>
      <c r="C73" s="32" t="str">
        <f t="array" ref="C73">IFERROR(INDEX(Q$7:Q$130, SMALL(IF($U$7:$U$130="Missing", ROW(Q10:Q$130)-ROW(Q10)+1), ROW(4:4))), "")</f>
        <v/>
      </c>
      <c r="D73" s="21" t="str">
        <f t="array" ref="D73">IFERROR(INDEX(P$7:P$130, SMALL(IF($U$7:$U$130="Missing", ROW(P10:P$130)-ROW(P10)+1), ROW(4:4))), "")</f>
        <v/>
      </c>
      <c r="E73" s="21" t="str">
        <f>IF(AND(FalsePositives[[#This Row],[Average Quality]]&gt;40,FalsePositives[[#This Row],[Frequency]]&gt;1.3),"FP","Pass")</f>
        <v>FP</v>
      </c>
      <c r="F73" s="26"/>
      <c r="G73" s="29" t="e">
        <f t="shared" si="6"/>
        <v>#N/A</v>
      </c>
      <c r="I73" s="13">
        <f>'Raw Data Hotspot'!A8</f>
        <v>0</v>
      </c>
      <c r="J73" s="13">
        <f>'Raw Data Hotspot'!B8</f>
        <v>0</v>
      </c>
      <c r="K73" s="13">
        <f>'Raw Data Hotspot'!C8</f>
        <v>0</v>
      </c>
      <c r="L73" s="13">
        <f>'Raw Data Hotspot'!D8</f>
        <v>0</v>
      </c>
      <c r="M73" s="13">
        <f>'Raw Data Hotspot'!E8</f>
        <v>0</v>
      </c>
      <c r="N73" s="13">
        <f>'Raw Data Hotspot'!G8</f>
        <v>0</v>
      </c>
      <c r="O73" s="13">
        <f>'Raw Data Hotspot'!H8</f>
        <v>0</v>
      </c>
      <c r="P73" s="13">
        <f>'Raw Data Hotspot'!I8</f>
        <v>0</v>
      </c>
      <c r="Q73" s="13">
        <f>'Raw Data Hotspot'!J8</f>
        <v>0</v>
      </c>
      <c r="R73" s="2">
        <f>'Raw Data Hotspot'!K8</f>
        <v>0</v>
      </c>
      <c r="S73" s="2">
        <f>'Raw Data Hotspot'!N8</f>
        <v>0</v>
      </c>
      <c r="T73" s="2">
        <f t="shared" si="4"/>
        <v>0</v>
      </c>
      <c r="U73" s="11" t="str">
        <f>IF($S73=0, "", IF(COUNTIF(Table1[Amino Acid Change], $S73)=0, "Missing", "Y"))</f>
        <v/>
      </c>
      <c r="V73" s="1">
        <f t="shared" si="5"/>
        <v>0</v>
      </c>
    </row>
    <row r="74" spans="1:22" x14ac:dyDescent="0.25">
      <c r="A74" s="19" t="str">
        <f t="array" ref="A74">IFERROR(INDEX(R$7:R$130, SMALL(IF($U$7:$U$130="Missing", ROW(R11:R$130)-ROW(R11)+1), ROW(5:5))), "")</f>
        <v/>
      </c>
      <c r="B74" s="21" t="str">
        <f t="array" ref="B74">IFERROR(INDEX(S$7:S$130, SMALL(IF($U$7:$U$130="Missing", ROW(S11:S$130)-ROW(S11)+1), ROW(5:5))), "")</f>
        <v/>
      </c>
      <c r="C74" s="32" t="str">
        <f t="array" ref="C74">IFERROR(INDEX(Q$7:Q$130, SMALL(IF($U$7:$U$130="Missing", ROW(Q11:Q$130)-ROW(Q11)+1), ROW(5:5))), "")</f>
        <v/>
      </c>
      <c r="D74" s="21" t="str">
        <f t="array" ref="D74">IFERROR(INDEX(P$7:P$130, SMALL(IF($U$7:$U$130="Missing", ROW(P11:P$130)-ROW(P11)+1), ROW(5:5))), "")</f>
        <v/>
      </c>
      <c r="E74" s="21" t="str">
        <f>IF(AND(FalsePositives[[#This Row],[Average Quality]]&gt;40,FalsePositives[[#This Row],[Frequency]]&gt;1.3),"FP","Pass")</f>
        <v>FP</v>
      </c>
      <c r="F74" s="33"/>
      <c r="G74" s="29" t="e">
        <f t="shared" si="6"/>
        <v>#N/A</v>
      </c>
      <c r="I74" s="13">
        <f>'Raw Data Hotspot'!A9</f>
        <v>0</v>
      </c>
      <c r="J74" s="13">
        <f>'Raw Data Hotspot'!B9</f>
        <v>0</v>
      </c>
      <c r="K74" s="13">
        <f>'Raw Data Hotspot'!C9</f>
        <v>0</v>
      </c>
      <c r="L74" s="13">
        <f>'Raw Data Hotspot'!D9</f>
        <v>0</v>
      </c>
      <c r="M74" s="13">
        <f>'Raw Data Hotspot'!E9</f>
        <v>0</v>
      </c>
      <c r="N74" s="13">
        <f>'Raw Data Hotspot'!G9</f>
        <v>0</v>
      </c>
      <c r="O74" s="13">
        <f>'Raw Data Hotspot'!H9</f>
        <v>0</v>
      </c>
      <c r="P74" s="13">
        <f>'Raw Data Hotspot'!I9</f>
        <v>0</v>
      </c>
      <c r="Q74" s="13">
        <f>'Raw Data Hotspot'!J9</f>
        <v>0</v>
      </c>
      <c r="R74" s="2">
        <f>'Raw Data Hotspot'!K9</f>
        <v>0</v>
      </c>
      <c r="S74" s="2">
        <f>'Raw Data Hotspot'!N9</f>
        <v>0</v>
      </c>
      <c r="T74" s="2">
        <f t="shared" si="4"/>
        <v>0</v>
      </c>
      <c r="U74" s="11" t="str">
        <f>IF($S74=0, "", IF(COUNTIF(Table1[Amino Acid Change], $S74)=0, "Missing", "Y"))</f>
        <v/>
      </c>
      <c r="V74" s="1">
        <f t="shared" si="5"/>
        <v>0</v>
      </c>
    </row>
    <row r="75" spans="1:22" x14ac:dyDescent="0.25">
      <c r="A75" s="19" t="str">
        <f t="array" ref="A75">IFERROR(INDEX(R$7:R$130, SMALL(IF($U$7:$U$130="Missing", ROW(R12:R$130)-ROW(R12)+1), ROW(6:6))), "")</f>
        <v/>
      </c>
      <c r="B75" s="21" t="str">
        <f t="array" ref="B75">IFERROR(INDEX(S$7:S$130, SMALL(IF($U$7:$U$130="Missing", ROW(S12:S$130)-ROW(S12)+1), ROW(6:6))), "")</f>
        <v/>
      </c>
      <c r="C75" s="32" t="str">
        <f t="array" ref="C75">IFERROR(INDEX(Q$7:Q$130, SMALL(IF($U$7:$U$130="Missing", ROW(Q12:Q$130)-ROW(Q12)+1), ROW(6:6))), "")</f>
        <v/>
      </c>
      <c r="D75" s="21" t="str">
        <f t="array" ref="D75">IFERROR(INDEX(P$7:P$130, SMALL(IF($U$7:$U$130="Missing", ROW(P12:P$130)-ROW(P12)+1), ROW(6:6))), "")</f>
        <v/>
      </c>
      <c r="E75" s="21" t="str">
        <f>IF(AND(FalsePositives[[#This Row],[Average Quality]]&gt;40,FalsePositives[[#This Row],[Frequency]]&gt;1.3),"FP","Pass")</f>
        <v>FP</v>
      </c>
      <c r="F75" s="33"/>
      <c r="G75" s="29" t="e">
        <f t="shared" si="6"/>
        <v>#N/A</v>
      </c>
      <c r="I75" s="13">
        <f>'Raw Data Hotspot'!A10</f>
        <v>0</v>
      </c>
      <c r="J75" s="13">
        <f>'Raw Data Hotspot'!B10</f>
        <v>0</v>
      </c>
      <c r="K75" s="13">
        <f>'Raw Data Hotspot'!C10</f>
        <v>0</v>
      </c>
      <c r="L75" s="13">
        <f>'Raw Data Hotspot'!D10</f>
        <v>0</v>
      </c>
      <c r="M75" s="13">
        <f>'Raw Data Hotspot'!E10</f>
        <v>0</v>
      </c>
      <c r="N75" s="13">
        <f>'Raw Data Hotspot'!G10</f>
        <v>0</v>
      </c>
      <c r="O75" s="13">
        <f>'Raw Data Hotspot'!H10</f>
        <v>0</v>
      </c>
      <c r="P75" s="13">
        <f>'Raw Data Hotspot'!I10</f>
        <v>0</v>
      </c>
      <c r="Q75" s="13">
        <f>'Raw Data Hotspot'!J10</f>
        <v>0</v>
      </c>
      <c r="R75" s="2">
        <f>'Raw Data Hotspot'!K10</f>
        <v>0</v>
      </c>
      <c r="S75" s="2">
        <f>'Raw Data Hotspot'!N10</f>
        <v>0</v>
      </c>
      <c r="T75" s="2">
        <f t="shared" si="4"/>
        <v>0</v>
      </c>
      <c r="U75" s="11" t="str">
        <f>IF($S75=0, "", IF(COUNTIF(Table1[Amino Acid Change], $S75)=0, "Missing", "Y"))</f>
        <v/>
      </c>
      <c r="V75" s="1">
        <f t="shared" si="5"/>
        <v>0</v>
      </c>
    </row>
    <row r="76" spans="1:22" x14ac:dyDescent="0.25">
      <c r="A76" s="19" t="str">
        <f t="array" ref="A76">IFERROR(INDEX(R$7:R$130, SMALL(IF($U$7:$U$130="Missing", ROW(R13:R$130)-ROW(R13)+1), ROW(7:7))), "")</f>
        <v/>
      </c>
      <c r="B76" s="21" t="str">
        <f t="array" ref="B76">IFERROR(INDEX(S$7:S$130, SMALL(IF($U$7:$U$130="Missing", ROW(S13:S$130)-ROW(S13)+1), ROW(7:7))), "")</f>
        <v/>
      </c>
      <c r="C76" s="32" t="str">
        <f t="array" ref="C76">IFERROR(INDEX(Q$7:Q$130, SMALL(IF($U$7:$U$130="Missing", ROW(Q13:Q$130)-ROW(Q13)+1), ROW(7:7))), "")</f>
        <v/>
      </c>
      <c r="D76" s="21" t="str">
        <f t="array" ref="D76">IFERROR(INDEX(P$7:P$130, SMALL(IF($U$7:$U$130="Missing", ROW(P13:P$130)-ROW(P13)+1), ROW(7:7))), "")</f>
        <v/>
      </c>
      <c r="E76" s="21" t="str">
        <f>IF(AND(FalsePositives[[#This Row],[Average Quality]]&gt;40,FalsePositives[[#This Row],[Frequency]]&gt;1.3),"FP","Pass")</f>
        <v>FP</v>
      </c>
      <c r="F76" s="26"/>
      <c r="G76" s="29" t="e">
        <f t="shared" si="6"/>
        <v>#N/A</v>
      </c>
      <c r="I76" s="13">
        <f>'Raw Data Hotspot'!A11</f>
        <v>0</v>
      </c>
      <c r="J76" s="13">
        <f>'Raw Data Hotspot'!B11</f>
        <v>0</v>
      </c>
      <c r="K76" s="13">
        <f>'Raw Data Hotspot'!C11</f>
        <v>0</v>
      </c>
      <c r="L76" s="13">
        <f>'Raw Data Hotspot'!D11</f>
        <v>0</v>
      </c>
      <c r="M76" s="13">
        <f>'Raw Data Hotspot'!E11</f>
        <v>0</v>
      </c>
      <c r="N76" s="13">
        <f>'Raw Data Hotspot'!G11</f>
        <v>0</v>
      </c>
      <c r="O76" s="13">
        <f>'Raw Data Hotspot'!H11</f>
        <v>0</v>
      </c>
      <c r="P76" s="13">
        <f>'Raw Data Hotspot'!I11</f>
        <v>0</v>
      </c>
      <c r="Q76" s="13">
        <f>'Raw Data Hotspot'!J11</f>
        <v>0</v>
      </c>
      <c r="R76" s="2">
        <f>'Raw Data Hotspot'!K11</f>
        <v>0</v>
      </c>
      <c r="S76" s="2">
        <f>'Raw Data Hotspot'!N11</f>
        <v>0</v>
      </c>
      <c r="T76" s="2">
        <f t="shared" si="4"/>
        <v>0</v>
      </c>
      <c r="U76" s="11" t="str">
        <f>IF($S76=0, "", IF(COUNTIF(Table1[Amino Acid Change], $S76)=0, "Missing", "Y"))</f>
        <v/>
      </c>
      <c r="V76" s="1">
        <f t="shared" si="5"/>
        <v>0</v>
      </c>
    </row>
    <row r="77" spans="1:22" x14ac:dyDescent="0.25">
      <c r="A77" s="19" t="str">
        <f t="array" ref="A77">IFERROR(INDEX(R$7:R$130, SMALL(IF($U$7:$U$130="Missing", ROW(R14:R$130)-ROW(R14)+1), ROW(8:8))), "")</f>
        <v/>
      </c>
      <c r="B77" s="21" t="str">
        <f t="array" ref="B77">IFERROR(INDEX(S$7:S$130, SMALL(IF($U$7:$U$130="Missing", ROW(S14:S$130)-ROW(S14)+1), ROW(8:8))), "")</f>
        <v/>
      </c>
      <c r="C77" s="32" t="str">
        <f t="array" ref="C77">IFERROR(INDEX(Q$7:Q$130, SMALL(IF($U$7:$U$130="Missing", ROW(Q14:Q$130)-ROW(Q14)+1), ROW(8:8))), "")</f>
        <v/>
      </c>
      <c r="D77" s="21" t="str">
        <f t="array" ref="D77">IFERROR(INDEX(P$7:P$130, SMALL(IF($U$7:$U$130="Missing", ROW(P14:P$130)-ROW(P14)+1), ROW(8:8))), "")</f>
        <v/>
      </c>
      <c r="E77" s="21" t="str">
        <f>IF(AND(FalsePositives[[#This Row],[Average Quality]]&gt;40,FalsePositives[[#This Row],[Frequency]]&gt;1.3),"FP","Pass")</f>
        <v>FP</v>
      </c>
      <c r="F77" s="33"/>
      <c r="G77" s="29" t="e">
        <f t="shared" si="6"/>
        <v>#N/A</v>
      </c>
      <c r="I77" s="13">
        <f>'Raw Data Hotspot'!A12</f>
        <v>0</v>
      </c>
      <c r="J77" s="13">
        <f>'Raw Data Hotspot'!B12</f>
        <v>0</v>
      </c>
      <c r="K77" s="13">
        <f>'Raw Data Hotspot'!C12</f>
        <v>0</v>
      </c>
      <c r="L77" s="13">
        <f>'Raw Data Hotspot'!D12</f>
        <v>0</v>
      </c>
      <c r="M77" s="13">
        <f>'Raw Data Hotspot'!E12</f>
        <v>0</v>
      </c>
      <c r="N77" s="13">
        <f>'Raw Data Hotspot'!G12</f>
        <v>0</v>
      </c>
      <c r="O77" s="13">
        <f>'Raw Data Hotspot'!H12</f>
        <v>0</v>
      </c>
      <c r="P77" s="13">
        <f>'Raw Data Hotspot'!I12</f>
        <v>0</v>
      </c>
      <c r="Q77" s="13">
        <f>'Raw Data Hotspot'!J12</f>
        <v>0</v>
      </c>
      <c r="R77" s="2">
        <f>'Raw Data Hotspot'!K12</f>
        <v>0</v>
      </c>
      <c r="S77" s="2">
        <f>'Raw Data Hotspot'!N12</f>
        <v>0</v>
      </c>
      <c r="T77" s="2">
        <f t="shared" si="4"/>
        <v>0</v>
      </c>
      <c r="U77" s="11" t="str">
        <f>IF($S77=0, "", IF(COUNTIF(Table1[Amino Acid Change], $S77)=0, "Missing", "Y"))</f>
        <v/>
      </c>
      <c r="V77" s="1">
        <f t="shared" si="5"/>
        <v>0</v>
      </c>
    </row>
    <row r="78" spans="1:22" x14ac:dyDescent="0.25">
      <c r="A78" s="19" t="str">
        <f t="array" ref="A78">IFERROR(INDEX(R$7:R$130, SMALL(IF($U$7:$U$130="Missing", ROW(R15:R$130)-ROW(R15)+1), ROW(9:9))), "")</f>
        <v/>
      </c>
      <c r="B78" s="21" t="str">
        <f t="array" ref="B78">IFERROR(INDEX(S$7:S$130, SMALL(IF($U$7:$U$130="Missing", ROW(S15:S$130)-ROW(S15)+1), ROW(9:9))), "")</f>
        <v/>
      </c>
      <c r="C78" s="32" t="str">
        <f t="array" ref="C78">IFERROR(INDEX(Q$7:Q$130, SMALL(IF($U$7:$U$130="Missing", ROW(Q15:Q$130)-ROW(Q15)+1), ROW(9:9))), "")</f>
        <v/>
      </c>
      <c r="D78" s="21" t="str">
        <f t="array" ref="D78">IFERROR(INDEX(P$7:P$130, SMALL(IF($U$7:$U$130="Missing", ROW(P15:P$130)-ROW(P15)+1), ROW(9:9))), "")</f>
        <v/>
      </c>
      <c r="E78" s="21" t="str">
        <f>IF(AND(FalsePositives[[#This Row],[Average Quality]]&gt;40,FalsePositives[[#This Row],[Frequency]]&gt;1.3),"FP","Pass")</f>
        <v>FP</v>
      </c>
      <c r="F78" s="33"/>
      <c r="G78" s="29" t="e">
        <f t="shared" si="6"/>
        <v>#N/A</v>
      </c>
      <c r="I78" s="13">
        <f>'Raw Data Hotspot'!A13</f>
        <v>0</v>
      </c>
      <c r="J78" s="13">
        <f>'Raw Data Hotspot'!B13</f>
        <v>0</v>
      </c>
      <c r="K78" s="13">
        <f>'Raw Data Hotspot'!C13</f>
        <v>0</v>
      </c>
      <c r="L78" s="13">
        <f>'Raw Data Hotspot'!D13</f>
        <v>0</v>
      </c>
      <c r="M78" s="13">
        <f>'Raw Data Hotspot'!E13</f>
        <v>0</v>
      </c>
      <c r="N78" s="13">
        <f>'Raw Data Hotspot'!G13</f>
        <v>0</v>
      </c>
      <c r="O78" s="13">
        <f>'Raw Data Hotspot'!H13</f>
        <v>0</v>
      </c>
      <c r="P78" s="13">
        <f>'Raw Data Hotspot'!I13</f>
        <v>0</v>
      </c>
      <c r="Q78" s="13">
        <f>'Raw Data Hotspot'!J13</f>
        <v>0</v>
      </c>
      <c r="R78" s="2">
        <f>'Raw Data Hotspot'!K13</f>
        <v>0</v>
      </c>
      <c r="S78" s="2">
        <f>'Raw Data Hotspot'!N13</f>
        <v>0</v>
      </c>
      <c r="T78" s="2">
        <f t="shared" si="4"/>
        <v>0</v>
      </c>
      <c r="U78" s="11" t="str">
        <f>IF($S78=0, "", IF(COUNTIF(Table1[Amino Acid Change], $S78)=0, "Missing", "Y"))</f>
        <v/>
      </c>
      <c r="V78" s="1">
        <f t="shared" si="5"/>
        <v>0</v>
      </c>
    </row>
    <row r="79" spans="1:22" x14ac:dyDescent="0.25">
      <c r="A79" s="19" t="str">
        <f t="array" ref="A79">IFERROR(INDEX(R$7:R$130, SMALL(IF($U$7:$U$130="Missing", ROW(R16:R$130)-ROW(R16)+1), ROW(10:10))), "")</f>
        <v/>
      </c>
      <c r="B79" s="21" t="str">
        <f t="array" ref="B79">IFERROR(INDEX(S$7:S$130, SMALL(IF($U$7:$U$130="Missing", ROW(S16:S$130)-ROW(S16)+1), ROW(10:10))), "")</f>
        <v/>
      </c>
      <c r="C79" s="32" t="str">
        <f t="array" ref="C79">IFERROR(INDEX(Q$7:Q$130, SMALL(IF($U$7:$U$130="Missing", ROW(Q16:Q$130)-ROW(Q16)+1), ROW(10:10))), "")</f>
        <v/>
      </c>
      <c r="D79" s="21" t="str">
        <f t="array" ref="D79">IFERROR(INDEX(P$7:P$130, SMALL(IF($U$7:$U$130="Missing", ROW(P16:P$130)-ROW(P16)+1), ROW(10:10))), "")</f>
        <v/>
      </c>
      <c r="E79" s="21" t="str">
        <f>IF(AND(FalsePositives[[#This Row],[Average Quality]]&gt;40,FalsePositives[[#This Row],[Frequency]]&gt;1.3),"FP","Pass")</f>
        <v>FP</v>
      </c>
      <c r="F79" s="33"/>
      <c r="G79" s="29" t="e">
        <f t="shared" si="6"/>
        <v>#N/A</v>
      </c>
      <c r="I79" s="13">
        <f>'Raw Data Hotspot'!A14</f>
        <v>0</v>
      </c>
      <c r="J79" s="13">
        <f>'Raw Data Hotspot'!B14</f>
        <v>0</v>
      </c>
      <c r="K79" s="13">
        <f>'Raw Data Hotspot'!C14</f>
        <v>0</v>
      </c>
      <c r="L79" s="13">
        <f>'Raw Data Hotspot'!D14</f>
        <v>0</v>
      </c>
      <c r="M79" s="13">
        <f>'Raw Data Hotspot'!E14</f>
        <v>0</v>
      </c>
      <c r="N79" s="13">
        <f>'Raw Data Hotspot'!G14</f>
        <v>0</v>
      </c>
      <c r="O79" s="13">
        <f>'Raw Data Hotspot'!H14</f>
        <v>0</v>
      </c>
      <c r="P79" s="13">
        <f>'Raw Data Hotspot'!I14</f>
        <v>0</v>
      </c>
      <c r="Q79" s="13">
        <f>'Raw Data Hotspot'!J14</f>
        <v>0</v>
      </c>
      <c r="R79" s="2">
        <f>'Raw Data Hotspot'!K14</f>
        <v>0</v>
      </c>
      <c r="S79" s="2">
        <f>'Raw Data Hotspot'!N14</f>
        <v>0</v>
      </c>
      <c r="T79" s="2">
        <f t="shared" si="4"/>
        <v>0</v>
      </c>
      <c r="U79" s="11" t="str">
        <f>IF($S79=0, "", IF(COUNTIF(Table1[Amino Acid Change], $S79)=0, "Missing", "Y"))</f>
        <v/>
      </c>
      <c r="V79" s="1">
        <f t="shared" si="5"/>
        <v>0</v>
      </c>
    </row>
    <row r="80" spans="1:22" x14ac:dyDescent="0.25">
      <c r="A80" s="19" t="str">
        <f t="array" ref="A80">IFERROR(INDEX(R$7:R$130, SMALL(IF($U$7:$U$130="Missing", ROW(R17:R$130)-ROW(R17)+1), ROW(11:11))), "")</f>
        <v/>
      </c>
      <c r="B80" s="21" t="str">
        <f t="array" ref="B80">IFERROR(INDEX(S$7:S$130, SMALL(IF($U$7:$U$130="Missing", ROW(S17:S$130)-ROW(S17)+1), ROW(11:11))), "")</f>
        <v/>
      </c>
      <c r="C80" s="32" t="str">
        <f t="array" ref="C80">IFERROR(INDEX(Q$7:Q$130, SMALL(IF($U$7:$U$130="Missing", ROW(Q17:Q$130)-ROW(Q17)+1), ROW(11:11))), "")</f>
        <v/>
      </c>
      <c r="D80" s="21" t="str">
        <f t="array" ref="D80">IFERROR(INDEX(P$7:P$130, SMALL(IF($U$7:$U$130="Missing", ROW(P17:P$130)-ROW(P17)+1), ROW(11:11))), "")</f>
        <v/>
      </c>
      <c r="E80" s="21" t="str">
        <f>IF(AND(FalsePositives[[#This Row],[Average Quality]]&gt;40,FalsePositives[[#This Row],[Frequency]]&gt;1.3),"FP","Pass")</f>
        <v>FP</v>
      </c>
      <c r="F80" s="33"/>
      <c r="G80" s="29" t="e">
        <f t="shared" si="6"/>
        <v>#N/A</v>
      </c>
      <c r="I80" s="13">
        <f>'Raw Data Hotspot'!A15</f>
        <v>0</v>
      </c>
      <c r="J80" s="13">
        <f>'Raw Data Hotspot'!B15</f>
        <v>0</v>
      </c>
      <c r="K80" s="13">
        <f>'Raw Data Hotspot'!C15</f>
        <v>0</v>
      </c>
      <c r="L80" s="13">
        <f>'Raw Data Hotspot'!D15</f>
        <v>0</v>
      </c>
      <c r="M80" s="13">
        <f>'Raw Data Hotspot'!E15</f>
        <v>0</v>
      </c>
      <c r="N80" s="13">
        <f>'Raw Data Hotspot'!G15</f>
        <v>0</v>
      </c>
      <c r="O80" s="13">
        <f>'Raw Data Hotspot'!H15</f>
        <v>0</v>
      </c>
      <c r="P80" s="13">
        <f>'Raw Data Hotspot'!I15</f>
        <v>0</v>
      </c>
      <c r="Q80" s="13">
        <f>'Raw Data Hotspot'!J15</f>
        <v>0</v>
      </c>
      <c r="R80" s="2">
        <f>'Raw Data Hotspot'!K15</f>
        <v>0</v>
      </c>
      <c r="S80" s="2">
        <f>'Raw Data Hotspot'!N15</f>
        <v>0</v>
      </c>
      <c r="T80" s="2">
        <f t="shared" si="4"/>
        <v>0</v>
      </c>
      <c r="U80" s="11" t="str">
        <f>IF($S80=0, "", IF(COUNTIF(Table1[Amino Acid Change], $S80)=0, "Missing", "Y"))</f>
        <v/>
      </c>
      <c r="V80" s="1">
        <f t="shared" si="5"/>
        <v>0</v>
      </c>
    </row>
    <row r="81" spans="1:22" x14ac:dyDescent="0.25">
      <c r="A81" s="19" t="str">
        <f t="array" ref="A81">IFERROR(INDEX(R$7:R$130, SMALL(IF($U$7:$U$130="Missing", ROW(R18:R$130)-ROW(R18)+1), ROW(12:12))), "")</f>
        <v/>
      </c>
      <c r="B81" s="21" t="str">
        <f t="array" ref="B81">IFERROR(INDEX(S$7:S$130, SMALL(IF($U$7:$U$130="Missing", ROW(S18:S$130)-ROW(S18)+1), ROW(12:12))), "")</f>
        <v/>
      </c>
      <c r="C81" s="32" t="str">
        <f t="array" ref="C81">IFERROR(INDEX(Q$7:Q$130, SMALL(IF($U$7:$U$130="Missing", ROW(Q18:Q$130)-ROW(Q18)+1), ROW(12:12))), "")</f>
        <v/>
      </c>
      <c r="D81" s="21" t="str">
        <f t="array" ref="D81">IFERROR(INDEX(P$7:P$130, SMALL(IF($U$7:$U$130="Missing", ROW(P18:P$130)-ROW(P18)+1), ROW(12:12))), "")</f>
        <v/>
      </c>
      <c r="E81" s="21" t="str">
        <f>IF(AND(FalsePositives[[#This Row],[Average Quality]]&gt;40,FalsePositives[[#This Row],[Frequency]]&gt;1.3),"FP","Pass")</f>
        <v>FP</v>
      </c>
      <c r="F81" s="26"/>
      <c r="G81" s="29" t="e">
        <f t="shared" si="6"/>
        <v>#N/A</v>
      </c>
      <c r="I81" s="13">
        <f>'Raw Data Hotspot'!A16</f>
        <v>0</v>
      </c>
      <c r="J81" s="13">
        <f>'Raw Data Hotspot'!B16</f>
        <v>0</v>
      </c>
      <c r="K81" s="13">
        <f>'Raw Data Hotspot'!C16</f>
        <v>0</v>
      </c>
      <c r="L81" s="13">
        <f>'Raw Data Hotspot'!D16</f>
        <v>0</v>
      </c>
      <c r="M81" s="13">
        <f>'Raw Data Hotspot'!E16</f>
        <v>0</v>
      </c>
      <c r="N81" s="13">
        <f>'Raw Data Hotspot'!G16</f>
        <v>0</v>
      </c>
      <c r="O81" s="13">
        <f>'Raw Data Hotspot'!H16</f>
        <v>0</v>
      </c>
      <c r="P81" s="13">
        <f>'Raw Data Hotspot'!I16</f>
        <v>0</v>
      </c>
      <c r="Q81" s="13">
        <f>'Raw Data Hotspot'!J16</f>
        <v>0</v>
      </c>
      <c r="R81" s="2">
        <f>'Raw Data Hotspot'!K16</f>
        <v>0</v>
      </c>
      <c r="S81" s="2">
        <f>'Raw Data Hotspot'!N16</f>
        <v>0</v>
      </c>
      <c r="T81" s="2">
        <f t="shared" si="4"/>
        <v>0</v>
      </c>
      <c r="U81" s="11" t="str">
        <f>IF($S81=0, "", IF(COUNTIF(Table1[Amino Acid Change], $S81)=0, "Missing", "Y"))</f>
        <v/>
      </c>
      <c r="V81" s="1">
        <f t="shared" si="5"/>
        <v>0</v>
      </c>
    </row>
    <row r="82" spans="1:22" x14ac:dyDescent="0.25">
      <c r="A82" s="19" t="str">
        <f t="array" ref="A82">IFERROR(INDEX(R$7:R$130, SMALL(IF($U$7:$U$130="Missing", ROW(R19:R$130)-ROW(R19)+1), ROW(13:13))), "")</f>
        <v/>
      </c>
      <c r="B82" s="21" t="str">
        <f t="array" ref="B82">IFERROR(INDEX(S$7:S$130, SMALL(IF($U$7:$U$130="Missing", ROW(S19:S$130)-ROW(S19)+1), ROW(13:13))), "")</f>
        <v/>
      </c>
      <c r="C82" s="32" t="str">
        <f t="array" ref="C82">IFERROR(INDEX(Q$7:Q$130, SMALL(IF($U$7:$U$130="Missing", ROW(Q19:Q$130)-ROW(Q19)+1), ROW(13:13))), "")</f>
        <v/>
      </c>
      <c r="D82" s="21" t="str">
        <f t="array" ref="D82">IFERROR(INDEX(P$7:P$130, SMALL(IF($U$7:$U$130="Missing", ROW(P19:P$130)-ROW(P19)+1), ROW(13:13))), "")</f>
        <v/>
      </c>
      <c r="E82" s="21" t="str">
        <f>IF(AND(FalsePositives[[#This Row],[Average Quality]]&gt;40,FalsePositives[[#This Row],[Frequency]]&gt;1.3),"FP","Pass")</f>
        <v>FP</v>
      </c>
      <c r="F82" s="26"/>
      <c r="G82" s="29" t="e">
        <f t="shared" si="6"/>
        <v>#N/A</v>
      </c>
      <c r="I82" s="13">
        <f>'Raw Data Hotspot'!A17</f>
        <v>0</v>
      </c>
      <c r="J82" s="13">
        <f>'Raw Data Hotspot'!B17</f>
        <v>0</v>
      </c>
      <c r="K82" s="13">
        <f>'Raw Data Hotspot'!C17</f>
        <v>0</v>
      </c>
      <c r="L82" s="13">
        <f>'Raw Data Hotspot'!D17</f>
        <v>0</v>
      </c>
      <c r="M82" s="13">
        <f>'Raw Data Hotspot'!E17</f>
        <v>0</v>
      </c>
      <c r="N82" s="13">
        <f>'Raw Data Hotspot'!G17</f>
        <v>0</v>
      </c>
      <c r="O82" s="13">
        <f>'Raw Data Hotspot'!H17</f>
        <v>0</v>
      </c>
      <c r="P82" s="13">
        <f>'Raw Data Hotspot'!I17</f>
        <v>0</v>
      </c>
      <c r="Q82" s="13">
        <f>'Raw Data Hotspot'!J17</f>
        <v>0</v>
      </c>
      <c r="R82" s="2">
        <f>'Raw Data Hotspot'!K17</f>
        <v>0</v>
      </c>
      <c r="S82" s="2">
        <f>'Raw Data Hotspot'!N17</f>
        <v>0</v>
      </c>
      <c r="T82" s="2">
        <f t="shared" si="4"/>
        <v>0</v>
      </c>
      <c r="U82" s="11" t="str">
        <f>IF($S82=0, "", IF(COUNTIF(Table1[Amino Acid Change], $S82)=0, "Missing", "Y"))</f>
        <v/>
      </c>
      <c r="V82" s="1">
        <f t="shared" si="5"/>
        <v>0</v>
      </c>
    </row>
    <row r="83" spans="1:22" x14ac:dyDescent="0.25">
      <c r="A83" s="19" t="str">
        <f t="array" ref="A83">IFERROR(INDEX(R$7:R$130, SMALL(IF($U$7:$U$130="Missing", ROW(R20:R$130)-ROW(R20)+1), ROW(14:14))), "")</f>
        <v/>
      </c>
      <c r="B83" s="21" t="str">
        <f t="array" ref="B83">IFERROR(INDEX(S$7:S$130, SMALL(IF($U$7:$U$130="Missing", ROW(S20:S$130)-ROW(S20)+1), ROW(14:14))), "")</f>
        <v/>
      </c>
      <c r="C83" s="32" t="str">
        <f t="array" ref="C83">IFERROR(INDEX(Q$7:Q$130, SMALL(IF($U$7:$U$130="Missing", ROW(Q20:Q$130)-ROW(Q20)+1), ROW(14:14))), "")</f>
        <v/>
      </c>
      <c r="D83" s="21" t="str">
        <f t="array" ref="D83">IFERROR(INDEX(P$7:P$130, SMALL(IF($U$7:$U$130="Missing", ROW(P20:P$130)-ROW(P20)+1), ROW(14:14))), "")</f>
        <v/>
      </c>
      <c r="E83" s="21" t="str">
        <f>IF(AND(FalsePositives[[#This Row],[Average Quality]]&gt;40,FalsePositives[[#This Row],[Frequency]]&gt;1.3),"FP","Pass")</f>
        <v>FP</v>
      </c>
      <c r="F83" s="26"/>
      <c r="G83" s="29" t="e">
        <f t="shared" si="6"/>
        <v>#N/A</v>
      </c>
      <c r="I83" s="13">
        <f>'Raw Data Hotspot'!A18</f>
        <v>0</v>
      </c>
      <c r="J83" s="13">
        <f>'Raw Data Hotspot'!B18</f>
        <v>0</v>
      </c>
      <c r="K83" s="13">
        <f>'Raw Data Hotspot'!C18</f>
        <v>0</v>
      </c>
      <c r="L83" s="13">
        <f>'Raw Data Hotspot'!D18</f>
        <v>0</v>
      </c>
      <c r="M83" s="13">
        <f>'Raw Data Hotspot'!E18</f>
        <v>0</v>
      </c>
      <c r="N83" s="13">
        <f>'Raw Data Hotspot'!G18</f>
        <v>0</v>
      </c>
      <c r="O83" s="13">
        <f>'Raw Data Hotspot'!H18</f>
        <v>0</v>
      </c>
      <c r="P83" s="13">
        <f>'Raw Data Hotspot'!I18</f>
        <v>0</v>
      </c>
      <c r="Q83" s="13">
        <f>'Raw Data Hotspot'!J18</f>
        <v>0</v>
      </c>
      <c r="R83" s="2">
        <f>'Raw Data Hotspot'!K18</f>
        <v>0</v>
      </c>
      <c r="S83" s="2">
        <f>'Raw Data Hotspot'!N18</f>
        <v>0</v>
      </c>
      <c r="T83" s="2">
        <f t="shared" si="4"/>
        <v>0</v>
      </c>
      <c r="U83" s="11" t="str">
        <f>IF($S83=0, "", IF(COUNTIF(Table1[Amino Acid Change], $S83)=0, "Missing", "Y"))</f>
        <v/>
      </c>
      <c r="V83" s="1">
        <f t="shared" si="5"/>
        <v>0</v>
      </c>
    </row>
    <row r="84" spans="1:22" x14ac:dyDescent="0.25">
      <c r="A84" s="19" t="str">
        <f t="array" ref="A84">IFERROR(INDEX(R$7:R$130, SMALL(IF($U$7:$U$130="Missing", ROW(R21:R$130)-ROW(R21)+1), ROW(15:15))), "")</f>
        <v/>
      </c>
      <c r="B84" s="21" t="str">
        <f t="array" ref="B84">IFERROR(INDEX(S$7:S$130, SMALL(IF($U$7:$U$130="Missing", ROW(S21:S$130)-ROW(S21)+1), ROW(15:15))), "")</f>
        <v/>
      </c>
      <c r="C84" s="32" t="str">
        <f t="array" ref="C84">IFERROR(INDEX(Q$7:Q$130, SMALL(IF($U$7:$U$130="Missing", ROW(Q21:Q$130)-ROW(Q21)+1), ROW(15:15))), "")</f>
        <v/>
      </c>
      <c r="D84" s="21" t="str">
        <f t="array" ref="D84">IFERROR(INDEX(P$7:P$130, SMALL(IF($U$7:$U$130="Missing", ROW(P21:P$130)-ROW(P21)+1), ROW(15:15))), "")</f>
        <v/>
      </c>
      <c r="E84" s="21" t="str">
        <f>IF(AND(FalsePositives[[#This Row],[Average Quality]]&gt;40,FalsePositives[[#This Row],[Frequency]]&gt;1.3),"FP","Pass")</f>
        <v>FP</v>
      </c>
      <c r="F84" s="26"/>
      <c r="G84" s="29" t="e">
        <f t="shared" si="6"/>
        <v>#N/A</v>
      </c>
      <c r="I84" s="13">
        <f>'Raw Data Hotspot'!A19</f>
        <v>0</v>
      </c>
      <c r="J84" s="13">
        <f>'Raw Data Hotspot'!B19</f>
        <v>0</v>
      </c>
      <c r="K84" s="13">
        <f>'Raw Data Hotspot'!C19</f>
        <v>0</v>
      </c>
      <c r="L84" s="13">
        <f>'Raw Data Hotspot'!D19</f>
        <v>0</v>
      </c>
      <c r="M84" s="13">
        <f>'Raw Data Hotspot'!E19</f>
        <v>0</v>
      </c>
      <c r="N84" s="13">
        <f>'Raw Data Hotspot'!G19</f>
        <v>0</v>
      </c>
      <c r="O84" s="13">
        <f>'Raw Data Hotspot'!H19</f>
        <v>0</v>
      </c>
      <c r="P84" s="13">
        <f>'Raw Data Hotspot'!I19</f>
        <v>0</v>
      </c>
      <c r="Q84" s="13">
        <f>'Raw Data Hotspot'!J19</f>
        <v>0</v>
      </c>
      <c r="R84" s="2">
        <f>'Raw Data Hotspot'!K19</f>
        <v>0</v>
      </c>
      <c r="S84" s="2">
        <f>'Raw Data Hotspot'!N19</f>
        <v>0</v>
      </c>
      <c r="T84" s="2">
        <f t="shared" si="4"/>
        <v>0</v>
      </c>
      <c r="U84" s="11" t="str">
        <f>IF($S84=0, "", IF(COUNTIF(Table1[Amino Acid Change], $S84)=0, "Missing", "Y"))</f>
        <v/>
      </c>
      <c r="V84" s="1">
        <f t="shared" si="5"/>
        <v>0</v>
      </c>
    </row>
    <row r="85" spans="1:22" x14ac:dyDescent="0.25">
      <c r="A85" s="19" t="str">
        <f t="array" ref="A85">IFERROR(INDEX(R$7:R$130, SMALL(IF($U$7:$U$130="Missing", ROW(R22:R$130)-ROW(R22)+1), ROW(16:16))), "")</f>
        <v/>
      </c>
      <c r="B85" s="21" t="str">
        <f t="array" ref="B85">IFERROR(INDEX(S$7:S$130, SMALL(IF($U$7:$U$130="Missing", ROW(S22:S$130)-ROW(S22)+1), ROW(16:16))), "")</f>
        <v/>
      </c>
      <c r="C85" s="32" t="str">
        <f t="array" ref="C85">IFERROR(INDEX(Q$7:Q$130, SMALL(IF($U$7:$U$130="Missing", ROW(Q22:Q$130)-ROW(Q22)+1), ROW(16:16))), "")</f>
        <v/>
      </c>
      <c r="D85" s="21" t="str">
        <f t="array" ref="D85">IFERROR(INDEX(P$7:P$130, SMALL(IF($U$7:$U$130="Missing", ROW(P22:P$130)-ROW(P22)+1), ROW(16:16))), "")</f>
        <v/>
      </c>
      <c r="E85" s="21" t="str">
        <f>IF(AND(FalsePositives[[#This Row],[Average Quality]]&gt;40,FalsePositives[[#This Row],[Frequency]]&gt;1.3),"FP","Pass")</f>
        <v>FP</v>
      </c>
      <c r="F85" s="33"/>
      <c r="G85" s="29" t="e">
        <f t="shared" si="6"/>
        <v>#N/A</v>
      </c>
      <c r="I85" s="13">
        <f>'Raw Data Hotspot'!A20</f>
        <v>0</v>
      </c>
      <c r="J85" s="13">
        <f>'Raw Data Hotspot'!B20</f>
        <v>0</v>
      </c>
      <c r="K85" s="13">
        <f>'Raw Data Hotspot'!C20</f>
        <v>0</v>
      </c>
      <c r="L85" s="13">
        <f>'Raw Data Hotspot'!D20</f>
        <v>0</v>
      </c>
      <c r="M85" s="13">
        <f>'Raw Data Hotspot'!E20</f>
        <v>0</v>
      </c>
      <c r="N85" s="13">
        <f>'Raw Data Hotspot'!G20</f>
        <v>0</v>
      </c>
      <c r="O85" s="13">
        <f>'Raw Data Hotspot'!H20</f>
        <v>0</v>
      </c>
      <c r="P85" s="13">
        <f>'Raw Data Hotspot'!I20</f>
        <v>0</v>
      </c>
      <c r="Q85" s="13">
        <f>'Raw Data Hotspot'!J20</f>
        <v>0</v>
      </c>
      <c r="R85" s="2">
        <f>'Raw Data Hotspot'!K20</f>
        <v>0</v>
      </c>
      <c r="S85" s="2">
        <f>'Raw Data Hotspot'!N20</f>
        <v>0</v>
      </c>
      <c r="T85" s="2">
        <f t="shared" si="4"/>
        <v>0</v>
      </c>
      <c r="U85" s="11" t="str">
        <f>IF($S85=0, "", IF(COUNTIF(Table1[Amino Acid Change], $S85)=0, "Missing", "Y"))</f>
        <v/>
      </c>
      <c r="V85" s="1">
        <f t="shared" si="5"/>
        <v>0</v>
      </c>
    </row>
    <row r="86" spans="1:22" x14ac:dyDescent="0.25">
      <c r="A86" s="19" t="str">
        <f t="array" ref="A86">IFERROR(INDEX(R$7:R$130, SMALL(IF($U$7:$U$130="Missing", ROW(R23:R$130)-ROW(R23)+1), ROW(17:17))), "")</f>
        <v/>
      </c>
      <c r="B86" s="21" t="str">
        <f t="array" ref="B86">IFERROR(INDEX(S$7:S$130, SMALL(IF($U$7:$U$130="Missing", ROW(S23:S$130)-ROW(S23)+1), ROW(17:17))), "")</f>
        <v/>
      </c>
      <c r="C86" s="32" t="str">
        <f t="array" ref="C86">IFERROR(INDEX(Q$7:Q$130, SMALL(IF($U$7:$U$130="Missing", ROW(Q23:Q$130)-ROW(Q23)+1), ROW(17:17))), "")</f>
        <v/>
      </c>
      <c r="D86" s="21" t="str">
        <f t="array" ref="D86">IFERROR(INDEX(P$7:P$130, SMALL(IF($U$7:$U$130="Missing", ROW(P23:P$130)-ROW(P23)+1), ROW(17:17))), "")</f>
        <v/>
      </c>
      <c r="E86" s="21" t="str">
        <f>IF(AND(FalsePositives[[#This Row],[Average Quality]]&gt;40,FalsePositives[[#This Row],[Frequency]]&gt;1.3),"FP","Pass")</f>
        <v>FP</v>
      </c>
      <c r="F86" s="33"/>
      <c r="G86" s="29" t="e">
        <f t="shared" si="6"/>
        <v>#N/A</v>
      </c>
      <c r="I86" s="13">
        <f>'Raw Data Hotspot'!A21</f>
        <v>0</v>
      </c>
      <c r="J86" s="13">
        <f>'Raw Data Hotspot'!B21</f>
        <v>0</v>
      </c>
      <c r="K86" s="13">
        <f>'Raw Data Hotspot'!C21</f>
        <v>0</v>
      </c>
      <c r="L86" s="13">
        <f>'Raw Data Hotspot'!D21</f>
        <v>0</v>
      </c>
      <c r="M86" s="13">
        <f>'Raw Data Hotspot'!E21</f>
        <v>0</v>
      </c>
      <c r="N86" s="13">
        <f>'Raw Data Hotspot'!G21</f>
        <v>0</v>
      </c>
      <c r="O86" s="13">
        <f>'Raw Data Hotspot'!H21</f>
        <v>0</v>
      </c>
      <c r="P86" s="13">
        <f>'Raw Data Hotspot'!I21</f>
        <v>0</v>
      </c>
      <c r="Q86" s="13">
        <f>'Raw Data Hotspot'!J21</f>
        <v>0</v>
      </c>
      <c r="R86" s="2">
        <f>'Raw Data Hotspot'!K21</f>
        <v>0</v>
      </c>
      <c r="S86" s="2">
        <f>'Raw Data Hotspot'!N21</f>
        <v>0</v>
      </c>
      <c r="T86" s="2">
        <f t="shared" si="4"/>
        <v>0</v>
      </c>
      <c r="U86" s="11" t="str">
        <f>IF($S86=0, "", IF(COUNTIF(Table1[Amino Acid Change], $S86)=0, "Missing", "Y"))</f>
        <v/>
      </c>
      <c r="V86" s="1">
        <f t="shared" si="5"/>
        <v>0</v>
      </c>
    </row>
    <row r="87" spans="1:22" x14ac:dyDescent="0.25">
      <c r="A87" s="19" t="str">
        <f t="array" ref="A87">IFERROR(INDEX(R$7:R$130, SMALL(IF($U$7:$U$130="Missing", ROW(R24:R$130)-ROW(R24)+1), ROW(18:18))), "")</f>
        <v/>
      </c>
      <c r="B87" s="21" t="str">
        <f t="array" ref="B87">IFERROR(INDEX(S$7:S$130, SMALL(IF($U$7:$U$130="Missing", ROW(S24:S$130)-ROW(S24)+1), ROW(18:18))), "")</f>
        <v/>
      </c>
      <c r="C87" s="32" t="str">
        <f t="array" ref="C87">IFERROR(INDEX(Q$7:Q$130, SMALL(IF($U$7:$U$130="Missing", ROW(Q24:Q$130)-ROW(Q24)+1), ROW(18:18))), "")</f>
        <v/>
      </c>
      <c r="D87" s="21" t="str">
        <f t="array" ref="D87">IFERROR(INDEX(P$7:P$130, SMALL(IF($U$7:$U$130="Missing", ROW(P24:P$130)-ROW(P24)+1), ROW(18:18))), "")</f>
        <v/>
      </c>
      <c r="E87" s="21" t="str">
        <f>IF(AND(FalsePositives[[#This Row],[Average Quality]]&gt;40,FalsePositives[[#This Row],[Frequency]]&gt;1.3),"FP","Pass")</f>
        <v>FP</v>
      </c>
      <c r="F87" s="26"/>
      <c r="G87" s="29" t="e">
        <f t="shared" si="6"/>
        <v>#N/A</v>
      </c>
      <c r="I87" s="13">
        <f>'Raw Data Hotspot'!A22</f>
        <v>0</v>
      </c>
      <c r="J87" s="13">
        <f>'Raw Data Hotspot'!B22</f>
        <v>0</v>
      </c>
      <c r="K87" s="13">
        <f>'Raw Data Hotspot'!C22</f>
        <v>0</v>
      </c>
      <c r="L87" s="13">
        <f>'Raw Data Hotspot'!D22</f>
        <v>0</v>
      </c>
      <c r="M87" s="13">
        <f>'Raw Data Hotspot'!E22</f>
        <v>0</v>
      </c>
      <c r="N87" s="13">
        <f>'Raw Data Hotspot'!G22</f>
        <v>0</v>
      </c>
      <c r="O87" s="13">
        <f>'Raw Data Hotspot'!H22</f>
        <v>0</v>
      </c>
      <c r="P87" s="13">
        <f>'Raw Data Hotspot'!I22</f>
        <v>0</v>
      </c>
      <c r="Q87" s="13">
        <f>'Raw Data Hotspot'!J22</f>
        <v>0</v>
      </c>
      <c r="R87" s="2">
        <f>'Raw Data Hotspot'!K22</f>
        <v>0</v>
      </c>
      <c r="S87" s="2">
        <f>'Raw Data Hotspot'!N22</f>
        <v>0</v>
      </c>
      <c r="T87" s="2">
        <f t="shared" si="4"/>
        <v>0</v>
      </c>
      <c r="U87" s="11" t="str">
        <f>IF($S87=0, "", IF(COUNTIF(Table1[Amino Acid Change], $S87)=0, "Missing", "Y"))</f>
        <v/>
      </c>
      <c r="V87" s="1">
        <f t="shared" si="5"/>
        <v>0</v>
      </c>
    </row>
    <row r="88" spans="1:22" x14ac:dyDescent="0.25">
      <c r="A88" s="19" t="str">
        <f t="array" ref="A88">IFERROR(INDEX(R$7:R$130, SMALL(IF($U$7:$U$130="Missing", ROW(R25:R$130)-ROW(R25)+1), ROW(19:19))), "")</f>
        <v/>
      </c>
      <c r="B88" s="21" t="str">
        <f t="array" ref="B88">IFERROR(INDEX(S$7:S$130, SMALL(IF($U$7:$U$130="Missing", ROW(S25:S$130)-ROW(S25)+1), ROW(19:19))), "")</f>
        <v/>
      </c>
      <c r="C88" s="32" t="str">
        <f t="array" ref="C88">IFERROR(INDEX(Q$7:Q$130, SMALL(IF($U$7:$U$130="Missing", ROW(Q25:Q$130)-ROW(Q25)+1), ROW(19:19))), "")</f>
        <v/>
      </c>
      <c r="D88" s="21" t="str">
        <f t="array" ref="D88">IFERROR(INDEX(P$7:P$130, SMALL(IF($U$7:$U$130="Missing", ROW(P25:P$130)-ROW(P25)+1), ROW(19:19))), "")</f>
        <v/>
      </c>
      <c r="E88" s="21" t="str">
        <f>IF(AND(FalsePositives[[#This Row],[Average Quality]]&gt;40,FalsePositives[[#This Row],[Frequency]]&gt;1.3),"FP","Pass")</f>
        <v>FP</v>
      </c>
      <c r="F88" s="26"/>
      <c r="G88" s="29" t="e">
        <f t="shared" si="6"/>
        <v>#N/A</v>
      </c>
      <c r="I88" s="13">
        <f>'Raw Data Hotspot'!A23</f>
        <v>0</v>
      </c>
      <c r="J88" s="13">
        <f>'Raw Data Hotspot'!B23</f>
        <v>0</v>
      </c>
      <c r="K88" s="13">
        <f>'Raw Data Hotspot'!C23</f>
        <v>0</v>
      </c>
      <c r="L88" s="13">
        <f>'Raw Data Hotspot'!D23</f>
        <v>0</v>
      </c>
      <c r="M88" s="13">
        <f>'Raw Data Hotspot'!E23</f>
        <v>0</v>
      </c>
      <c r="N88" s="13">
        <f>'Raw Data Hotspot'!G23</f>
        <v>0</v>
      </c>
      <c r="O88" s="13">
        <f>'Raw Data Hotspot'!H23</f>
        <v>0</v>
      </c>
      <c r="P88" s="13">
        <f>'Raw Data Hotspot'!I23</f>
        <v>0</v>
      </c>
      <c r="Q88" s="13">
        <f>'Raw Data Hotspot'!J23</f>
        <v>0</v>
      </c>
      <c r="R88" s="2">
        <f>'Raw Data Hotspot'!K23</f>
        <v>0</v>
      </c>
      <c r="S88" s="2">
        <f>'Raw Data Hotspot'!N23</f>
        <v>0</v>
      </c>
      <c r="T88" s="2">
        <f t="shared" si="4"/>
        <v>0</v>
      </c>
      <c r="U88" s="11" t="str">
        <f>IF($S88=0, "", IF(COUNTIF(Table1[Amino Acid Change], $S88)=0, "Missing", "Y"))</f>
        <v/>
      </c>
      <c r="V88" s="1">
        <f t="shared" si="5"/>
        <v>0</v>
      </c>
    </row>
    <row r="89" spans="1:22" x14ac:dyDescent="0.25">
      <c r="A89" s="19" t="str">
        <f t="array" ref="A89">IFERROR(INDEX(R$7:R$130, SMALL(IF($U$7:$U$130="Missing", ROW(R26:R$130)-ROW(R26)+1), ROW(20:20))), "")</f>
        <v/>
      </c>
      <c r="B89" s="21" t="str">
        <f t="array" ref="B89">IFERROR(INDEX(S$7:S$130, SMALL(IF($U$7:$U$130="Missing", ROW(S26:S$130)-ROW(S26)+1), ROW(20:20))), "")</f>
        <v/>
      </c>
      <c r="C89" s="32" t="str">
        <f t="array" ref="C89">IFERROR(INDEX(Q$7:Q$130, SMALL(IF($U$7:$U$130="Missing", ROW(Q26:Q$130)-ROW(Q26)+1), ROW(20:20))), "")</f>
        <v/>
      </c>
      <c r="D89" s="21" t="str">
        <f t="array" ref="D89">IFERROR(INDEX(P$7:P$130, SMALL(IF($U$7:$U$130="Missing", ROW(P26:P$130)-ROW(P26)+1), ROW(20:20))), "")</f>
        <v/>
      </c>
      <c r="E89" s="21" t="str">
        <f>IF(AND(FalsePositives[[#This Row],[Average Quality]]&gt;40,FalsePositives[[#This Row],[Frequency]]&gt;1.3),"FP","Pass")</f>
        <v>FP</v>
      </c>
      <c r="F89" s="26"/>
      <c r="G89" s="29" t="e">
        <f t="shared" si="6"/>
        <v>#N/A</v>
      </c>
      <c r="I89" s="13">
        <f>'Raw Data Hotspot'!A24</f>
        <v>0</v>
      </c>
      <c r="J89" s="13">
        <f>'Raw Data Hotspot'!B24</f>
        <v>0</v>
      </c>
      <c r="K89" s="13">
        <f>'Raw Data Hotspot'!C24</f>
        <v>0</v>
      </c>
      <c r="L89" s="13">
        <f>'Raw Data Hotspot'!D24</f>
        <v>0</v>
      </c>
      <c r="M89" s="13">
        <f>'Raw Data Hotspot'!E24</f>
        <v>0</v>
      </c>
      <c r="N89" s="13">
        <f>'Raw Data Hotspot'!G24</f>
        <v>0</v>
      </c>
      <c r="O89" s="13">
        <f>'Raw Data Hotspot'!H24</f>
        <v>0</v>
      </c>
      <c r="P89" s="13">
        <f>'Raw Data Hotspot'!I24</f>
        <v>0</v>
      </c>
      <c r="Q89" s="13">
        <f>'Raw Data Hotspot'!J24</f>
        <v>0</v>
      </c>
      <c r="R89" s="2">
        <f>'Raw Data Hotspot'!K24</f>
        <v>0</v>
      </c>
      <c r="S89" s="2">
        <f>'Raw Data Hotspot'!N24</f>
        <v>0</v>
      </c>
      <c r="T89" s="2">
        <f t="shared" si="4"/>
        <v>0</v>
      </c>
      <c r="U89" s="11" t="str">
        <f>IF($S89=0, "", IF(COUNTIF(Table1[Amino Acid Change], $S89)=0, "Missing", "Y"))</f>
        <v/>
      </c>
      <c r="V89" s="1">
        <f t="shared" si="5"/>
        <v>0</v>
      </c>
    </row>
    <row r="90" spans="1:22" x14ac:dyDescent="0.25">
      <c r="A90" s="19" t="str">
        <f t="array" ref="A90">IFERROR(INDEX(R$7:R$130, SMALL(IF($U$7:$U$130="Missing", ROW(R27:R$130)-ROW(R27)+1), ROW(21:21))), "")</f>
        <v/>
      </c>
      <c r="B90" s="21" t="str">
        <f t="array" ref="B90">IFERROR(INDEX(S$7:S$130, SMALL(IF($U$7:$U$130="Missing", ROW(S27:S$130)-ROW(S27)+1), ROW(21:21))), "")</f>
        <v/>
      </c>
      <c r="C90" s="32" t="str">
        <f t="array" ref="C90">IFERROR(INDEX(Q$7:Q$130, SMALL(IF($U$7:$U$130="Missing", ROW(Q27:Q$130)-ROW(Q27)+1), ROW(21:21))), "")</f>
        <v/>
      </c>
      <c r="D90" s="21" t="str">
        <f t="array" ref="D90">IFERROR(INDEX(P$7:P$130, SMALL(IF($U$7:$U$130="Missing", ROW(P27:P$130)-ROW(P27)+1), ROW(21:21))), "")</f>
        <v/>
      </c>
      <c r="E90" s="21" t="str">
        <f>IF(AND(FalsePositives[[#This Row],[Average Quality]]&gt;40,FalsePositives[[#This Row],[Frequency]]&gt;1.3),"FP","Pass")</f>
        <v>FP</v>
      </c>
      <c r="F90" s="26"/>
      <c r="G90" s="29" t="e">
        <f t="shared" si="6"/>
        <v>#N/A</v>
      </c>
      <c r="I90" s="13">
        <f>'Raw Data Hotspot'!A25</f>
        <v>0</v>
      </c>
      <c r="J90" s="13">
        <f>'Raw Data Hotspot'!B25</f>
        <v>0</v>
      </c>
      <c r="K90" s="13">
        <f>'Raw Data Hotspot'!C25</f>
        <v>0</v>
      </c>
      <c r="L90" s="13">
        <f>'Raw Data Hotspot'!D25</f>
        <v>0</v>
      </c>
      <c r="M90" s="13">
        <f>'Raw Data Hotspot'!E25</f>
        <v>0</v>
      </c>
      <c r="N90" s="13">
        <f>'Raw Data Hotspot'!G25</f>
        <v>0</v>
      </c>
      <c r="O90" s="13">
        <f>'Raw Data Hotspot'!H25</f>
        <v>0</v>
      </c>
      <c r="P90" s="13">
        <f>'Raw Data Hotspot'!I25</f>
        <v>0</v>
      </c>
      <c r="Q90" s="13">
        <f>'Raw Data Hotspot'!J25</f>
        <v>0</v>
      </c>
      <c r="R90" s="2">
        <f>'Raw Data Hotspot'!K25</f>
        <v>0</v>
      </c>
      <c r="S90" s="2">
        <f>'Raw Data Hotspot'!N25</f>
        <v>0</v>
      </c>
      <c r="T90" s="2">
        <f t="shared" si="4"/>
        <v>0</v>
      </c>
      <c r="U90" s="11" t="str">
        <f>IF($S90=0, "", IF(COUNTIF(Table1[Amino Acid Change], $S90)=0, "Missing", "Y"))</f>
        <v/>
      </c>
      <c r="V90" s="1">
        <f t="shared" si="5"/>
        <v>0</v>
      </c>
    </row>
    <row r="91" spans="1:22" x14ac:dyDescent="0.25">
      <c r="A91" s="19" t="str">
        <f t="array" ref="A91">IFERROR(INDEX(R$7:R$130, SMALL(IF($U$7:$U$130="Missing", ROW(R28:R$130)-ROW(R28)+1), ROW(22:22))), "")</f>
        <v/>
      </c>
      <c r="B91" s="21" t="str">
        <f t="array" ref="B91">IFERROR(INDEX(S$7:S$130, SMALL(IF($U$7:$U$130="Missing", ROW(S28:S$130)-ROW(S28)+1), ROW(22:22))), "")</f>
        <v/>
      </c>
      <c r="C91" s="32" t="str">
        <f t="array" ref="C91">IFERROR(INDEX(Q$7:Q$130, SMALL(IF($U$7:$U$130="Missing", ROW(Q28:Q$130)-ROW(Q28)+1), ROW(22:22))), "")</f>
        <v/>
      </c>
      <c r="D91" s="21" t="str">
        <f t="array" ref="D91">IFERROR(INDEX(P$7:P$130, SMALL(IF($U$7:$U$130="Missing", ROW(P28:P$130)-ROW(P28)+1), ROW(22:22))), "")</f>
        <v/>
      </c>
      <c r="E91" s="21" t="str">
        <f>IF(AND(FalsePositives[[#This Row],[Average Quality]]&gt;40,FalsePositives[[#This Row],[Frequency]]&gt;1.3),"FP","Pass")</f>
        <v>FP</v>
      </c>
      <c r="F91" s="26"/>
      <c r="G91" s="29" t="e">
        <f t="shared" si="6"/>
        <v>#N/A</v>
      </c>
      <c r="I91" s="13">
        <f>'Raw Data Hotspot'!A26</f>
        <v>0</v>
      </c>
      <c r="J91" s="13">
        <f>'Raw Data Hotspot'!B26</f>
        <v>0</v>
      </c>
      <c r="K91" s="13">
        <f>'Raw Data Hotspot'!C26</f>
        <v>0</v>
      </c>
      <c r="L91" s="13">
        <f>'Raw Data Hotspot'!D26</f>
        <v>0</v>
      </c>
      <c r="M91" s="13">
        <f>'Raw Data Hotspot'!E26</f>
        <v>0</v>
      </c>
      <c r="N91" s="13">
        <f>'Raw Data Hotspot'!G26</f>
        <v>0</v>
      </c>
      <c r="O91" s="13">
        <f>'Raw Data Hotspot'!H26</f>
        <v>0</v>
      </c>
      <c r="P91" s="13">
        <f>'Raw Data Hotspot'!I26</f>
        <v>0</v>
      </c>
      <c r="Q91" s="13">
        <f>'Raw Data Hotspot'!J26</f>
        <v>0</v>
      </c>
      <c r="R91" s="2">
        <f>'Raw Data Hotspot'!K26</f>
        <v>0</v>
      </c>
      <c r="S91" s="2">
        <f>'Raw Data Hotspot'!N26</f>
        <v>0</v>
      </c>
      <c r="T91" s="2">
        <f t="shared" si="4"/>
        <v>0</v>
      </c>
      <c r="U91" s="11" t="str">
        <f>IF($S91=0, "", IF(COUNTIF(Table1[Amino Acid Change], $S91)=0, "Missing", "Y"))</f>
        <v/>
      </c>
      <c r="V91" s="1">
        <f t="shared" si="5"/>
        <v>0</v>
      </c>
    </row>
    <row r="92" spans="1:22" x14ac:dyDescent="0.25">
      <c r="A92" s="19" t="str">
        <f t="array" ref="A92">IFERROR(INDEX(R$7:R$130, SMALL(IF($U$7:$U$130="Missing", ROW(R29:R$130)-ROW(R29)+1), ROW(23:23))), "")</f>
        <v/>
      </c>
      <c r="B92" s="21" t="str">
        <f t="array" ref="B92">IFERROR(INDEX(S$7:S$130, SMALL(IF($U$7:$U$130="Missing", ROW(S29:S$130)-ROW(S29)+1), ROW(23:23))), "")</f>
        <v/>
      </c>
      <c r="C92" s="32" t="str">
        <f t="array" ref="C92">IFERROR(INDEX(Q$7:Q$130, SMALL(IF($U$7:$U$130="Missing", ROW(Q29:Q$130)-ROW(Q29)+1), ROW(23:23))), "")</f>
        <v/>
      </c>
      <c r="D92" s="21" t="str">
        <f t="array" ref="D92">IFERROR(INDEX(P$7:P$130, SMALL(IF($U$7:$U$130="Missing", ROW(P29:P$130)-ROW(P29)+1), ROW(23:23))), "")</f>
        <v/>
      </c>
      <c r="E92" s="21" t="str">
        <f>IF(AND(FalsePositives[[#This Row],[Average Quality]]&gt;40,FalsePositives[[#This Row],[Frequency]]&gt;1.3),"FP","Pass")</f>
        <v>FP</v>
      </c>
      <c r="F92" s="26"/>
      <c r="G92" s="29" t="e">
        <f t="shared" si="6"/>
        <v>#N/A</v>
      </c>
      <c r="I92" s="13">
        <f>'Raw Data Hotspot'!A27</f>
        <v>0</v>
      </c>
      <c r="J92" s="13">
        <f>'Raw Data Hotspot'!B27</f>
        <v>0</v>
      </c>
      <c r="K92" s="13">
        <f>'Raw Data Hotspot'!C27</f>
        <v>0</v>
      </c>
      <c r="L92" s="13">
        <f>'Raw Data Hotspot'!D27</f>
        <v>0</v>
      </c>
      <c r="M92" s="13">
        <f>'Raw Data Hotspot'!E27</f>
        <v>0</v>
      </c>
      <c r="N92" s="13">
        <f>'Raw Data Hotspot'!G27</f>
        <v>0</v>
      </c>
      <c r="O92" s="13">
        <f>'Raw Data Hotspot'!H27</f>
        <v>0</v>
      </c>
      <c r="P92" s="13">
        <f>'Raw Data Hotspot'!I27</f>
        <v>0</v>
      </c>
      <c r="Q92" s="13">
        <f>'Raw Data Hotspot'!J27</f>
        <v>0</v>
      </c>
      <c r="R92" s="2">
        <f>'Raw Data Hotspot'!K27</f>
        <v>0</v>
      </c>
      <c r="S92" s="2">
        <f>'Raw Data Hotspot'!N27</f>
        <v>0</v>
      </c>
      <c r="T92" s="2">
        <f t="shared" si="4"/>
        <v>0</v>
      </c>
      <c r="U92" s="11" t="str">
        <f>IF($S92=0, "", IF(COUNTIF(Table1[Amino Acid Change], $S92)=0, "Missing", "Y"))</f>
        <v/>
      </c>
      <c r="V92" s="1">
        <f t="shared" si="5"/>
        <v>0</v>
      </c>
    </row>
    <row r="93" spans="1:22" x14ac:dyDescent="0.25">
      <c r="B93" s="1"/>
      <c r="F93" s="1"/>
      <c r="G93" s="1"/>
      <c r="I93" s="13">
        <f>'Raw Data Hotspot'!A28</f>
        <v>0</v>
      </c>
      <c r="J93" s="13">
        <f>'Raw Data Hotspot'!B28</f>
        <v>0</v>
      </c>
      <c r="K93" s="13">
        <f>'Raw Data Hotspot'!C28</f>
        <v>0</v>
      </c>
      <c r="L93" s="13">
        <f>'Raw Data Hotspot'!D28</f>
        <v>0</v>
      </c>
      <c r="M93" s="13">
        <f>'Raw Data Hotspot'!E28</f>
        <v>0</v>
      </c>
      <c r="N93" s="13">
        <f>'Raw Data Hotspot'!G28</f>
        <v>0</v>
      </c>
      <c r="O93" s="13">
        <f>'Raw Data Hotspot'!H28</f>
        <v>0</v>
      </c>
      <c r="P93" s="13">
        <f>'Raw Data Hotspot'!I28</f>
        <v>0</v>
      </c>
      <c r="Q93" s="13">
        <f>'Raw Data Hotspot'!J28</f>
        <v>0</v>
      </c>
      <c r="R93" s="2">
        <f>'Raw Data Hotspot'!K28</f>
        <v>0</v>
      </c>
      <c r="S93" s="2">
        <f>'Raw Data Hotspot'!N28</f>
        <v>0</v>
      </c>
      <c r="T93" s="2">
        <f t="shared" si="4"/>
        <v>0</v>
      </c>
      <c r="U93" s="11" t="str">
        <f>IF($S93=0, "", IF(COUNTIF(Table1[Amino Acid Change], $S93)=0, "Missing", "Y"))</f>
        <v/>
      </c>
      <c r="V93" s="1">
        <f t="shared" si="5"/>
        <v>0</v>
      </c>
    </row>
    <row r="94" spans="1:22" x14ac:dyDescent="0.25">
      <c r="B94" s="1"/>
      <c r="F94" s="1"/>
      <c r="G94" s="1"/>
      <c r="I94" s="13">
        <f>'Raw Data Hotspot'!A29</f>
        <v>0</v>
      </c>
      <c r="J94" s="13">
        <f>'Raw Data Hotspot'!B29</f>
        <v>0</v>
      </c>
      <c r="K94" s="13">
        <f>'Raw Data Hotspot'!C29</f>
        <v>0</v>
      </c>
      <c r="L94" s="13">
        <f>'Raw Data Hotspot'!D29</f>
        <v>0</v>
      </c>
      <c r="M94" s="13">
        <f>'Raw Data Hotspot'!E29</f>
        <v>0</v>
      </c>
      <c r="N94" s="13">
        <f>'Raw Data Hotspot'!G29</f>
        <v>0</v>
      </c>
      <c r="O94" s="13">
        <f>'Raw Data Hotspot'!H29</f>
        <v>0</v>
      </c>
      <c r="P94" s="13">
        <f>'Raw Data Hotspot'!I29</f>
        <v>0</v>
      </c>
      <c r="Q94" s="13">
        <f>'Raw Data Hotspot'!J29</f>
        <v>0</v>
      </c>
      <c r="R94" s="2">
        <f>'Raw Data Hotspot'!K29</f>
        <v>0</v>
      </c>
      <c r="S94" s="2">
        <f>'Raw Data Hotspot'!N29</f>
        <v>0</v>
      </c>
      <c r="T94" s="2">
        <f t="shared" si="4"/>
        <v>0</v>
      </c>
      <c r="U94" s="11" t="str">
        <f>IF($S94=0, "", IF(COUNTIF(Table1[Amino Acid Change], $S94)=0, "Missing", "Y"))</f>
        <v/>
      </c>
      <c r="V94" s="1">
        <f t="shared" si="5"/>
        <v>0</v>
      </c>
    </row>
    <row r="95" spans="1:22" x14ac:dyDescent="0.25">
      <c r="B95" s="1"/>
      <c r="F95" s="1"/>
      <c r="G95" s="1"/>
      <c r="I95" s="13">
        <f>'Raw Data Hotspot'!A30</f>
        <v>0</v>
      </c>
      <c r="J95" s="13">
        <f>'Raw Data Hotspot'!B30</f>
        <v>0</v>
      </c>
      <c r="K95" s="13">
        <f>'Raw Data Hotspot'!C30</f>
        <v>0</v>
      </c>
      <c r="L95" s="13">
        <f>'Raw Data Hotspot'!D30</f>
        <v>0</v>
      </c>
      <c r="M95" s="13">
        <f>'Raw Data Hotspot'!E30</f>
        <v>0</v>
      </c>
      <c r="N95" s="13">
        <f>'Raw Data Hotspot'!G30</f>
        <v>0</v>
      </c>
      <c r="O95" s="13">
        <f>'Raw Data Hotspot'!H30</f>
        <v>0</v>
      </c>
      <c r="P95" s="13">
        <f>'Raw Data Hotspot'!I30</f>
        <v>0</v>
      </c>
      <c r="Q95" s="13">
        <f>'Raw Data Hotspot'!J30</f>
        <v>0</v>
      </c>
      <c r="R95" s="2">
        <f>'Raw Data Hotspot'!K30</f>
        <v>0</v>
      </c>
      <c r="S95" s="2">
        <f>'Raw Data Hotspot'!N30</f>
        <v>0</v>
      </c>
      <c r="T95" s="2">
        <f t="shared" si="4"/>
        <v>0</v>
      </c>
      <c r="U95" s="11" t="str">
        <f>IF($S95=0, "", IF(COUNTIF(Table1[Amino Acid Change], $S95)=0, "Missing", "Y"))</f>
        <v/>
      </c>
      <c r="V95" s="1">
        <f t="shared" si="5"/>
        <v>0</v>
      </c>
    </row>
    <row r="96" spans="1:22" x14ac:dyDescent="0.25">
      <c r="B96" s="1"/>
      <c r="F96" s="1"/>
      <c r="G96" s="1"/>
      <c r="I96" s="13">
        <f>'Raw Data Hotspot'!A31</f>
        <v>0</v>
      </c>
      <c r="J96" s="13">
        <f>'Raw Data Hotspot'!B31</f>
        <v>0</v>
      </c>
      <c r="K96" s="13">
        <f>'Raw Data Hotspot'!C31</f>
        <v>0</v>
      </c>
      <c r="L96" s="13">
        <f>'Raw Data Hotspot'!D31</f>
        <v>0</v>
      </c>
      <c r="M96" s="13">
        <f>'Raw Data Hotspot'!E31</f>
        <v>0</v>
      </c>
      <c r="N96" s="13">
        <f>'Raw Data Hotspot'!G31</f>
        <v>0</v>
      </c>
      <c r="O96" s="13">
        <f>'Raw Data Hotspot'!H31</f>
        <v>0</v>
      </c>
      <c r="P96" s="13">
        <f>'Raw Data Hotspot'!I31</f>
        <v>0</v>
      </c>
      <c r="Q96" s="13">
        <f>'Raw Data Hotspot'!J31</f>
        <v>0</v>
      </c>
      <c r="R96" s="2">
        <f>'Raw Data Hotspot'!K31</f>
        <v>0</v>
      </c>
      <c r="S96" s="2">
        <f>'Raw Data Hotspot'!N31</f>
        <v>0</v>
      </c>
      <c r="T96" s="2">
        <f t="shared" si="4"/>
        <v>0</v>
      </c>
      <c r="U96" s="11" t="str">
        <f>IF($S96=0, "", IF(COUNTIF(Table1[Amino Acid Change], $S96)=0, "Missing", "Y"))</f>
        <v/>
      </c>
      <c r="V96" s="1">
        <f t="shared" si="5"/>
        <v>0</v>
      </c>
    </row>
    <row r="97" spans="2:22" x14ac:dyDescent="0.25">
      <c r="B97" s="1"/>
      <c r="F97" s="1"/>
      <c r="G97" s="1"/>
      <c r="I97" s="13">
        <f>'Raw Data Hotspot'!A32</f>
        <v>0</v>
      </c>
      <c r="J97" s="13">
        <f>'Raw Data Hotspot'!B32</f>
        <v>0</v>
      </c>
      <c r="K97" s="13">
        <f>'Raw Data Hotspot'!C32</f>
        <v>0</v>
      </c>
      <c r="L97" s="13">
        <f>'Raw Data Hotspot'!D32</f>
        <v>0</v>
      </c>
      <c r="M97" s="13">
        <f>'Raw Data Hotspot'!E32</f>
        <v>0</v>
      </c>
      <c r="N97" s="13">
        <f>'Raw Data Hotspot'!G32</f>
        <v>0</v>
      </c>
      <c r="O97" s="13">
        <f>'Raw Data Hotspot'!H32</f>
        <v>0</v>
      </c>
      <c r="P97" s="13">
        <f>'Raw Data Hotspot'!I32</f>
        <v>0</v>
      </c>
      <c r="Q97" s="13">
        <f>'Raw Data Hotspot'!J32</f>
        <v>0</v>
      </c>
      <c r="R97" s="2">
        <f>'Raw Data Hotspot'!K32</f>
        <v>0</v>
      </c>
      <c r="S97" s="2">
        <f>'Raw Data Hotspot'!N32</f>
        <v>0</v>
      </c>
      <c r="T97" s="2">
        <f t="shared" si="4"/>
        <v>0</v>
      </c>
      <c r="U97" s="11" t="str">
        <f>IF($S97=0, "", IF(COUNTIF(Table1[Amino Acid Change], $S97)=0, "Missing", "Y"))</f>
        <v/>
      </c>
      <c r="V97" s="1">
        <f t="shared" si="5"/>
        <v>0</v>
      </c>
    </row>
    <row r="98" spans="2:22" x14ac:dyDescent="0.25">
      <c r="B98" s="1"/>
      <c r="F98" s="1"/>
      <c r="G98" s="1"/>
      <c r="I98" s="13">
        <f>'Raw Data Hotspot'!A33</f>
        <v>0</v>
      </c>
      <c r="J98" s="13">
        <f>'Raw Data Hotspot'!B33</f>
        <v>0</v>
      </c>
      <c r="K98" s="13">
        <f>'Raw Data Hotspot'!C33</f>
        <v>0</v>
      </c>
      <c r="L98" s="13">
        <f>'Raw Data Hotspot'!D33</f>
        <v>0</v>
      </c>
      <c r="M98" s="13">
        <f>'Raw Data Hotspot'!E33</f>
        <v>0</v>
      </c>
      <c r="N98" s="13">
        <f>'Raw Data Hotspot'!G33</f>
        <v>0</v>
      </c>
      <c r="O98" s="13">
        <f>'Raw Data Hotspot'!H33</f>
        <v>0</v>
      </c>
      <c r="P98" s="13">
        <f>'Raw Data Hotspot'!I33</f>
        <v>0</v>
      </c>
      <c r="Q98" s="13">
        <f>'Raw Data Hotspot'!J33</f>
        <v>0</v>
      </c>
      <c r="R98" s="2">
        <f>'Raw Data Hotspot'!K33</f>
        <v>0</v>
      </c>
      <c r="S98" s="2">
        <f>'Raw Data Hotspot'!N33</f>
        <v>0</v>
      </c>
      <c r="T98" s="2">
        <f t="shared" si="4"/>
        <v>0</v>
      </c>
      <c r="U98" s="11" t="str">
        <f>IF($S98=0, "", IF(COUNTIF(Table1[Amino Acid Change], $S98)=0, "Missing", "Y"))</f>
        <v/>
      </c>
      <c r="V98" s="1">
        <f t="shared" si="5"/>
        <v>0</v>
      </c>
    </row>
    <row r="99" spans="2:22" x14ac:dyDescent="0.25">
      <c r="B99" s="1"/>
      <c r="F99" s="1"/>
      <c r="G99" s="1"/>
      <c r="I99" s="13">
        <f>'Raw Data Hotspot'!A34</f>
        <v>0</v>
      </c>
      <c r="J99" s="13">
        <f>'Raw Data Hotspot'!B34</f>
        <v>0</v>
      </c>
      <c r="K99" s="13">
        <f>'Raw Data Hotspot'!C34</f>
        <v>0</v>
      </c>
      <c r="L99" s="13">
        <f>'Raw Data Hotspot'!D34</f>
        <v>0</v>
      </c>
      <c r="M99" s="13">
        <f>'Raw Data Hotspot'!E34</f>
        <v>0</v>
      </c>
      <c r="N99" s="13">
        <f>'Raw Data Hotspot'!G34</f>
        <v>0</v>
      </c>
      <c r="O99" s="13">
        <f>'Raw Data Hotspot'!H34</f>
        <v>0</v>
      </c>
      <c r="P99" s="13">
        <f>'Raw Data Hotspot'!I34</f>
        <v>0</v>
      </c>
      <c r="Q99" s="13">
        <f>'Raw Data Hotspot'!J34</f>
        <v>0</v>
      </c>
      <c r="R99" s="2">
        <f>'Raw Data Hotspot'!K34</f>
        <v>0</v>
      </c>
      <c r="S99" s="2">
        <f>'Raw Data Hotspot'!N34</f>
        <v>0</v>
      </c>
      <c r="T99" s="2">
        <f t="shared" si="4"/>
        <v>0</v>
      </c>
      <c r="U99" s="11" t="str">
        <f>IF($S99=0, "", IF(COUNTIF(Table1[Amino Acid Change], $S99)=0, "Missing", "Y"))</f>
        <v/>
      </c>
      <c r="V99" s="1">
        <f t="shared" si="5"/>
        <v>0</v>
      </c>
    </row>
    <row r="100" spans="2:22" x14ac:dyDescent="0.25">
      <c r="B100" s="1"/>
      <c r="F100" s="1"/>
      <c r="G100" s="1"/>
      <c r="I100" s="13">
        <f>'Raw Data Hotspot'!A35</f>
        <v>0</v>
      </c>
      <c r="J100" s="13">
        <f>'Raw Data Hotspot'!B35</f>
        <v>0</v>
      </c>
      <c r="K100" s="13">
        <f>'Raw Data Hotspot'!C35</f>
        <v>0</v>
      </c>
      <c r="L100" s="13">
        <f>'Raw Data Hotspot'!D35</f>
        <v>0</v>
      </c>
      <c r="M100" s="13">
        <f>'Raw Data Hotspot'!E35</f>
        <v>0</v>
      </c>
      <c r="N100" s="13">
        <f>'Raw Data Hotspot'!G35</f>
        <v>0</v>
      </c>
      <c r="O100" s="13">
        <f>'Raw Data Hotspot'!H35</f>
        <v>0</v>
      </c>
      <c r="P100" s="13">
        <f>'Raw Data Hotspot'!I35</f>
        <v>0</v>
      </c>
      <c r="Q100" s="13">
        <f>'Raw Data Hotspot'!J35</f>
        <v>0</v>
      </c>
      <c r="R100" s="2">
        <f>'Raw Data Hotspot'!K35</f>
        <v>0</v>
      </c>
      <c r="S100" s="2">
        <f>'Raw Data Hotspot'!N35</f>
        <v>0</v>
      </c>
      <c r="T100" s="2">
        <f t="shared" si="4"/>
        <v>0</v>
      </c>
      <c r="U100" s="11" t="str">
        <f>IF($S100=0, "", IF(COUNTIF(Table1[Amino Acid Change], $S100)=0, "Missing", "Y"))</f>
        <v/>
      </c>
      <c r="V100" s="1">
        <f t="shared" si="5"/>
        <v>0</v>
      </c>
    </row>
    <row r="101" spans="2:22" x14ac:dyDescent="0.25">
      <c r="B101" s="1"/>
      <c r="F101" s="1"/>
      <c r="G101" s="1"/>
      <c r="I101" s="13">
        <f>'Raw Data Hotspot'!A36</f>
        <v>0</v>
      </c>
      <c r="J101" s="13">
        <f>'Raw Data Hotspot'!B36</f>
        <v>0</v>
      </c>
      <c r="K101" s="13">
        <f>'Raw Data Hotspot'!C36</f>
        <v>0</v>
      </c>
      <c r="L101" s="13">
        <f>'Raw Data Hotspot'!D36</f>
        <v>0</v>
      </c>
      <c r="M101" s="13">
        <f>'Raw Data Hotspot'!E36</f>
        <v>0</v>
      </c>
      <c r="N101" s="13">
        <f>'Raw Data Hotspot'!G36</f>
        <v>0</v>
      </c>
      <c r="O101" s="13">
        <f>'Raw Data Hotspot'!H36</f>
        <v>0</v>
      </c>
      <c r="P101" s="13">
        <f>'Raw Data Hotspot'!I36</f>
        <v>0</v>
      </c>
      <c r="Q101" s="13">
        <f>'Raw Data Hotspot'!J36</f>
        <v>0</v>
      </c>
      <c r="R101" s="2">
        <f>'Raw Data Hotspot'!K36</f>
        <v>0</v>
      </c>
      <c r="S101" s="2">
        <f>'Raw Data Hotspot'!N36</f>
        <v>0</v>
      </c>
      <c r="T101" s="2">
        <f t="shared" si="4"/>
        <v>0</v>
      </c>
      <c r="U101" s="11" t="str">
        <f>IF($S101=0, "", IF(COUNTIF(Table1[Amino Acid Change], $S101)=0, "Missing", "Y"))</f>
        <v/>
      </c>
      <c r="V101" s="1">
        <f t="shared" si="5"/>
        <v>0</v>
      </c>
    </row>
    <row r="102" spans="2:22" x14ac:dyDescent="0.25">
      <c r="B102" s="1"/>
      <c r="F102" s="1"/>
      <c r="G102" s="1"/>
      <c r="I102" s="13">
        <f>'Raw Data Hotspot'!A37</f>
        <v>0</v>
      </c>
      <c r="J102" s="13">
        <f>'Raw Data Hotspot'!B37</f>
        <v>0</v>
      </c>
      <c r="K102" s="13">
        <f>'Raw Data Hotspot'!C37</f>
        <v>0</v>
      </c>
      <c r="L102" s="13">
        <f>'Raw Data Hotspot'!D37</f>
        <v>0</v>
      </c>
      <c r="M102" s="13">
        <f>'Raw Data Hotspot'!E37</f>
        <v>0</v>
      </c>
      <c r="N102" s="13">
        <f>'Raw Data Hotspot'!G37</f>
        <v>0</v>
      </c>
      <c r="O102" s="13">
        <f>'Raw Data Hotspot'!H37</f>
        <v>0</v>
      </c>
      <c r="P102" s="13">
        <f>'Raw Data Hotspot'!I37</f>
        <v>0</v>
      </c>
      <c r="Q102" s="13">
        <f>'Raw Data Hotspot'!J37</f>
        <v>0</v>
      </c>
      <c r="R102" s="2">
        <f>'Raw Data Hotspot'!K37</f>
        <v>0</v>
      </c>
      <c r="S102" s="2">
        <f>'Raw Data Hotspot'!N37</f>
        <v>0</v>
      </c>
      <c r="T102" s="2">
        <f t="shared" si="4"/>
        <v>0</v>
      </c>
      <c r="U102" s="11" t="str">
        <f>IF($S102=0, "", IF(COUNTIF(Table1[Amino Acid Change], $S102)=0, "Missing", "Y"))</f>
        <v/>
      </c>
      <c r="V102" s="1">
        <f t="shared" si="5"/>
        <v>0</v>
      </c>
    </row>
    <row r="103" spans="2:22" x14ac:dyDescent="0.25">
      <c r="B103" s="1"/>
      <c r="F103" s="1"/>
      <c r="G103" s="1"/>
      <c r="I103" s="13">
        <f>'Raw Data Hotspot'!A38</f>
        <v>0</v>
      </c>
      <c r="J103" s="13">
        <f>'Raw Data Hotspot'!B38</f>
        <v>0</v>
      </c>
      <c r="K103" s="13">
        <f>'Raw Data Hotspot'!C38</f>
        <v>0</v>
      </c>
      <c r="L103" s="13">
        <f>'Raw Data Hotspot'!D38</f>
        <v>0</v>
      </c>
      <c r="M103" s="13">
        <f>'Raw Data Hotspot'!E38</f>
        <v>0</v>
      </c>
      <c r="N103" s="13">
        <f>'Raw Data Hotspot'!G38</f>
        <v>0</v>
      </c>
      <c r="O103" s="13">
        <f>'Raw Data Hotspot'!H38</f>
        <v>0</v>
      </c>
      <c r="P103" s="13">
        <f>'Raw Data Hotspot'!I38</f>
        <v>0</v>
      </c>
      <c r="Q103" s="13">
        <f>'Raw Data Hotspot'!J38</f>
        <v>0</v>
      </c>
      <c r="R103" s="2">
        <f>'Raw Data Hotspot'!K38</f>
        <v>0</v>
      </c>
      <c r="S103" s="2">
        <f>'Raw Data Hotspot'!N38</f>
        <v>0</v>
      </c>
      <c r="T103" s="2">
        <f t="shared" si="4"/>
        <v>0</v>
      </c>
      <c r="U103" s="11" t="str">
        <f>IF($S103=0, "", IF(COUNTIF(Table1[Amino Acid Change], $S103)=0, "Missing", "Y"))</f>
        <v/>
      </c>
      <c r="V103" s="1">
        <f t="shared" si="5"/>
        <v>0</v>
      </c>
    </row>
    <row r="104" spans="2:22" x14ac:dyDescent="0.25">
      <c r="B104" s="1"/>
      <c r="F104" s="1"/>
      <c r="G104" s="1"/>
      <c r="I104" s="13">
        <f>'Raw Data Hotspot'!A39</f>
        <v>0</v>
      </c>
      <c r="J104" s="13">
        <f>'Raw Data Hotspot'!B39</f>
        <v>0</v>
      </c>
      <c r="K104" s="13">
        <f>'Raw Data Hotspot'!C39</f>
        <v>0</v>
      </c>
      <c r="L104" s="13">
        <f>'Raw Data Hotspot'!D39</f>
        <v>0</v>
      </c>
      <c r="M104" s="13">
        <f>'Raw Data Hotspot'!E39</f>
        <v>0</v>
      </c>
      <c r="N104" s="13">
        <f>'Raw Data Hotspot'!G39</f>
        <v>0</v>
      </c>
      <c r="O104" s="13">
        <f>'Raw Data Hotspot'!H39</f>
        <v>0</v>
      </c>
      <c r="P104" s="13">
        <f>'Raw Data Hotspot'!I39</f>
        <v>0</v>
      </c>
      <c r="Q104" s="13">
        <f>'Raw Data Hotspot'!J39</f>
        <v>0</v>
      </c>
      <c r="R104" s="2">
        <f>'Raw Data Hotspot'!K39</f>
        <v>0</v>
      </c>
      <c r="S104" s="2">
        <f>'Raw Data Hotspot'!N39</f>
        <v>0</v>
      </c>
      <c r="T104" s="2">
        <f t="shared" si="4"/>
        <v>0</v>
      </c>
      <c r="U104" s="11" t="str">
        <f>IF($S104=0, "", IF(COUNTIF(Table1[Amino Acid Change], $S104)=0, "Missing", "Y"))</f>
        <v/>
      </c>
      <c r="V104" s="1">
        <f t="shared" si="5"/>
        <v>0</v>
      </c>
    </row>
    <row r="105" spans="2:22" x14ac:dyDescent="0.25">
      <c r="B105" s="1"/>
      <c r="F105" s="1"/>
      <c r="G105" s="1"/>
      <c r="I105" s="13">
        <f>'Raw Data Hotspot'!A40</f>
        <v>0</v>
      </c>
      <c r="J105" s="13">
        <f>'Raw Data Hotspot'!B40</f>
        <v>0</v>
      </c>
      <c r="K105" s="13">
        <f>'Raw Data Hotspot'!C40</f>
        <v>0</v>
      </c>
      <c r="L105" s="13">
        <f>'Raw Data Hotspot'!D40</f>
        <v>0</v>
      </c>
      <c r="M105" s="13">
        <f>'Raw Data Hotspot'!E40</f>
        <v>0</v>
      </c>
      <c r="N105" s="13">
        <f>'Raw Data Hotspot'!G40</f>
        <v>0</v>
      </c>
      <c r="O105" s="13">
        <f>'Raw Data Hotspot'!H40</f>
        <v>0</v>
      </c>
      <c r="P105" s="13">
        <f>'Raw Data Hotspot'!I40</f>
        <v>0</v>
      </c>
      <c r="Q105" s="13">
        <f>'Raw Data Hotspot'!J40</f>
        <v>0</v>
      </c>
      <c r="R105" s="2">
        <f>'Raw Data Hotspot'!K40</f>
        <v>0</v>
      </c>
      <c r="S105" s="2">
        <f>'Raw Data Hotspot'!N40</f>
        <v>0</v>
      </c>
      <c r="T105" s="2">
        <f t="shared" si="4"/>
        <v>0</v>
      </c>
      <c r="U105" s="11" t="str">
        <f>IF($S105=0, "", IF(COUNTIF(Table1[Amino Acid Change], $S105)=0, "Missing", "Y"))</f>
        <v/>
      </c>
      <c r="V105" s="1">
        <f t="shared" si="5"/>
        <v>0</v>
      </c>
    </row>
    <row r="106" spans="2:22" x14ac:dyDescent="0.25">
      <c r="B106" s="1"/>
      <c r="F106" s="1"/>
      <c r="G106" s="1"/>
      <c r="I106" s="13">
        <f>'Raw Data Hotspot'!A41</f>
        <v>0</v>
      </c>
      <c r="J106" s="13">
        <f>'Raw Data Hotspot'!B41</f>
        <v>0</v>
      </c>
      <c r="K106" s="13">
        <f>'Raw Data Hotspot'!C41</f>
        <v>0</v>
      </c>
      <c r="L106" s="13">
        <f>'Raw Data Hotspot'!D41</f>
        <v>0</v>
      </c>
      <c r="M106" s="13">
        <f>'Raw Data Hotspot'!E41</f>
        <v>0</v>
      </c>
      <c r="N106" s="13">
        <f>'Raw Data Hotspot'!G41</f>
        <v>0</v>
      </c>
      <c r="O106" s="13">
        <f>'Raw Data Hotspot'!H41</f>
        <v>0</v>
      </c>
      <c r="P106" s="13">
        <f>'Raw Data Hotspot'!I41</f>
        <v>0</v>
      </c>
      <c r="Q106" s="13">
        <f>'Raw Data Hotspot'!J41</f>
        <v>0</v>
      </c>
      <c r="R106" s="2">
        <f>'Raw Data Hotspot'!K41</f>
        <v>0</v>
      </c>
      <c r="S106" s="2">
        <f>'Raw Data Hotspot'!N41</f>
        <v>0</v>
      </c>
      <c r="T106" s="2">
        <f t="shared" si="4"/>
        <v>0</v>
      </c>
      <c r="U106" s="11" t="str">
        <f>IF($S106=0, "", IF(COUNTIF(Table1[Amino Acid Change], $S106)=0, "Missing", "Y"))</f>
        <v/>
      </c>
      <c r="V106" s="1">
        <f t="shared" si="5"/>
        <v>0</v>
      </c>
    </row>
    <row r="107" spans="2:22" x14ac:dyDescent="0.25">
      <c r="B107" s="1"/>
      <c r="F107" s="1"/>
      <c r="G107" s="1"/>
      <c r="I107" s="13">
        <f>'Raw Data Hotspot'!A42</f>
        <v>0</v>
      </c>
      <c r="J107" s="13">
        <f>'Raw Data Hotspot'!B42</f>
        <v>0</v>
      </c>
      <c r="K107" s="13">
        <f>'Raw Data Hotspot'!C42</f>
        <v>0</v>
      </c>
      <c r="L107" s="13">
        <f>'Raw Data Hotspot'!D42</f>
        <v>0</v>
      </c>
      <c r="M107" s="13">
        <f>'Raw Data Hotspot'!E42</f>
        <v>0</v>
      </c>
      <c r="N107" s="13">
        <f>'Raw Data Hotspot'!G42</f>
        <v>0</v>
      </c>
      <c r="O107" s="13">
        <f>'Raw Data Hotspot'!H42</f>
        <v>0</v>
      </c>
      <c r="P107" s="13">
        <f>'Raw Data Hotspot'!I42</f>
        <v>0</v>
      </c>
      <c r="Q107" s="13">
        <f>'Raw Data Hotspot'!J42</f>
        <v>0</v>
      </c>
      <c r="R107" s="2">
        <f>'Raw Data Hotspot'!K42</f>
        <v>0</v>
      </c>
      <c r="S107" s="2">
        <f>'Raw Data Hotspot'!N42</f>
        <v>0</v>
      </c>
      <c r="T107" s="2">
        <f t="shared" si="4"/>
        <v>0</v>
      </c>
      <c r="U107" s="11" t="str">
        <f>IF($S107=0, "", IF(COUNTIF(Table1[Amino Acid Change], $S107)=0, "Missing", "Y"))</f>
        <v/>
      </c>
      <c r="V107" s="1">
        <f t="shared" si="5"/>
        <v>0</v>
      </c>
    </row>
    <row r="108" spans="2:22" x14ac:dyDescent="0.25">
      <c r="B108" s="1"/>
      <c r="F108" s="1"/>
      <c r="G108" s="1"/>
      <c r="I108" s="13">
        <f>'Raw Data Hotspot'!A43</f>
        <v>0</v>
      </c>
      <c r="J108" s="13">
        <f>'Raw Data Hotspot'!B43</f>
        <v>0</v>
      </c>
      <c r="K108" s="13">
        <f>'Raw Data Hotspot'!C43</f>
        <v>0</v>
      </c>
      <c r="L108" s="13">
        <f>'Raw Data Hotspot'!D43</f>
        <v>0</v>
      </c>
      <c r="M108" s="13">
        <f>'Raw Data Hotspot'!E43</f>
        <v>0</v>
      </c>
      <c r="N108" s="13">
        <f>'Raw Data Hotspot'!G43</f>
        <v>0</v>
      </c>
      <c r="O108" s="13">
        <f>'Raw Data Hotspot'!H43</f>
        <v>0</v>
      </c>
      <c r="P108" s="13">
        <f>'Raw Data Hotspot'!I43</f>
        <v>0</v>
      </c>
      <c r="Q108" s="13">
        <f>'Raw Data Hotspot'!J43</f>
        <v>0</v>
      </c>
      <c r="R108" s="2">
        <f>'Raw Data Hotspot'!K43</f>
        <v>0</v>
      </c>
      <c r="S108" s="2">
        <f>'Raw Data Hotspot'!N43</f>
        <v>0</v>
      </c>
      <c r="T108" s="2">
        <f t="shared" si="4"/>
        <v>0</v>
      </c>
      <c r="U108" s="11" t="str">
        <f>IF($S108=0, "", IF(COUNTIF(Table1[Amino Acid Change], $S108)=0, "Missing", "Y"))</f>
        <v/>
      </c>
      <c r="V108" s="1">
        <f t="shared" si="5"/>
        <v>0</v>
      </c>
    </row>
    <row r="109" spans="2:22" x14ac:dyDescent="0.25">
      <c r="B109" s="1"/>
      <c r="F109" s="1"/>
      <c r="G109" s="1"/>
      <c r="I109" s="13">
        <f>'Raw Data Hotspot'!A44</f>
        <v>0</v>
      </c>
      <c r="J109" s="13">
        <f>'Raw Data Hotspot'!B44</f>
        <v>0</v>
      </c>
      <c r="K109" s="13">
        <f>'Raw Data Hotspot'!C44</f>
        <v>0</v>
      </c>
      <c r="L109" s="13">
        <f>'Raw Data Hotspot'!D44</f>
        <v>0</v>
      </c>
      <c r="M109" s="13">
        <f>'Raw Data Hotspot'!E44</f>
        <v>0</v>
      </c>
      <c r="N109" s="13">
        <f>'Raw Data Hotspot'!G44</f>
        <v>0</v>
      </c>
      <c r="O109" s="13">
        <f>'Raw Data Hotspot'!H44</f>
        <v>0</v>
      </c>
      <c r="P109" s="13">
        <f>'Raw Data Hotspot'!I44</f>
        <v>0</v>
      </c>
      <c r="Q109" s="13">
        <f>'Raw Data Hotspot'!J44</f>
        <v>0</v>
      </c>
      <c r="R109" s="2">
        <f>'Raw Data Hotspot'!K44</f>
        <v>0</v>
      </c>
      <c r="S109" s="2">
        <f>'Raw Data Hotspot'!N44</f>
        <v>0</v>
      </c>
      <c r="T109" s="2">
        <f t="shared" si="4"/>
        <v>0</v>
      </c>
      <c r="U109" s="11" t="str">
        <f>IF($S109=0, "", IF(COUNTIF(Table1[Amino Acid Change], $S109)=0, "Missing", "Y"))</f>
        <v/>
      </c>
      <c r="V109" s="1">
        <f t="shared" si="5"/>
        <v>0</v>
      </c>
    </row>
    <row r="110" spans="2:22" x14ac:dyDescent="0.25">
      <c r="B110" s="1"/>
      <c r="F110" s="1"/>
      <c r="G110" s="1"/>
      <c r="I110" s="13">
        <f>'Raw Data Hotspot'!A45</f>
        <v>0</v>
      </c>
      <c r="J110" s="13">
        <f>'Raw Data Hotspot'!B45</f>
        <v>0</v>
      </c>
      <c r="K110" s="13">
        <f>'Raw Data Hotspot'!C45</f>
        <v>0</v>
      </c>
      <c r="L110" s="13">
        <f>'Raw Data Hotspot'!D45</f>
        <v>0</v>
      </c>
      <c r="M110" s="13">
        <f>'Raw Data Hotspot'!E45</f>
        <v>0</v>
      </c>
      <c r="N110" s="13">
        <f>'Raw Data Hotspot'!G45</f>
        <v>0</v>
      </c>
      <c r="O110" s="13">
        <f>'Raw Data Hotspot'!H45</f>
        <v>0</v>
      </c>
      <c r="P110" s="13">
        <f>'Raw Data Hotspot'!I45</f>
        <v>0</v>
      </c>
      <c r="Q110" s="13">
        <f>'Raw Data Hotspot'!J45</f>
        <v>0</v>
      </c>
      <c r="R110" s="2">
        <f>'Raw Data Hotspot'!K45</f>
        <v>0</v>
      </c>
      <c r="S110" s="2">
        <f>'Raw Data Hotspot'!N45</f>
        <v>0</v>
      </c>
      <c r="T110" s="2">
        <f t="shared" si="4"/>
        <v>0</v>
      </c>
      <c r="U110" s="11" t="str">
        <f>IF($S110=0, "", IF(COUNTIF(Table1[Amino Acid Change], $S110)=0, "Missing", "Y"))</f>
        <v/>
      </c>
      <c r="V110" s="1">
        <f t="shared" si="5"/>
        <v>0</v>
      </c>
    </row>
    <row r="111" spans="2:22" x14ac:dyDescent="0.25">
      <c r="B111" s="1"/>
      <c r="F111" s="1"/>
      <c r="G111" s="1"/>
      <c r="I111" s="13">
        <f>'Raw Data Hotspot'!A46</f>
        <v>0</v>
      </c>
      <c r="J111" s="13">
        <f>'Raw Data Hotspot'!B46</f>
        <v>0</v>
      </c>
      <c r="K111" s="13">
        <f>'Raw Data Hotspot'!C46</f>
        <v>0</v>
      </c>
      <c r="L111" s="13">
        <f>'Raw Data Hotspot'!D46</f>
        <v>0</v>
      </c>
      <c r="M111" s="13">
        <f>'Raw Data Hotspot'!E46</f>
        <v>0</v>
      </c>
      <c r="N111" s="13">
        <f>'Raw Data Hotspot'!G46</f>
        <v>0</v>
      </c>
      <c r="O111" s="13">
        <f>'Raw Data Hotspot'!H46</f>
        <v>0</v>
      </c>
      <c r="P111" s="13">
        <f>'Raw Data Hotspot'!I46</f>
        <v>0</v>
      </c>
      <c r="Q111" s="13">
        <f>'Raw Data Hotspot'!J46</f>
        <v>0</v>
      </c>
      <c r="R111" s="2">
        <f>'Raw Data Hotspot'!K46</f>
        <v>0</v>
      </c>
      <c r="S111" s="2">
        <f>'Raw Data Hotspot'!N46</f>
        <v>0</v>
      </c>
      <c r="T111" s="2">
        <f t="shared" si="4"/>
        <v>0</v>
      </c>
      <c r="U111" s="11" t="str">
        <f>IF($S111=0, "", IF(COUNTIF(Table1[Amino Acid Change], $S111)=0, "Missing", "Y"))</f>
        <v/>
      </c>
      <c r="V111" s="1">
        <f t="shared" si="5"/>
        <v>0</v>
      </c>
    </row>
    <row r="112" spans="2:22" x14ac:dyDescent="0.25">
      <c r="B112" s="1"/>
      <c r="F112" s="1"/>
      <c r="G112" s="1"/>
      <c r="I112" s="13">
        <f>'Raw Data Hotspot'!A47</f>
        <v>0</v>
      </c>
      <c r="J112" s="13">
        <f>'Raw Data Hotspot'!B47</f>
        <v>0</v>
      </c>
      <c r="K112" s="13">
        <f>'Raw Data Hotspot'!C47</f>
        <v>0</v>
      </c>
      <c r="L112" s="13">
        <f>'Raw Data Hotspot'!D47</f>
        <v>0</v>
      </c>
      <c r="M112" s="13">
        <f>'Raw Data Hotspot'!E47</f>
        <v>0</v>
      </c>
      <c r="N112" s="13">
        <f>'Raw Data Hotspot'!G47</f>
        <v>0</v>
      </c>
      <c r="O112" s="13">
        <f>'Raw Data Hotspot'!H47</f>
        <v>0</v>
      </c>
      <c r="P112" s="13">
        <f>'Raw Data Hotspot'!I47</f>
        <v>0</v>
      </c>
      <c r="Q112" s="13">
        <f>'Raw Data Hotspot'!J47</f>
        <v>0</v>
      </c>
      <c r="R112" s="2">
        <f>'Raw Data Hotspot'!K47</f>
        <v>0</v>
      </c>
      <c r="S112" s="2">
        <f>'Raw Data Hotspot'!N47</f>
        <v>0</v>
      </c>
      <c r="T112" s="2">
        <f t="shared" si="4"/>
        <v>0</v>
      </c>
      <c r="U112" s="11" t="str">
        <f>IF($S112=0, "", IF(COUNTIF(Table1[Amino Acid Change], $S112)=0, "Missing", "Y"))</f>
        <v/>
      </c>
      <c r="V112" s="1">
        <f t="shared" si="5"/>
        <v>0</v>
      </c>
    </row>
    <row r="113" spans="2:22" x14ac:dyDescent="0.25">
      <c r="B113" s="1"/>
      <c r="F113" s="1"/>
      <c r="G113" s="1"/>
      <c r="I113" s="13">
        <f>'Raw Data Hotspot'!A48</f>
        <v>0</v>
      </c>
      <c r="J113" s="13">
        <f>'Raw Data Hotspot'!B48</f>
        <v>0</v>
      </c>
      <c r="K113" s="13">
        <f>'Raw Data Hotspot'!C48</f>
        <v>0</v>
      </c>
      <c r="L113" s="13">
        <f>'Raw Data Hotspot'!D48</f>
        <v>0</v>
      </c>
      <c r="M113" s="13">
        <f>'Raw Data Hotspot'!E48</f>
        <v>0</v>
      </c>
      <c r="N113" s="13">
        <f>'Raw Data Hotspot'!G48</f>
        <v>0</v>
      </c>
      <c r="O113" s="13">
        <f>'Raw Data Hotspot'!H48</f>
        <v>0</v>
      </c>
      <c r="P113" s="13">
        <f>'Raw Data Hotspot'!I48</f>
        <v>0</v>
      </c>
      <c r="Q113" s="13">
        <f>'Raw Data Hotspot'!J48</f>
        <v>0</v>
      </c>
      <c r="R113" s="2">
        <f>'Raw Data Hotspot'!K48</f>
        <v>0</v>
      </c>
      <c r="S113" s="2">
        <f>'Raw Data Hotspot'!N48</f>
        <v>0</v>
      </c>
      <c r="T113" s="2">
        <f t="shared" si="4"/>
        <v>0</v>
      </c>
      <c r="U113" s="11" t="str">
        <f>IF($S113=0, "", IF(COUNTIF(Table1[Amino Acid Change], $S113)=0, "Missing", "Y"))</f>
        <v/>
      </c>
      <c r="V113" s="1">
        <f t="shared" si="5"/>
        <v>0</v>
      </c>
    </row>
    <row r="114" spans="2:22" x14ac:dyDescent="0.25">
      <c r="B114" s="1"/>
      <c r="F114" s="1"/>
      <c r="G114" s="1"/>
      <c r="I114" s="13">
        <f>'Raw Data Hotspot'!A49</f>
        <v>0</v>
      </c>
      <c r="J114" s="13">
        <f>'Raw Data Hotspot'!B49</f>
        <v>0</v>
      </c>
      <c r="K114" s="13">
        <f>'Raw Data Hotspot'!C49</f>
        <v>0</v>
      </c>
      <c r="L114" s="13">
        <f>'Raw Data Hotspot'!D49</f>
        <v>0</v>
      </c>
      <c r="M114" s="13">
        <f>'Raw Data Hotspot'!E49</f>
        <v>0</v>
      </c>
      <c r="N114" s="13">
        <f>'Raw Data Hotspot'!G49</f>
        <v>0</v>
      </c>
      <c r="O114" s="13">
        <f>'Raw Data Hotspot'!H49</f>
        <v>0</v>
      </c>
      <c r="P114" s="13">
        <f>'Raw Data Hotspot'!I49</f>
        <v>0</v>
      </c>
      <c r="Q114" s="13">
        <f>'Raw Data Hotspot'!J49</f>
        <v>0</v>
      </c>
      <c r="R114" s="2">
        <f>'Raw Data Hotspot'!K49</f>
        <v>0</v>
      </c>
      <c r="S114" s="2">
        <f>'Raw Data Hotspot'!N49</f>
        <v>0</v>
      </c>
      <c r="T114" s="2">
        <f t="shared" si="4"/>
        <v>0</v>
      </c>
      <c r="U114" s="11" t="str">
        <f>IF($S114=0, "", IF(COUNTIF(Table1[Amino Acid Change], $S114)=0, "Missing", "Y"))</f>
        <v/>
      </c>
      <c r="V114" s="1">
        <f t="shared" si="5"/>
        <v>0</v>
      </c>
    </row>
    <row r="115" spans="2:22" x14ac:dyDescent="0.25">
      <c r="B115" s="1"/>
      <c r="F115" s="1"/>
      <c r="G115" s="1"/>
      <c r="I115" s="13">
        <f>'Raw Data Hotspot'!A50</f>
        <v>0</v>
      </c>
      <c r="J115" s="13">
        <f>'Raw Data Hotspot'!B50</f>
        <v>0</v>
      </c>
      <c r="K115" s="13">
        <f>'Raw Data Hotspot'!C50</f>
        <v>0</v>
      </c>
      <c r="L115" s="13">
        <f>'Raw Data Hotspot'!D50</f>
        <v>0</v>
      </c>
      <c r="M115" s="13">
        <f>'Raw Data Hotspot'!E50</f>
        <v>0</v>
      </c>
      <c r="N115" s="13">
        <f>'Raw Data Hotspot'!G50</f>
        <v>0</v>
      </c>
      <c r="O115" s="13">
        <f>'Raw Data Hotspot'!H50</f>
        <v>0</v>
      </c>
      <c r="P115" s="13">
        <f>'Raw Data Hotspot'!I50</f>
        <v>0</v>
      </c>
      <c r="Q115" s="13">
        <f>'Raw Data Hotspot'!J50</f>
        <v>0</v>
      </c>
      <c r="R115" s="2">
        <f>'Raw Data Hotspot'!K50</f>
        <v>0</v>
      </c>
      <c r="S115" s="2">
        <f>'Raw Data Hotspot'!N50</f>
        <v>0</v>
      </c>
      <c r="T115" s="2">
        <f t="shared" si="4"/>
        <v>0</v>
      </c>
      <c r="U115" s="11" t="str">
        <f>IF($S115=0, "", IF(COUNTIF(Table1[Amino Acid Change], $S115)=0, "Missing", "Y"))</f>
        <v/>
      </c>
      <c r="V115" s="1">
        <f t="shared" si="5"/>
        <v>0</v>
      </c>
    </row>
    <row r="116" spans="2:22" x14ac:dyDescent="0.25">
      <c r="B116" s="1"/>
      <c r="F116" s="1"/>
      <c r="G116" s="1"/>
      <c r="I116" s="13">
        <f>'Raw Data Hotspot'!A51</f>
        <v>0</v>
      </c>
      <c r="J116" s="13">
        <f>'Raw Data Hotspot'!B51</f>
        <v>0</v>
      </c>
      <c r="K116" s="13">
        <f>'Raw Data Hotspot'!C51</f>
        <v>0</v>
      </c>
      <c r="L116" s="13">
        <f>'Raw Data Hotspot'!D51</f>
        <v>0</v>
      </c>
      <c r="M116" s="13">
        <f>'Raw Data Hotspot'!E51</f>
        <v>0</v>
      </c>
      <c r="N116" s="13">
        <f>'Raw Data Hotspot'!G51</f>
        <v>0</v>
      </c>
      <c r="O116" s="13">
        <f>'Raw Data Hotspot'!H51</f>
        <v>0</v>
      </c>
      <c r="P116" s="13">
        <f>'Raw Data Hotspot'!I51</f>
        <v>0</v>
      </c>
      <c r="Q116" s="13">
        <f>'Raw Data Hotspot'!J51</f>
        <v>0</v>
      </c>
      <c r="R116" s="2">
        <f>'Raw Data Hotspot'!K51</f>
        <v>0</v>
      </c>
      <c r="S116" s="2">
        <f>'Raw Data Hotspot'!N51</f>
        <v>0</v>
      </c>
      <c r="T116" s="2">
        <f t="shared" si="4"/>
        <v>0</v>
      </c>
      <c r="U116" s="11" t="str">
        <f>IF($S116=0, "", IF(COUNTIF(Table1[Amino Acid Change], $S116)=0, "Missing", "Y"))</f>
        <v/>
      </c>
      <c r="V116" s="1">
        <f t="shared" si="5"/>
        <v>0</v>
      </c>
    </row>
    <row r="117" spans="2:22" x14ac:dyDescent="0.25">
      <c r="B117" s="1"/>
      <c r="F117" s="1"/>
      <c r="G117" s="1"/>
      <c r="I117" s="13">
        <f>'Raw Data Hotspot'!A52</f>
        <v>0</v>
      </c>
      <c r="J117" s="13">
        <f>'Raw Data Hotspot'!B52</f>
        <v>0</v>
      </c>
      <c r="K117" s="13">
        <f>'Raw Data Hotspot'!C52</f>
        <v>0</v>
      </c>
      <c r="L117" s="13">
        <f>'Raw Data Hotspot'!D52</f>
        <v>0</v>
      </c>
      <c r="M117" s="13">
        <f>'Raw Data Hotspot'!E52</f>
        <v>0</v>
      </c>
      <c r="N117" s="13">
        <f>'Raw Data Hotspot'!G52</f>
        <v>0</v>
      </c>
      <c r="O117" s="13">
        <f>'Raw Data Hotspot'!H52</f>
        <v>0</v>
      </c>
      <c r="P117" s="13">
        <f>'Raw Data Hotspot'!I52</f>
        <v>0</v>
      </c>
      <c r="Q117" s="13">
        <f>'Raw Data Hotspot'!J52</f>
        <v>0</v>
      </c>
      <c r="R117" s="2">
        <f>'Raw Data Hotspot'!K52</f>
        <v>0</v>
      </c>
      <c r="S117" s="2">
        <f>'Raw Data Hotspot'!N52</f>
        <v>0</v>
      </c>
      <c r="T117" s="2">
        <f t="shared" si="4"/>
        <v>0</v>
      </c>
      <c r="U117" s="11" t="str">
        <f>IF($S117=0, "", IF(COUNTIF(Table1[Amino Acid Change], $S117)=0, "Missing", "Y"))</f>
        <v/>
      </c>
      <c r="V117" s="1">
        <f t="shared" si="5"/>
        <v>0</v>
      </c>
    </row>
    <row r="118" spans="2:22" x14ac:dyDescent="0.25">
      <c r="B118" s="1"/>
      <c r="F118" s="1"/>
      <c r="G118" s="1"/>
      <c r="I118" s="13">
        <f>'Raw Data Hotspot'!A53</f>
        <v>0</v>
      </c>
      <c r="J118" s="13">
        <f>'Raw Data Hotspot'!B53</f>
        <v>0</v>
      </c>
      <c r="K118" s="13">
        <f>'Raw Data Hotspot'!C53</f>
        <v>0</v>
      </c>
      <c r="L118" s="13">
        <f>'Raw Data Hotspot'!D53</f>
        <v>0</v>
      </c>
      <c r="M118" s="13">
        <f>'Raw Data Hotspot'!E53</f>
        <v>0</v>
      </c>
      <c r="N118" s="13">
        <f>'Raw Data Hotspot'!G53</f>
        <v>0</v>
      </c>
      <c r="O118" s="13">
        <f>'Raw Data Hotspot'!H53</f>
        <v>0</v>
      </c>
      <c r="P118" s="13">
        <f>'Raw Data Hotspot'!I53</f>
        <v>0</v>
      </c>
      <c r="Q118" s="13">
        <f>'Raw Data Hotspot'!J53</f>
        <v>0</v>
      </c>
      <c r="R118" s="2">
        <f>'Raw Data Hotspot'!K53</f>
        <v>0</v>
      </c>
      <c r="S118" s="2">
        <f>'Raw Data Hotspot'!N53</f>
        <v>0</v>
      </c>
      <c r="T118" s="2">
        <f t="shared" si="4"/>
        <v>0</v>
      </c>
      <c r="U118" s="11" t="str">
        <f>IF($S118=0, "", IF(COUNTIF(Table1[Amino Acid Change], $S118)=0, "Missing", "Y"))</f>
        <v/>
      </c>
      <c r="V118" s="1">
        <f t="shared" si="5"/>
        <v>0</v>
      </c>
    </row>
    <row r="119" spans="2:22" x14ac:dyDescent="0.25">
      <c r="B119" s="1"/>
      <c r="F119" s="1"/>
      <c r="G119" s="1"/>
      <c r="I119" s="13">
        <f>'Raw Data Hotspot'!A54</f>
        <v>0</v>
      </c>
      <c r="J119" s="13">
        <f>'Raw Data Hotspot'!B54</f>
        <v>0</v>
      </c>
      <c r="K119" s="13">
        <f>'Raw Data Hotspot'!C54</f>
        <v>0</v>
      </c>
      <c r="L119" s="13">
        <f>'Raw Data Hotspot'!D54</f>
        <v>0</v>
      </c>
      <c r="M119" s="13">
        <f>'Raw Data Hotspot'!E54</f>
        <v>0</v>
      </c>
      <c r="N119" s="13">
        <f>'Raw Data Hotspot'!G54</f>
        <v>0</v>
      </c>
      <c r="O119" s="13">
        <f>'Raw Data Hotspot'!H54</f>
        <v>0</v>
      </c>
      <c r="P119" s="13">
        <f>'Raw Data Hotspot'!I54</f>
        <v>0</v>
      </c>
      <c r="Q119" s="13">
        <f>'Raw Data Hotspot'!J54</f>
        <v>0</v>
      </c>
      <c r="R119" s="2">
        <f>'Raw Data Hotspot'!K54</f>
        <v>0</v>
      </c>
      <c r="S119" s="2">
        <f>'Raw Data Hotspot'!N54</f>
        <v>0</v>
      </c>
      <c r="T119" s="2">
        <f t="shared" si="4"/>
        <v>0</v>
      </c>
      <c r="U119" s="11" t="str">
        <f>IF($S119=0, "", IF(COUNTIF(Table1[Amino Acid Change], $S119)=0, "Missing", "Y"))</f>
        <v/>
      </c>
      <c r="V119" s="1">
        <f t="shared" si="5"/>
        <v>0</v>
      </c>
    </row>
    <row r="120" spans="2:22" x14ac:dyDescent="0.25">
      <c r="B120" s="1"/>
      <c r="F120" s="1"/>
      <c r="G120" s="1"/>
      <c r="I120" s="13">
        <f>'Raw Data Hotspot'!A55</f>
        <v>0</v>
      </c>
      <c r="J120" s="13">
        <f>'Raw Data Hotspot'!B55</f>
        <v>0</v>
      </c>
      <c r="K120" s="13">
        <f>'Raw Data Hotspot'!C55</f>
        <v>0</v>
      </c>
      <c r="L120" s="13">
        <f>'Raw Data Hotspot'!D55</f>
        <v>0</v>
      </c>
      <c r="M120" s="13">
        <f>'Raw Data Hotspot'!E55</f>
        <v>0</v>
      </c>
      <c r="N120" s="13">
        <f>'Raw Data Hotspot'!G55</f>
        <v>0</v>
      </c>
      <c r="O120" s="13">
        <f>'Raw Data Hotspot'!H55</f>
        <v>0</v>
      </c>
      <c r="P120" s="13">
        <f>'Raw Data Hotspot'!I55</f>
        <v>0</v>
      </c>
      <c r="Q120" s="13">
        <f>'Raw Data Hotspot'!J55</f>
        <v>0</v>
      </c>
      <c r="R120" s="2">
        <f>'Raw Data Hotspot'!K55</f>
        <v>0</v>
      </c>
      <c r="S120" s="2">
        <f>'Raw Data Hotspot'!N55</f>
        <v>0</v>
      </c>
      <c r="T120" s="2">
        <f t="shared" si="4"/>
        <v>0</v>
      </c>
      <c r="U120" s="11" t="str">
        <f>IF($S120=0, "", IF(COUNTIF(Table1[Amino Acid Change], $S120)=0, "Missing", "Y"))</f>
        <v/>
      </c>
      <c r="V120" s="1">
        <f t="shared" si="5"/>
        <v>0</v>
      </c>
    </row>
    <row r="121" spans="2:22" x14ac:dyDescent="0.25">
      <c r="B121" s="1"/>
      <c r="F121" s="1"/>
      <c r="G121" s="1"/>
      <c r="I121" s="13">
        <f>'Raw Data Hotspot'!A56</f>
        <v>0</v>
      </c>
      <c r="J121" s="13">
        <f>'Raw Data Hotspot'!B56</f>
        <v>0</v>
      </c>
      <c r="K121" s="13">
        <f>'Raw Data Hotspot'!C56</f>
        <v>0</v>
      </c>
      <c r="L121" s="13">
        <f>'Raw Data Hotspot'!D56</f>
        <v>0</v>
      </c>
      <c r="M121" s="13">
        <f>'Raw Data Hotspot'!E56</f>
        <v>0</v>
      </c>
      <c r="N121" s="13">
        <f>'Raw Data Hotspot'!G56</f>
        <v>0</v>
      </c>
      <c r="O121" s="13">
        <f>'Raw Data Hotspot'!H56</f>
        <v>0</v>
      </c>
      <c r="P121" s="13">
        <f>'Raw Data Hotspot'!I56</f>
        <v>0</v>
      </c>
      <c r="Q121" s="13">
        <f>'Raw Data Hotspot'!J56</f>
        <v>0</v>
      </c>
      <c r="R121" s="2">
        <f>'Raw Data Hotspot'!K56</f>
        <v>0</v>
      </c>
      <c r="S121" s="2">
        <f>'Raw Data Hotspot'!N56</f>
        <v>0</v>
      </c>
      <c r="T121" s="2">
        <f t="shared" si="4"/>
        <v>0</v>
      </c>
      <c r="U121" s="11" t="str">
        <f>IF($S121=0, "", IF(COUNTIF(Table1[Amino Acid Change], $S121)=0, "Missing", "Y"))</f>
        <v/>
      </c>
      <c r="V121" s="1">
        <f t="shared" si="5"/>
        <v>0</v>
      </c>
    </row>
    <row r="122" spans="2:22" x14ac:dyDescent="0.25">
      <c r="B122" s="1"/>
      <c r="F122" s="1"/>
      <c r="G122" s="1"/>
      <c r="I122" s="13">
        <f>'Raw Data Hotspot'!A57</f>
        <v>0</v>
      </c>
      <c r="J122" s="13">
        <f>'Raw Data Hotspot'!B57</f>
        <v>0</v>
      </c>
      <c r="K122" s="13">
        <f>'Raw Data Hotspot'!C57</f>
        <v>0</v>
      </c>
      <c r="L122" s="13">
        <f>'Raw Data Hotspot'!D57</f>
        <v>0</v>
      </c>
      <c r="M122" s="13">
        <f>'Raw Data Hotspot'!E57</f>
        <v>0</v>
      </c>
      <c r="N122" s="13">
        <f>'Raw Data Hotspot'!G57</f>
        <v>0</v>
      </c>
      <c r="O122" s="13">
        <f>'Raw Data Hotspot'!H57</f>
        <v>0</v>
      </c>
      <c r="P122" s="13">
        <f>'Raw Data Hotspot'!I57</f>
        <v>0</v>
      </c>
      <c r="Q122" s="13">
        <f>'Raw Data Hotspot'!J57</f>
        <v>0</v>
      </c>
      <c r="R122" s="2">
        <f>'Raw Data Hotspot'!K57</f>
        <v>0</v>
      </c>
      <c r="S122" s="2">
        <f>'Raw Data Hotspot'!N57</f>
        <v>0</v>
      </c>
      <c r="T122" s="2">
        <f t="shared" si="4"/>
        <v>0</v>
      </c>
      <c r="U122" s="11" t="str">
        <f>IF($S122=0, "", IF(COUNTIF(Table1[Amino Acid Change], $S122)=0, "Missing", "Y"))</f>
        <v/>
      </c>
      <c r="V122" s="1">
        <f t="shared" si="5"/>
        <v>0</v>
      </c>
    </row>
    <row r="123" spans="2:22" x14ac:dyDescent="0.25">
      <c r="B123" s="1"/>
      <c r="F123" s="1"/>
      <c r="G123" s="1"/>
      <c r="I123" s="13">
        <f>'Raw Data Hotspot'!A58</f>
        <v>0</v>
      </c>
      <c r="J123" s="13">
        <f>'Raw Data Hotspot'!B58</f>
        <v>0</v>
      </c>
      <c r="K123" s="13">
        <f>'Raw Data Hotspot'!C58</f>
        <v>0</v>
      </c>
      <c r="L123" s="13">
        <f>'Raw Data Hotspot'!D58</f>
        <v>0</v>
      </c>
      <c r="M123" s="13">
        <f>'Raw Data Hotspot'!E58</f>
        <v>0</v>
      </c>
      <c r="N123" s="13">
        <f>'Raw Data Hotspot'!G58</f>
        <v>0</v>
      </c>
      <c r="O123" s="13">
        <f>'Raw Data Hotspot'!H58</f>
        <v>0</v>
      </c>
      <c r="P123" s="13">
        <f>'Raw Data Hotspot'!I58</f>
        <v>0</v>
      </c>
      <c r="Q123" s="13">
        <f>'Raw Data Hotspot'!J58</f>
        <v>0</v>
      </c>
      <c r="R123" s="2">
        <f>'Raw Data Hotspot'!K58</f>
        <v>0</v>
      </c>
      <c r="S123" s="2">
        <f>'Raw Data Hotspot'!N58</f>
        <v>0</v>
      </c>
      <c r="T123" s="2">
        <f t="shared" si="4"/>
        <v>0</v>
      </c>
      <c r="U123" s="11" t="str">
        <f>IF($S123=0, "", IF(COUNTIF(Table1[Amino Acid Change], $S123)=0, "Missing", "Y"))</f>
        <v/>
      </c>
      <c r="V123" s="1">
        <f t="shared" si="5"/>
        <v>0</v>
      </c>
    </row>
    <row r="124" spans="2:22" x14ac:dyDescent="0.25">
      <c r="B124" s="1"/>
      <c r="F124" s="1"/>
      <c r="G124" s="1"/>
      <c r="I124" s="13">
        <f>'Raw Data Hotspot'!A59</f>
        <v>0</v>
      </c>
      <c r="J124" s="13">
        <f>'Raw Data Hotspot'!B59</f>
        <v>0</v>
      </c>
      <c r="K124" s="13">
        <f>'Raw Data Hotspot'!C59</f>
        <v>0</v>
      </c>
      <c r="L124" s="13">
        <f>'Raw Data Hotspot'!D59</f>
        <v>0</v>
      </c>
      <c r="M124" s="13">
        <f>'Raw Data Hotspot'!E59</f>
        <v>0</v>
      </c>
      <c r="N124" s="13">
        <f>'Raw Data Hotspot'!G59</f>
        <v>0</v>
      </c>
      <c r="O124" s="13">
        <f>'Raw Data Hotspot'!H59</f>
        <v>0</v>
      </c>
      <c r="P124" s="13">
        <f>'Raw Data Hotspot'!I59</f>
        <v>0</v>
      </c>
      <c r="Q124" s="13">
        <f>'Raw Data Hotspot'!J59</f>
        <v>0</v>
      </c>
      <c r="R124" s="2">
        <f>'Raw Data Hotspot'!K59</f>
        <v>0</v>
      </c>
      <c r="S124" s="2">
        <f>'Raw Data Hotspot'!N59</f>
        <v>0</v>
      </c>
      <c r="T124" s="2">
        <f t="shared" si="4"/>
        <v>0</v>
      </c>
      <c r="U124" s="11" t="str">
        <f>IF($S124=0, "", IF(COUNTIF(Table1[Amino Acid Change], $S124)=0, "Missing", "Y"))</f>
        <v/>
      </c>
      <c r="V124" s="1">
        <f t="shared" si="5"/>
        <v>0</v>
      </c>
    </row>
    <row r="125" spans="2:22" x14ac:dyDescent="0.25">
      <c r="B125" s="1"/>
      <c r="F125" s="1"/>
      <c r="G125" s="1"/>
      <c r="I125" s="13">
        <f>'Raw Data Hotspot'!A60</f>
        <v>0</v>
      </c>
      <c r="J125" s="13">
        <f>'Raw Data Hotspot'!B60</f>
        <v>0</v>
      </c>
      <c r="K125" s="13">
        <f>'Raw Data Hotspot'!C60</f>
        <v>0</v>
      </c>
      <c r="L125" s="13">
        <f>'Raw Data Hotspot'!D60</f>
        <v>0</v>
      </c>
      <c r="M125" s="13">
        <f>'Raw Data Hotspot'!E60</f>
        <v>0</v>
      </c>
      <c r="N125" s="13">
        <f>'Raw Data Hotspot'!G60</f>
        <v>0</v>
      </c>
      <c r="O125" s="13">
        <f>'Raw Data Hotspot'!H60</f>
        <v>0</v>
      </c>
      <c r="P125" s="13">
        <f>'Raw Data Hotspot'!I60</f>
        <v>0</v>
      </c>
      <c r="Q125" s="13">
        <f>'Raw Data Hotspot'!J60</f>
        <v>0</v>
      </c>
      <c r="R125" s="2">
        <f>'Raw Data Hotspot'!K60</f>
        <v>0</v>
      </c>
      <c r="S125" s="2">
        <f>'Raw Data Hotspot'!N60</f>
        <v>0</v>
      </c>
      <c r="T125" s="2">
        <f t="shared" si="4"/>
        <v>0</v>
      </c>
      <c r="U125" s="11" t="str">
        <f>IF($S125=0, "", IF(COUNTIF(Table1[Amino Acid Change], $S125)=0, "Missing", "Y"))</f>
        <v/>
      </c>
      <c r="V125" s="1">
        <f t="shared" si="5"/>
        <v>0</v>
      </c>
    </row>
    <row r="126" spans="2:22" x14ac:dyDescent="0.25">
      <c r="B126" s="1"/>
      <c r="F126" s="1"/>
      <c r="G126" s="1"/>
      <c r="I126" s="13">
        <f>'Raw Data Hotspot'!A61</f>
        <v>0</v>
      </c>
      <c r="J126" s="13">
        <f>'Raw Data Hotspot'!B61</f>
        <v>0</v>
      </c>
      <c r="K126" s="13">
        <f>'Raw Data Hotspot'!C61</f>
        <v>0</v>
      </c>
      <c r="L126" s="13">
        <f>'Raw Data Hotspot'!D61</f>
        <v>0</v>
      </c>
      <c r="M126" s="13">
        <f>'Raw Data Hotspot'!E61</f>
        <v>0</v>
      </c>
      <c r="N126" s="13">
        <f>'Raw Data Hotspot'!G61</f>
        <v>0</v>
      </c>
      <c r="O126" s="13">
        <f>'Raw Data Hotspot'!H61</f>
        <v>0</v>
      </c>
      <c r="P126" s="13">
        <f>'Raw Data Hotspot'!I61</f>
        <v>0</v>
      </c>
      <c r="Q126" s="13">
        <f>'Raw Data Hotspot'!J61</f>
        <v>0</v>
      </c>
      <c r="R126" s="2">
        <f>'Raw Data Hotspot'!K61</f>
        <v>0</v>
      </c>
      <c r="S126" s="2">
        <f>'Raw Data Hotspot'!N61</f>
        <v>0</v>
      </c>
      <c r="T126" s="2">
        <f t="shared" si="4"/>
        <v>0</v>
      </c>
      <c r="U126" s="11" t="str">
        <f>IF($S126=0, "", IF(COUNTIF(Table1[Amino Acid Change], $S126)=0, "Missing", "Y"))</f>
        <v/>
      </c>
      <c r="V126" s="1">
        <f t="shared" si="5"/>
        <v>0</v>
      </c>
    </row>
    <row r="127" spans="2:22" x14ac:dyDescent="0.25">
      <c r="B127" s="1"/>
      <c r="F127" s="1"/>
      <c r="G127" s="1"/>
      <c r="I127" s="13">
        <f>'Raw Data Hotspot'!A62</f>
        <v>0</v>
      </c>
      <c r="J127" s="13">
        <f>'Raw Data Hotspot'!B62</f>
        <v>0</v>
      </c>
      <c r="K127" s="13">
        <f>'Raw Data Hotspot'!C62</f>
        <v>0</v>
      </c>
      <c r="L127" s="13">
        <f>'Raw Data Hotspot'!D62</f>
        <v>0</v>
      </c>
      <c r="M127" s="13">
        <f>'Raw Data Hotspot'!E62</f>
        <v>0</v>
      </c>
      <c r="N127" s="13">
        <f>'Raw Data Hotspot'!G62</f>
        <v>0</v>
      </c>
      <c r="O127" s="13">
        <f>'Raw Data Hotspot'!H62</f>
        <v>0</v>
      </c>
      <c r="P127" s="13">
        <f>'Raw Data Hotspot'!I62</f>
        <v>0</v>
      </c>
      <c r="Q127" s="13">
        <f>'Raw Data Hotspot'!J62</f>
        <v>0</v>
      </c>
      <c r="R127" s="2">
        <f>'Raw Data Hotspot'!K62</f>
        <v>0</v>
      </c>
      <c r="S127" s="2">
        <f>'Raw Data Hotspot'!N62</f>
        <v>0</v>
      </c>
      <c r="T127" s="2">
        <f t="shared" si="4"/>
        <v>0</v>
      </c>
      <c r="U127" s="11" t="str">
        <f>IF($S127=0, "", IF(COUNTIF(Table1[Amino Acid Change], $S127)=0, "Missing", "Y"))</f>
        <v/>
      </c>
      <c r="V127" s="1">
        <f t="shared" si="5"/>
        <v>0</v>
      </c>
    </row>
    <row r="128" spans="2:22" x14ac:dyDescent="0.25">
      <c r="B128" s="1"/>
      <c r="F128" s="1"/>
      <c r="G128" s="1"/>
      <c r="I128" s="13">
        <f>'Raw Data Hotspot'!A63</f>
        <v>0</v>
      </c>
      <c r="J128" s="13">
        <f>'Raw Data Hotspot'!B63</f>
        <v>0</v>
      </c>
      <c r="K128" s="13">
        <f>'Raw Data Hotspot'!C63</f>
        <v>0</v>
      </c>
      <c r="L128" s="13">
        <f>'Raw Data Hotspot'!D63</f>
        <v>0</v>
      </c>
      <c r="M128" s="13">
        <f>'Raw Data Hotspot'!E63</f>
        <v>0</v>
      </c>
      <c r="N128" s="13">
        <f>'Raw Data Hotspot'!G63</f>
        <v>0</v>
      </c>
      <c r="O128" s="13">
        <f>'Raw Data Hotspot'!H63</f>
        <v>0</v>
      </c>
      <c r="P128" s="13">
        <f>'Raw Data Hotspot'!I63</f>
        <v>0</v>
      </c>
      <c r="Q128" s="13">
        <f>'Raw Data Hotspot'!J63</f>
        <v>0</v>
      </c>
      <c r="R128" s="2">
        <f>'Raw Data Hotspot'!K63</f>
        <v>0</v>
      </c>
      <c r="S128" s="2">
        <f>'Raw Data Hotspot'!N63</f>
        <v>0</v>
      </c>
      <c r="T128" s="2">
        <f t="shared" si="4"/>
        <v>0</v>
      </c>
      <c r="U128" s="11" t="str">
        <f>IF($S128=0, "", IF(COUNTIF(Table1[Amino Acid Change], $S128)=0, "Missing", "Y"))</f>
        <v/>
      </c>
      <c r="V128" s="1">
        <f t="shared" si="5"/>
        <v>0</v>
      </c>
    </row>
    <row r="129" spans="2:22" x14ac:dyDescent="0.25">
      <c r="B129" s="1"/>
      <c r="F129" s="1"/>
      <c r="G129" s="1"/>
      <c r="I129" s="13">
        <f>'Raw Data Hotspot'!A64</f>
        <v>0</v>
      </c>
      <c r="J129" s="13">
        <f>'Raw Data Hotspot'!B64</f>
        <v>0</v>
      </c>
      <c r="K129" s="13">
        <f>'Raw Data Hotspot'!C64</f>
        <v>0</v>
      </c>
      <c r="L129" s="13">
        <f>'Raw Data Hotspot'!D64</f>
        <v>0</v>
      </c>
      <c r="M129" s="13">
        <f>'Raw Data Hotspot'!E64</f>
        <v>0</v>
      </c>
      <c r="N129" s="13">
        <f>'Raw Data Hotspot'!G64</f>
        <v>0</v>
      </c>
      <c r="O129" s="13">
        <f>'Raw Data Hotspot'!H64</f>
        <v>0</v>
      </c>
      <c r="P129" s="13">
        <f>'Raw Data Hotspot'!I64</f>
        <v>0</v>
      </c>
      <c r="Q129" s="13">
        <f>'Raw Data Hotspot'!J64</f>
        <v>0</v>
      </c>
      <c r="R129" s="2">
        <f>'Raw Data Hotspot'!K64</f>
        <v>0</v>
      </c>
      <c r="S129" s="2">
        <f>'Raw Data Hotspot'!N64</f>
        <v>0</v>
      </c>
      <c r="T129" s="2">
        <f t="shared" si="4"/>
        <v>0</v>
      </c>
      <c r="U129" s="11" t="str">
        <f>IF($S129=0, "", IF(COUNTIF(Table1[Amino Acid Change], $S129)=0, "Missing", "Y"))</f>
        <v/>
      </c>
      <c r="V129" s="1">
        <f t="shared" si="5"/>
        <v>0</v>
      </c>
    </row>
    <row r="130" spans="2:22" x14ac:dyDescent="0.25">
      <c r="B130" s="1"/>
      <c r="F130" s="1"/>
      <c r="G130" s="1"/>
      <c r="I130" s="13">
        <f>'Raw Data Hotspot'!A65</f>
        <v>0</v>
      </c>
      <c r="J130" s="13">
        <f>'Raw Data Hotspot'!B65</f>
        <v>0</v>
      </c>
      <c r="K130" s="13">
        <f>'Raw Data Hotspot'!C65</f>
        <v>0</v>
      </c>
      <c r="L130" s="13">
        <f>'Raw Data Hotspot'!D65</f>
        <v>0</v>
      </c>
      <c r="M130" s="13">
        <f>'Raw Data Hotspot'!E65</f>
        <v>0</v>
      </c>
      <c r="N130" s="13">
        <f>'Raw Data Hotspot'!G65</f>
        <v>0</v>
      </c>
      <c r="O130" s="13">
        <f>'Raw Data Hotspot'!H65</f>
        <v>0</v>
      </c>
      <c r="P130" s="13">
        <f>'Raw Data Hotspot'!I65</f>
        <v>0</v>
      </c>
      <c r="Q130" s="13">
        <f>'Raw Data Hotspot'!J65</f>
        <v>0</v>
      </c>
      <c r="R130" s="2">
        <f>'Raw Data Hotspot'!K65</f>
        <v>0</v>
      </c>
      <c r="S130" s="2">
        <f>'Raw Data Hotspot'!N65</f>
        <v>0</v>
      </c>
      <c r="T130" s="2">
        <f t="shared" si="4"/>
        <v>0</v>
      </c>
      <c r="U130" s="11" t="str">
        <f>IF($S130=0, "", IF(COUNTIF(Table1[Amino Acid Change], $S130)=0, "Missing", "Y"))</f>
        <v/>
      </c>
      <c r="V130" s="1">
        <f t="shared" si="5"/>
        <v>0</v>
      </c>
    </row>
    <row r="131" spans="2:22" x14ac:dyDescent="0.25">
      <c r="B131" s="1"/>
      <c r="F131" s="1"/>
      <c r="G131" s="1"/>
    </row>
    <row r="132" spans="2:22" x14ac:dyDescent="0.25">
      <c r="B132" s="1"/>
      <c r="F132" s="1"/>
      <c r="G132" s="1"/>
    </row>
    <row r="133" spans="2:22" x14ac:dyDescent="0.25">
      <c r="B133" s="1"/>
      <c r="F133" s="1"/>
      <c r="G133" s="1"/>
    </row>
    <row r="134" spans="2:22" x14ac:dyDescent="0.25">
      <c r="B134" s="1"/>
      <c r="F134" s="1"/>
      <c r="G134" s="1"/>
    </row>
    <row r="135" spans="2:22" x14ac:dyDescent="0.25">
      <c r="B135" s="1"/>
      <c r="F135" s="1"/>
      <c r="G135" s="1"/>
    </row>
    <row r="136" spans="2:22" x14ac:dyDescent="0.25">
      <c r="B136" s="1"/>
      <c r="F136" s="1"/>
      <c r="G136" s="1"/>
    </row>
    <row r="137" spans="2:22" x14ac:dyDescent="0.25">
      <c r="B137" s="1"/>
      <c r="F137" s="1"/>
      <c r="G137" s="1"/>
    </row>
    <row r="138" spans="2:22" x14ac:dyDescent="0.25">
      <c r="B138" s="1"/>
      <c r="F138" s="1"/>
      <c r="G138" s="1"/>
    </row>
    <row r="139" spans="2:22" x14ac:dyDescent="0.25">
      <c r="B139" s="1"/>
      <c r="F139" s="1"/>
      <c r="G139" s="1"/>
    </row>
    <row r="140" spans="2:22" x14ac:dyDescent="0.25">
      <c r="B140" s="1"/>
      <c r="F140" s="1"/>
      <c r="G140" s="1"/>
    </row>
    <row r="141" spans="2:22" x14ac:dyDescent="0.25">
      <c r="B141" s="1"/>
      <c r="F141" s="1"/>
      <c r="G141" s="1"/>
    </row>
    <row r="142" spans="2:22" x14ac:dyDescent="0.25">
      <c r="B142" s="1"/>
      <c r="F142" s="1"/>
      <c r="G142" s="1"/>
    </row>
    <row r="143" spans="2:22" x14ac:dyDescent="0.25">
      <c r="B143" s="1"/>
      <c r="F143" s="1"/>
      <c r="G143" s="1"/>
    </row>
    <row r="144" spans="2:22" x14ac:dyDescent="0.25">
      <c r="B144" s="1"/>
      <c r="F144" s="1"/>
      <c r="G144" s="1"/>
    </row>
    <row r="145" spans="2:7" x14ac:dyDescent="0.25">
      <c r="B145" s="1"/>
      <c r="F145" s="1"/>
      <c r="G145" s="1"/>
    </row>
    <row r="146" spans="2:7" x14ac:dyDescent="0.25">
      <c r="B146" s="1"/>
      <c r="F146" s="1"/>
      <c r="G146" s="1"/>
    </row>
    <row r="147" spans="2:7" x14ac:dyDescent="0.25">
      <c r="B147" s="1"/>
      <c r="F147" s="1"/>
      <c r="G147" s="1"/>
    </row>
    <row r="148" spans="2:7" x14ac:dyDescent="0.25">
      <c r="B148" s="1"/>
      <c r="F148" s="1"/>
      <c r="G148" s="1"/>
    </row>
    <row r="149" spans="2:7" x14ac:dyDescent="0.25">
      <c r="B149" s="1"/>
      <c r="F149" s="1"/>
      <c r="G149" s="1"/>
    </row>
    <row r="150" spans="2:7" x14ac:dyDescent="0.25">
      <c r="B150" s="1"/>
      <c r="F150" s="1"/>
      <c r="G150" s="1"/>
    </row>
    <row r="151" spans="2:7" x14ac:dyDescent="0.25">
      <c r="B151" s="1"/>
      <c r="F151" s="1"/>
      <c r="G151" s="1"/>
    </row>
    <row r="152" spans="2:7" x14ac:dyDescent="0.25">
      <c r="B152" s="1"/>
      <c r="F152" s="1"/>
      <c r="G152" s="1"/>
    </row>
    <row r="153" spans="2:7" x14ac:dyDescent="0.25">
      <c r="B153" s="1"/>
      <c r="F153" s="1"/>
      <c r="G153" s="1"/>
    </row>
    <row r="154" spans="2:7" x14ac:dyDescent="0.25">
      <c r="B154" s="1"/>
      <c r="F154" s="1"/>
      <c r="G154" s="1"/>
    </row>
    <row r="155" spans="2:7" x14ac:dyDescent="0.25">
      <c r="B155" s="1"/>
      <c r="F155" s="1"/>
      <c r="G155" s="1"/>
    </row>
    <row r="156" spans="2:7" x14ac:dyDescent="0.25">
      <c r="B156" s="1"/>
      <c r="F156" s="1"/>
      <c r="G156" s="1"/>
    </row>
    <row r="157" spans="2:7" x14ac:dyDescent="0.25">
      <c r="B157" s="1"/>
      <c r="F157" s="1"/>
      <c r="G157" s="1"/>
    </row>
    <row r="158" spans="2:7" x14ac:dyDescent="0.25">
      <c r="B158" s="1"/>
      <c r="F158" s="1"/>
      <c r="G158" s="1"/>
    </row>
    <row r="159" spans="2:7" x14ac:dyDescent="0.25">
      <c r="B159" s="1"/>
      <c r="F159" s="1"/>
      <c r="G159" s="1"/>
    </row>
    <row r="160" spans="2:7" x14ac:dyDescent="0.25">
      <c r="B160" s="1"/>
      <c r="F160" s="1"/>
      <c r="G160" s="1"/>
    </row>
    <row r="161" spans="2:7" x14ac:dyDescent="0.25">
      <c r="B161" s="1"/>
      <c r="F161" s="1"/>
      <c r="G161" s="1"/>
    </row>
    <row r="162" spans="2:7" x14ac:dyDescent="0.25">
      <c r="B162" s="1"/>
      <c r="F162" s="1"/>
      <c r="G162" s="1"/>
    </row>
    <row r="163" spans="2:7" x14ac:dyDescent="0.25">
      <c r="B163" s="1"/>
      <c r="F163" s="1"/>
      <c r="G163" s="1"/>
    </row>
    <row r="164" spans="2:7" x14ac:dyDescent="0.25">
      <c r="B164" s="1"/>
      <c r="F164" s="1"/>
      <c r="G164" s="1"/>
    </row>
    <row r="165" spans="2:7" x14ac:dyDescent="0.25">
      <c r="B165" s="1"/>
      <c r="F165" s="1"/>
      <c r="G165" s="1"/>
    </row>
    <row r="166" spans="2:7" x14ac:dyDescent="0.25">
      <c r="B166" s="1"/>
      <c r="F166" s="1"/>
      <c r="G166" s="1"/>
    </row>
    <row r="167" spans="2:7" x14ac:dyDescent="0.25">
      <c r="B167" s="1"/>
      <c r="F167" s="1"/>
      <c r="G167" s="1"/>
    </row>
    <row r="168" spans="2:7" x14ac:dyDescent="0.25">
      <c r="B168" s="1"/>
      <c r="F168" s="1"/>
      <c r="G168" s="1"/>
    </row>
    <row r="169" spans="2:7" x14ac:dyDescent="0.25">
      <c r="B169" s="1"/>
      <c r="F169" s="1"/>
      <c r="G169" s="1"/>
    </row>
    <row r="170" spans="2:7" x14ac:dyDescent="0.25">
      <c r="B170" s="1"/>
      <c r="F170" s="1"/>
      <c r="G170" s="1"/>
    </row>
    <row r="171" spans="2:7" x14ac:dyDescent="0.25">
      <c r="B171" s="1"/>
      <c r="F171" s="1"/>
      <c r="G171" s="1"/>
    </row>
    <row r="172" spans="2:7" x14ac:dyDescent="0.25">
      <c r="B172" s="1"/>
      <c r="F172" s="1"/>
      <c r="G172" s="1"/>
    </row>
    <row r="173" spans="2:7" x14ac:dyDescent="0.25">
      <c r="B173" s="1"/>
      <c r="F173" s="1"/>
      <c r="G173" s="1"/>
    </row>
    <row r="174" spans="2:7" x14ac:dyDescent="0.25">
      <c r="B174" s="1"/>
      <c r="F174" s="1"/>
      <c r="G174" s="1"/>
    </row>
    <row r="175" spans="2:7" x14ac:dyDescent="0.25">
      <c r="B175" s="1"/>
      <c r="F175" s="1"/>
      <c r="G175" s="1"/>
    </row>
    <row r="176" spans="2:7" x14ac:dyDescent="0.25">
      <c r="B176" s="1"/>
      <c r="F176" s="1"/>
      <c r="G176" s="1"/>
    </row>
    <row r="177" spans="2:7" x14ac:dyDescent="0.25">
      <c r="B177" s="1"/>
      <c r="F177" s="1"/>
      <c r="G177" s="1"/>
    </row>
    <row r="178" spans="2:7" x14ac:dyDescent="0.25">
      <c r="B178" s="1"/>
      <c r="F178" s="1"/>
      <c r="G178" s="1"/>
    </row>
    <row r="179" spans="2:7" x14ac:dyDescent="0.25">
      <c r="B179" s="1"/>
      <c r="F179" s="1"/>
      <c r="G179" s="1"/>
    </row>
    <row r="180" spans="2:7" x14ac:dyDescent="0.25">
      <c r="B180" s="1"/>
      <c r="F180" s="1"/>
      <c r="G180" s="1"/>
    </row>
    <row r="181" spans="2:7" x14ac:dyDescent="0.25">
      <c r="B181" s="1"/>
      <c r="F181" s="1"/>
      <c r="G181" s="1"/>
    </row>
    <row r="182" spans="2:7" x14ac:dyDescent="0.25">
      <c r="B182" s="1"/>
      <c r="F182" s="1"/>
      <c r="G182" s="1"/>
    </row>
    <row r="183" spans="2:7" x14ac:dyDescent="0.25">
      <c r="B183" s="1"/>
      <c r="F183" s="1"/>
      <c r="G183" s="1"/>
    </row>
    <row r="184" spans="2:7" x14ac:dyDescent="0.25">
      <c r="B184" s="1"/>
      <c r="F184" s="1"/>
      <c r="G184" s="1"/>
    </row>
    <row r="185" spans="2:7" x14ac:dyDescent="0.25">
      <c r="B185" s="1"/>
      <c r="F185" s="1"/>
      <c r="G185" s="1"/>
    </row>
    <row r="186" spans="2:7" x14ac:dyDescent="0.25">
      <c r="B186" s="1"/>
      <c r="F186" s="1"/>
      <c r="G186" s="1"/>
    </row>
    <row r="187" spans="2:7" x14ac:dyDescent="0.25">
      <c r="B187" s="1"/>
      <c r="F187" s="1"/>
      <c r="G187" s="1"/>
    </row>
    <row r="188" spans="2:7" x14ac:dyDescent="0.25">
      <c r="B188" s="1"/>
      <c r="F188" s="1"/>
      <c r="G188" s="1"/>
    </row>
    <row r="189" spans="2:7" x14ac:dyDescent="0.25">
      <c r="B189" s="1"/>
      <c r="F189" s="1"/>
      <c r="G189" s="1"/>
    </row>
    <row r="190" spans="2:7" x14ac:dyDescent="0.25">
      <c r="B190" s="1"/>
      <c r="F190" s="1"/>
      <c r="G190" s="1"/>
    </row>
    <row r="191" spans="2:7" x14ac:dyDescent="0.25">
      <c r="B191" s="1"/>
      <c r="F191" s="1"/>
      <c r="G191" s="1"/>
    </row>
    <row r="192" spans="2:7" x14ac:dyDescent="0.25">
      <c r="B192" s="1"/>
      <c r="F192" s="1"/>
      <c r="G192" s="1"/>
    </row>
    <row r="193" spans="2:7" x14ac:dyDescent="0.25">
      <c r="B193" s="1"/>
      <c r="F193" s="1"/>
      <c r="G193" s="1"/>
    </row>
    <row r="194" spans="2:7" x14ac:dyDescent="0.25">
      <c r="B194" s="1"/>
      <c r="F194" s="1"/>
      <c r="G194" s="1"/>
    </row>
  </sheetData>
  <conditionalFormatting sqref="E7:E63">
    <cfRule type="cellIs" dxfId="38" priority="6" operator="equal">
      <formula>"Fail"</formula>
    </cfRule>
  </conditionalFormatting>
  <conditionalFormatting sqref="E1:E68 E195:E1048576 E70:E92">
    <cfRule type="containsText" dxfId="37" priority="2" operator="containsText" text="F">
      <formula>NOT(ISERROR(SEARCH("F",E1)))</formula>
    </cfRule>
    <cfRule type="cellIs" dxfId="36" priority="5" operator="equal">
      <formula>"Inspect"</formula>
    </cfRule>
  </conditionalFormatting>
  <conditionalFormatting sqref="D1:D63 D66:D68 D195:D1048576 D70:D92">
    <cfRule type="cellIs" dxfId="35" priority="4" operator="equal">
      <formula>#N/A</formula>
    </cfRule>
  </conditionalFormatting>
  <conditionalFormatting sqref="E7:E61">
    <cfRule type="containsText" dxfId="34" priority="3" operator="containsText" text="F">
      <formula>NOT(ISERROR(SEARCH("F",E7)))</formula>
    </cfRule>
  </conditionalFormatting>
  <conditionalFormatting sqref="A93:G194">
    <cfRule type="cellIs" dxfId="33" priority="1" operator="equal">
      <formula>#N/A</formula>
    </cfRule>
  </conditionalFormatting>
  <pageMargins left="0.7" right="0.7" top="0.75" bottom="0.75" header="0.3" footer="0.3"/>
  <pageSetup scale="5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DataTabs">
                <anchor moveWithCells="1">
                  <from>
                    <xdr:col>22</xdr:col>
                    <xdr:colOff>76200</xdr:colOff>
                    <xdr:row>5</xdr:row>
                    <xdr:rowOff>142875</xdr:rowOff>
                  </from>
                  <to>
                    <xdr:col>27</xdr:col>
                    <xdr:colOff>419100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DataTabs">
                <anchor moveWithCells="1">
                  <from>
                    <xdr:col>22</xdr:col>
                    <xdr:colOff>114300</xdr:colOff>
                    <xdr:row>10</xdr:row>
                    <xdr:rowOff>133350</xdr:rowOff>
                  </from>
                  <to>
                    <xdr:col>27</xdr:col>
                    <xdr:colOff>447675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41"/>
  <sheetViews>
    <sheetView workbookViewId="0">
      <selection sqref="A1:XFD1048576"/>
    </sheetView>
  </sheetViews>
  <sheetFormatPr defaultRowHeight="15" x14ac:dyDescent="0.25"/>
  <sheetData>
    <row r="1" spans="1:15" x14ac:dyDescent="0.25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</row>
    <row r="2" spans="1:15" x14ac:dyDescent="0.25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</row>
    <row r="3" spans="1:15" x14ac:dyDescent="0.25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</row>
    <row r="4" spans="1:15" x14ac:dyDescent="0.25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</row>
    <row r="5" spans="1:15" x14ac:dyDescent="0.25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</row>
    <row r="6" spans="1:15" x14ac:dyDescent="0.25">
      <c r="A6" s="30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</row>
    <row r="7" spans="1:15" x14ac:dyDescent="0.25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</row>
    <row r="8" spans="1:15" x14ac:dyDescent="0.2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</row>
    <row r="9" spans="1:15" x14ac:dyDescent="0.2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</row>
    <row r="10" spans="1:15" x14ac:dyDescent="0.25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</row>
    <row r="11" spans="1:15" x14ac:dyDescent="0.25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</row>
    <row r="12" spans="1:15" x14ac:dyDescent="0.25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</row>
    <row r="13" spans="1:15" x14ac:dyDescent="0.2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</row>
    <row r="14" spans="1:15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</row>
    <row r="15" spans="1:15" x14ac:dyDescent="0.2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</row>
    <row r="16" spans="1:15" x14ac:dyDescent="0.2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</row>
    <row r="17" spans="1:15" x14ac:dyDescent="0.2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</row>
    <row r="18" spans="1:15" x14ac:dyDescent="0.2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</row>
    <row r="19" spans="1:15" x14ac:dyDescent="0.2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</row>
    <row r="20" spans="1:15" x14ac:dyDescent="0.25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</row>
    <row r="21" spans="1:15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</row>
    <row r="22" spans="1:15" x14ac:dyDescent="0.2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</row>
    <row r="23" spans="1:15" x14ac:dyDescent="0.2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</row>
    <row r="24" spans="1:15" x14ac:dyDescent="0.25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</row>
    <row r="25" spans="1:15" x14ac:dyDescent="0.25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</row>
    <row r="26" spans="1:15" x14ac:dyDescent="0.25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</row>
    <row r="27" spans="1:15" x14ac:dyDescent="0.2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</row>
    <row r="28" spans="1:15" x14ac:dyDescent="0.2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</row>
    <row r="29" spans="1:15" x14ac:dyDescent="0.25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</row>
    <row r="30" spans="1:15" x14ac:dyDescent="0.25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</row>
    <row r="31" spans="1:15" x14ac:dyDescent="0.25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</row>
    <row r="32" spans="1:15" x14ac:dyDescent="0.25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</row>
    <row r="33" spans="1:15" x14ac:dyDescent="0.25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</row>
    <row r="34" spans="1:15" x14ac:dyDescent="0.25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</row>
    <row r="35" spans="1:15" x14ac:dyDescent="0.25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</row>
    <row r="36" spans="1:15" x14ac:dyDescent="0.25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</row>
    <row r="37" spans="1:15" x14ac:dyDescent="0.2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</row>
    <row r="38" spans="1:15" x14ac:dyDescent="0.2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</row>
    <row r="39" spans="1:15" x14ac:dyDescent="0.2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</row>
    <row r="40" spans="1:15" x14ac:dyDescent="0.2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</row>
    <row r="41" spans="1:15" x14ac:dyDescent="0.25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</row>
  </sheetData>
  <conditionalFormatting sqref="I1:I1048576">
    <cfRule type="cellIs" dxfId="1" priority="1" operator="lessThan">
      <formula>0.7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35"/>
  <sheetViews>
    <sheetView zoomScale="70" zoomScaleNormal="70" workbookViewId="0">
      <selection sqref="A1:XFD1048576"/>
    </sheetView>
  </sheetViews>
  <sheetFormatPr defaultRowHeight="15" x14ac:dyDescent="0.25"/>
  <sheetData>
    <row r="1" spans="1:15" x14ac:dyDescent="0.25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</row>
    <row r="2" spans="1:15" x14ac:dyDescent="0.25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</row>
    <row r="3" spans="1:15" x14ac:dyDescent="0.25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</row>
    <row r="4" spans="1:15" x14ac:dyDescent="0.25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</row>
    <row r="5" spans="1:15" x14ac:dyDescent="0.25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</row>
    <row r="6" spans="1:15" x14ac:dyDescent="0.25">
      <c r="A6" s="30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</row>
    <row r="7" spans="1:15" x14ac:dyDescent="0.25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</row>
    <row r="8" spans="1:15" x14ac:dyDescent="0.2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</row>
    <row r="9" spans="1:15" x14ac:dyDescent="0.2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</row>
    <row r="10" spans="1:15" x14ac:dyDescent="0.25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</row>
    <row r="11" spans="1:15" x14ac:dyDescent="0.25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</row>
    <row r="12" spans="1:15" x14ac:dyDescent="0.25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</row>
    <row r="13" spans="1:15" x14ac:dyDescent="0.2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</row>
    <row r="14" spans="1:15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</row>
    <row r="15" spans="1:15" x14ac:dyDescent="0.2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</row>
    <row r="16" spans="1:15" x14ac:dyDescent="0.2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</row>
    <row r="17" spans="1:15" x14ac:dyDescent="0.2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</row>
    <row r="18" spans="1:15" x14ac:dyDescent="0.2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</row>
    <row r="19" spans="1:15" x14ac:dyDescent="0.2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</row>
    <row r="20" spans="1:15" x14ac:dyDescent="0.25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</row>
    <row r="21" spans="1:15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</row>
    <row r="22" spans="1:15" x14ac:dyDescent="0.2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</row>
    <row r="23" spans="1:15" x14ac:dyDescent="0.2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</row>
    <row r="24" spans="1:15" x14ac:dyDescent="0.25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</row>
    <row r="25" spans="1:15" x14ac:dyDescent="0.25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</row>
    <row r="26" spans="1:15" x14ac:dyDescent="0.25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</row>
    <row r="27" spans="1:15" x14ac:dyDescent="0.2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</row>
    <row r="28" spans="1:15" x14ac:dyDescent="0.2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</row>
    <row r="29" spans="1:15" x14ac:dyDescent="0.25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</row>
    <row r="30" spans="1:15" x14ac:dyDescent="0.25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</row>
    <row r="31" spans="1:15" x14ac:dyDescent="0.25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</row>
    <row r="32" spans="1:15" x14ac:dyDescent="0.25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</row>
    <row r="33" spans="1:15" x14ac:dyDescent="0.25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</row>
    <row r="34" spans="1:15" x14ac:dyDescent="0.25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</row>
    <row r="35" spans="1:15" x14ac:dyDescent="0.25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</row>
  </sheetData>
  <conditionalFormatting sqref="I1:I1048576">
    <cfRule type="cellIs" dxfId="0" priority="1" operator="lessThan">
      <formula>0.7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O12"/>
  <sheetViews>
    <sheetView workbookViewId="0">
      <selection sqref="A1:XFD1048576"/>
    </sheetView>
  </sheetViews>
  <sheetFormatPr defaultRowHeight="15" x14ac:dyDescent="0.25"/>
  <sheetData>
    <row r="1" spans="1:15" x14ac:dyDescent="0.25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</row>
    <row r="2" spans="1:15" x14ac:dyDescent="0.25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</row>
    <row r="3" spans="1:15" x14ac:dyDescent="0.25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</row>
    <row r="4" spans="1:15" x14ac:dyDescent="0.25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</row>
    <row r="5" spans="1:15" x14ac:dyDescent="0.25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</row>
    <row r="6" spans="1:15" x14ac:dyDescent="0.25">
      <c r="A6" s="30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</row>
    <row r="7" spans="1:15" x14ac:dyDescent="0.25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</row>
    <row r="8" spans="1:15" x14ac:dyDescent="0.2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</row>
    <row r="9" spans="1:15" x14ac:dyDescent="0.2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</row>
    <row r="10" spans="1:15" x14ac:dyDescent="0.25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</row>
    <row r="11" spans="1:15" x14ac:dyDescent="0.25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</row>
    <row r="12" spans="1:15" x14ac:dyDescent="0.25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134"/>
  <sheetViews>
    <sheetView workbookViewId="0">
      <selection sqref="A1:XFD1048576"/>
    </sheetView>
  </sheetViews>
  <sheetFormatPr defaultRowHeight="15" x14ac:dyDescent="0.25"/>
  <sheetData>
    <row r="1" spans="1:3" ht="23.25" x14ac:dyDescent="0.35">
      <c r="A1" s="66"/>
    </row>
    <row r="2" spans="1:3" ht="20.25" x14ac:dyDescent="0.3">
      <c r="A2" s="67"/>
    </row>
    <row r="3" spans="1:3" x14ac:dyDescent="0.25">
      <c r="A3" s="30"/>
      <c r="B3" s="30"/>
    </row>
    <row r="4" spans="1:3" x14ac:dyDescent="0.25">
      <c r="A4" s="30"/>
      <c r="B4" s="30"/>
    </row>
    <row r="5" spans="1:3" x14ac:dyDescent="0.25">
      <c r="A5" s="30"/>
      <c r="B5" s="30"/>
    </row>
    <row r="6" spans="1:3" x14ac:dyDescent="0.25">
      <c r="A6" s="30"/>
      <c r="B6" s="30"/>
    </row>
    <row r="7" spans="1:3" x14ac:dyDescent="0.25">
      <c r="A7" s="30"/>
      <c r="B7" s="30"/>
    </row>
    <row r="8" spans="1:3" x14ac:dyDescent="0.25">
      <c r="A8" s="30"/>
      <c r="B8" s="30"/>
    </row>
    <row r="9" spans="1:3" x14ac:dyDescent="0.25">
      <c r="A9" s="30"/>
      <c r="B9" s="30"/>
    </row>
    <row r="13" spans="1:3" ht="20.25" x14ac:dyDescent="0.3">
      <c r="A13" s="67"/>
    </row>
    <row r="14" spans="1:3" x14ac:dyDescent="0.25">
      <c r="A14" s="31"/>
      <c r="B14" s="31"/>
      <c r="C14" s="31"/>
    </row>
    <row r="15" spans="1:3" x14ac:dyDescent="0.25">
      <c r="A15" s="30"/>
      <c r="B15" s="30"/>
      <c r="C15" s="30"/>
    </row>
    <row r="16" spans="1:3" x14ac:dyDescent="0.25">
      <c r="A16" s="30"/>
      <c r="B16" s="30"/>
      <c r="C16" s="30"/>
    </row>
    <row r="17" spans="1:3" x14ac:dyDescent="0.25">
      <c r="A17" s="30"/>
      <c r="B17" s="30"/>
      <c r="C17" s="30"/>
    </row>
    <row r="18" spans="1:3" x14ac:dyDescent="0.25">
      <c r="A18" s="30"/>
      <c r="B18" s="30"/>
      <c r="C18" s="30"/>
    </row>
    <row r="19" spans="1:3" x14ac:dyDescent="0.25">
      <c r="A19" s="30"/>
      <c r="B19" s="30"/>
      <c r="C19" s="30"/>
    </row>
    <row r="20" spans="1:3" x14ac:dyDescent="0.25">
      <c r="A20" s="30"/>
      <c r="B20" s="30"/>
      <c r="C20" s="30"/>
    </row>
    <row r="21" spans="1:3" x14ac:dyDescent="0.25">
      <c r="A21" s="30"/>
      <c r="B21" s="30"/>
      <c r="C21" s="30"/>
    </row>
    <row r="22" spans="1:3" x14ac:dyDescent="0.25">
      <c r="A22" s="30"/>
      <c r="B22" s="30"/>
      <c r="C22" s="30"/>
    </row>
    <row r="23" spans="1:3" x14ac:dyDescent="0.25">
      <c r="A23" s="30"/>
      <c r="B23" s="30"/>
      <c r="C23" s="30"/>
    </row>
    <row r="24" spans="1:3" x14ac:dyDescent="0.25">
      <c r="A24" s="30"/>
      <c r="B24" s="30"/>
      <c r="C24" s="30"/>
    </row>
    <row r="25" spans="1:3" x14ac:dyDescent="0.25">
      <c r="A25" s="30"/>
      <c r="B25" s="30"/>
      <c r="C25" s="30"/>
    </row>
    <row r="27" spans="1:3" ht="20.25" x14ac:dyDescent="0.3">
      <c r="A27" s="67"/>
    </row>
    <row r="28" spans="1:3" x14ac:dyDescent="0.25">
      <c r="A28" s="31"/>
      <c r="B28" s="31"/>
    </row>
    <row r="29" spans="1:3" x14ac:dyDescent="0.25">
      <c r="A29" s="30"/>
      <c r="B29" s="30"/>
    </row>
    <row r="30" spans="1:3" x14ac:dyDescent="0.25">
      <c r="A30" s="30"/>
      <c r="B30" s="30"/>
    </row>
    <row r="31" spans="1:3" x14ac:dyDescent="0.25">
      <c r="A31" s="30"/>
      <c r="B31" s="30"/>
    </row>
    <row r="32" spans="1:3" x14ac:dyDescent="0.25">
      <c r="A32" s="30"/>
      <c r="B32" s="30"/>
    </row>
    <row r="33" spans="1:2" x14ac:dyDescent="0.25">
      <c r="A33" s="30"/>
      <c r="B33" s="30"/>
    </row>
    <row r="34" spans="1:2" x14ac:dyDescent="0.25">
      <c r="A34" s="30"/>
      <c r="B34" s="30"/>
    </row>
    <row r="35" spans="1:2" x14ac:dyDescent="0.25">
      <c r="A35" s="30"/>
      <c r="B35" s="30"/>
    </row>
    <row r="36" spans="1:2" x14ac:dyDescent="0.25">
      <c r="A36" s="30"/>
      <c r="B36" s="30"/>
    </row>
    <row r="37" spans="1:2" x14ac:dyDescent="0.25">
      <c r="A37" s="30"/>
      <c r="B37" s="30"/>
    </row>
    <row r="38" spans="1:2" x14ac:dyDescent="0.25">
      <c r="A38" s="30"/>
      <c r="B38" s="30"/>
    </row>
    <row r="39" spans="1:2" x14ac:dyDescent="0.25">
      <c r="A39" s="30"/>
      <c r="B39" s="30"/>
    </row>
    <row r="40" spans="1:2" x14ac:dyDescent="0.25">
      <c r="A40" s="30"/>
      <c r="B40" s="30"/>
    </row>
    <row r="41" spans="1:2" x14ac:dyDescent="0.25">
      <c r="A41" s="30"/>
      <c r="B41" s="30"/>
    </row>
    <row r="42" spans="1:2" x14ac:dyDescent="0.25">
      <c r="A42" s="30"/>
      <c r="B42" s="30"/>
    </row>
    <row r="43" spans="1:2" x14ac:dyDescent="0.25">
      <c r="A43" s="30"/>
      <c r="B43" s="30"/>
    </row>
    <row r="44" spans="1:2" x14ac:dyDescent="0.25">
      <c r="A44" s="30"/>
      <c r="B44" s="30"/>
    </row>
    <row r="45" spans="1:2" x14ac:dyDescent="0.25">
      <c r="A45" s="30"/>
      <c r="B45" s="30"/>
    </row>
    <row r="46" spans="1:2" x14ac:dyDescent="0.25">
      <c r="A46" s="30"/>
      <c r="B46" s="30"/>
    </row>
    <row r="47" spans="1:2" x14ac:dyDescent="0.25">
      <c r="A47" s="30"/>
      <c r="B47" s="30"/>
    </row>
    <row r="48" spans="1:2" x14ac:dyDescent="0.25">
      <c r="A48" s="30"/>
      <c r="B48" s="30"/>
    </row>
    <row r="49" spans="1:2" x14ac:dyDescent="0.25">
      <c r="A49" s="30"/>
      <c r="B49" s="30"/>
    </row>
    <row r="50" spans="1:2" x14ac:dyDescent="0.25">
      <c r="A50" s="30"/>
      <c r="B50" s="30"/>
    </row>
    <row r="51" spans="1:2" x14ac:dyDescent="0.25">
      <c r="A51" s="30"/>
      <c r="B51" s="30"/>
    </row>
    <row r="52" spans="1:2" x14ac:dyDescent="0.25">
      <c r="A52" s="30"/>
      <c r="B52" s="30"/>
    </row>
    <row r="53" spans="1:2" x14ac:dyDescent="0.25">
      <c r="A53" s="30"/>
      <c r="B53" s="30"/>
    </row>
    <row r="54" spans="1:2" x14ac:dyDescent="0.25">
      <c r="A54" s="30"/>
      <c r="B54" s="30"/>
    </row>
    <row r="55" spans="1:2" x14ac:dyDescent="0.25">
      <c r="A55" s="30"/>
      <c r="B55" s="30"/>
    </row>
    <row r="56" spans="1:2" x14ac:dyDescent="0.25">
      <c r="A56" s="30"/>
      <c r="B56" s="30"/>
    </row>
    <row r="57" spans="1:2" x14ac:dyDescent="0.25">
      <c r="A57" s="30"/>
      <c r="B57" s="30"/>
    </row>
    <row r="58" spans="1:2" x14ac:dyDescent="0.25">
      <c r="A58" s="30"/>
      <c r="B58" s="30"/>
    </row>
    <row r="59" spans="1:2" x14ac:dyDescent="0.25">
      <c r="A59" s="30"/>
      <c r="B59" s="30"/>
    </row>
    <row r="60" spans="1:2" x14ac:dyDescent="0.25">
      <c r="A60" s="30"/>
      <c r="B60" s="30"/>
    </row>
    <row r="61" spans="1:2" x14ac:dyDescent="0.25">
      <c r="A61" s="30"/>
      <c r="B61" s="30"/>
    </row>
    <row r="62" spans="1:2" x14ac:dyDescent="0.25">
      <c r="A62" s="30"/>
      <c r="B62" s="30"/>
    </row>
    <row r="63" spans="1:2" x14ac:dyDescent="0.25">
      <c r="A63" s="30"/>
      <c r="B63" s="30"/>
    </row>
    <row r="64" spans="1:2" x14ac:dyDescent="0.25">
      <c r="A64" s="30"/>
      <c r="B64" s="30"/>
    </row>
    <row r="65" spans="1:2" x14ac:dyDescent="0.25">
      <c r="A65" s="30"/>
      <c r="B65" s="30"/>
    </row>
    <row r="66" spans="1:2" x14ac:dyDescent="0.25">
      <c r="A66" s="30"/>
      <c r="B66" s="30"/>
    </row>
    <row r="67" spans="1:2" x14ac:dyDescent="0.25">
      <c r="A67" s="30"/>
      <c r="B67" s="30"/>
    </row>
    <row r="68" spans="1:2" x14ac:dyDescent="0.25">
      <c r="A68" s="30"/>
      <c r="B68" s="30"/>
    </row>
    <row r="69" spans="1:2" x14ac:dyDescent="0.25">
      <c r="A69" s="30"/>
      <c r="B69" s="30"/>
    </row>
    <row r="70" spans="1:2" x14ac:dyDescent="0.25">
      <c r="A70" s="30"/>
      <c r="B70" s="30"/>
    </row>
    <row r="71" spans="1:2" x14ac:dyDescent="0.25">
      <c r="A71" s="30"/>
      <c r="B71" s="30"/>
    </row>
    <row r="72" spans="1:2" x14ac:dyDescent="0.25">
      <c r="A72" s="30"/>
      <c r="B72" s="30"/>
    </row>
    <row r="73" spans="1:2" x14ac:dyDescent="0.25">
      <c r="A73" s="30"/>
      <c r="B73" s="30"/>
    </row>
    <row r="74" spans="1:2" x14ac:dyDescent="0.25">
      <c r="A74" s="30"/>
      <c r="B74" s="30"/>
    </row>
    <row r="75" spans="1:2" x14ac:dyDescent="0.25">
      <c r="A75" s="30"/>
      <c r="B75" s="30"/>
    </row>
    <row r="76" spans="1:2" x14ac:dyDescent="0.25">
      <c r="A76" s="30"/>
      <c r="B76" s="30"/>
    </row>
    <row r="77" spans="1:2" x14ac:dyDescent="0.25">
      <c r="A77" s="30"/>
      <c r="B77" s="30"/>
    </row>
    <row r="78" spans="1:2" x14ac:dyDescent="0.25">
      <c r="A78" s="30"/>
      <c r="B78" s="30"/>
    </row>
    <row r="79" spans="1:2" x14ac:dyDescent="0.25">
      <c r="A79" s="30"/>
      <c r="B79" s="30"/>
    </row>
    <row r="82" spans="1:2" ht="20.25" x14ac:dyDescent="0.3">
      <c r="A82" s="67"/>
    </row>
    <row r="83" spans="1:2" x14ac:dyDescent="0.25">
      <c r="A83" s="31"/>
      <c r="B83" s="31"/>
    </row>
    <row r="84" spans="1:2" x14ac:dyDescent="0.25">
      <c r="A84" s="30"/>
      <c r="B84" s="30"/>
    </row>
    <row r="85" spans="1:2" x14ac:dyDescent="0.25">
      <c r="A85" s="30"/>
      <c r="B85" s="30"/>
    </row>
    <row r="86" spans="1:2" x14ac:dyDescent="0.25">
      <c r="A86" s="30"/>
      <c r="B86" s="30"/>
    </row>
    <row r="87" spans="1:2" x14ac:dyDescent="0.25">
      <c r="A87" s="30"/>
      <c r="B87" s="30"/>
    </row>
    <row r="88" spans="1:2" x14ac:dyDescent="0.25">
      <c r="A88" s="30"/>
      <c r="B88" s="30"/>
    </row>
    <row r="89" spans="1:2" x14ac:dyDescent="0.25">
      <c r="A89" s="30"/>
      <c r="B89" s="30"/>
    </row>
    <row r="90" spans="1:2" x14ac:dyDescent="0.25">
      <c r="A90" s="30"/>
      <c r="B90" s="30"/>
    </row>
    <row r="91" spans="1:2" x14ac:dyDescent="0.25">
      <c r="A91" s="30"/>
      <c r="B91" s="30"/>
    </row>
    <row r="92" spans="1:2" x14ac:dyDescent="0.25">
      <c r="A92" s="30"/>
      <c r="B92" s="30"/>
    </row>
    <row r="93" spans="1:2" x14ac:dyDescent="0.25">
      <c r="A93" s="30"/>
      <c r="B93" s="30"/>
    </row>
    <row r="94" spans="1:2" x14ac:dyDescent="0.25">
      <c r="A94" s="30"/>
      <c r="B94" s="30"/>
    </row>
    <row r="95" spans="1:2" x14ac:dyDescent="0.25">
      <c r="A95" s="30"/>
      <c r="B95" s="30"/>
    </row>
    <row r="96" spans="1:2" x14ac:dyDescent="0.25">
      <c r="A96" s="30"/>
      <c r="B96" s="30"/>
    </row>
    <row r="97" spans="1:2" x14ac:dyDescent="0.25">
      <c r="A97" s="30"/>
      <c r="B97" s="30"/>
    </row>
    <row r="98" spans="1:2" x14ac:dyDescent="0.25">
      <c r="A98" s="30"/>
      <c r="B98" s="30"/>
    </row>
    <row r="99" spans="1:2" x14ac:dyDescent="0.25">
      <c r="A99" s="30"/>
      <c r="B99" s="30"/>
    </row>
    <row r="100" spans="1:2" x14ac:dyDescent="0.25">
      <c r="A100" s="30"/>
      <c r="B100" s="30"/>
    </row>
    <row r="101" spans="1:2" x14ac:dyDescent="0.25">
      <c r="A101" s="30"/>
      <c r="B101" s="30"/>
    </row>
    <row r="102" spans="1:2" x14ac:dyDescent="0.25">
      <c r="A102" s="30"/>
      <c r="B102" s="30"/>
    </row>
    <row r="103" spans="1:2" x14ac:dyDescent="0.25">
      <c r="A103" s="30"/>
      <c r="B103" s="30"/>
    </row>
    <row r="104" spans="1:2" x14ac:dyDescent="0.25">
      <c r="A104" s="30"/>
      <c r="B104" s="30"/>
    </row>
    <row r="105" spans="1:2" x14ac:dyDescent="0.25">
      <c r="A105" s="30"/>
      <c r="B105" s="30"/>
    </row>
    <row r="106" spans="1:2" x14ac:dyDescent="0.25">
      <c r="A106" s="30"/>
      <c r="B106" s="30"/>
    </row>
    <row r="107" spans="1:2" x14ac:dyDescent="0.25">
      <c r="A107" s="30"/>
      <c r="B107" s="30"/>
    </row>
    <row r="108" spans="1:2" x14ac:dyDescent="0.25">
      <c r="A108" s="30"/>
      <c r="B108" s="30"/>
    </row>
    <row r="109" spans="1:2" x14ac:dyDescent="0.25">
      <c r="A109" s="30"/>
      <c r="B109" s="30"/>
    </row>
    <row r="110" spans="1:2" x14ac:dyDescent="0.25">
      <c r="A110" s="30"/>
      <c r="B110" s="30"/>
    </row>
    <row r="111" spans="1:2" x14ac:dyDescent="0.25">
      <c r="A111" s="30"/>
      <c r="B111" s="30"/>
    </row>
    <row r="112" spans="1:2" x14ac:dyDescent="0.25">
      <c r="A112" s="30"/>
      <c r="B112" s="30"/>
    </row>
    <row r="113" spans="1:2" x14ac:dyDescent="0.25">
      <c r="A113" s="30"/>
      <c r="B113" s="30"/>
    </row>
    <row r="114" spans="1:2" x14ac:dyDescent="0.25">
      <c r="A114" s="30"/>
      <c r="B114" s="30"/>
    </row>
    <row r="115" spans="1:2" x14ac:dyDescent="0.25">
      <c r="A115" s="30"/>
      <c r="B115" s="30"/>
    </row>
    <row r="116" spans="1:2" x14ac:dyDescent="0.25">
      <c r="A116" s="30"/>
      <c r="B116" s="30"/>
    </row>
    <row r="117" spans="1:2" x14ac:dyDescent="0.25">
      <c r="A117" s="30"/>
      <c r="B117" s="30"/>
    </row>
    <row r="118" spans="1:2" x14ac:dyDescent="0.25">
      <c r="A118" s="30"/>
      <c r="B118" s="30"/>
    </row>
    <row r="119" spans="1:2" x14ac:dyDescent="0.25">
      <c r="A119" s="30"/>
      <c r="B119" s="30"/>
    </row>
    <row r="120" spans="1:2" x14ac:dyDescent="0.25">
      <c r="A120" s="30"/>
      <c r="B120" s="30"/>
    </row>
    <row r="121" spans="1:2" x14ac:dyDescent="0.25">
      <c r="A121" s="30"/>
      <c r="B121" s="30"/>
    </row>
    <row r="122" spans="1:2" x14ac:dyDescent="0.25">
      <c r="A122" s="30"/>
      <c r="B122" s="30"/>
    </row>
    <row r="123" spans="1:2" x14ac:dyDescent="0.25">
      <c r="A123" s="30"/>
      <c r="B123" s="30"/>
    </row>
    <row r="124" spans="1:2" x14ac:dyDescent="0.25">
      <c r="A124" s="30"/>
      <c r="B124" s="30"/>
    </row>
    <row r="127" spans="1:2" x14ac:dyDescent="0.25">
      <c r="A127" s="31"/>
      <c r="B127" s="31"/>
    </row>
    <row r="128" spans="1:2" x14ac:dyDescent="0.25">
      <c r="A128" s="30"/>
      <c r="B128" s="30"/>
    </row>
    <row r="129" spans="1:2" x14ac:dyDescent="0.25">
      <c r="A129" s="30"/>
      <c r="B129" s="30"/>
    </row>
    <row r="130" spans="1:2" x14ac:dyDescent="0.25">
      <c r="A130" s="30"/>
      <c r="B130" s="30"/>
    </row>
    <row r="131" spans="1:2" x14ac:dyDescent="0.25">
      <c r="A131" s="30"/>
      <c r="B131" s="30"/>
    </row>
    <row r="132" spans="1:2" x14ac:dyDescent="0.25">
      <c r="A132" s="30"/>
      <c r="B132" s="30"/>
    </row>
    <row r="133" spans="1:2" x14ac:dyDescent="0.25">
      <c r="A133" s="30"/>
      <c r="B133" s="30"/>
    </row>
    <row r="134" spans="1:2" x14ac:dyDescent="0.25">
      <c r="A134" s="30"/>
      <c r="B134" s="30"/>
    </row>
    <row r="135" spans="1:2" x14ac:dyDescent="0.25">
      <c r="A135" s="30"/>
      <c r="B135" s="30"/>
    </row>
    <row r="136" spans="1:2" x14ac:dyDescent="0.25">
      <c r="A136" s="30"/>
      <c r="B136" s="30"/>
    </row>
    <row r="137" spans="1:2" x14ac:dyDescent="0.25">
      <c r="A137" s="30"/>
      <c r="B137" s="30"/>
    </row>
    <row r="138" spans="1:2" x14ac:dyDescent="0.25">
      <c r="A138" s="30"/>
      <c r="B138" s="30"/>
    </row>
    <row r="139" spans="1:2" x14ac:dyDescent="0.25">
      <c r="A139" s="30"/>
      <c r="B139" s="30"/>
    </row>
    <row r="140" spans="1:2" x14ac:dyDescent="0.25">
      <c r="A140" s="30"/>
      <c r="B140" s="30"/>
    </row>
    <row r="141" spans="1:2" x14ac:dyDescent="0.25">
      <c r="A141" s="30"/>
      <c r="B141" s="30"/>
    </row>
    <row r="142" spans="1:2" x14ac:dyDescent="0.25">
      <c r="A142" s="30"/>
      <c r="B142" s="30"/>
    </row>
    <row r="143" spans="1:2" x14ac:dyDescent="0.25">
      <c r="A143" s="30"/>
      <c r="B143" s="30"/>
    </row>
    <row r="144" spans="1:2" x14ac:dyDescent="0.25">
      <c r="A144" s="30"/>
      <c r="B144" s="30"/>
    </row>
    <row r="145" spans="1:2" x14ac:dyDescent="0.25">
      <c r="A145" s="30"/>
      <c r="B145" s="30"/>
    </row>
    <row r="146" spans="1:2" x14ac:dyDescent="0.25">
      <c r="A146" s="30"/>
      <c r="B146" s="30"/>
    </row>
    <row r="147" spans="1:2" x14ac:dyDescent="0.25">
      <c r="A147" s="30"/>
      <c r="B147" s="30"/>
    </row>
    <row r="148" spans="1:2" x14ac:dyDescent="0.25">
      <c r="A148" s="30"/>
      <c r="B148" s="30"/>
    </row>
    <row r="149" spans="1:2" x14ac:dyDescent="0.25">
      <c r="A149" s="30"/>
      <c r="B149" s="30"/>
    </row>
    <row r="150" spans="1:2" x14ac:dyDescent="0.25">
      <c r="A150" s="30"/>
      <c r="B150" s="30"/>
    </row>
    <row r="151" spans="1:2" x14ac:dyDescent="0.25">
      <c r="A151" s="30"/>
      <c r="B151" s="30"/>
    </row>
    <row r="152" spans="1:2" x14ac:dyDescent="0.25">
      <c r="A152" s="30"/>
      <c r="B152" s="30"/>
    </row>
    <row r="153" spans="1:2" x14ac:dyDescent="0.25">
      <c r="A153" s="30"/>
      <c r="B153" s="30"/>
    </row>
    <row r="154" spans="1:2" x14ac:dyDescent="0.25">
      <c r="A154" s="30"/>
      <c r="B154" s="30"/>
    </row>
    <row r="155" spans="1:2" x14ac:dyDescent="0.25">
      <c r="A155" s="30"/>
      <c r="B155" s="30"/>
    </row>
    <row r="156" spans="1:2" x14ac:dyDescent="0.25">
      <c r="A156" s="30"/>
      <c r="B156" s="30"/>
    </row>
    <row r="157" spans="1:2" x14ac:dyDescent="0.25">
      <c r="A157" s="30"/>
      <c r="B157" s="30"/>
    </row>
    <row r="158" spans="1:2" x14ac:dyDescent="0.25">
      <c r="A158" s="30"/>
      <c r="B158" s="30"/>
    </row>
    <row r="159" spans="1:2" x14ac:dyDescent="0.25">
      <c r="A159" s="30"/>
      <c r="B159" s="30"/>
    </row>
    <row r="160" spans="1:2" x14ac:dyDescent="0.25">
      <c r="A160" s="30"/>
      <c r="B160" s="30"/>
    </row>
    <row r="161" spans="1:2" x14ac:dyDescent="0.25">
      <c r="A161" s="30"/>
      <c r="B161" s="30"/>
    </row>
    <row r="162" spans="1:2" x14ac:dyDescent="0.25">
      <c r="A162" s="30"/>
      <c r="B162" s="30"/>
    </row>
    <row r="163" spans="1:2" x14ac:dyDescent="0.25">
      <c r="A163" s="30"/>
      <c r="B163" s="30"/>
    </row>
    <row r="164" spans="1:2" x14ac:dyDescent="0.25">
      <c r="A164" s="30"/>
      <c r="B164" s="30"/>
    </row>
    <row r="165" spans="1:2" x14ac:dyDescent="0.25">
      <c r="A165" s="30"/>
      <c r="B165" s="30"/>
    </row>
    <row r="166" spans="1:2" x14ac:dyDescent="0.25">
      <c r="A166" s="30"/>
      <c r="B166" s="30"/>
    </row>
    <row r="167" spans="1:2" x14ac:dyDescent="0.25">
      <c r="A167" s="30"/>
      <c r="B167" s="30"/>
    </row>
    <row r="168" spans="1:2" x14ac:dyDescent="0.25">
      <c r="A168" s="30"/>
      <c r="B168" s="30"/>
    </row>
    <row r="169" spans="1:2" x14ac:dyDescent="0.25">
      <c r="A169" s="30"/>
      <c r="B169" s="30"/>
    </row>
    <row r="170" spans="1:2" x14ac:dyDescent="0.25">
      <c r="A170" s="30"/>
      <c r="B170" s="30"/>
    </row>
    <row r="171" spans="1:2" x14ac:dyDescent="0.25">
      <c r="A171" s="30"/>
      <c r="B171" s="30"/>
    </row>
    <row r="172" spans="1:2" x14ac:dyDescent="0.25">
      <c r="A172" s="30"/>
      <c r="B172" s="30"/>
    </row>
    <row r="173" spans="1:2" x14ac:dyDescent="0.25">
      <c r="A173" s="30"/>
      <c r="B173" s="30"/>
    </row>
    <row r="174" spans="1:2" x14ac:dyDescent="0.25">
      <c r="A174" s="30"/>
      <c r="B174" s="30"/>
    </row>
    <row r="175" spans="1:2" x14ac:dyDescent="0.25">
      <c r="A175" s="30"/>
      <c r="B175" s="30"/>
    </row>
    <row r="176" spans="1:2" x14ac:dyDescent="0.25">
      <c r="A176" s="30"/>
      <c r="B176" s="30"/>
    </row>
    <row r="177" spans="1:2" x14ac:dyDescent="0.25">
      <c r="A177" s="30"/>
      <c r="B177" s="30"/>
    </row>
    <row r="178" spans="1:2" x14ac:dyDescent="0.25">
      <c r="A178" s="30"/>
      <c r="B178" s="30"/>
    </row>
    <row r="179" spans="1:2" x14ac:dyDescent="0.25">
      <c r="A179" s="30"/>
      <c r="B179" s="30"/>
    </row>
    <row r="180" spans="1:2" x14ac:dyDescent="0.25">
      <c r="A180" s="30"/>
      <c r="B180" s="30"/>
    </row>
    <row r="181" spans="1:2" x14ac:dyDescent="0.25">
      <c r="A181" s="30"/>
      <c r="B181" s="30"/>
    </row>
    <row r="182" spans="1:2" x14ac:dyDescent="0.25">
      <c r="A182" s="30"/>
      <c r="B182" s="30"/>
    </row>
    <row r="183" spans="1:2" x14ac:dyDescent="0.25">
      <c r="A183" s="30"/>
      <c r="B183" s="30"/>
    </row>
    <row r="184" spans="1:2" x14ac:dyDescent="0.25">
      <c r="A184" s="30"/>
      <c r="B184" s="30"/>
    </row>
    <row r="185" spans="1:2" x14ac:dyDescent="0.25">
      <c r="A185" s="30"/>
      <c r="B185" s="30"/>
    </row>
    <row r="186" spans="1:2" x14ac:dyDescent="0.25">
      <c r="A186" s="30"/>
      <c r="B186" s="30"/>
    </row>
    <row r="187" spans="1:2" x14ac:dyDescent="0.25">
      <c r="A187" s="30"/>
      <c r="B187" s="30"/>
    </row>
    <row r="188" spans="1:2" x14ac:dyDescent="0.25">
      <c r="A188" s="30"/>
      <c r="B188" s="30"/>
    </row>
    <row r="189" spans="1:2" x14ac:dyDescent="0.25">
      <c r="A189" s="30"/>
      <c r="B189" s="30"/>
    </row>
    <row r="190" spans="1:2" x14ac:dyDescent="0.25">
      <c r="A190" s="30"/>
      <c r="B190" s="30"/>
    </row>
    <row r="191" spans="1:2" x14ac:dyDescent="0.25">
      <c r="A191" s="30"/>
      <c r="B191" s="30"/>
    </row>
    <row r="192" spans="1:2" x14ac:dyDescent="0.25">
      <c r="A192" s="30"/>
      <c r="B192" s="30"/>
    </row>
    <row r="193" spans="1:2" x14ac:dyDescent="0.25">
      <c r="A193" s="30"/>
      <c r="B193" s="30"/>
    </row>
    <row r="194" spans="1:2" x14ac:dyDescent="0.25">
      <c r="A194" s="30"/>
      <c r="B194" s="30"/>
    </row>
    <row r="195" spans="1:2" x14ac:dyDescent="0.25">
      <c r="A195" s="30"/>
      <c r="B195" s="30"/>
    </row>
    <row r="196" spans="1:2" x14ac:dyDescent="0.25">
      <c r="A196" s="30"/>
      <c r="B196" s="30"/>
    </row>
    <row r="197" spans="1:2" x14ac:dyDescent="0.25">
      <c r="A197" s="30"/>
      <c r="B197" s="30"/>
    </row>
    <row r="198" spans="1:2" x14ac:dyDescent="0.25">
      <c r="A198" s="30"/>
      <c r="B198" s="30"/>
    </row>
    <row r="199" spans="1:2" x14ac:dyDescent="0.25">
      <c r="A199" s="30"/>
      <c r="B199" s="30"/>
    </row>
    <row r="200" spans="1:2" x14ac:dyDescent="0.25">
      <c r="A200" s="30"/>
      <c r="B200" s="30"/>
    </row>
    <row r="201" spans="1:2" x14ac:dyDescent="0.25">
      <c r="A201" s="30"/>
      <c r="B201" s="30"/>
    </row>
    <row r="202" spans="1:2" x14ac:dyDescent="0.25">
      <c r="A202" s="30"/>
      <c r="B202" s="30"/>
    </row>
    <row r="203" spans="1:2" x14ac:dyDescent="0.25">
      <c r="A203" s="30"/>
      <c r="B203" s="30"/>
    </row>
    <row r="204" spans="1:2" x14ac:dyDescent="0.25">
      <c r="A204" s="30"/>
      <c r="B204" s="30"/>
    </row>
    <row r="205" spans="1:2" x14ac:dyDescent="0.25">
      <c r="A205" s="30"/>
      <c r="B205" s="30"/>
    </row>
    <row r="206" spans="1:2" x14ac:dyDescent="0.25">
      <c r="A206" s="30"/>
      <c r="B206" s="30"/>
    </row>
    <row r="207" spans="1:2" x14ac:dyDescent="0.25">
      <c r="A207" s="30"/>
      <c r="B207" s="30"/>
    </row>
    <row r="208" spans="1:2" x14ac:dyDescent="0.25">
      <c r="A208" s="30"/>
      <c r="B208" s="30"/>
    </row>
    <row r="209" spans="1:2" x14ac:dyDescent="0.25">
      <c r="A209" s="30"/>
      <c r="B209" s="30"/>
    </row>
    <row r="210" spans="1:2" x14ac:dyDescent="0.25">
      <c r="A210" s="30"/>
      <c r="B210" s="30"/>
    </row>
    <row r="211" spans="1:2" x14ac:dyDescent="0.25">
      <c r="A211" s="30"/>
      <c r="B211" s="30"/>
    </row>
    <row r="212" spans="1:2" x14ac:dyDescent="0.25">
      <c r="A212" s="30"/>
      <c r="B212" s="30"/>
    </row>
    <row r="213" spans="1:2" x14ac:dyDescent="0.25">
      <c r="A213" s="30"/>
      <c r="B213" s="30"/>
    </row>
    <row r="216" spans="1:2" ht="20.25" x14ac:dyDescent="0.3">
      <c r="A216" s="67"/>
    </row>
    <row r="217" spans="1:2" x14ac:dyDescent="0.25">
      <c r="A217" s="31"/>
      <c r="B217" s="31"/>
    </row>
    <row r="218" spans="1:2" x14ac:dyDescent="0.25">
      <c r="A218" s="30"/>
      <c r="B218" s="30"/>
    </row>
    <row r="219" spans="1:2" x14ac:dyDescent="0.25">
      <c r="A219" s="30"/>
      <c r="B219" s="30"/>
    </row>
    <row r="220" spans="1:2" x14ac:dyDescent="0.25">
      <c r="A220" s="30"/>
      <c r="B220" s="30"/>
    </row>
    <row r="221" spans="1:2" x14ac:dyDescent="0.25">
      <c r="A221" s="30"/>
      <c r="B221" s="30"/>
    </row>
    <row r="222" spans="1:2" x14ac:dyDescent="0.25">
      <c r="A222" s="30"/>
      <c r="B222" s="30"/>
    </row>
    <row r="223" spans="1:2" x14ac:dyDescent="0.25">
      <c r="A223" s="30"/>
      <c r="B223" s="30"/>
    </row>
    <row r="225" spans="1:7" ht="23.25" x14ac:dyDescent="0.35">
      <c r="A225" s="66"/>
    </row>
    <row r="226" spans="1:7" x14ac:dyDescent="0.25">
      <c r="A226" s="31"/>
      <c r="B226" s="31"/>
      <c r="C226" s="31"/>
      <c r="D226" s="31"/>
      <c r="E226" s="31"/>
      <c r="F226" s="31"/>
      <c r="G226" s="31"/>
    </row>
    <row r="227" spans="1:7" x14ac:dyDescent="0.25">
      <c r="A227" s="30"/>
      <c r="B227" s="30"/>
      <c r="C227" s="30"/>
      <c r="D227" s="30"/>
      <c r="E227" s="30"/>
      <c r="F227" s="30"/>
      <c r="G227" s="30"/>
    </row>
    <row r="228" spans="1:7" x14ac:dyDescent="0.25">
      <c r="A228" s="30"/>
      <c r="B228" s="30"/>
      <c r="C228" s="30"/>
      <c r="D228" s="30"/>
      <c r="E228" s="30"/>
      <c r="F228" s="30"/>
      <c r="G228" s="30"/>
    </row>
    <row r="229" spans="1:7" x14ac:dyDescent="0.25">
      <c r="A229" s="30"/>
      <c r="B229" s="30"/>
      <c r="C229" s="30"/>
      <c r="D229" s="30"/>
      <c r="E229" s="30"/>
      <c r="F229" s="30"/>
      <c r="G229" s="30"/>
    </row>
    <row r="230" spans="1:7" x14ac:dyDescent="0.25">
      <c r="A230" s="30"/>
      <c r="B230" s="30"/>
      <c r="C230" s="30"/>
      <c r="D230" s="30"/>
      <c r="E230" s="30"/>
      <c r="F230" s="30"/>
      <c r="G230" s="30"/>
    </row>
    <row r="231" spans="1:7" x14ac:dyDescent="0.25">
      <c r="A231" s="30"/>
      <c r="B231" s="30"/>
      <c r="C231" s="30"/>
      <c r="D231" s="30"/>
      <c r="E231" s="30"/>
      <c r="F231" s="30"/>
      <c r="G231" s="30"/>
    </row>
    <row r="232" spans="1:7" x14ac:dyDescent="0.25">
      <c r="A232" s="30"/>
      <c r="B232" s="30"/>
      <c r="C232" s="30"/>
      <c r="D232" s="30"/>
      <c r="E232" s="30"/>
      <c r="F232" s="30"/>
      <c r="G232" s="30"/>
    </row>
    <row r="233" spans="1:7" x14ac:dyDescent="0.25">
      <c r="A233" s="30"/>
      <c r="B233" s="30"/>
      <c r="C233" s="30"/>
      <c r="D233" s="30"/>
      <c r="E233" s="30"/>
      <c r="F233" s="30"/>
      <c r="G233" s="30"/>
    </row>
    <row r="234" spans="1:7" x14ac:dyDescent="0.25">
      <c r="A234" s="30"/>
      <c r="B234" s="30"/>
      <c r="C234" s="30"/>
      <c r="D234" s="30"/>
      <c r="E234" s="30"/>
      <c r="F234" s="30"/>
      <c r="G234" s="30"/>
    </row>
    <row r="235" spans="1:7" x14ac:dyDescent="0.25">
      <c r="A235" s="30"/>
      <c r="B235" s="30"/>
      <c r="C235" s="30"/>
      <c r="D235" s="30"/>
      <c r="E235" s="30"/>
      <c r="F235" s="30"/>
      <c r="G235" s="30"/>
    </row>
    <row r="236" spans="1:7" x14ac:dyDescent="0.25">
      <c r="A236" s="30"/>
      <c r="B236" s="30"/>
      <c r="C236" s="30"/>
      <c r="D236" s="30"/>
      <c r="E236" s="30"/>
      <c r="F236" s="30"/>
      <c r="G236" s="30"/>
    </row>
    <row r="237" spans="1:7" x14ac:dyDescent="0.25">
      <c r="A237" s="30"/>
      <c r="B237" s="30"/>
      <c r="C237" s="30"/>
      <c r="D237" s="30"/>
      <c r="E237" s="30"/>
      <c r="F237" s="30"/>
      <c r="G237" s="30"/>
    </row>
    <row r="238" spans="1:7" x14ac:dyDescent="0.25">
      <c r="A238" s="30"/>
      <c r="B238" s="30"/>
      <c r="C238" s="30"/>
      <c r="D238" s="30"/>
      <c r="E238" s="30"/>
      <c r="F238" s="30"/>
      <c r="G238" s="30"/>
    </row>
    <row r="239" spans="1:7" x14ac:dyDescent="0.25">
      <c r="A239" s="30"/>
      <c r="B239" s="30"/>
      <c r="C239" s="30"/>
      <c r="D239" s="30"/>
      <c r="E239" s="30"/>
      <c r="F239" s="30"/>
      <c r="G239" s="30"/>
    </row>
    <row r="240" spans="1:7" x14ac:dyDescent="0.25">
      <c r="A240" s="30"/>
      <c r="B240" s="30"/>
      <c r="C240" s="30"/>
      <c r="D240" s="30"/>
      <c r="E240" s="30"/>
      <c r="F240" s="30"/>
      <c r="G240" s="30"/>
    </row>
    <row r="241" spans="1:7" x14ac:dyDescent="0.25">
      <c r="A241" s="30"/>
      <c r="B241" s="30"/>
      <c r="C241" s="30"/>
      <c r="D241" s="30"/>
      <c r="E241" s="30"/>
      <c r="F241" s="30"/>
      <c r="G241" s="30"/>
    </row>
    <row r="242" spans="1:7" x14ac:dyDescent="0.25">
      <c r="A242" s="30"/>
      <c r="B242" s="30"/>
      <c r="C242" s="30"/>
      <c r="D242" s="30"/>
      <c r="E242" s="30"/>
      <c r="F242" s="30"/>
      <c r="G242" s="30"/>
    </row>
    <row r="243" spans="1:7" x14ac:dyDescent="0.25">
      <c r="A243" s="30"/>
      <c r="B243" s="30"/>
      <c r="C243" s="30"/>
      <c r="D243" s="30"/>
      <c r="E243" s="30"/>
      <c r="F243" s="30"/>
      <c r="G243" s="30"/>
    </row>
    <row r="244" spans="1:7" x14ac:dyDescent="0.25">
      <c r="A244" s="30"/>
      <c r="B244" s="30"/>
      <c r="C244" s="30"/>
      <c r="D244" s="30"/>
      <c r="E244" s="30"/>
      <c r="F244" s="30"/>
      <c r="G244" s="30"/>
    </row>
    <row r="245" spans="1:7" x14ac:dyDescent="0.25">
      <c r="A245" s="30"/>
      <c r="B245" s="30"/>
      <c r="C245" s="30"/>
      <c r="D245" s="30"/>
      <c r="E245" s="30"/>
      <c r="F245" s="30"/>
      <c r="G245" s="30"/>
    </row>
    <row r="246" spans="1:7" x14ac:dyDescent="0.25">
      <c r="A246" s="30"/>
      <c r="B246" s="30"/>
      <c r="C246" s="30"/>
      <c r="D246" s="30"/>
      <c r="E246" s="30"/>
      <c r="F246" s="30"/>
      <c r="G246" s="30"/>
    </row>
    <row r="247" spans="1:7" x14ac:dyDescent="0.25">
      <c r="A247" s="30"/>
      <c r="B247" s="30"/>
      <c r="C247" s="30"/>
      <c r="D247" s="30"/>
      <c r="E247" s="30"/>
      <c r="F247" s="30"/>
      <c r="G247" s="30"/>
    </row>
    <row r="248" spans="1:7" x14ac:dyDescent="0.25">
      <c r="A248" s="30"/>
      <c r="B248" s="30"/>
      <c r="C248" s="30"/>
      <c r="D248" s="30"/>
      <c r="E248" s="30"/>
      <c r="F248" s="30"/>
      <c r="G248" s="30"/>
    </row>
    <row r="249" spans="1:7" x14ac:dyDescent="0.25">
      <c r="A249" s="30"/>
      <c r="B249" s="30"/>
      <c r="C249" s="30"/>
      <c r="D249" s="30"/>
      <c r="E249" s="30"/>
      <c r="F249" s="30"/>
      <c r="G249" s="30"/>
    </row>
    <row r="250" spans="1:7" x14ac:dyDescent="0.25">
      <c r="A250" s="30"/>
      <c r="B250" s="30"/>
      <c r="C250" s="30"/>
      <c r="D250" s="30"/>
      <c r="E250" s="30"/>
      <c r="F250" s="30"/>
      <c r="G250" s="30"/>
    </row>
    <row r="251" spans="1:7" x14ac:dyDescent="0.25">
      <c r="A251" s="30"/>
      <c r="B251" s="30"/>
      <c r="C251" s="30"/>
      <c r="D251" s="30"/>
      <c r="E251" s="30"/>
      <c r="F251" s="30"/>
      <c r="G251" s="30"/>
    </row>
    <row r="252" spans="1:7" x14ac:dyDescent="0.25">
      <c r="A252" s="30"/>
      <c r="B252" s="30"/>
      <c r="C252" s="30"/>
      <c r="D252" s="30"/>
      <c r="E252" s="30"/>
      <c r="F252" s="30"/>
      <c r="G252" s="30"/>
    </row>
    <row r="254" spans="1:7" x14ac:dyDescent="0.25">
      <c r="A254" s="31"/>
      <c r="B254" s="31"/>
      <c r="C254" s="31"/>
      <c r="D254" s="31"/>
      <c r="E254" s="31"/>
      <c r="F254" s="31"/>
      <c r="G254" s="31"/>
    </row>
    <row r="255" spans="1:7" x14ac:dyDescent="0.25">
      <c r="A255" s="30"/>
      <c r="B255" s="30"/>
      <c r="C255" s="30"/>
      <c r="D255" s="30"/>
      <c r="E255" s="30"/>
      <c r="F255" s="30"/>
      <c r="G255" s="30"/>
    </row>
    <row r="256" spans="1:7" x14ac:dyDescent="0.25">
      <c r="A256" s="30"/>
      <c r="B256" s="30"/>
      <c r="C256" s="30"/>
      <c r="D256" s="30"/>
      <c r="E256" s="30"/>
      <c r="F256" s="30"/>
      <c r="G256" s="30"/>
    </row>
    <row r="257" spans="1:7" x14ac:dyDescent="0.25">
      <c r="A257" s="30"/>
      <c r="B257" s="30"/>
      <c r="C257" s="30"/>
      <c r="D257" s="30"/>
      <c r="E257" s="30"/>
      <c r="F257" s="30"/>
      <c r="G257" s="30"/>
    </row>
    <row r="258" spans="1:7" x14ac:dyDescent="0.25">
      <c r="A258" s="30"/>
      <c r="B258" s="30"/>
      <c r="C258" s="30"/>
      <c r="D258" s="30"/>
      <c r="E258" s="30"/>
      <c r="F258" s="30"/>
      <c r="G258" s="30"/>
    </row>
    <row r="259" spans="1:7" x14ac:dyDescent="0.25">
      <c r="A259" s="30"/>
      <c r="B259" s="30"/>
      <c r="C259" s="30"/>
      <c r="D259" s="30"/>
      <c r="E259" s="30"/>
      <c r="F259" s="30"/>
      <c r="G259" s="30"/>
    </row>
    <row r="260" spans="1:7" x14ac:dyDescent="0.25">
      <c r="A260" s="30"/>
      <c r="B260" s="30"/>
      <c r="C260" s="30"/>
      <c r="D260" s="30"/>
      <c r="E260" s="30"/>
      <c r="F260" s="30"/>
      <c r="G260" s="30"/>
    </row>
    <row r="261" spans="1:7" x14ac:dyDescent="0.25">
      <c r="A261" s="30"/>
      <c r="B261" s="30"/>
      <c r="C261" s="30"/>
      <c r="D261" s="30"/>
      <c r="E261" s="30"/>
      <c r="F261" s="30"/>
      <c r="G261" s="30"/>
    </row>
    <row r="262" spans="1:7" x14ac:dyDescent="0.25">
      <c r="A262" s="30"/>
      <c r="B262" s="30"/>
      <c r="C262" s="30"/>
      <c r="D262" s="30"/>
      <c r="E262" s="30"/>
      <c r="F262" s="30"/>
      <c r="G262" s="30"/>
    </row>
    <row r="263" spans="1:7" x14ac:dyDescent="0.25">
      <c r="A263" s="30"/>
      <c r="B263" s="30"/>
      <c r="C263" s="30"/>
      <c r="D263" s="30"/>
      <c r="E263" s="30"/>
      <c r="F263" s="30"/>
      <c r="G263" s="30"/>
    </row>
    <row r="264" spans="1:7" x14ac:dyDescent="0.25">
      <c r="A264" s="30"/>
      <c r="B264" s="30"/>
      <c r="C264" s="30"/>
      <c r="D264" s="30"/>
      <c r="E264" s="30"/>
      <c r="F264" s="30"/>
      <c r="G264" s="30"/>
    </row>
    <row r="265" spans="1:7" x14ac:dyDescent="0.25">
      <c r="A265" s="30"/>
      <c r="B265" s="30"/>
      <c r="C265" s="30"/>
      <c r="D265" s="30"/>
      <c r="E265" s="30"/>
      <c r="F265" s="30"/>
      <c r="G265" s="30"/>
    </row>
    <row r="266" spans="1:7" x14ac:dyDescent="0.25">
      <c r="A266" s="30"/>
      <c r="B266" s="30"/>
      <c r="C266" s="30"/>
      <c r="D266" s="30"/>
      <c r="E266" s="30"/>
      <c r="F266" s="30"/>
      <c r="G266" s="30"/>
    </row>
    <row r="267" spans="1:7" x14ac:dyDescent="0.25">
      <c r="A267" s="30"/>
      <c r="B267" s="30"/>
      <c r="C267" s="30"/>
      <c r="D267" s="30"/>
      <c r="E267" s="30"/>
      <c r="F267" s="30"/>
      <c r="G267" s="30"/>
    </row>
    <row r="268" spans="1:7" x14ac:dyDescent="0.25">
      <c r="A268" s="30"/>
      <c r="B268" s="30"/>
      <c r="C268" s="30"/>
      <c r="D268" s="30"/>
      <c r="E268" s="30"/>
      <c r="F268" s="30"/>
      <c r="G268" s="30"/>
    </row>
    <row r="269" spans="1:7" x14ac:dyDescent="0.25">
      <c r="A269" s="30"/>
      <c r="B269" s="30"/>
      <c r="C269" s="30"/>
      <c r="D269" s="30"/>
      <c r="E269" s="30"/>
      <c r="F269" s="30"/>
      <c r="G269" s="30"/>
    </row>
    <row r="270" spans="1:7" x14ac:dyDescent="0.25">
      <c r="A270" s="30"/>
      <c r="B270" s="30"/>
      <c r="C270" s="30"/>
      <c r="D270" s="30"/>
      <c r="E270" s="30"/>
      <c r="F270" s="30"/>
      <c r="G270" s="30"/>
    </row>
    <row r="271" spans="1:7" x14ac:dyDescent="0.25">
      <c r="A271" s="30"/>
      <c r="B271" s="30"/>
      <c r="C271" s="30"/>
      <c r="D271" s="30"/>
      <c r="E271" s="30"/>
      <c r="F271" s="30"/>
      <c r="G271" s="30"/>
    </row>
    <row r="272" spans="1:7" x14ac:dyDescent="0.25">
      <c r="A272" s="30"/>
      <c r="B272" s="30"/>
      <c r="C272" s="30"/>
      <c r="D272" s="30"/>
      <c r="E272" s="30"/>
      <c r="F272" s="30"/>
      <c r="G272" s="30"/>
    </row>
    <row r="273" spans="1:7" x14ac:dyDescent="0.25">
      <c r="A273" s="30"/>
      <c r="B273" s="30"/>
      <c r="C273" s="30"/>
      <c r="D273" s="30"/>
      <c r="E273" s="30"/>
      <c r="F273" s="30"/>
      <c r="G273" s="30"/>
    </row>
    <row r="274" spans="1:7" x14ac:dyDescent="0.25">
      <c r="A274" s="30"/>
      <c r="B274" s="30"/>
      <c r="C274" s="30"/>
      <c r="D274" s="30"/>
      <c r="E274" s="30"/>
      <c r="F274" s="30"/>
      <c r="G274" s="30"/>
    </row>
    <row r="275" spans="1:7" x14ac:dyDescent="0.25">
      <c r="A275" s="30"/>
      <c r="B275" s="30"/>
      <c r="C275" s="30"/>
      <c r="D275" s="30"/>
      <c r="E275" s="30"/>
      <c r="F275" s="30"/>
      <c r="G275" s="30"/>
    </row>
    <row r="276" spans="1:7" x14ac:dyDescent="0.25">
      <c r="A276" s="30"/>
      <c r="B276" s="30"/>
      <c r="C276" s="30"/>
      <c r="D276" s="30"/>
      <c r="E276" s="30"/>
      <c r="F276" s="30"/>
      <c r="G276" s="30"/>
    </row>
    <row r="277" spans="1:7" x14ac:dyDescent="0.25">
      <c r="A277" s="30"/>
      <c r="B277" s="30"/>
      <c r="C277" s="30"/>
      <c r="D277" s="30"/>
      <c r="E277" s="30"/>
      <c r="F277" s="30"/>
      <c r="G277" s="30"/>
    </row>
    <row r="278" spans="1:7" x14ac:dyDescent="0.25">
      <c r="A278" s="30"/>
      <c r="B278" s="30"/>
      <c r="C278" s="30"/>
      <c r="D278" s="30"/>
      <c r="E278" s="30"/>
      <c r="F278" s="30"/>
      <c r="G278" s="30"/>
    </row>
    <row r="279" spans="1:7" x14ac:dyDescent="0.25">
      <c r="A279" s="30"/>
      <c r="B279" s="30"/>
      <c r="C279" s="30"/>
      <c r="D279" s="30"/>
      <c r="E279" s="30"/>
      <c r="F279" s="30"/>
      <c r="G279" s="30"/>
    </row>
    <row r="280" spans="1:7" x14ac:dyDescent="0.25">
      <c r="A280" s="30"/>
      <c r="B280" s="30"/>
      <c r="C280" s="30"/>
      <c r="D280" s="30"/>
      <c r="E280" s="30"/>
      <c r="F280" s="30"/>
      <c r="G280" s="30"/>
    </row>
    <row r="282" spans="1:7" ht="20.25" x14ac:dyDescent="0.3">
      <c r="A282" s="67"/>
    </row>
    <row r="283" spans="1:7" x14ac:dyDescent="0.25">
      <c r="A283" s="31"/>
      <c r="B283" s="31"/>
    </row>
    <row r="284" spans="1:7" x14ac:dyDescent="0.25">
      <c r="A284" s="30"/>
      <c r="B284" s="30"/>
    </row>
    <row r="285" spans="1:7" x14ac:dyDescent="0.25">
      <c r="A285" s="30"/>
      <c r="B285" s="30"/>
    </row>
    <row r="286" spans="1:7" x14ac:dyDescent="0.25">
      <c r="A286" s="30"/>
      <c r="B286" s="30"/>
    </row>
    <row r="287" spans="1:7" x14ac:dyDescent="0.25">
      <c r="A287" s="30"/>
      <c r="B287" s="30"/>
    </row>
    <row r="288" spans="1:7" x14ac:dyDescent="0.25">
      <c r="A288" s="30"/>
      <c r="B288" s="30"/>
    </row>
    <row r="289" spans="1:2" x14ac:dyDescent="0.25">
      <c r="A289" s="30"/>
      <c r="B289" s="30"/>
    </row>
    <row r="290" spans="1:2" x14ac:dyDescent="0.25">
      <c r="A290" s="30"/>
      <c r="B290" s="30"/>
    </row>
    <row r="291" spans="1:2" x14ac:dyDescent="0.25">
      <c r="A291" s="30"/>
      <c r="B291" s="30"/>
    </row>
    <row r="292" spans="1:2" x14ac:dyDescent="0.25">
      <c r="A292" s="30"/>
      <c r="B292" s="30"/>
    </row>
    <row r="293" spans="1:2" x14ac:dyDescent="0.25">
      <c r="A293" s="30"/>
      <c r="B293" s="30"/>
    </row>
    <row r="294" spans="1:2" x14ac:dyDescent="0.25">
      <c r="A294" s="30"/>
      <c r="B294" s="30"/>
    </row>
    <row r="295" spans="1:2" x14ac:dyDescent="0.25">
      <c r="A295" s="30"/>
      <c r="B295" s="30"/>
    </row>
    <row r="296" spans="1:2" x14ac:dyDescent="0.25">
      <c r="A296" s="30"/>
      <c r="B296" s="30"/>
    </row>
    <row r="297" spans="1:2" x14ac:dyDescent="0.25">
      <c r="A297" s="30"/>
      <c r="B297" s="30"/>
    </row>
    <row r="298" spans="1:2" x14ac:dyDescent="0.25">
      <c r="A298" s="30"/>
      <c r="B298" s="30"/>
    </row>
    <row r="299" spans="1:2" x14ac:dyDescent="0.25">
      <c r="A299" s="30"/>
      <c r="B299" s="30"/>
    </row>
    <row r="300" spans="1:2" x14ac:dyDescent="0.25">
      <c r="A300" s="30"/>
      <c r="B300" s="30"/>
    </row>
    <row r="301" spans="1:2" x14ac:dyDescent="0.25">
      <c r="A301" s="30"/>
      <c r="B301" s="30"/>
    </row>
    <row r="302" spans="1:2" x14ac:dyDescent="0.25">
      <c r="A302" s="30"/>
      <c r="B302" s="30"/>
    </row>
    <row r="303" spans="1:2" x14ac:dyDescent="0.25">
      <c r="A303" s="30"/>
      <c r="B303" s="30"/>
    </row>
    <row r="304" spans="1:2" x14ac:dyDescent="0.25">
      <c r="A304" s="30"/>
      <c r="B304" s="30"/>
    </row>
    <row r="305" spans="1:2" x14ac:dyDescent="0.25">
      <c r="A305" s="30"/>
      <c r="B305" s="30"/>
    </row>
    <row r="306" spans="1:2" x14ac:dyDescent="0.25">
      <c r="A306" s="30"/>
      <c r="B306" s="30"/>
    </row>
    <row r="307" spans="1:2" x14ac:dyDescent="0.25">
      <c r="A307" s="30"/>
      <c r="B307" s="30"/>
    </row>
    <row r="308" spans="1:2" x14ac:dyDescent="0.25">
      <c r="A308" s="30"/>
      <c r="B308" s="30"/>
    </row>
    <row r="309" spans="1:2" x14ac:dyDescent="0.25">
      <c r="A309" s="30"/>
      <c r="B309" s="30"/>
    </row>
    <row r="310" spans="1:2" x14ac:dyDescent="0.25">
      <c r="A310" s="30"/>
      <c r="B310" s="30"/>
    </row>
    <row r="311" spans="1:2" x14ac:dyDescent="0.25">
      <c r="A311" s="30"/>
      <c r="B311" s="30"/>
    </row>
    <row r="312" spans="1:2" x14ac:dyDescent="0.25">
      <c r="A312" s="30"/>
      <c r="B312" s="30"/>
    </row>
    <row r="313" spans="1:2" x14ac:dyDescent="0.25">
      <c r="A313" s="30"/>
      <c r="B313" s="30"/>
    </row>
    <row r="314" spans="1:2" x14ac:dyDescent="0.25">
      <c r="A314" s="30"/>
      <c r="B314" s="30"/>
    </row>
    <row r="315" spans="1:2" x14ac:dyDescent="0.25">
      <c r="A315" s="30"/>
      <c r="B315" s="30"/>
    </row>
    <row r="316" spans="1:2" x14ac:dyDescent="0.25">
      <c r="A316" s="30"/>
      <c r="B316" s="30"/>
    </row>
    <row r="317" spans="1:2" x14ac:dyDescent="0.25">
      <c r="A317" s="30"/>
      <c r="B317" s="30"/>
    </row>
    <row r="318" spans="1:2" x14ac:dyDescent="0.25">
      <c r="A318" s="30"/>
      <c r="B318" s="30"/>
    </row>
    <row r="319" spans="1:2" x14ac:dyDescent="0.25">
      <c r="A319" s="30"/>
      <c r="B319" s="30"/>
    </row>
    <row r="320" spans="1:2" x14ac:dyDescent="0.25">
      <c r="A320" s="30"/>
      <c r="B320" s="30"/>
    </row>
    <row r="321" spans="1:2" x14ac:dyDescent="0.25">
      <c r="A321" s="30"/>
      <c r="B321" s="30"/>
    </row>
    <row r="322" spans="1:2" x14ac:dyDescent="0.25">
      <c r="A322" s="30"/>
      <c r="B322" s="30"/>
    </row>
    <row r="323" spans="1:2" x14ac:dyDescent="0.25">
      <c r="A323" s="30"/>
      <c r="B323" s="30"/>
    </row>
    <row r="324" spans="1:2" x14ac:dyDescent="0.25">
      <c r="A324" s="30"/>
      <c r="B324" s="30"/>
    </row>
    <row r="325" spans="1:2" x14ac:dyDescent="0.25">
      <c r="A325" s="30"/>
      <c r="B325" s="30"/>
    </row>
    <row r="326" spans="1:2" x14ac:dyDescent="0.25">
      <c r="A326" s="30"/>
      <c r="B326" s="30"/>
    </row>
    <row r="327" spans="1:2" x14ac:dyDescent="0.25">
      <c r="A327" s="30"/>
      <c r="B327" s="30"/>
    </row>
    <row r="328" spans="1:2" x14ac:dyDescent="0.25">
      <c r="A328" s="30"/>
      <c r="B328" s="30"/>
    </row>
    <row r="329" spans="1:2" x14ac:dyDescent="0.25">
      <c r="A329" s="30"/>
      <c r="B329" s="30"/>
    </row>
    <row r="330" spans="1:2" x14ac:dyDescent="0.25">
      <c r="A330" s="30"/>
      <c r="B330" s="30"/>
    </row>
    <row r="331" spans="1:2" x14ac:dyDescent="0.25">
      <c r="A331" s="30"/>
      <c r="B331" s="30"/>
    </row>
    <row r="332" spans="1:2" x14ac:dyDescent="0.25">
      <c r="A332" s="30"/>
      <c r="B332" s="30"/>
    </row>
    <row r="333" spans="1:2" x14ac:dyDescent="0.25">
      <c r="A333" s="30"/>
      <c r="B333" s="30"/>
    </row>
    <row r="334" spans="1:2" x14ac:dyDescent="0.25">
      <c r="A334" s="30"/>
      <c r="B334" s="30"/>
    </row>
    <row r="335" spans="1:2" x14ac:dyDescent="0.25">
      <c r="A335" s="30"/>
      <c r="B335" s="30"/>
    </row>
    <row r="336" spans="1:2" x14ac:dyDescent="0.25">
      <c r="A336" s="30"/>
      <c r="B336" s="30"/>
    </row>
    <row r="337" spans="1:2" x14ac:dyDescent="0.25">
      <c r="A337" s="30"/>
      <c r="B337" s="30"/>
    </row>
    <row r="338" spans="1:2" x14ac:dyDescent="0.25">
      <c r="A338" s="30"/>
      <c r="B338" s="30"/>
    </row>
    <row r="339" spans="1:2" x14ac:dyDescent="0.25">
      <c r="A339" s="30"/>
      <c r="B339" s="30"/>
    </row>
    <row r="340" spans="1:2" x14ac:dyDescent="0.25">
      <c r="A340" s="30"/>
      <c r="B340" s="30"/>
    </row>
    <row r="341" spans="1:2" x14ac:dyDescent="0.25">
      <c r="A341" s="30"/>
      <c r="B341" s="30"/>
    </row>
    <row r="342" spans="1:2" x14ac:dyDescent="0.25">
      <c r="A342" s="30"/>
      <c r="B342" s="30"/>
    </row>
    <row r="343" spans="1:2" x14ac:dyDescent="0.25">
      <c r="A343" s="30"/>
      <c r="B343" s="30"/>
    </row>
    <row r="344" spans="1:2" x14ac:dyDescent="0.25">
      <c r="A344" s="30"/>
      <c r="B344" s="30"/>
    </row>
    <row r="345" spans="1:2" x14ac:dyDescent="0.25">
      <c r="A345" s="30"/>
      <c r="B345" s="30"/>
    </row>
    <row r="346" spans="1:2" x14ac:dyDescent="0.25">
      <c r="A346" s="30"/>
      <c r="B346" s="30"/>
    </row>
    <row r="347" spans="1:2" x14ac:dyDescent="0.25">
      <c r="A347" s="30"/>
      <c r="B347" s="30"/>
    </row>
    <row r="348" spans="1:2" x14ac:dyDescent="0.25">
      <c r="A348" s="30"/>
      <c r="B348" s="30"/>
    </row>
    <row r="349" spans="1:2" x14ac:dyDescent="0.25">
      <c r="A349" s="30"/>
      <c r="B349" s="30"/>
    </row>
    <row r="350" spans="1:2" x14ac:dyDescent="0.25">
      <c r="A350" s="30"/>
      <c r="B350" s="30"/>
    </row>
    <row r="351" spans="1:2" x14ac:dyDescent="0.25">
      <c r="A351" s="30"/>
      <c r="B351" s="30"/>
    </row>
    <row r="352" spans="1:2" x14ac:dyDescent="0.25">
      <c r="A352" s="30"/>
      <c r="B352" s="30"/>
    </row>
    <row r="353" spans="1:2" x14ac:dyDescent="0.25">
      <c r="A353" s="30"/>
      <c r="B353" s="30"/>
    </row>
    <row r="354" spans="1:2" x14ac:dyDescent="0.25">
      <c r="A354" s="30"/>
      <c r="B354" s="30"/>
    </row>
    <row r="355" spans="1:2" x14ac:dyDescent="0.25">
      <c r="A355" s="30"/>
      <c r="B355" s="30"/>
    </row>
    <row r="356" spans="1:2" x14ac:dyDescent="0.25">
      <c r="A356" s="30"/>
      <c r="B356" s="30"/>
    </row>
    <row r="357" spans="1:2" x14ac:dyDescent="0.25">
      <c r="A357" s="30"/>
      <c r="B357" s="30"/>
    </row>
    <row r="358" spans="1:2" x14ac:dyDescent="0.25">
      <c r="A358" s="30"/>
      <c r="B358" s="30"/>
    </row>
    <row r="361" spans="1:2" x14ac:dyDescent="0.25">
      <c r="A361" s="31"/>
      <c r="B361" s="31"/>
    </row>
    <row r="362" spans="1:2" x14ac:dyDescent="0.25">
      <c r="A362" s="30"/>
      <c r="B362" s="30"/>
    </row>
    <row r="363" spans="1:2" x14ac:dyDescent="0.25">
      <c r="A363" s="30"/>
      <c r="B363" s="30"/>
    </row>
    <row r="364" spans="1:2" x14ac:dyDescent="0.25">
      <c r="A364" s="30"/>
      <c r="B364" s="30"/>
    </row>
    <row r="365" spans="1:2" x14ac:dyDescent="0.25">
      <c r="A365" s="30"/>
      <c r="B365" s="30"/>
    </row>
    <row r="366" spans="1:2" x14ac:dyDescent="0.25">
      <c r="A366" s="30"/>
      <c r="B366" s="30"/>
    </row>
    <row r="367" spans="1:2" x14ac:dyDescent="0.25">
      <c r="A367" s="30"/>
      <c r="B367" s="30"/>
    </row>
    <row r="368" spans="1:2" x14ac:dyDescent="0.25">
      <c r="A368" s="30"/>
      <c r="B368" s="30"/>
    </row>
    <row r="369" spans="1:2" x14ac:dyDescent="0.25">
      <c r="A369" s="30"/>
      <c r="B369" s="30"/>
    </row>
    <row r="370" spans="1:2" x14ac:dyDescent="0.25">
      <c r="A370" s="30"/>
      <c r="B370" s="30"/>
    </row>
    <row r="371" spans="1:2" x14ac:dyDescent="0.25">
      <c r="A371" s="30"/>
      <c r="B371" s="30"/>
    </row>
    <row r="372" spans="1:2" x14ac:dyDescent="0.25">
      <c r="A372" s="30"/>
      <c r="B372" s="30"/>
    </row>
    <row r="373" spans="1:2" x14ac:dyDescent="0.25">
      <c r="A373" s="30"/>
      <c r="B373" s="30"/>
    </row>
    <row r="374" spans="1:2" x14ac:dyDescent="0.25">
      <c r="A374" s="30"/>
      <c r="B374" s="30"/>
    </row>
    <row r="375" spans="1:2" x14ac:dyDescent="0.25">
      <c r="A375" s="30"/>
      <c r="B375" s="30"/>
    </row>
    <row r="376" spans="1:2" x14ac:dyDescent="0.25">
      <c r="A376" s="30"/>
      <c r="B376" s="30"/>
    </row>
    <row r="377" spans="1:2" x14ac:dyDescent="0.25">
      <c r="A377" s="30"/>
      <c r="B377" s="30"/>
    </row>
    <row r="378" spans="1:2" x14ac:dyDescent="0.25">
      <c r="A378" s="30"/>
      <c r="B378" s="30"/>
    </row>
    <row r="379" spans="1:2" x14ac:dyDescent="0.25">
      <c r="A379" s="30"/>
      <c r="B379" s="30"/>
    </row>
    <row r="380" spans="1:2" x14ac:dyDescent="0.25">
      <c r="A380" s="30"/>
      <c r="B380" s="30"/>
    </row>
    <row r="381" spans="1:2" x14ac:dyDescent="0.25">
      <c r="A381" s="30"/>
      <c r="B381" s="30"/>
    </row>
    <row r="382" spans="1:2" x14ac:dyDescent="0.25">
      <c r="A382" s="30"/>
      <c r="B382" s="30"/>
    </row>
    <row r="383" spans="1:2" x14ac:dyDescent="0.25">
      <c r="A383" s="30"/>
      <c r="B383" s="30"/>
    </row>
    <row r="384" spans="1:2" x14ac:dyDescent="0.25">
      <c r="A384" s="30"/>
      <c r="B384" s="30"/>
    </row>
    <row r="385" spans="1:2" x14ac:dyDescent="0.25">
      <c r="A385" s="30"/>
      <c r="B385" s="30"/>
    </row>
    <row r="386" spans="1:2" x14ac:dyDescent="0.25">
      <c r="A386" s="30"/>
      <c r="B386" s="30"/>
    </row>
    <row r="387" spans="1:2" x14ac:dyDescent="0.25">
      <c r="A387" s="30"/>
      <c r="B387" s="30"/>
    </row>
    <row r="388" spans="1:2" x14ac:dyDescent="0.25">
      <c r="A388" s="30"/>
      <c r="B388" s="30"/>
    </row>
    <row r="389" spans="1:2" x14ac:dyDescent="0.25">
      <c r="A389" s="30"/>
      <c r="B389" s="30"/>
    </row>
    <row r="390" spans="1:2" x14ac:dyDescent="0.25">
      <c r="A390" s="30"/>
      <c r="B390" s="30"/>
    </row>
    <row r="391" spans="1:2" x14ac:dyDescent="0.25">
      <c r="A391" s="30"/>
      <c r="B391" s="30"/>
    </row>
    <row r="392" spans="1:2" x14ac:dyDescent="0.25">
      <c r="A392" s="30"/>
      <c r="B392" s="30"/>
    </row>
    <row r="393" spans="1:2" x14ac:dyDescent="0.25">
      <c r="A393" s="30"/>
      <c r="B393" s="30"/>
    </row>
    <row r="394" spans="1:2" x14ac:dyDescent="0.25">
      <c r="A394" s="30"/>
      <c r="B394" s="30"/>
    </row>
    <row r="395" spans="1:2" x14ac:dyDescent="0.25">
      <c r="A395" s="30"/>
      <c r="B395" s="30"/>
    </row>
    <row r="396" spans="1:2" x14ac:dyDescent="0.25">
      <c r="A396" s="30"/>
      <c r="B396" s="30"/>
    </row>
    <row r="397" spans="1:2" x14ac:dyDescent="0.25">
      <c r="A397" s="30"/>
      <c r="B397" s="30"/>
    </row>
    <row r="398" spans="1:2" x14ac:dyDescent="0.25">
      <c r="A398" s="30"/>
      <c r="B398" s="30"/>
    </row>
    <row r="399" spans="1:2" x14ac:dyDescent="0.25">
      <c r="A399" s="30"/>
      <c r="B399" s="30"/>
    </row>
    <row r="400" spans="1:2" x14ac:dyDescent="0.25">
      <c r="A400" s="30"/>
      <c r="B400" s="30"/>
    </row>
    <row r="401" spans="1:2" x14ac:dyDescent="0.25">
      <c r="A401" s="30"/>
      <c r="B401" s="30"/>
    </row>
    <row r="402" spans="1:2" x14ac:dyDescent="0.25">
      <c r="A402" s="30"/>
      <c r="B402" s="30"/>
    </row>
    <row r="403" spans="1:2" x14ac:dyDescent="0.25">
      <c r="A403" s="30"/>
      <c r="B403" s="30"/>
    </row>
    <row r="404" spans="1:2" x14ac:dyDescent="0.25">
      <c r="A404" s="30"/>
      <c r="B404" s="30"/>
    </row>
    <row r="405" spans="1:2" x14ac:dyDescent="0.25">
      <c r="A405" s="30"/>
      <c r="B405" s="30"/>
    </row>
    <row r="406" spans="1:2" x14ac:dyDescent="0.25">
      <c r="A406" s="30"/>
      <c r="B406" s="30"/>
    </row>
    <row r="407" spans="1:2" x14ac:dyDescent="0.25">
      <c r="A407" s="30"/>
      <c r="B407" s="30"/>
    </row>
    <row r="408" spans="1:2" x14ac:dyDescent="0.25">
      <c r="A408" s="30"/>
      <c r="B408" s="30"/>
    </row>
    <row r="409" spans="1:2" x14ac:dyDescent="0.25">
      <c r="A409" s="30"/>
      <c r="B409" s="30"/>
    </row>
    <row r="410" spans="1:2" x14ac:dyDescent="0.25">
      <c r="A410" s="30"/>
      <c r="B410" s="30"/>
    </row>
    <row r="411" spans="1:2" x14ac:dyDescent="0.25">
      <c r="A411" s="30"/>
      <c r="B411" s="30"/>
    </row>
    <row r="412" spans="1:2" x14ac:dyDescent="0.25">
      <c r="A412" s="30"/>
      <c r="B412" s="30"/>
    </row>
    <row r="413" spans="1:2" x14ac:dyDescent="0.25">
      <c r="A413" s="30"/>
      <c r="B413" s="30"/>
    </row>
    <row r="414" spans="1:2" x14ac:dyDescent="0.25">
      <c r="A414" s="30"/>
      <c r="B414" s="30"/>
    </row>
    <row r="415" spans="1:2" x14ac:dyDescent="0.25">
      <c r="A415" s="30"/>
      <c r="B415" s="30"/>
    </row>
    <row r="416" spans="1:2" x14ac:dyDescent="0.25">
      <c r="A416" s="30"/>
      <c r="B416" s="30"/>
    </row>
    <row r="417" spans="1:2" x14ac:dyDescent="0.25">
      <c r="A417" s="30"/>
      <c r="B417" s="30"/>
    </row>
    <row r="418" spans="1:2" x14ac:dyDescent="0.25">
      <c r="A418" s="30"/>
      <c r="B418" s="30"/>
    </row>
    <row r="419" spans="1:2" x14ac:dyDescent="0.25">
      <c r="A419" s="30"/>
      <c r="B419" s="30"/>
    </row>
    <row r="420" spans="1:2" x14ac:dyDescent="0.25">
      <c r="A420" s="30"/>
      <c r="B420" s="30"/>
    </row>
    <row r="421" spans="1:2" x14ac:dyDescent="0.25">
      <c r="A421" s="30"/>
      <c r="B421" s="30"/>
    </row>
    <row r="422" spans="1:2" x14ac:dyDescent="0.25">
      <c r="A422" s="30"/>
      <c r="B422" s="30"/>
    </row>
    <row r="423" spans="1:2" x14ac:dyDescent="0.25">
      <c r="A423" s="30"/>
      <c r="B423" s="30"/>
    </row>
    <row r="424" spans="1:2" x14ac:dyDescent="0.25">
      <c r="A424" s="30"/>
      <c r="B424" s="30"/>
    </row>
    <row r="425" spans="1:2" x14ac:dyDescent="0.25">
      <c r="A425" s="30"/>
      <c r="B425" s="30"/>
    </row>
    <row r="426" spans="1:2" x14ac:dyDescent="0.25">
      <c r="A426" s="30"/>
      <c r="B426" s="30"/>
    </row>
    <row r="427" spans="1:2" x14ac:dyDescent="0.25">
      <c r="A427" s="30"/>
      <c r="B427" s="30"/>
    </row>
    <row r="428" spans="1:2" x14ac:dyDescent="0.25">
      <c r="A428" s="30"/>
      <c r="B428" s="30"/>
    </row>
    <row r="429" spans="1:2" x14ac:dyDescent="0.25">
      <c r="A429" s="30"/>
      <c r="B429" s="30"/>
    </row>
    <row r="430" spans="1:2" x14ac:dyDescent="0.25">
      <c r="A430" s="30"/>
      <c r="B430" s="30"/>
    </row>
    <row r="431" spans="1:2" x14ac:dyDescent="0.25">
      <c r="A431" s="30"/>
      <c r="B431" s="30"/>
    </row>
    <row r="432" spans="1:2" x14ac:dyDescent="0.25">
      <c r="A432" s="30"/>
      <c r="B432" s="30"/>
    </row>
    <row r="433" spans="1:2" x14ac:dyDescent="0.25">
      <c r="A433" s="30"/>
      <c r="B433" s="30"/>
    </row>
    <row r="434" spans="1:2" x14ac:dyDescent="0.25">
      <c r="A434" s="30"/>
      <c r="B434" s="30"/>
    </row>
    <row r="435" spans="1:2" x14ac:dyDescent="0.25">
      <c r="A435" s="30"/>
      <c r="B435" s="30"/>
    </row>
    <row r="436" spans="1:2" x14ac:dyDescent="0.25">
      <c r="A436" s="30"/>
      <c r="B436" s="30"/>
    </row>
    <row r="437" spans="1:2" x14ac:dyDescent="0.25">
      <c r="A437" s="30"/>
      <c r="B437" s="30"/>
    </row>
    <row r="438" spans="1:2" x14ac:dyDescent="0.25">
      <c r="A438" s="30"/>
      <c r="B438" s="30"/>
    </row>
    <row r="439" spans="1:2" x14ac:dyDescent="0.25">
      <c r="A439" s="30"/>
      <c r="B439" s="30"/>
    </row>
    <row r="440" spans="1:2" x14ac:dyDescent="0.25">
      <c r="A440" s="30"/>
      <c r="B440" s="30"/>
    </row>
    <row r="441" spans="1:2" x14ac:dyDescent="0.25">
      <c r="A441" s="30"/>
      <c r="B441" s="30"/>
    </row>
    <row r="442" spans="1:2" x14ac:dyDescent="0.25">
      <c r="A442" s="30"/>
      <c r="B442" s="30"/>
    </row>
    <row r="443" spans="1:2" x14ac:dyDescent="0.25">
      <c r="A443" s="30"/>
      <c r="B443" s="30"/>
    </row>
    <row r="444" spans="1:2" x14ac:dyDescent="0.25">
      <c r="A444" s="30"/>
      <c r="B444" s="30"/>
    </row>
    <row r="445" spans="1:2" x14ac:dyDescent="0.25">
      <c r="A445" s="30"/>
      <c r="B445" s="30"/>
    </row>
    <row r="446" spans="1:2" x14ac:dyDescent="0.25">
      <c r="A446" s="30"/>
      <c r="B446" s="30"/>
    </row>
    <row r="447" spans="1:2" x14ac:dyDescent="0.25">
      <c r="A447" s="30"/>
      <c r="B447" s="30"/>
    </row>
    <row r="450" spans="1:2" ht="23.25" x14ac:dyDescent="0.35">
      <c r="A450" s="66"/>
    </row>
    <row r="451" spans="1:2" ht="20.25" x14ac:dyDescent="0.3">
      <c r="A451" s="67"/>
    </row>
    <row r="452" spans="1:2" x14ac:dyDescent="0.25">
      <c r="A452" s="31"/>
      <c r="B452" s="31"/>
    </row>
    <row r="453" spans="1:2" x14ac:dyDescent="0.25">
      <c r="A453" s="30"/>
      <c r="B453" s="30"/>
    </row>
    <row r="454" spans="1:2" x14ac:dyDescent="0.25">
      <c r="A454" s="30"/>
      <c r="B454" s="30"/>
    </row>
    <row r="455" spans="1:2" x14ac:dyDescent="0.25">
      <c r="A455" s="30"/>
      <c r="B455" s="30"/>
    </row>
    <row r="456" spans="1:2" x14ac:dyDescent="0.25">
      <c r="A456" s="30"/>
      <c r="B456" s="30"/>
    </row>
    <row r="457" spans="1:2" x14ac:dyDescent="0.25">
      <c r="A457" s="30"/>
      <c r="B457" s="30"/>
    </row>
    <row r="458" spans="1:2" x14ac:dyDescent="0.25">
      <c r="A458" s="30"/>
      <c r="B458" s="30"/>
    </row>
    <row r="460" spans="1:2" ht="20.25" x14ac:dyDescent="0.3">
      <c r="A460" s="67"/>
    </row>
    <row r="461" spans="1:2" x14ac:dyDescent="0.25">
      <c r="A461" s="31"/>
      <c r="B461" s="31"/>
    </row>
    <row r="462" spans="1:2" x14ac:dyDescent="0.25">
      <c r="A462" s="30"/>
      <c r="B462" s="30"/>
    </row>
    <row r="463" spans="1:2" x14ac:dyDescent="0.25">
      <c r="A463" s="30"/>
      <c r="B463" s="30"/>
    </row>
    <row r="464" spans="1:2" x14ac:dyDescent="0.25">
      <c r="A464" s="30"/>
      <c r="B464" s="30"/>
    </row>
    <row r="465" spans="1:2" x14ac:dyDescent="0.25">
      <c r="A465" s="30"/>
      <c r="B465" s="30"/>
    </row>
    <row r="466" spans="1:2" x14ac:dyDescent="0.25">
      <c r="A466" s="30"/>
      <c r="B466" s="30"/>
    </row>
    <row r="467" spans="1:2" x14ac:dyDescent="0.25">
      <c r="A467" s="30"/>
      <c r="B467" s="30"/>
    </row>
    <row r="468" spans="1:2" x14ac:dyDescent="0.25">
      <c r="A468" s="30"/>
      <c r="B468" s="30"/>
    </row>
    <row r="469" spans="1:2" x14ac:dyDescent="0.25">
      <c r="A469" s="30"/>
      <c r="B469" s="30"/>
    </row>
    <row r="470" spans="1:2" x14ac:dyDescent="0.25">
      <c r="A470" s="30"/>
      <c r="B470" s="30"/>
    </row>
    <row r="471" spans="1:2" x14ac:dyDescent="0.25">
      <c r="A471" s="30"/>
      <c r="B471" s="30"/>
    </row>
    <row r="472" spans="1:2" x14ac:dyDescent="0.25">
      <c r="A472" s="30"/>
      <c r="B472" s="30"/>
    </row>
    <row r="473" spans="1:2" x14ac:dyDescent="0.25">
      <c r="A473" s="30"/>
      <c r="B473" s="30"/>
    </row>
    <row r="474" spans="1:2" x14ac:dyDescent="0.25">
      <c r="A474" s="30"/>
      <c r="B474" s="30"/>
    </row>
    <row r="475" spans="1:2" x14ac:dyDescent="0.25">
      <c r="A475" s="30"/>
      <c r="B475" s="30"/>
    </row>
    <row r="476" spans="1:2" x14ac:dyDescent="0.25">
      <c r="A476" s="30"/>
      <c r="B476" s="30"/>
    </row>
    <row r="477" spans="1:2" x14ac:dyDescent="0.25">
      <c r="A477" s="30"/>
      <c r="B477" s="30"/>
    </row>
    <row r="478" spans="1:2" x14ac:dyDescent="0.25">
      <c r="A478" s="30"/>
      <c r="B478" s="30"/>
    </row>
    <row r="479" spans="1:2" x14ac:dyDescent="0.25">
      <c r="A479" s="30"/>
      <c r="B479" s="30"/>
    </row>
    <row r="480" spans="1:2" x14ac:dyDescent="0.25">
      <c r="A480" s="30"/>
      <c r="B480" s="30"/>
    </row>
    <row r="481" spans="1:4" x14ac:dyDescent="0.25">
      <c r="A481" s="30"/>
      <c r="B481" s="30"/>
    </row>
    <row r="484" spans="1:4" ht="23.25" x14ac:dyDescent="0.35">
      <c r="A484" s="66"/>
    </row>
    <row r="485" spans="1:4" ht="20.25" x14ac:dyDescent="0.3">
      <c r="A485" s="67"/>
    </row>
    <row r="486" spans="1:4" x14ac:dyDescent="0.25">
      <c r="A486" s="31"/>
      <c r="B486" s="31"/>
      <c r="C486" s="31"/>
      <c r="D486" s="31"/>
    </row>
    <row r="487" spans="1:4" x14ac:dyDescent="0.25">
      <c r="A487" s="30"/>
      <c r="B487" s="30"/>
      <c r="C487" s="30"/>
      <c r="D487" s="30"/>
    </row>
    <row r="488" spans="1:4" x14ac:dyDescent="0.25">
      <c r="A488" s="30"/>
      <c r="B488" s="30"/>
      <c r="C488" s="30"/>
      <c r="D488" s="30"/>
    </row>
    <row r="489" spans="1:4" x14ac:dyDescent="0.25">
      <c r="A489" s="30"/>
      <c r="B489" s="30"/>
      <c r="C489" s="30"/>
      <c r="D489" s="30"/>
    </row>
    <row r="490" spans="1:4" x14ac:dyDescent="0.25">
      <c r="A490" s="30"/>
      <c r="B490" s="30"/>
      <c r="C490" s="30"/>
      <c r="D490" s="30"/>
    </row>
    <row r="491" spans="1:4" x14ac:dyDescent="0.25">
      <c r="A491" s="30"/>
      <c r="B491" s="30"/>
      <c r="C491" s="30"/>
      <c r="D491" s="30"/>
    </row>
    <row r="492" spans="1:4" x14ac:dyDescent="0.25">
      <c r="A492" s="30"/>
      <c r="B492" s="30"/>
      <c r="C492" s="30"/>
      <c r="D492" s="30"/>
    </row>
    <row r="493" spans="1:4" x14ac:dyDescent="0.25">
      <c r="A493" s="30"/>
      <c r="B493" s="30"/>
      <c r="C493" s="30"/>
      <c r="D493" s="30"/>
    </row>
    <row r="494" spans="1:4" x14ac:dyDescent="0.25">
      <c r="A494" s="30"/>
      <c r="B494" s="30"/>
      <c r="C494" s="30"/>
      <c r="D494" s="30"/>
    </row>
    <row r="495" spans="1:4" x14ac:dyDescent="0.25">
      <c r="A495" s="30"/>
      <c r="B495" s="30"/>
      <c r="C495" s="30"/>
      <c r="D495" s="30"/>
    </row>
    <row r="496" spans="1:4" x14ac:dyDescent="0.25">
      <c r="A496" s="30"/>
      <c r="B496" s="30"/>
      <c r="C496" s="30"/>
      <c r="D496" s="30"/>
    </row>
    <row r="497" spans="1:4" x14ac:dyDescent="0.25">
      <c r="A497" s="30"/>
      <c r="B497" s="30"/>
      <c r="C497" s="30"/>
      <c r="D497" s="30"/>
    </row>
    <row r="498" spans="1:4" x14ac:dyDescent="0.25">
      <c r="A498" s="30"/>
      <c r="B498" s="30"/>
      <c r="C498" s="30"/>
      <c r="D498" s="30"/>
    </row>
    <row r="499" spans="1:4" x14ac:dyDescent="0.25">
      <c r="A499" s="30"/>
      <c r="B499" s="30"/>
      <c r="C499" s="30"/>
      <c r="D499" s="30"/>
    </row>
    <row r="500" spans="1:4" x14ac:dyDescent="0.25">
      <c r="A500" s="30"/>
      <c r="B500" s="30"/>
      <c r="C500" s="30"/>
      <c r="D500" s="30"/>
    </row>
    <row r="501" spans="1:4" x14ac:dyDescent="0.25">
      <c r="A501" s="30"/>
      <c r="B501" s="30"/>
      <c r="C501" s="30"/>
      <c r="D501" s="30"/>
    </row>
    <row r="502" spans="1:4" x14ac:dyDescent="0.25">
      <c r="A502" s="30"/>
      <c r="B502" s="30"/>
      <c r="C502" s="30"/>
      <c r="D502" s="30"/>
    </row>
    <row r="503" spans="1:4" x14ac:dyDescent="0.25">
      <c r="A503" s="30"/>
      <c r="B503" s="30"/>
      <c r="C503" s="30"/>
      <c r="D503" s="30"/>
    </row>
    <row r="504" spans="1:4" x14ac:dyDescent="0.25">
      <c r="A504" s="30"/>
      <c r="B504" s="30"/>
      <c r="C504" s="30"/>
      <c r="D504" s="30"/>
    </row>
    <row r="505" spans="1:4" x14ac:dyDescent="0.25">
      <c r="A505" s="30"/>
      <c r="B505" s="30"/>
      <c r="C505" s="30"/>
      <c r="D505" s="30"/>
    </row>
    <row r="506" spans="1:4" x14ac:dyDescent="0.25">
      <c r="A506" s="30"/>
      <c r="B506" s="30"/>
      <c r="C506" s="30"/>
      <c r="D506" s="30"/>
    </row>
    <row r="507" spans="1:4" x14ac:dyDescent="0.25">
      <c r="A507" s="30"/>
      <c r="B507" s="30"/>
      <c r="C507" s="30"/>
      <c r="D507" s="30"/>
    </row>
    <row r="508" spans="1:4" x14ac:dyDescent="0.25">
      <c r="A508" s="30"/>
      <c r="B508" s="30"/>
      <c r="C508" s="30"/>
      <c r="D508" s="30"/>
    </row>
    <row r="509" spans="1:4" x14ac:dyDescent="0.25">
      <c r="A509" s="30"/>
      <c r="B509" s="30"/>
      <c r="C509" s="30"/>
      <c r="D509" s="30"/>
    </row>
    <row r="510" spans="1:4" x14ac:dyDescent="0.25">
      <c r="A510" s="30"/>
      <c r="B510" s="30"/>
      <c r="C510" s="30"/>
      <c r="D510" s="30"/>
    </row>
    <row r="511" spans="1:4" x14ac:dyDescent="0.25">
      <c r="A511" s="30"/>
      <c r="B511" s="30"/>
      <c r="C511" s="30"/>
      <c r="D511" s="30"/>
    </row>
    <row r="512" spans="1:4" x14ac:dyDescent="0.25">
      <c r="A512" s="30"/>
      <c r="B512" s="30"/>
      <c r="C512" s="30"/>
      <c r="D512" s="30"/>
    </row>
    <row r="513" spans="1:4" x14ac:dyDescent="0.25">
      <c r="A513" s="30"/>
      <c r="B513" s="30"/>
      <c r="C513" s="30"/>
      <c r="D513" s="30"/>
    </row>
    <row r="514" spans="1:4" x14ac:dyDescent="0.25">
      <c r="A514" s="30"/>
      <c r="B514" s="30"/>
      <c r="C514" s="30"/>
      <c r="D514" s="30"/>
    </row>
    <row r="515" spans="1:4" x14ac:dyDescent="0.25">
      <c r="A515" s="30"/>
      <c r="B515" s="30"/>
      <c r="C515" s="30"/>
      <c r="D515" s="30"/>
    </row>
    <row r="516" spans="1:4" x14ac:dyDescent="0.25">
      <c r="A516" s="30"/>
      <c r="B516" s="30"/>
      <c r="C516" s="30"/>
      <c r="D516" s="30"/>
    </row>
    <row r="517" spans="1:4" x14ac:dyDescent="0.25">
      <c r="A517" s="30"/>
      <c r="B517" s="30"/>
      <c r="C517" s="30"/>
      <c r="D517" s="30"/>
    </row>
    <row r="518" spans="1:4" x14ac:dyDescent="0.25">
      <c r="A518" s="30"/>
      <c r="B518" s="30"/>
      <c r="C518" s="30"/>
      <c r="D518" s="30"/>
    </row>
    <row r="519" spans="1:4" x14ac:dyDescent="0.25">
      <c r="A519" s="30"/>
      <c r="B519" s="30"/>
      <c r="C519" s="30"/>
      <c r="D519" s="30"/>
    </row>
    <row r="520" spans="1:4" x14ac:dyDescent="0.25">
      <c r="A520" s="30"/>
      <c r="B520" s="30"/>
      <c r="C520" s="30"/>
      <c r="D520" s="30"/>
    </row>
    <row r="521" spans="1:4" x14ac:dyDescent="0.25">
      <c r="A521" s="30"/>
      <c r="B521" s="30"/>
      <c r="C521" s="30"/>
      <c r="D521" s="30"/>
    </row>
    <row r="522" spans="1:4" x14ac:dyDescent="0.25">
      <c r="A522" s="30"/>
      <c r="B522" s="30"/>
      <c r="C522" s="30"/>
      <c r="D522" s="30"/>
    </row>
    <row r="523" spans="1:4" x14ac:dyDescent="0.25">
      <c r="A523" s="30"/>
      <c r="B523" s="30"/>
      <c r="C523" s="30"/>
      <c r="D523" s="30"/>
    </row>
    <row r="524" spans="1:4" x14ac:dyDescent="0.25">
      <c r="A524" s="30"/>
      <c r="B524" s="30"/>
      <c r="C524" s="30"/>
      <c r="D524" s="30"/>
    </row>
    <row r="525" spans="1:4" x14ac:dyDescent="0.25">
      <c r="A525" s="30"/>
      <c r="B525" s="30"/>
      <c r="C525" s="30"/>
      <c r="D525" s="30"/>
    </row>
    <row r="526" spans="1:4" x14ac:dyDescent="0.25">
      <c r="A526" s="30"/>
      <c r="B526" s="30"/>
      <c r="C526" s="30"/>
      <c r="D526" s="30"/>
    </row>
    <row r="527" spans="1:4" x14ac:dyDescent="0.25">
      <c r="A527" s="30"/>
      <c r="B527" s="30"/>
      <c r="C527" s="30"/>
      <c r="D527" s="30"/>
    </row>
    <row r="528" spans="1:4" x14ac:dyDescent="0.25">
      <c r="A528" s="30"/>
      <c r="B528" s="30"/>
      <c r="C528" s="30"/>
      <c r="D528" s="30"/>
    </row>
    <row r="529" spans="1:4" x14ac:dyDescent="0.25">
      <c r="A529" s="30"/>
      <c r="B529" s="30"/>
      <c r="C529" s="30"/>
      <c r="D529" s="30"/>
    </row>
    <row r="530" spans="1:4" x14ac:dyDescent="0.25">
      <c r="A530" s="30"/>
      <c r="B530" s="30"/>
      <c r="C530" s="30"/>
      <c r="D530" s="30"/>
    </row>
    <row r="531" spans="1:4" x14ac:dyDescent="0.25">
      <c r="A531" s="30"/>
      <c r="B531" s="30"/>
      <c r="C531" s="30"/>
      <c r="D531" s="30"/>
    </row>
    <row r="532" spans="1:4" x14ac:dyDescent="0.25">
      <c r="A532" s="30"/>
      <c r="B532" s="30"/>
      <c r="C532" s="30"/>
      <c r="D532" s="30"/>
    </row>
    <row r="533" spans="1:4" x14ac:dyDescent="0.25">
      <c r="A533" s="30"/>
      <c r="B533" s="30"/>
      <c r="C533" s="30"/>
      <c r="D533" s="30"/>
    </row>
    <row r="534" spans="1:4" x14ac:dyDescent="0.25">
      <c r="A534" s="30"/>
      <c r="B534" s="30"/>
      <c r="C534" s="30"/>
      <c r="D534" s="30"/>
    </row>
    <row r="535" spans="1:4" x14ac:dyDescent="0.25">
      <c r="A535" s="30"/>
      <c r="B535" s="30"/>
      <c r="C535" s="30"/>
      <c r="D535" s="30"/>
    </row>
    <row r="536" spans="1:4" x14ac:dyDescent="0.25">
      <c r="A536" s="30"/>
      <c r="B536" s="30"/>
      <c r="C536" s="30"/>
      <c r="D536" s="30"/>
    </row>
    <row r="537" spans="1:4" x14ac:dyDescent="0.25">
      <c r="A537" s="30"/>
      <c r="B537" s="30"/>
      <c r="C537" s="30"/>
      <c r="D537" s="30"/>
    </row>
    <row r="538" spans="1:4" x14ac:dyDescent="0.25">
      <c r="A538" s="30"/>
      <c r="B538" s="30"/>
      <c r="C538" s="30"/>
      <c r="D538" s="30"/>
    </row>
    <row r="539" spans="1:4" x14ac:dyDescent="0.25">
      <c r="A539" s="30"/>
      <c r="B539" s="30"/>
      <c r="C539" s="30"/>
      <c r="D539" s="30"/>
    </row>
    <row r="540" spans="1:4" x14ac:dyDescent="0.25">
      <c r="A540" s="30"/>
      <c r="B540" s="30"/>
      <c r="C540" s="30"/>
      <c r="D540" s="30"/>
    </row>
    <row r="541" spans="1:4" x14ac:dyDescent="0.25">
      <c r="A541" s="30"/>
      <c r="B541" s="30"/>
      <c r="C541" s="30"/>
      <c r="D541" s="30"/>
    </row>
    <row r="542" spans="1:4" x14ac:dyDescent="0.25">
      <c r="A542" s="30"/>
      <c r="B542" s="30"/>
      <c r="C542" s="30"/>
      <c r="D542" s="30"/>
    </row>
    <row r="543" spans="1:4" x14ac:dyDescent="0.25">
      <c r="A543" s="30"/>
      <c r="B543" s="30"/>
      <c r="C543" s="30"/>
      <c r="D543" s="30"/>
    </row>
    <row r="544" spans="1:4" x14ac:dyDescent="0.25">
      <c r="A544" s="30"/>
      <c r="B544" s="30"/>
      <c r="C544" s="30"/>
      <c r="D544" s="30"/>
    </row>
    <row r="545" spans="1:4" x14ac:dyDescent="0.25">
      <c r="A545" s="30"/>
      <c r="B545" s="30"/>
      <c r="C545" s="30"/>
      <c r="D545" s="30"/>
    </row>
    <row r="546" spans="1:4" x14ac:dyDescent="0.25">
      <c r="A546" s="30"/>
      <c r="B546" s="30"/>
      <c r="C546" s="30"/>
      <c r="D546" s="30"/>
    </row>
    <row r="547" spans="1:4" x14ac:dyDescent="0.25">
      <c r="A547" s="30"/>
      <c r="B547" s="30"/>
      <c r="C547" s="30"/>
      <c r="D547" s="30"/>
    </row>
    <row r="548" spans="1:4" x14ac:dyDescent="0.25">
      <c r="A548" s="30"/>
      <c r="B548" s="30"/>
      <c r="C548" s="30"/>
      <c r="D548" s="30"/>
    </row>
    <row r="549" spans="1:4" x14ac:dyDescent="0.25">
      <c r="A549" s="30"/>
      <c r="B549" s="30"/>
      <c r="C549" s="30"/>
      <c r="D549" s="30"/>
    </row>
    <row r="550" spans="1:4" x14ac:dyDescent="0.25">
      <c r="A550" s="30"/>
      <c r="B550" s="30"/>
      <c r="C550" s="30"/>
      <c r="D550" s="30"/>
    </row>
    <row r="551" spans="1:4" x14ac:dyDescent="0.25">
      <c r="A551" s="30"/>
      <c r="B551" s="30"/>
      <c r="C551" s="30"/>
      <c r="D551" s="30"/>
    </row>
    <row r="552" spans="1:4" x14ac:dyDescent="0.25">
      <c r="A552" s="30"/>
      <c r="B552" s="30"/>
      <c r="C552" s="30"/>
      <c r="D552" s="30"/>
    </row>
    <row r="553" spans="1:4" x14ac:dyDescent="0.25">
      <c r="A553" s="30"/>
      <c r="B553" s="30"/>
      <c r="C553" s="30"/>
      <c r="D553" s="30"/>
    </row>
    <row r="554" spans="1:4" x14ac:dyDescent="0.25">
      <c r="A554" s="30"/>
      <c r="B554" s="30"/>
      <c r="C554" s="30"/>
      <c r="D554" s="30"/>
    </row>
    <row r="555" spans="1:4" x14ac:dyDescent="0.25">
      <c r="A555" s="30"/>
      <c r="B555" s="30"/>
      <c r="C555" s="30"/>
      <c r="D555" s="30"/>
    </row>
    <row r="556" spans="1:4" x14ac:dyDescent="0.25">
      <c r="A556" s="30"/>
      <c r="B556" s="30"/>
      <c r="C556" s="30"/>
      <c r="D556" s="30"/>
    </row>
    <row r="557" spans="1:4" x14ac:dyDescent="0.25">
      <c r="A557" s="30"/>
      <c r="B557" s="30"/>
      <c r="C557" s="30"/>
      <c r="D557" s="30"/>
    </row>
    <row r="558" spans="1:4" x14ac:dyDescent="0.25">
      <c r="A558" s="30"/>
      <c r="B558" s="30"/>
      <c r="C558" s="30"/>
      <c r="D558" s="30"/>
    </row>
    <row r="559" spans="1:4" x14ac:dyDescent="0.25">
      <c r="A559" s="30"/>
      <c r="B559" s="30"/>
      <c r="C559" s="30"/>
      <c r="D559" s="30"/>
    </row>
    <row r="560" spans="1:4" x14ac:dyDescent="0.25">
      <c r="A560" s="30"/>
      <c r="B560" s="30"/>
      <c r="C560" s="30"/>
      <c r="D560" s="30"/>
    </row>
    <row r="561" spans="1:4" x14ac:dyDescent="0.25">
      <c r="A561" s="30"/>
      <c r="B561" s="30"/>
      <c r="C561" s="30"/>
      <c r="D561" s="30"/>
    </row>
    <row r="562" spans="1:4" x14ac:dyDescent="0.25">
      <c r="A562" s="30"/>
      <c r="B562" s="30"/>
      <c r="C562" s="30"/>
      <c r="D562" s="30"/>
    </row>
    <row r="563" spans="1:4" x14ac:dyDescent="0.25">
      <c r="A563" s="30"/>
      <c r="B563" s="30"/>
      <c r="C563" s="30"/>
      <c r="D563" s="30"/>
    </row>
    <row r="564" spans="1:4" x14ac:dyDescent="0.25">
      <c r="A564" s="30"/>
      <c r="B564" s="30"/>
      <c r="C564" s="30"/>
      <c r="D564" s="30"/>
    </row>
    <row r="565" spans="1:4" x14ac:dyDescent="0.25">
      <c r="A565" s="30"/>
      <c r="B565" s="30"/>
      <c r="C565" s="30"/>
      <c r="D565" s="30"/>
    </row>
    <row r="566" spans="1:4" x14ac:dyDescent="0.25">
      <c r="A566" s="30"/>
      <c r="B566" s="30"/>
      <c r="C566" s="30"/>
      <c r="D566" s="30"/>
    </row>
    <row r="567" spans="1:4" x14ac:dyDescent="0.25">
      <c r="A567" s="30"/>
      <c r="B567" s="30"/>
      <c r="C567" s="30"/>
      <c r="D567" s="30"/>
    </row>
    <row r="568" spans="1:4" x14ac:dyDescent="0.25">
      <c r="A568" s="30"/>
      <c r="B568" s="30"/>
      <c r="C568" s="30"/>
      <c r="D568" s="30"/>
    </row>
    <row r="569" spans="1:4" x14ac:dyDescent="0.25">
      <c r="A569" s="30"/>
      <c r="B569" s="30"/>
      <c r="C569" s="30"/>
      <c r="D569" s="30"/>
    </row>
    <row r="570" spans="1:4" x14ac:dyDescent="0.25">
      <c r="A570" s="30"/>
      <c r="B570" s="30"/>
      <c r="C570" s="30"/>
      <c r="D570" s="30"/>
    </row>
    <row r="571" spans="1:4" x14ac:dyDescent="0.25">
      <c r="A571" s="30"/>
      <c r="B571" s="30"/>
      <c r="C571" s="30"/>
      <c r="D571" s="30"/>
    </row>
    <row r="572" spans="1:4" x14ac:dyDescent="0.25">
      <c r="A572" s="30"/>
      <c r="B572" s="30"/>
      <c r="C572" s="30"/>
      <c r="D572" s="30"/>
    </row>
    <row r="573" spans="1:4" x14ac:dyDescent="0.25">
      <c r="A573" s="30"/>
      <c r="B573" s="30"/>
      <c r="C573" s="30"/>
      <c r="D573" s="30"/>
    </row>
    <row r="574" spans="1:4" x14ac:dyDescent="0.25">
      <c r="A574" s="30"/>
      <c r="B574" s="30"/>
      <c r="C574" s="30"/>
      <c r="D574" s="30"/>
    </row>
    <row r="575" spans="1:4" x14ac:dyDescent="0.25">
      <c r="A575" s="30"/>
      <c r="B575" s="30"/>
      <c r="C575" s="30"/>
      <c r="D575" s="30"/>
    </row>
    <row r="576" spans="1:4" x14ac:dyDescent="0.25">
      <c r="A576" s="30"/>
      <c r="B576" s="30"/>
      <c r="C576" s="30"/>
      <c r="D576" s="30"/>
    </row>
    <row r="577" spans="1:4" x14ac:dyDescent="0.25">
      <c r="A577" s="30"/>
      <c r="B577" s="30"/>
      <c r="C577" s="30"/>
      <c r="D577" s="30"/>
    </row>
    <row r="578" spans="1:4" x14ac:dyDescent="0.25">
      <c r="A578" s="30"/>
      <c r="B578" s="30"/>
      <c r="C578" s="30"/>
      <c r="D578" s="30"/>
    </row>
    <row r="579" spans="1:4" x14ac:dyDescent="0.25">
      <c r="A579" s="30"/>
      <c r="B579" s="30"/>
      <c r="C579" s="30"/>
      <c r="D579" s="30"/>
    </row>
    <row r="580" spans="1:4" x14ac:dyDescent="0.25">
      <c r="A580" s="30"/>
      <c r="B580" s="30"/>
      <c r="C580" s="30"/>
      <c r="D580" s="30"/>
    </row>
    <row r="581" spans="1:4" x14ac:dyDescent="0.25">
      <c r="A581" s="30"/>
      <c r="B581" s="30"/>
      <c r="C581" s="30"/>
      <c r="D581" s="30"/>
    </row>
    <row r="582" spans="1:4" x14ac:dyDescent="0.25">
      <c r="A582" s="30"/>
      <c r="B582" s="30"/>
      <c r="C582" s="30"/>
      <c r="D582" s="30"/>
    </row>
    <row r="583" spans="1:4" x14ac:dyDescent="0.25">
      <c r="A583" s="30"/>
      <c r="B583" s="30"/>
      <c r="C583" s="30"/>
      <c r="D583" s="30"/>
    </row>
    <row r="584" spans="1:4" x14ac:dyDescent="0.25">
      <c r="A584" s="30"/>
      <c r="B584" s="30"/>
      <c r="C584" s="30"/>
      <c r="D584" s="30"/>
    </row>
    <row r="585" spans="1:4" x14ac:dyDescent="0.25">
      <c r="A585" s="30"/>
      <c r="B585" s="30"/>
      <c r="C585" s="30"/>
      <c r="D585" s="30"/>
    </row>
    <row r="586" spans="1:4" x14ac:dyDescent="0.25">
      <c r="A586" s="30"/>
      <c r="B586" s="30"/>
      <c r="C586" s="30"/>
      <c r="D586" s="30"/>
    </row>
    <row r="589" spans="1:4" ht="20.25" x14ac:dyDescent="0.3">
      <c r="A589" s="67"/>
    </row>
    <row r="590" spans="1:4" x14ac:dyDescent="0.25">
      <c r="A590" s="31"/>
      <c r="B590" s="31"/>
      <c r="C590" s="31"/>
      <c r="D590" s="31"/>
    </row>
    <row r="591" spans="1:4" x14ac:dyDescent="0.25">
      <c r="A591" s="30"/>
      <c r="B591" s="30"/>
      <c r="C591" s="30"/>
      <c r="D591" s="30"/>
    </row>
    <row r="592" spans="1:4" x14ac:dyDescent="0.25">
      <c r="A592" s="30"/>
      <c r="B592" s="30"/>
      <c r="C592" s="30"/>
      <c r="D592" s="30"/>
    </row>
    <row r="593" spans="1:4" x14ac:dyDescent="0.25">
      <c r="A593" s="30"/>
      <c r="B593" s="30"/>
      <c r="C593" s="30"/>
      <c r="D593" s="30"/>
    </row>
    <row r="594" spans="1:4" x14ac:dyDescent="0.25">
      <c r="A594" s="30"/>
      <c r="B594" s="30"/>
      <c r="C594" s="30"/>
      <c r="D594" s="30"/>
    </row>
    <row r="595" spans="1:4" x14ac:dyDescent="0.25">
      <c r="A595" s="30"/>
      <c r="B595" s="30"/>
      <c r="C595" s="30"/>
      <c r="D595" s="30"/>
    </row>
    <row r="596" spans="1:4" x14ac:dyDescent="0.25">
      <c r="A596" s="30"/>
      <c r="B596" s="30"/>
      <c r="C596" s="30"/>
      <c r="D596" s="30"/>
    </row>
    <row r="597" spans="1:4" x14ac:dyDescent="0.25">
      <c r="A597" s="30"/>
      <c r="B597" s="30"/>
      <c r="C597" s="30"/>
      <c r="D597" s="30"/>
    </row>
    <row r="598" spans="1:4" x14ac:dyDescent="0.25">
      <c r="A598" s="30"/>
      <c r="B598" s="30"/>
      <c r="C598" s="30"/>
      <c r="D598" s="30"/>
    </row>
    <row r="599" spans="1:4" x14ac:dyDescent="0.25">
      <c r="A599" s="30"/>
      <c r="B599" s="30"/>
      <c r="C599" s="30"/>
      <c r="D599" s="30"/>
    </row>
    <row r="600" spans="1:4" x14ac:dyDescent="0.25">
      <c r="A600" s="30"/>
      <c r="B600" s="30"/>
      <c r="C600" s="30"/>
      <c r="D600" s="30"/>
    </row>
    <row r="601" spans="1:4" x14ac:dyDescent="0.25">
      <c r="A601" s="30"/>
      <c r="B601" s="30"/>
      <c r="C601" s="30"/>
      <c r="D601" s="30"/>
    </row>
    <row r="602" spans="1:4" x14ac:dyDescent="0.25">
      <c r="A602" s="30"/>
      <c r="B602" s="30"/>
      <c r="C602" s="30"/>
      <c r="D602" s="30"/>
    </row>
    <row r="603" spans="1:4" x14ac:dyDescent="0.25">
      <c r="A603" s="30"/>
      <c r="B603" s="30"/>
      <c r="C603" s="30"/>
      <c r="D603" s="30"/>
    </row>
    <row r="604" spans="1:4" x14ac:dyDescent="0.25">
      <c r="A604" s="30"/>
      <c r="B604" s="30"/>
      <c r="C604" s="30"/>
      <c r="D604" s="30"/>
    </row>
    <row r="605" spans="1:4" x14ac:dyDescent="0.25">
      <c r="A605" s="30"/>
      <c r="B605" s="30"/>
      <c r="C605" s="30"/>
      <c r="D605" s="30"/>
    </row>
    <row r="606" spans="1:4" x14ac:dyDescent="0.25">
      <c r="A606" s="30"/>
      <c r="B606" s="30"/>
      <c r="C606" s="30"/>
      <c r="D606" s="30"/>
    </row>
    <row r="607" spans="1:4" x14ac:dyDescent="0.25">
      <c r="A607" s="30"/>
      <c r="B607" s="30"/>
      <c r="C607" s="30"/>
      <c r="D607" s="30"/>
    </row>
    <row r="608" spans="1:4" x14ac:dyDescent="0.25">
      <c r="A608" s="30"/>
      <c r="B608" s="30"/>
      <c r="C608" s="30"/>
      <c r="D608" s="30"/>
    </row>
    <row r="609" spans="1:4" x14ac:dyDescent="0.25">
      <c r="A609" s="30"/>
      <c r="B609" s="30"/>
      <c r="C609" s="30"/>
      <c r="D609" s="30"/>
    </row>
    <row r="610" spans="1:4" x14ac:dyDescent="0.25">
      <c r="A610" s="30"/>
      <c r="B610" s="30"/>
      <c r="C610" s="30"/>
      <c r="D610" s="30"/>
    </row>
    <row r="611" spans="1:4" x14ac:dyDescent="0.25">
      <c r="A611" s="30"/>
      <c r="B611" s="30"/>
      <c r="C611" s="30"/>
      <c r="D611" s="30"/>
    </row>
    <row r="612" spans="1:4" x14ac:dyDescent="0.25">
      <c r="A612" s="30"/>
      <c r="B612" s="30"/>
      <c r="C612" s="30"/>
      <c r="D612" s="30"/>
    </row>
    <row r="613" spans="1:4" x14ac:dyDescent="0.25">
      <c r="A613" s="30"/>
      <c r="B613" s="30"/>
      <c r="C613" s="30"/>
      <c r="D613" s="30"/>
    </row>
    <row r="614" spans="1:4" x14ac:dyDescent="0.25">
      <c r="A614" s="30"/>
      <c r="B614" s="30"/>
      <c r="C614" s="30"/>
      <c r="D614" s="30"/>
    </row>
    <row r="615" spans="1:4" x14ac:dyDescent="0.25">
      <c r="A615" s="30"/>
      <c r="B615" s="30"/>
      <c r="C615" s="30"/>
      <c r="D615" s="30"/>
    </row>
    <row r="616" spans="1:4" x14ac:dyDescent="0.25">
      <c r="A616" s="30"/>
      <c r="B616" s="30"/>
      <c r="C616" s="30"/>
      <c r="D616" s="30"/>
    </row>
    <row r="617" spans="1:4" x14ac:dyDescent="0.25">
      <c r="A617" s="30"/>
      <c r="B617" s="30"/>
      <c r="C617" s="30"/>
      <c r="D617" s="30"/>
    </row>
    <row r="618" spans="1:4" x14ac:dyDescent="0.25">
      <c r="A618" s="30"/>
      <c r="B618" s="30"/>
      <c r="C618" s="30"/>
      <c r="D618" s="30"/>
    </row>
    <row r="619" spans="1:4" x14ac:dyDescent="0.25">
      <c r="A619" s="30"/>
      <c r="B619" s="30"/>
      <c r="C619" s="30"/>
      <c r="D619" s="30"/>
    </row>
    <row r="620" spans="1:4" x14ac:dyDescent="0.25">
      <c r="A620" s="30"/>
      <c r="B620" s="30"/>
      <c r="C620" s="30"/>
      <c r="D620" s="30"/>
    </row>
    <row r="621" spans="1:4" x14ac:dyDescent="0.25">
      <c r="A621" s="30"/>
      <c r="B621" s="30"/>
      <c r="C621" s="30"/>
      <c r="D621" s="30"/>
    </row>
    <row r="622" spans="1:4" x14ac:dyDescent="0.25">
      <c r="A622" s="30"/>
      <c r="B622" s="30"/>
      <c r="C622" s="30"/>
      <c r="D622" s="30"/>
    </row>
    <row r="623" spans="1:4" x14ac:dyDescent="0.25">
      <c r="A623" s="30"/>
      <c r="B623" s="30"/>
      <c r="C623" s="30"/>
      <c r="D623" s="30"/>
    </row>
    <row r="624" spans="1:4" x14ac:dyDescent="0.25">
      <c r="A624" s="30"/>
      <c r="B624" s="30"/>
      <c r="C624" s="30"/>
      <c r="D624" s="30"/>
    </row>
    <row r="625" spans="1:4" x14ac:dyDescent="0.25">
      <c r="A625" s="30"/>
      <c r="B625" s="30"/>
      <c r="C625" s="30"/>
      <c r="D625" s="30"/>
    </row>
    <row r="626" spans="1:4" x14ac:dyDescent="0.25">
      <c r="A626" s="30"/>
      <c r="B626" s="30"/>
      <c r="C626" s="30"/>
      <c r="D626" s="30"/>
    </row>
    <row r="627" spans="1:4" x14ac:dyDescent="0.25">
      <c r="A627" s="30"/>
      <c r="B627" s="30"/>
      <c r="C627" s="30"/>
      <c r="D627" s="30"/>
    </row>
    <row r="628" spans="1:4" x14ac:dyDescent="0.25">
      <c r="A628" s="30"/>
      <c r="B628" s="30"/>
      <c r="C628" s="30"/>
      <c r="D628" s="30"/>
    </row>
    <row r="629" spans="1:4" x14ac:dyDescent="0.25">
      <c r="A629" s="30"/>
      <c r="B629" s="30"/>
      <c r="C629" s="30"/>
      <c r="D629" s="30"/>
    </row>
    <row r="630" spans="1:4" x14ac:dyDescent="0.25">
      <c r="A630" s="30"/>
      <c r="B630" s="30"/>
      <c r="C630" s="30"/>
      <c r="D630" s="30"/>
    </row>
    <row r="631" spans="1:4" x14ac:dyDescent="0.25">
      <c r="A631" s="30"/>
      <c r="B631" s="30"/>
      <c r="C631" s="30"/>
      <c r="D631" s="30"/>
    </row>
    <row r="632" spans="1:4" x14ac:dyDescent="0.25">
      <c r="A632" s="30"/>
      <c r="B632" s="30"/>
      <c r="C632" s="30"/>
      <c r="D632" s="30"/>
    </row>
    <row r="633" spans="1:4" x14ac:dyDescent="0.25">
      <c r="A633" s="30"/>
      <c r="B633" s="30"/>
      <c r="C633" s="30"/>
      <c r="D633" s="30"/>
    </row>
    <row r="634" spans="1:4" x14ac:dyDescent="0.25">
      <c r="A634" s="30"/>
      <c r="B634" s="30"/>
      <c r="C634" s="30"/>
      <c r="D634" s="30"/>
    </row>
    <row r="635" spans="1:4" x14ac:dyDescent="0.25">
      <c r="A635" s="30"/>
      <c r="B635" s="30"/>
      <c r="C635" s="30"/>
      <c r="D635" s="30"/>
    </row>
    <row r="636" spans="1:4" x14ac:dyDescent="0.25">
      <c r="A636" s="30"/>
      <c r="B636" s="30"/>
      <c r="C636" s="30"/>
      <c r="D636" s="30"/>
    </row>
    <row r="637" spans="1:4" x14ac:dyDescent="0.25">
      <c r="A637" s="30"/>
      <c r="B637" s="30"/>
      <c r="C637" s="30"/>
      <c r="D637" s="30"/>
    </row>
    <row r="638" spans="1:4" x14ac:dyDescent="0.25">
      <c r="A638" s="30"/>
      <c r="B638" s="30"/>
      <c r="C638" s="30"/>
      <c r="D638" s="30"/>
    </row>
    <row r="639" spans="1:4" x14ac:dyDescent="0.25">
      <c r="A639" s="30"/>
      <c r="B639" s="30"/>
      <c r="C639" s="30"/>
      <c r="D639" s="30"/>
    </row>
    <row r="640" spans="1:4" x14ac:dyDescent="0.25">
      <c r="A640" s="30"/>
      <c r="B640" s="30"/>
      <c r="C640" s="30"/>
      <c r="D640" s="30"/>
    </row>
    <row r="641" spans="1:4" x14ac:dyDescent="0.25">
      <c r="A641" s="30"/>
      <c r="B641" s="30"/>
      <c r="C641" s="30"/>
      <c r="D641" s="30"/>
    </row>
    <row r="642" spans="1:4" x14ac:dyDescent="0.25">
      <c r="A642" s="30"/>
      <c r="B642" s="30"/>
      <c r="C642" s="30"/>
      <c r="D642" s="30"/>
    </row>
    <row r="643" spans="1:4" x14ac:dyDescent="0.25">
      <c r="A643" s="30"/>
      <c r="B643" s="30"/>
      <c r="C643" s="30"/>
      <c r="D643" s="30"/>
    </row>
    <row r="644" spans="1:4" x14ac:dyDescent="0.25">
      <c r="A644" s="30"/>
      <c r="B644" s="30"/>
      <c r="C644" s="30"/>
      <c r="D644" s="30"/>
    </row>
    <row r="645" spans="1:4" x14ac:dyDescent="0.25">
      <c r="A645" s="30"/>
      <c r="B645" s="30"/>
      <c r="C645" s="30"/>
      <c r="D645" s="30"/>
    </row>
    <row r="646" spans="1:4" x14ac:dyDescent="0.25">
      <c r="A646" s="30"/>
      <c r="B646" s="30"/>
      <c r="C646" s="30"/>
      <c r="D646" s="30"/>
    </row>
    <row r="647" spans="1:4" x14ac:dyDescent="0.25">
      <c r="A647" s="30"/>
      <c r="B647" s="30"/>
      <c r="C647" s="30"/>
      <c r="D647" s="30"/>
    </row>
    <row r="648" spans="1:4" x14ac:dyDescent="0.25">
      <c r="A648" s="30"/>
      <c r="B648" s="30"/>
      <c r="C648" s="30"/>
      <c r="D648" s="30"/>
    </row>
    <row r="649" spans="1:4" x14ac:dyDescent="0.25">
      <c r="A649" s="30"/>
      <c r="B649" s="30"/>
      <c r="C649" s="30"/>
      <c r="D649" s="30"/>
    </row>
    <row r="650" spans="1:4" x14ac:dyDescent="0.25">
      <c r="A650" s="30"/>
      <c r="B650" s="30"/>
      <c r="C650" s="30"/>
      <c r="D650" s="30"/>
    </row>
    <row r="651" spans="1:4" x14ac:dyDescent="0.25">
      <c r="A651" s="30"/>
      <c r="B651" s="30"/>
      <c r="C651" s="30"/>
      <c r="D651" s="30"/>
    </row>
    <row r="652" spans="1:4" x14ac:dyDescent="0.25">
      <c r="A652" s="30"/>
      <c r="B652" s="30"/>
      <c r="C652" s="30"/>
      <c r="D652" s="30"/>
    </row>
    <row r="653" spans="1:4" x14ac:dyDescent="0.25">
      <c r="A653" s="30"/>
      <c r="B653" s="30"/>
      <c r="C653" s="30"/>
      <c r="D653" s="30"/>
    </row>
    <row r="654" spans="1:4" x14ac:dyDescent="0.25">
      <c r="A654" s="30"/>
      <c r="B654" s="30"/>
      <c r="C654" s="30"/>
      <c r="D654" s="30"/>
    </row>
    <row r="655" spans="1:4" x14ac:dyDescent="0.25">
      <c r="A655" s="30"/>
      <c r="B655" s="30"/>
      <c r="C655" s="30"/>
      <c r="D655" s="30"/>
    </row>
    <row r="656" spans="1:4" x14ac:dyDescent="0.25">
      <c r="A656" s="30"/>
      <c r="B656" s="30"/>
      <c r="C656" s="30"/>
      <c r="D656" s="30"/>
    </row>
    <row r="657" spans="1:4" x14ac:dyDescent="0.25">
      <c r="A657" s="30"/>
      <c r="B657" s="30"/>
      <c r="C657" s="30"/>
      <c r="D657" s="30"/>
    </row>
    <row r="658" spans="1:4" x14ac:dyDescent="0.25">
      <c r="A658" s="30"/>
      <c r="B658" s="30"/>
      <c r="C658" s="30"/>
      <c r="D658" s="30"/>
    </row>
    <row r="659" spans="1:4" x14ac:dyDescent="0.25">
      <c r="A659" s="30"/>
      <c r="B659" s="30"/>
      <c r="C659" s="30"/>
      <c r="D659" s="30"/>
    </row>
    <row r="660" spans="1:4" x14ac:dyDescent="0.25">
      <c r="A660" s="30"/>
      <c r="B660" s="30"/>
      <c r="C660" s="30"/>
      <c r="D660" s="30"/>
    </row>
    <row r="661" spans="1:4" x14ac:dyDescent="0.25">
      <c r="A661" s="30"/>
      <c r="B661" s="30"/>
      <c r="C661" s="30"/>
      <c r="D661" s="30"/>
    </row>
    <row r="662" spans="1:4" x14ac:dyDescent="0.25">
      <c r="A662" s="30"/>
      <c r="B662" s="30"/>
      <c r="C662" s="30"/>
      <c r="D662" s="30"/>
    </row>
    <row r="663" spans="1:4" x14ac:dyDescent="0.25">
      <c r="A663" s="30"/>
      <c r="B663" s="30"/>
      <c r="C663" s="30"/>
      <c r="D663" s="30"/>
    </row>
    <row r="664" spans="1:4" x14ac:dyDescent="0.25">
      <c r="A664" s="30"/>
      <c r="B664" s="30"/>
      <c r="C664" s="30"/>
      <c r="D664" s="30"/>
    </row>
    <row r="665" spans="1:4" x14ac:dyDescent="0.25">
      <c r="A665" s="30"/>
      <c r="B665" s="30"/>
      <c r="C665" s="30"/>
      <c r="D665" s="30"/>
    </row>
    <row r="666" spans="1:4" x14ac:dyDescent="0.25">
      <c r="A666" s="30"/>
      <c r="B666" s="30"/>
      <c r="C666" s="30"/>
      <c r="D666" s="30"/>
    </row>
    <row r="667" spans="1:4" x14ac:dyDescent="0.25">
      <c r="A667" s="30"/>
      <c r="B667" s="30"/>
      <c r="C667" s="30"/>
      <c r="D667" s="30"/>
    </row>
    <row r="668" spans="1:4" x14ac:dyDescent="0.25">
      <c r="A668" s="30"/>
      <c r="B668" s="30"/>
      <c r="C668" s="30"/>
      <c r="D668" s="30"/>
    </row>
    <row r="669" spans="1:4" x14ac:dyDescent="0.25">
      <c r="A669" s="30"/>
      <c r="B669" s="30"/>
      <c r="C669" s="30"/>
      <c r="D669" s="30"/>
    </row>
    <row r="670" spans="1:4" x14ac:dyDescent="0.25">
      <c r="A670" s="30"/>
      <c r="B670" s="30"/>
      <c r="C670" s="30"/>
      <c r="D670" s="30"/>
    </row>
    <row r="671" spans="1:4" x14ac:dyDescent="0.25">
      <c r="A671" s="30"/>
      <c r="B671" s="30"/>
      <c r="C671" s="30"/>
      <c r="D671" s="30"/>
    </row>
    <row r="672" spans="1:4" x14ac:dyDescent="0.25">
      <c r="A672" s="30"/>
      <c r="B672" s="30"/>
      <c r="C672" s="30"/>
      <c r="D672" s="30"/>
    </row>
    <row r="673" spans="1:4" x14ac:dyDescent="0.25">
      <c r="A673" s="30"/>
      <c r="B673" s="30"/>
      <c r="C673" s="30"/>
      <c r="D673" s="30"/>
    </row>
    <row r="674" spans="1:4" x14ac:dyDescent="0.25">
      <c r="A674" s="30"/>
      <c r="B674" s="30"/>
      <c r="C674" s="30"/>
      <c r="D674" s="30"/>
    </row>
    <row r="675" spans="1:4" x14ac:dyDescent="0.25">
      <c r="A675" s="30"/>
      <c r="B675" s="30"/>
      <c r="C675" s="30"/>
      <c r="D675" s="30"/>
    </row>
    <row r="676" spans="1:4" x14ac:dyDescent="0.25">
      <c r="A676" s="30"/>
      <c r="B676" s="30"/>
      <c r="C676" s="30"/>
      <c r="D676" s="30"/>
    </row>
    <row r="677" spans="1:4" x14ac:dyDescent="0.25">
      <c r="A677" s="30"/>
      <c r="B677" s="30"/>
      <c r="C677" s="30"/>
      <c r="D677" s="30"/>
    </row>
    <row r="678" spans="1:4" x14ac:dyDescent="0.25">
      <c r="A678" s="30"/>
      <c r="B678" s="30"/>
      <c r="C678" s="30"/>
      <c r="D678" s="30"/>
    </row>
    <row r="679" spans="1:4" x14ac:dyDescent="0.25">
      <c r="A679" s="30"/>
      <c r="B679" s="30"/>
      <c r="C679" s="30"/>
      <c r="D679" s="30"/>
    </row>
    <row r="680" spans="1:4" x14ac:dyDescent="0.25">
      <c r="A680" s="30"/>
      <c r="B680" s="30"/>
      <c r="C680" s="30"/>
      <c r="D680" s="30"/>
    </row>
    <row r="681" spans="1:4" x14ac:dyDescent="0.25">
      <c r="A681" s="30"/>
      <c r="B681" s="30"/>
      <c r="C681" s="30"/>
      <c r="D681" s="30"/>
    </row>
    <row r="682" spans="1:4" x14ac:dyDescent="0.25">
      <c r="A682" s="30"/>
      <c r="B682" s="30"/>
      <c r="C682" s="30"/>
      <c r="D682" s="30"/>
    </row>
    <row r="683" spans="1:4" x14ac:dyDescent="0.25">
      <c r="A683" s="30"/>
      <c r="B683" s="30"/>
      <c r="C683" s="30"/>
      <c r="D683" s="30"/>
    </row>
    <row r="684" spans="1:4" x14ac:dyDescent="0.25">
      <c r="A684" s="30"/>
      <c r="B684" s="30"/>
      <c r="C684" s="30"/>
      <c r="D684" s="30"/>
    </row>
    <row r="685" spans="1:4" x14ac:dyDescent="0.25">
      <c r="A685" s="30"/>
      <c r="B685" s="30"/>
      <c r="C685" s="30"/>
      <c r="D685" s="30"/>
    </row>
    <row r="686" spans="1:4" x14ac:dyDescent="0.25">
      <c r="A686" s="30"/>
      <c r="B686" s="30"/>
      <c r="C686" s="30"/>
      <c r="D686" s="30"/>
    </row>
    <row r="687" spans="1:4" x14ac:dyDescent="0.25">
      <c r="A687" s="30"/>
      <c r="B687" s="30"/>
      <c r="C687" s="30"/>
      <c r="D687" s="30"/>
    </row>
    <row r="688" spans="1:4" x14ac:dyDescent="0.25">
      <c r="A688" s="30"/>
      <c r="B688" s="30"/>
      <c r="C688" s="30"/>
      <c r="D688" s="30"/>
    </row>
    <row r="689" spans="1:4" x14ac:dyDescent="0.25">
      <c r="A689" s="30"/>
      <c r="B689" s="30"/>
      <c r="C689" s="30"/>
      <c r="D689" s="30"/>
    </row>
    <row r="690" spans="1:4" x14ac:dyDescent="0.25">
      <c r="A690" s="30"/>
      <c r="B690" s="30"/>
      <c r="C690" s="30"/>
      <c r="D690" s="30"/>
    </row>
    <row r="693" spans="1:4" ht="20.25" x14ac:dyDescent="0.3">
      <c r="A693" s="67"/>
    </row>
    <row r="694" spans="1:4" x14ac:dyDescent="0.25">
      <c r="A694" s="31"/>
      <c r="B694" s="31"/>
      <c r="C694" s="31"/>
      <c r="D694" s="31"/>
    </row>
    <row r="695" spans="1:4" x14ac:dyDescent="0.25">
      <c r="A695" s="30"/>
      <c r="B695" s="30"/>
      <c r="C695" s="30"/>
      <c r="D695" s="30"/>
    </row>
    <row r="696" spans="1:4" x14ac:dyDescent="0.25">
      <c r="A696" s="30"/>
      <c r="B696" s="30"/>
      <c r="C696" s="30"/>
      <c r="D696" s="30"/>
    </row>
    <row r="697" spans="1:4" x14ac:dyDescent="0.25">
      <c r="A697" s="30"/>
      <c r="B697" s="30"/>
      <c r="C697" s="30"/>
      <c r="D697" s="30"/>
    </row>
    <row r="698" spans="1:4" x14ac:dyDescent="0.25">
      <c r="A698" s="30"/>
      <c r="B698" s="30"/>
      <c r="C698" s="30"/>
      <c r="D698" s="30"/>
    </row>
    <row r="699" spans="1:4" x14ac:dyDescent="0.25">
      <c r="A699" s="30"/>
      <c r="B699" s="30"/>
      <c r="C699" s="30"/>
      <c r="D699" s="30"/>
    </row>
    <row r="700" spans="1:4" x14ac:dyDescent="0.25">
      <c r="A700" s="30"/>
      <c r="B700" s="30"/>
      <c r="C700" s="30"/>
      <c r="D700" s="30"/>
    </row>
    <row r="701" spans="1:4" x14ac:dyDescent="0.25">
      <c r="A701" s="30"/>
      <c r="B701" s="30"/>
      <c r="C701" s="30"/>
      <c r="D701" s="30"/>
    </row>
    <row r="702" spans="1:4" x14ac:dyDescent="0.25">
      <c r="A702" s="30"/>
      <c r="B702" s="30"/>
      <c r="C702" s="30"/>
      <c r="D702" s="30"/>
    </row>
    <row r="703" spans="1:4" x14ac:dyDescent="0.25">
      <c r="A703" s="30"/>
      <c r="B703" s="30"/>
      <c r="C703" s="30"/>
      <c r="D703" s="30"/>
    </row>
    <row r="704" spans="1:4" x14ac:dyDescent="0.25">
      <c r="A704" s="30"/>
      <c r="B704" s="30"/>
      <c r="C704" s="30"/>
      <c r="D704" s="30"/>
    </row>
    <row r="705" spans="1:4" x14ac:dyDescent="0.25">
      <c r="A705" s="30"/>
      <c r="B705" s="30"/>
      <c r="C705" s="30"/>
      <c r="D705" s="30"/>
    </row>
    <row r="706" spans="1:4" x14ac:dyDescent="0.25">
      <c r="A706" s="30"/>
      <c r="B706" s="30"/>
      <c r="C706" s="30"/>
      <c r="D706" s="30"/>
    </row>
    <row r="707" spans="1:4" x14ac:dyDescent="0.25">
      <c r="A707" s="30"/>
      <c r="B707" s="30"/>
      <c r="C707" s="30"/>
      <c r="D707" s="30"/>
    </row>
    <row r="708" spans="1:4" x14ac:dyDescent="0.25">
      <c r="A708" s="30"/>
      <c r="B708" s="30"/>
      <c r="C708" s="30"/>
      <c r="D708" s="30"/>
    </row>
    <row r="709" spans="1:4" x14ac:dyDescent="0.25">
      <c r="A709" s="30"/>
      <c r="B709" s="30"/>
      <c r="C709" s="30"/>
      <c r="D709" s="30"/>
    </row>
    <row r="710" spans="1:4" x14ac:dyDescent="0.25">
      <c r="A710" s="30"/>
      <c r="B710" s="30"/>
      <c r="C710" s="30"/>
      <c r="D710" s="30"/>
    </row>
    <row r="711" spans="1:4" x14ac:dyDescent="0.25">
      <c r="A711" s="30"/>
      <c r="B711" s="30"/>
      <c r="C711" s="30"/>
      <c r="D711" s="30"/>
    </row>
    <row r="712" spans="1:4" x14ac:dyDescent="0.25">
      <c r="A712" s="30"/>
      <c r="B712" s="30"/>
      <c r="C712" s="30"/>
      <c r="D712" s="30"/>
    </row>
    <row r="713" spans="1:4" x14ac:dyDescent="0.25">
      <c r="A713" s="30"/>
      <c r="B713" s="30"/>
      <c r="C713" s="30"/>
      <c r="D713" s="30"/>
    </row>
    <row r="714" spans="1:4" x14ac:dyDescent="0.25">
      <c r="A714" s="30"/>
      <c r="B714" s="30"/>
      <c r="C714" s="30"/>
      <c r="D714" s="30"/>
    </row>
    <row r="715" spans="1:4" x14ac:dyDescent="0.25">
      <c r="A715" s="30"/>
      <c r="B715" s="30"/>
      <c r="C715" s="30"/>
      <c r="D715" s="30"/>
    </row>
    <row r="716" spans="1:4" x14ac:dyDescent="0.25">
      <c r="A716" s="30"/>
      <c r="B716" s="30"/>
      <c r="C716" s="30"/>
      <c r="D716" s="30"/>
    </row>
    <row r="717" spans="1:4" x14ac:dyDescent="0.25">
      <c r="A717" s="30"/>
      <c r="B717" s="30"/>
      <c r="C717" s="30"/>
      <c r="D717" s="30"/>
    </row>
    <row r="718" spans="1:4" x14ac:dyDescent="0.25">
      <c r="A718" s="30"/>
      <c r="B718" s="30"/>
      <c r="C718" s="30"/>
      <c r="D718" s="30"/>
    </row>
    <row r="719" spans="1:4" x14ac:dyDescent="0.25">
      <c r="A719" s="30"/>
      <c r="B719" s="30"/>
      <c r="C719" s="30"/>
      <c r="D719" s="30"/>
    </row>
    <row r="720" spans="1:4" x14ac:dyDescent="0.25">
      <c r="A720" s="30"/>
      <c r="B720" s="30"/>
      <c r="C720" s="30"/>
      <c r="D720" s="30"/>
    </row>
    <row r="721" spans="1:4" x14ac:dyDescent="0.25">
      <c r="A721" s="30"/>
      <c r="B721" s="30"/>
      <c r="C721" s="30"/>
      <c r="D721" s="30"/>
    </row>
    <row r="722" spans="1:4" x14ac:dyDescent="0.25">
      <c r="A722" s="30"/>
      <c r="B722" s="30"/>
      <c r="C722" s="30"/>
      <c r="D722" s="30"/>
    </row>
    <row r="723" spans="1:4" x14ac:dyDescent="0.25">
      <c r="A723" s="30"/>
      <c r="B723" s="30"/>
      <c r="C723" s="30"/>
      <c r="D723" s="30"/>
    </row>
    <row r="724" spans="1:4" x14ac:dyDescent="0.25">
      <c r="A724" s="30"/>
      <c r="B724" s="30"/>
      <c r="C724" s="30"/>
      <c r="D724" s="30"/>
    </row>
    <row r="725" spans="1:4" x14ac:dyDescent="0.25">
      <c r="A725" s="30"/>
      <c r="B725" s="30"/>
      <c r="C725" s="30"/>
      <c r="D725" s="30"/>
    </row>
    <row r="726" spans="1:4" x14ac:dyDescent="0.25">
      <c r="A726" s="30"/>
      <c r="B726" s="30"/>
      <c r="C726" s="30"/>
      <c r="D726" s="30"/>
    </row>
    <row r="727" spans="1:4" x14ac:dyDescent="0.25">
      <c r="A727" s="30"/>
      <c r="B727" s="30"/>
      <c r="C727" s="30"/>
      <c r="D727" s="30"/>
    </row>
    <row r="728" spans="1:4" x14ac:dyDescent="0.25">
      <c r="A728" s="30"/>
      <c r="B728" s="30"/>
      <c r="C728" s="30"/>
      <c r="D728" s="30"/>
    </row>
    <row r="729" spans="1:4" x14ac:dyDescent="0.25">
      <c r="A729" s="30"/>
      <c r="B729" s="30"/>
      <c r="C729" s="30"/>
      <c r="D729" s="30"/>
    </row>
    <row r="730" spans="1:4" x14ac:dyDescent="0.25">
      <c r="A730" s="30"/>
      <c r="B730" s="30"/>
      <c r="C730" s="30"/>
      <c r="D730" s="30"/>
    </row>
    <row r="731" spans="1:4" x14ac:dyDescent="0.25">
      <c r="A731" s="30"/>
      <c r="B731" s="30"/>
      <c r="C731" s="30"/>
      <c r="D731" s="30"/>
    </row>
    <row r="732" spans="1:4" x14ac:dyDescent="0.25">
      <c r="A732" s="30"/>
      <c r="B732" s="30"/>
      <c r="C732" s="30"/>
      <c r="D732" s="30"/>
    </row>
    <row r="733" spans="1:4" x14ac:dyDescent="0.25">
      <c r="A733" s="30"/>
      <c r="B733" s="30"/>
      <c r="C733" s="30"/>
      <c r="D733" s="30"/>
    </row>
    <row r="734" spans="1:4" x14ac:dyDescent="0.25">
      <c r="A734" s="30"/>
      <c r="B734" s="30"/>
      <c r="C734" s="30"/>
      <c r="D734" s="30"/>
    </row>
    <row r="735" spans="1:4" x14ac:dyDescent="0.25">
      <c r="A735" s="30"/>
      <c r="B735" s="30"/>
      <c r="C735" s="30"/>
      <c r="D735" s="30"/>
    </row>
    <row r="736" spans="1:4" x14ac:dyDescent="0.25">
      <c r="A736" s="30"/>
      <c r="B736" s="30"/>
      <c r="C736" s="30"/>
      <c r="D736" s="30"/>
    </row>
    <row r="737" spans="1:4" x14ac:dyDescent="0.25">
      <c r="A737" s="30"/>
      <c r="B737" s="30"/>
      <c r="C737" s="30"/>
      <c r="D737" s="30"/>
    </row>
    <row r="738" spans="1:4" x14ac:dyDescent="0.25">
      <c r="A738" s="30"/>
      <c r="B738" s="30"/>
      <c r="C738" s="30"/>
      <c r="D738" s="30"/>
    </row>
    <row r="739" spans="1:4" x14ac:dyDescent="0.25">
      <c r="A739" s="30"/>
      <c r="B739" s="30"/>
      <c r="C739" s="30"/>
      <c r="D739" s="30"/>
    </row>
    <row r="740" spans="1:4" x14ac:dyDescent="0.25">
      <c r="A740" s="30"/>
      <c r="B740" s="30"/>
      <c r="C740" s="30"/>
      <c r="D740" s="30"/>
    </row>
    <row r="741" spans="1:4" x14ac:dyDescent="0.25">
      <c r="A741" s="30"/>
      <c r="B741" s="30"/>
      <c r="C741" s="30"/>
      <c r="D741" s="30"/>
    </row>
    <row r="742" spans="1:4" x14ac:dyDescent="0.25">
      <c r="A742" s="30"/>
      <c r="B742" s="30"/>
      <c r="C742" s="30"/>
      <c r="D742" s="30"/>
    </row>
    <row r="743" spans="1:4" x14ac:dyDescent="0.25">
      <c r="A743" s="30"/>
      <c r="B743" s="30"/>
      <c r="C743" s="30"/>
      <c r="D743" s="30"/>
    </row>
    <row r="744" spans="1:4" x14ac:dyDescent="0.25">
      <c r="A744" s="30"/>
      <c r="B744" s="30"/>
      <c r="C744" s="30"/>
      <c r="D744" s="30"/>
    </row>
    <row r="745" spans="1:4" x14ac:dyDescent="0.25">
      <c r="A745" s="30"/>
      <c r="B745" s="30"/>
      <c r="C745" s="30"/>
      <c r="D745" s="30"/>
    </row>
    <row r="746" spans="1:4" x14ac:dyDescent="0.25">
      <c r="A746" s="30"/>
      <c r="B746" s="30"/>
      <c r="C746" s="30"/>
      <c r="D746" s="30"/>
    </row>
    <row r="747" spans="1:4" x14ac:dyDescent="0.25">
      <c r="A747" s="30"/>
      <c r="B747" s="30"/>
      <c r="C747" s="30"/>
      <c r="D747" s="30"/>
    </row>
    <row r="748" spans="1:4" x14ac:dyDescent="0.25">
      <c r="A748" s="30"/>
      <c r="B748" s="30"/>
      <c r="C748" s="30"/>
      <c r="D748" s="30"/>
    </row>
    <row r="749" spans="1:4" x14ac:dyDescent="0.25">
      <c r="A749" s="30"/>
      <c r="B749" s="30"/>
      <c r="C749" s="30"/>
      <c r="D749" s="30"/>
    </row>
    <row r="750" spans="1:4" x14ac:dyDescent="0.25">
      <c r="A750" s="30"/>
      <c r="B750" s="30"/>
      <c r="C750" s="30"/>
      <c r="D750" s="30"/>
    </row>
    <row r="751" spans="1:4" x14ac:dyDescent="0.25">
      <c r="A751" s="30"/>
      <c r="B751" s="30"/>
      <c r="C751" s="30"/>
      <c r="D751" s="30"/>
    </row>
    <row r="752" spans="1:4" x14ac:dyDescent="0.25">
      <c r="A752" s="30"/>
      <c r="B752" s="30"/>
      <c r="C752" s="30"/>
      <c r="D752" s="30"/>
    </row>
    <row r="753" spans="1:4" x14ac:dyDescent="0.25">
      <c r="A753" s="30"/>
      <c r="B753" s="30"/>
      <c r="C753" s="30"/>
      <c r="D753" s="30"/>
    </row>
    <row r="754" spans="1:4" x14ac:dyDescent="0.25">
      <c r="A754" s="30"/>
      <c r="B754" s="30"/>
      <c r="C754" s="30"/>
      <c r="D754" s="30"/>
    </row>
    <row r="755" spans="1:4" x14ac:dyDescent="0.25">
      <c r="A755" s="30"/>
      <c r="B755" s="30"/>
      <c r="C755" s="30"/>
      <c r="D755" s="30"/>
    </row>
    <row r="756" spans="1:4" x14ac:dyDescent="0.25">
      <c r="A756" s="30"/>
      <c r="B756" s="30"/>
      <c r="C756" s="30"/>
      <c r="D756" s="30"/>
    </row>
    <row r="757" spans="1:4" x14ac:dyDescent="0.25">
      <c r="A757" s="30"/>
      <c r="B757" s="30"/>
      <c r="C757" s="30"/>
      <c r="D757" s="30"/>
    </row>
    <row r="758" spans="1:4" x14ac:dyDescent="0.25">
      <c r="A758" s="30"/>
      <c r="B758" s="30"/>
      <c r="C758" s="30"/>
      <c r="D758" s="30"/>
    </row>
    <row r="759" spans="1:4" x14ac:dyDescent="0.25">
      <c r="A759" s="30"/>
      <c r="B759" s="30"/>
      <c r="C759" s="30"/>
      <c r="D759" s="30"/>
    </row>
    <row r="760" spans="1:4" x14ac:dyDescent="0.25">
      <c r="A760" s="30"/>
      <c r="B760" s="30"/>
      <c r="C760" s="30"/>
      <c r="D760" s="30"/>
    </row>
    <row r="761" spans="1:4" x14ac:dyDescent="0.25">
      <c r="A761" s="30"/>
      <c r="B761" s="30"/>
      <c r="C761" s="30"/>
      <c r="D761" s="30"/>
    </row>
    <row r="762" spans="1:4" x14ac:dyDescent="0.25">
      <c r="A762" s="30"/>
      <c r="B762" s="30"/>
      <c r="C762" s="30"/>
      <c r="D762" s="30"/>
    </row>
    <row r="763" spans="1:4" x14ac:dyDescent="0.25">
      <c r="A763" s="30"/>
      <c r="B763" s="30"/>
      <c r="C763" s="30"/>
      <c r="D763" s="30"/>
    </row>
    <row r="764" spans="1:4" x14ac:dyDescent="0.25">
      <c r="A764" s="30"/>
      <c r="B764" s="30"/>
      <c r="C764" s="30"/>
      <c r="D764" s="30"/>
    </row>
    <row r="765" spans="1:4" x14ac:dyDescent="0.25">
      <c r="A765" s="30"/>
      <c r="B765" s="30"/>
      <c r="C765" s="30"/>
      <c r="D765" s="30"/>
    </row>
    <row r="766" spans="1:4" x14ac:dyDescent="0.25">
      <c r="A766" s="30"/>
      <c r="B766" s="30"/>
      <c r="C766" s="30"/>
      <c r="D766" s="30"/>
    </row>
    <row r="767" spans="1:4" x14ac:dyDescent="0.25">
      <c r="A767" s="30"/>
      <c r="B767" s="30"/>
      <c r="C767" s="30"/>
      <c r="D767" s="30"/>
    </row>
    <row r="768" spans="1:4" x14ac:dyDescent="0.25">
      <c r="A768" s="30"/>
      <c r="B768" s="30"/>
      <c r="C768" s="30"/>
      <c r="D768" s="30"/>
    </row>
    <row r="769" spans="1:4" x14ac:dyDescent="0.25">
      <c r="A769" s="30"/>
      <c r="B769" s="30"/>
      <c r="C769" s="30"/>
      <c r="D769" s="30"/>
    </row>
    <row r="770" spans="1:4" x14ac:dyDescent="0.25">
      <c r="A770" s="30"/>
      <c r="B770" s="30"/>
      <c r="C770" s="30"/>
      <c r="D770" s="30"/>
    </row>
    <row r="771" spans="1:4" x14ac:dyDescent="0.25">
      <c r="A771" s="30"/>
      <c r="B771" s="30"/>
      <c r="C771" s="30"/>
      <c r="D771" s="30"/>
    </row>
    <row r="772" spans="1:4" x14ac:dyDescent="0.25">
      <c r="A772" s="30"/>
      <c r="B772" s="30"/>
      <c r="C772" s="30"/>
      <c r="D772" s="30"/>
    </row>
    <row r="773" spans="1:4" x14ac:dyDescent="0.25">
      <c r="A773" s="30"/>
      <c r="B773" s="30"/>
      <c r="C773" s="30"/>
      <c r="D773" s="30"/>
    </row>
    <row r="774" spans="1:4" x14ac:dyDescent="0.25">
      <c r="A774" s="30"/>
      <c r="B774" s="30"/>
      <c r="C774" s="30"/>
      <c r="D774" s="30"/>
    </row>
    <row r="775" spans="1:4" x14ac:dyDescent="0.25">
      <c r="A775" s="30"/>
      <c r="B775" s="30"/>
      <c r="C775" s="30"/>
      <c r="D775" s="30"/>
    </row>
    <row r="776" spans="1:4" x14ac:dyDescent="0.25">
      <c r="A776" s="30"/>
      <c r="B776" s="30"/>
      <c r="C776" s="30"/>
      <c r="D776" s="30"/>
    </row>
    <row r="777" spans="1:4" x14ac:dyDescent="0.25">
      <c r="A777" s="30"/>
      <c r="B777" s="30"/>
      <c r="C777" s="30"/>
      <c r="D777" s="30"/>
    </row>
    <row r="778" spans="1:4" x14ac:dyDescent="0.25">
      <c r="A778" s="30"/>
      <c r="B778" s="30"/>
      <c r="C778" s="30"/>
      <c r="D778" s="30"/>
    </row>
    <row r="779" spans="1:4" x14ac:dyDescent="0.25">
      <c r="A779" s="30"/>
      <c r="B779" s="30"/>
      <c r="C779" s="30"/>
      <c r="D779" s="30"/>
    </row>
    <row r="780" spans="1:4" x14ac:dyDescent="0.25">
      <c r="A780" s="30"/>
      <c r="B780" s="30"/>
      <c r="C780" s="30"/>
      <c r="D780" s="30"/>
    </row>
    <row r="781" spans="1:4" x14ac:dyDescent="0.25">
      <c r="A781" s="30"/>
      <c r="B781" s="30"/>
      <c r="C781" s="30"/>
      <c r="D781" s="30"/>
    </row>
    <row r="782" spans="1:4" x14ac:dyDescent="0.25">
      <c r="A782" s="30"/>
      <c r="B782" s="30"/>
      <c r="C782" s="30"/>
      <c r="D782" s="30"/>
    </row>
    <row r="783" spans="1:4" x14ac:dyDescent="0.25">
      <c r="A783" s="30"/>
      <c r="B783" s="30"/>
      <c r="C783" s="30"/>
      <c r="D783" s="30"/>
    </row>
    <row r="784" spans="1:4" x14ac:dyDescent="0.25">
      <c r="A784" s="30"/>
      <c r="B784" s="30"/>
      <c r="C784" s="30"/>
      <c r="D784" s="30"/>
    </row>
    <row r="785" spans="1:4" x14ac:dyDescent="0.25">
      <c r="A785" s="30"/>
      <c r="B785" s="30"/>
      <c r="C785" s="30"/>
      <c r="D785" s="30"/>
    </row>
    <row r="786" spans="1:4" x14ac:dyDescent="0.25">
      <c r="A786" s="30"/>
      <c r="B786" s="30"/>
      <c r="C786" s="30"/>
      <c r="D786" s="30"/>
    </row>
    <row r="787" spans="1:4" x14ac:dyDescent="0.25">
      <c r="A787" s="30"/>
      <c r="B787" s="30"/>
      <c r="C787" s="30"/>
      <c r="D787" s="30"/>
    </row>
    <row r="788" spans="1:4" x14ac:dyDescent="0.25">
      <c r="A788" s="30"/>
      <c r="B788" s="30"/>
      <c r="C788" s="30"/>
      <c r="D788" s="30"/>
    </row>
    <row r="789" spans="1:4" x14ac:dyDescent="0.25">
      <c r="A789" s="30"/>
      <c r="B789" s="30"/>
      <c r="C789" s="30"/>
      <c r="D789" s="30"/>
    </row>
    <row r="790" spans="1:4" x14ac:dyDescent="0.25">
      <c r="A790" s="30"/>
      <c r="B790" s="30"/>
      <c r="C790" s="30"/>
      <c r="D790" s="30"/>
    </row>
    <row r="791" spans="1:4" x14ac:dyDescent="0.25">
      <c r="A791" s="30"/>
      <c r="B791" s="30"/>
      <c r="C791" s="30"/>
      <c r="D791" s="30"/>
    </row>
    <row r="792" spans="1:4" x14ac:dyDescent="0.25">
      <c r="A792" s="30"/>
      <c r="B792" s="30"/>
      <c r="C792" s="30"/>
      <c r="D792" s="30"/>
    </row>
    <row r="793" spans="1:4" x14ac:dyDescent="0.25">
      <c r="A793" s="30"/>
      <c r="B793" s="30"/>
      <c r="C793" s="30"/>
      <c r="D793" s="30"/>
    </row>
    <row r="794" spans="1:4" x14ac:dyDescent="0.25">
      <c r="A794" s="30"/>
      <c r="B794" s="30"/>
      <c r="C794" s="30"/>
      <c r="D794" s="30"/>
    </row>
    <row r="797" spans="1:4" ht="23.25" x14ac:dyDescent="0.35">
      <c r="A797" s="66"/>
    </row>
    <row r="798" spans="1:4" ht="20.25" x14ac:dyDescent="0.3">
      <c r="A798" s="67"/>
    </row>
    <row r="799" spans="1:4" x14ac:dyDescent="0.25">
      <c r="A799" s="31"/>
      <c r="B799" s="31"/>
    </row>
    <row r="800" spans="1:4" x14ac:dyDescent="0.25">
      <c r="A800" s="30"/>
      <c r="B800" s="30"/>
    </row>
    <row r="801" spans="1:2" x14ac:dyDescent="0.25">
      <c r="A801" s="30"/>
      <c r="B801" s="30"/>
    </row>
    <row r="802" spans="1:2" x14ac:dyDescent="0.25">
      <c r="A802" s="30"/>
      <c r="B802" s="30"/>
    </row>
    <row r="803" spans="1:2" x14ac:dyDescent="0.25">
      <c r="A803" s="30"/>
      <c r="B803" s="30"/>
    </row>
    <row r="804" spans="1:2" x14ac:dyDescent="0.25">
      <c r="A804" s="30"/>
      <c r="B804" s="30"/>
    </row>
    <row r="805" spans="1:2" x14ac:dyDescent="0.25">
      <c r="A805" s="30"/>
      <c r="B805" s="30"/>
    </row>
    <row r="806" spans="1:2" x14ac:dyDescent="0.25">
      <c r="A806" s="30"/>
      <c r="B806" s="30"/>
    </row>
    <row r="807" spans="1:2" x14ac:dyDescent="0.25">
      <c r="A807" s="30"/>
      <c r="B807" s="30"/>
    </row>
    <row r="808" spans="1:2" x14ac:dyDescent="0.25">
      <c r="A808" s="30"/>
      <c r="B808" s="30"/>
    </row>
    <row r="809" spans="1:2" x14ac:dyDescent="0.25">
      <c r="A809" s="30"/>
      <c r="B809" s="30"/>
    </row>
    <row r="810" spans="1:2" x14ac:dyDescent="0.25">
      <c r="A810" s="30"/>
      <c r="B810" s="30"/>
    </row>
    <row r="811" spans="1:2" x14ac:dyDescent="0.25">
      <c r="A811" s="30"/>
      <c r="B811" s="30"/>
    </row>
    <row r="812" spans="1:2" x14ac:dyDescent="0.25">
      <c r="A812" s="30"/>
      <c r="B812" s="30"/>
    </row>
    <row r="813" spans="1:2" x14ac:dyDescent="0.25">
      <c r="A813" s="30"/>
      <c r="B813" s="30"/>
    </row>
    <row r="814" spans="1:2" x14ac:dyDescent="0.25">
      <c r="A814" s="30"/>
      <c r="B814" s="30"/>
    </row>
    <row r="815" spans="1:2" x14ac:dyDescent="0.25">
      <c r="A815" s="30"/>
      <c r="B815" s="30"/>
    </row>
    <row r="816" spans="1:2" x14ac:dyDescent="0.25">
      <c r="A816" s="30"/>
      <c r="B816" s="30"/>
    </row>
    <row r="817" spans="1:2" x14ac:dyDescent="0.25">
      <c r="A817" s="30"/>
      <c r="B817" s="30"/>
    </row>
    <row r="818" spans="1:2" x14ac:dyDescent="0.25">
      <c r="A818" s="30"/>
      <c r="B818" s="30"/>
    </row>
    <row r="819" spans="1:2" x14ac:dyDescent="0.25">
      <c r="A819" s="30"/>
      <c r="B819" s="30"/>
    </row>
    <row r="820" spans="1:2" x14ac:dyDescent="0.25">
      <c r="A820" s="30"/>
      <c r="B820" s="30"/>
    </row>
    <row r="821" spans="1:2" x14ac:dyDescent="0.25">
      <c r="A821" s="30"/>
      <c r="B821" s="30"/>
    </row>
    <row r="822" spans="1:2" x14ac:dyDescent="0.25">
      <c r="A822" s="30"/>
      <c r="B822" s="30"/>
    </row>
    <row r="823" spans="1:2" x14ac:dyDescent="0.25">
      <c r="A823" s="30"/>
      <c r="B823" s="30"/>
    </row>
    <row r="824" spans="1:2" x14ac:dyDescent="0.25">
      <c r="A824" s="30"/>
      <c r="B824" s="30"/>
    </row>
    <row r="825" spans="1:2" x14ac:dyDescent="0.25">
      <c r="A825" s="30"/>
      <c r="B825" s="30"/>
    </row>
    <row r="826" spans="1:2" x14ac:dyDescent="0.25">
      <c r="A826" s="30"/>
      <c r="B826" s="30"/>
    </row>
    <row r="827" spans="1:2" x14ac:dyDescent="0.25">
      <c r="A827" s="30"/>
      <c r="B827" s="30"/>
    </row>
    <row r="828" spans="1:2" x14ac:dyDescent="0.25">
      <c r="A828" s="30"/>
      <c r="B828" s="30"/>
    </row>
    <row r="829" spans="1:2" x14ac:dyDescent="0.25">
      <c r="A829" s="30"/>
      <c r="B829" s="30"/>
    </row>
    <row r="830" spans="1:2" x14ac:dyDescent="0.25">
      <c r="A830" s="30"/>
      <c r="B830" s="30"/>
    </row>
    <row r="831" spans="1:2" x14ac:dyDescent="0.25">
      <c r="A831" s="30"/>
      <c r="B831" s="30"/>
    </row>
    <row r="832" spans="1:2" x14ac:dyDescent="0.25">
      <c r="A832" s="30"/>
      <c r="B832" s="30"/>
    </row>
    <row r="833" spans="1:2" x14ac:dyDescent="0.25">
      <c r="A833" s="30"/>
      <c r="B833" s="30"/>
    </row>
    <row r="834" spans="1:2" x14ac:dyDescent="0.25">
      <c r="A834" s="30"/>
      <c r="B834" s="30"/>
    </row>
    <row r="835" spans="1:2" x14ac:dyDescent="0.25">
      <c r="A835" s="30"/>
      <c r="B835" s="30"/>
    </row>
    <row r="836" spans="1:2" x14ac:dyDescent="0.25">
      <c r="A836" s="30"/>
      <c r="B836" s="30"/>
    </row>
    <row r="837" spans="1:2" x14ac:dyDescent="0.25">
      <c r="A837" s="30"/>
      <c r="B837" s="30"/>
    </row>
    <row r="838" spans="1:2" x14ac:dyDescent="0.25">
      <c r="A838" s="30"/>
      <c r="B838" s="30"/>
    </row>
    <row r="839" spans="1:2" x14ac:dyDescent="0.25">
      <c r="A839" s="30"/>
      <c r="B839" s="30"/>
    </row>
    <row r="840" spans="1:2" x14ac:dyDescent="0.25">
      <c r="A840" s="30"/>
      <c r="B840" s="30"/>
    </row>
    <row r="841" spans="1:2" x14ac:dyDescent="0.25">
      <c r="A841" s="30"/>
      <c r="B841" s="30"/>
    </row>
    <row r="842" spans="1:2" x14ac:dyDescent="0.25">
      <c r="A842" s="30"/>
      <c r="B842" s="30"/>
    </row>
    <row r="843" spans="1:2" x14ac:dyDescent="0.25">
      <c r="A843" s="30"/>
      <c r="B843" s="30"/>
    </row>
    <row r="844" spans="1:2" x14ac:dyDescent="0.25">
      <c r="A844" s="30"/>
      <c r="B844" s="30"/>
    </row>
    <row r="845" spans="1:2" x14ac:dyDescent="0.25">
      <c r="A845" s="30"/>
      <c r="B845" s="30"/>
    </row>
    <row r="846" spans="1:2" x14ac:dyDescent="0.25">
      <c r="A846" s="30"/>
      <c r="B846" s="30"/>
    </row>
    <row r="847" spans="1:2" x14ac:dyDescent="0.25">
      <c r="A847" s="30"/>
      <c r="B847" s="30"/>
    </row>
    <row r="848" spans="1:2" x14ac:dyDescent="0.25">
      <c r="A848" s="30"/>
      <c r="B848" s="30"/>
    </row>
    <row r="849" spans="1:2" x14ac:dyDescent="0.25">
      <c r="A849" s="30"/>
      <c r="B849" s="30"/>
    </row>
    <row r="850" spans="1:2" x14ac:dyDescent="0.25">
      <c r="A850" s="30"/>
      <c r="B850" s="30"/>
    </row>
    <row r="851" spans="1:2" x14ac:dyDescent="0.25">
      <c r="A851" s="30"/>
      <c r="B851" s="30"/>
    </row>
    <row r="852" spans="1:2" x14ac:dyDescent="0.25">
      <c r="A852" s="30"/>
      <c r="B852" s="30"/>
    </row>
    <row r="853" spans="1:2" x14ac:dyDescent="0.25">
      <c r="A853" s="30"/>
      <c r="B853" s="30"/>
    </row>
    <row r="854" spans="1:2" x14ac:dyDescent="0.25">
      <c r="A854" s="30"/>
      <c r="B854" s="30"/>
    </row>
    <row r="855" spans="1:2" x14ac:dyDescent="0.25">
      <c r="A855" s="30"/>
      <c r="B855" s="30"/>
    </row>
    <row r="856" spans="1:2" x14ac:dyDescent="0.25">
      <c r="A856" s="30"/>
      <c r="B856" s="30"/>
    </row>
    <row r="857" spans="1:2" x14ac:dyDescent="0.25">
      <c r="A857" s="30"/>
      <c r="B857" s="30"/>
    </row>
    <row r="858" spans="1:2" x14ac:dyDescent="0.25">
      <c r="A858" s="30"/>
      <c r="B858" s="30"/>
    </row>
    <row r="859" spans="1:2" x14ac:dyDescent="0.25">
      <c r="A859" s="30"/>
      <c r="B859" s="30"/>
    </row>
    <row r="860" spans="1:2" x14ac:dyDescent="0.25">
      <c r="A860" s="30"/>
      <c r="B860" s="30"/>
    </row>
    <row r="861" spans="1:2" x14ac:dyDescent="0.25">
      <c r="A861" s="30"/>
      <c r="B861" s="30"/>
    </row>
    <row r="862" spans="1:2" x14ac:dyDescent="0.25">
      <c r="A862" s="30"/>
      <c r="B862" s="30"/>
    </row>
    <row r="863" spans="1:2" x14ac:dyDescent="0.25">
      <c r="A863" s="30"/>
      <c r="B863" s="30"/>
    </row>
    <row r="864" spans="1:2" x14ac:dyDescent="0.25">
      <c r="A864" s="30"/>
      <c r="B864" s="30"/>
    </row>
    <row r="865" spans="1:2" x14ac:dyDescent="0.25">
      <c r="A865" s="30"/>
      <c r="B865" s="30"/>
    </row>
    <row r="866" spans="1:2" x14ac:dyDescent="0.25">
      <c r="A866" s="30"/>
      <c r="B866" s="30"/>
    </row>
    <row r="867" spans="1:2" x14ac:dyDescent="0.25">
      <c r="A867" s="30"/>
      <c r="B867" s="30"/>
    </row>
    <row r="868" spans="1:2" x14ac:dyDescent="0.25">
      <c r="A868" s="30"/>
      <c r="B868" s="30"/>
    </row>
    <row r="869" spans="1:2" x14ac:dyDescent="0.25">
      <c r="A869" s="30"/>
      <c r="B869" s="30"/>
    </row>
    <row r="870" spans="1:2" x14ac:dyDescent="0.25">
      <c r="A870" s="30"/>
      <c r="B870" s="30"/>
    </row>
    <row r="871" spans="1:2" x14ac:dyDescent="0.25">
      <c r="A871" s="30"/>
      <c r="B871" s="30"/>
    </row>
    <row r="872" spans="1:2" x14ac:dyDescent="0.25">
      <c r="A872" s="30"/>
      <c r="B872" s="30"/>
    </row>
    <row r="873" spans="1:2" x14ac:dyDescent="0.25">
      <c r="A873" s="30"/>
      <c r="B873" s="30"/>
    </row>
    <row r="874" spans="1:2" x14ac:dyDescent="0.25">
      <c r="A874" s="30"/>
      <c r="B874" s="30"/>
    </row>
    <row r="875" spans="1:2" x14ac:dyDescent="0.25">
      <c r="A875" s="30"/>
      <c r="B875" s="30"/>
    </row>
    <row r="876" spans="1:2" x14ac:dyDescent="0.25">
      <c r="A876" s="30"/>
      <c r="B876" s="30"/>
    </row>
    <row r="877" spans="1:2" x14ac:dyDescent="0.25">
      <c r="A877" s="30"/>
      <c r="B877" s="30"/>
    </row>
    <row r="878" spans="1:2" x14ac:dyDescent="0.25">
      <c r="A878" s="30"/>
      <c r="B878" s="30"/>
    </row>
    <row r="879" spans="1:2" x14ac:dyDescent="0.25">
      <c r="A879" s="30"/>
      <c r="B879" s="30"/>
    </row>
    <row r="880" spans="1:2" x14ac:dyDescent="0.25">
      <c r="A880" s="30"/>
      <c r="B880" s="30"/>
    </row>
    <row r="881" spans="1:2" x14ac:dyDescent="0.25">
      <c r="A881" s="30"/>
      <c r="B881" s="30"/>
    </row>
    <row r="882" spans="1:2" x14ac:dyDescent="0.25">
      <c r="A882" s="30"/>
      <c r="B882" s="30"/>
    </row>
    <row r="883" spans="1:2" x14ac:dyDescent="0.25">
      <c r="A883" s="30"/>
      <c r="B883" s="30"/>
    </row>
    <row r="884" spans="1:2" x14ac:dyDescent="0.25">
      <c r="A884" s="30"/>
      <c r="B884" s="30"/>
    </row>
    <row r="885" spans="1:2" x14ac:dyDescent="0.25">
      <c r="A885" s="30"/>
      <c r="B885" s="30"/>
    </row>
    <row r="886" spans="1:2" x14ac:dyDescent="0.25">
      <c r="A886" s="30"/>
      <c r="B886" s="30"/>
    </row>
    <row r="887" spans="1:2" x14ac:dyDescent="0.25">
      <c r="A887" s="30"/>
      <c r="B887" s="30"/>
    </row>
    <row r="888" spans="1:2" x14ac:dyDescent="0.25">
      <c r="A888" s="30"/>
      <c r="B888" s="30"/>
    </row>
    <row r="889" spans="1:2" x14ac:dyDescent="0.25">
      <c r="A889" s="30"/>
      <c r="B889" s="30"/>
    </row>
    <row r="890" spans="1:2" x14ac:dyDescent="0.25">
      <c r="A890" s="30"/>
      <c r="B890" s="30"/>
    </row>
    <row r="891" spans="1:2" x14ac:dyDescent="0.25">
      <c r="A891" s="30"/>
      <c r="B891" s="30"/>
    </row>
    <row r="892" spans="1:2" x14ac:dyDescent="0.25">
      <c r="A892" s="30"/>
      <c r="B892" s="30"/>
    </row>
    <row r="893" spans="1:2" x14ac:dyDescent="0.25">
      <c r="A893" s="30"/>
      <c r="B893" s="30"/>
    </row>
    <row r="894" spans="1:2" x14ac:dyDescent="0.25">
      <c r="A894" s="30"/>
      <c r="B894" s="30"/>
    </row>
    <row r="895" spans="1:2" x14ac:dyDescent="0.25">
      <c r="A895" s="30"/>
      <c r="B895" s="30"/>
    </row>
    <row r="896" spans="1:2" x14ac:dyDescent="0.25">
      <c r="A896" s="30"/>
      <c r="B896" s="30"/>
    </row>
    <row r="897" spans="1:2" x14ac:dyDescent="0.25">
      <c r="A897" s="30"/>
      <c r="B897" s="30"/>
    </row>
    <row r="898" spans="1:2" x14ac:dyDescent="0.25">
      <c r="A898" s="30"/>
      <c r="B898" s="30"/>
    </row>
    <row r="899" spans="1:2" x14ac:dyDescent="0.25">
      <c r="A899" s="30"/>
      <c r="B899" s="30"/>
    </row>
    <row r="900" spans="1:2" x14ac:dyDescent="0.25">
      <c r="A900" s="30"/>
      <c r="B900" s="30"/>
    </row>
    <row r="901" spans="1:2" x14ac:dyDescent="0.25">
      <c r="A901" s="30"/>
      <c r="B901" s="30"/>
    </row>
    <row r="902" spans="1:2" x14ac:dyDescent="0.25">
      <c r="A902" s="30"/>
      <c r="B902" s="30"/>
    </row>
    <row r="903" spans="1:2" x14ac:dyDescent="0.25">
      <c r="A903" s="30"/>
      <c r="B903" s="30"/>
    </row>
    <row r="904" spans="1:2" x14ac:dyDescent="0.25">
      <c r="A904" s="30"/>
      <c r="B904" s="30"/>
    </row>
    <row r="905" spans="1:2" x14ac:dyDescent="0.25">
      <c r="A905" s="30"/>
      <c r="B905" s="30"/>
    </row>
    <row r="906" spans="1:2" x14ac:dyDescent="0.25">
      <c r="A906" s="30"/>
      <c r="B906" s="30"/>
    </row>
    <row r="907" spans="1:2" x14ac:dyDescent="0.25">
      <c r="A907" s="30"/>
      <c r="B907" s="30"/>
    </row>
    <row r="908" spans="1:2" x14ac:dyDescent="0.25">
      <c r="A908" s="30"/>
      <c r="B908" s="30"/>
    </row>
    <row r="909" spans="1:2" x14ac:dyDescent="0.25">
      <c r="A909" s="30"/>
      <c r="B909" s="30"/>
    </row>
    <row r="910" spans="1:2" x14ac:dyDescent="0.25">
      <c r="A910" s="30"/>
      <c r="B910" s="30"/>
    </row>
    <row r="911" spans="1:2" x14ac:dyDescent="0.25">
      <c r="A911" s="30"/>
      <c r="B911" s="30"/>
    </row>
    <row r="912" spans="1:2" x14ac:dyDescent="0.25">
      <c r="A912" s="30"/>
      <c r="B912" s="30"/>
    </row>
    <row r="913" spans="1:2" x14ac:dyDescent="0.25">
      <c r="A913" s="30"/>
      <c r="B913" s="30"/>
    </row>
    <row r="914" spans="1:2" x14ac:dyDescent="0.25">
      <c r="A914" s="30"/>
      <c r="B914" s="30"/>
    </row>
    <row r="915" spans="1:2" x14ac:dyDescent="0.25">
      <c r="A915" s="30"/>
      <c r="B915" s="30"/>
    </row>
    <row r="916" spans="1:2" x14ac:dyDescent="0.25">
      <c r="A916" s="30"/>
      <c r="B916" s="30"/>
    </row>
    <row r="917" spans="1:2" x14ac:dyDescent="0.25">
      <c r="A917" s="30"/>
      <c r="B917" s="30"/>
    </row>
    <row r="918" spans="1:2" x14ac:dyDescent="0.25">
      <c r="A918" s="30"/>
      <c r="B918" s="30"/>
    </row>
    <row r="919" spans="1:2" x14ac:dyDescent="0.25">
      <c r="A919" s="30"/>
      <c r="B919" s="30"/>
    </row>
    <row r="920" spans="1:2" x14ac:dyDescent="0.25">
      <c r="A920" s="30"/>
      <c r="B920" s="30"/>
    </row>
    <row r="921" spans="1:2" x14ac:dyDescent="0.25">
      <c r="A921" s="30"/>
      <c r="B921" s="30"/>
    </row>
    <row r="922" spans="1:2" x14ac:dyDescent="0.25">
      <c r="A922" s="30"/>
      <c r="B922" s="30"/>
    </row>
    <row r="923" spans="1:2" x14ac:dyDescent="0.25">
      <c r="A923" s="30"/>
      <c r="B923" s="30"/>
    </row>
    <row r="924" spans="1:2" x14ac:dyDescent="0.25">
      <c r="A924" s="30"/>
      <c r="B924" s="30"/>
    </row>
    <row r="925" spans="1:2" x14ac:dyDescent="0.25">
      <c r="A925" s="30"/>
      <c r="B925" s="30"/>
    </row>
    <row r="926" spans="1:2" x14ac:dyDescent="0.25">
      <c r="A926" s="30"/>
      <c r="B926" s="30"/>
    </row>
    <row r="927" spans="1:2" x14ac:dyDescent="0.25">
      <c r="A927" s="30"/>
      <c r="B927" s="30"/>
    </row>
    <row r="928" spans="1:2" x14ac:dyDescent="0.25">
      <c r="A928" s="30"/>
      <c r="B928" s="30"/>
    </row>
    <row r="929" spans="1:2" x14ac:dyDescent="0.25">
      <c r="A929" s="30"/>
      <c r="B929" s="30"/>
    </row>
    <row r="930" spans="1:2" x14ac:dyDescent="0.25">
      <c r="A930" s="30"/>
      <c r="B930" s="30"/>
    </row>
    <row r="931" spans="1:2" x14ac:dyDescent="0.25">
      <c r="A931" s="30"/>
      <c r="B931" s="30"/>
    </row>
    <row r="932" spans="1:2" x14ac:dyDescent="0.25">
      <c r="A932" s="30"/>
      <c r="B932" s="30"/>
    </row>
    <row r="933" spans="1:2" x14ac:dyDescent="0.25">
      <c r="A933" s="30"/>
      <c r="B933" s="30"/>
    </row>
    <row r="934" spans="1:2" x14ac:dyDescent="0.25">
      <c r="A934" s="30"/>
      <c r="B934" s="30"/>
    </row>
    <row r="935" spans="1:2" x14ac:dyDescent="0.25">
      <c r="A935" s="30"/>
      <c r="B935" s="30"/>
    </row>
    <row r="936" spans="1:2" x14ac:dyDescent="0.25">
      <c r="A936" s="30"/>
      <c r="B936" s="30"/>
    </row>
    <row r="937" spans="1:2" x14ac:dyDescent="0.25">
      <c r="A937" s="30"/>
      <c r="B937" s="30"/>
    </row>
    <row r="938" spans="1:2" x14ac:dyDescent="0.25">
      <c r="A938" s="30"/>
      <c r="B938" s="30"/>
    </row>
    <row r="939" spans="1:2" x14ac:dyDescent="0.25">
      <c r="A939" s="30"/>
      <c r="B939" s="30"/>
    </row>
    <row r="940" spans="1:2" x14ac:dyDescent="0.25">
      <c r="A940" s="30"/>
      <c r="B940" s="30"/>
    </row>
    <row r="941" spans="1:2" x14ac:dyDescent="0.25">
      <c r="A941" s="30"/>
      <c r="B941" s="30"/>
    </row>
    <row r="942" spans="1:2" x14ac:dyDescent="0.25">
      <c r="A942" s="30"/>
      <c r="B942" s="30"/>
    </row>
    <row r="943" spans="1:2" x14ac:dyDescent="0.25">
      <c r="A943" s="30"/>
      <c r="B943" s="30"/>
    </row>
    <row r="944" spans="1:2" x14ac:dyDescent="0.25">
      <c r="A944" s="30"/>
      <c r="B944" s="30"/>
    </row>
    <row r="945" spans="1:2" x14ac:dyDescent="0.25">
      <c r="A945" s="30"/>
      <c r="B945" s="30"/>
    </row>
    <row r="946" spans="1:2" x14ac:dyDescent="0.25">
      <c r="A946" s="30"/>
      <c r="B946" s="30"/>
    </row>
    <row r="947" spans="1:2" x14ac:dyDescent="0.25">
      <c r="A947" s="30"/>
      <c r="B947" s="30"/>
    </row>
    <row r="948" spans="1:2" x14ac:dyDescent="0.25">
      <c r="A948" s="30"/>
      <c r="B948" s="30"/>
    </row>
    <row r="949" spans="1:2" x14ac:dyDescent="0.25">
      <c r="A949" s="30"/>
      <c r="B949" s="30"/>
    </row>
    <row r="950" spans="1:2" x14ac:dyDescent="0.25">
      <c r="A950" s="30"/>
      <c r="B950" s="30"/>
    </row>
    <row r="951" spans="1:2" x14ac:dyDescent="0.25">
      <c r="A951" s="30"/>
      <c r="B951" s="30"/>
    </row>
    <row r="952" spans="1:2" x14ac:dyDescent="0.25">
      <c r="A952" s="30"/>
      <c r="B952" s="30"/>
    </row>
    <row r="953" spans="1:2" x14ac:dyDescent="0.25">
      <c r="A953" s="30"/>
      <c r="B953" s="30"/>
    </row>
    <row r="954" spans="1:2" x14ac:dyDescent="0.25">
      <c r="A954" s="30"/>
      <c r="B954" s="30"/>
    </row>
    <row r="955" spans="1:2" x14ac:dyDescent="0.25">
      <c r="A955" s="30"/>
      <c r="B955" s="30"/>
    </row>
    <row r="956" spans="1:2" x14ac:dyDescent="0.25">
      <c r="A956" s="30"/>
      <c r="B956" s="30"/>
    </row>
    <row r="957" spans="1:2" x14ac:dyDescent="0.25">
      <c r="A957" s="30"/>
      <c r="B957" s="30"/>
    </row>
    <row r="958" spans="1:2" x14ac:dyDescent="0.25">
      <c r="A958" s="30"/>
      <c r="B958" s="30"/>
    </row>
    <row r="959" spans="1:2" x14ac:dyDescent="0.25">
      <c r="A959" s="30"/>
      <c r="B959" s="30"/>
    </row>
    <row r="960" spans="1:2" x14ac:dyDescent="0.25">
      <c r="A960" s="30"/>
      <c r="B960" s="30"/>
    </row>
    <row r="961" spans="1:2" x14ac:dyDescent="0.25">
      <c r="A961" s="30"/>
      <c r="B961" s="30"/>
    </row>
    <row r="962" spans="1:2" x14ac:dyDescent="0.25">
      <c r="A962" s="30"/>
      <c r="B962" s="30"/>
    </row>
    <row r="963" spans="1:2" x14ac:dyDescent="0.25">
      <c r="A963" s="30"/>
      <c r="B963" s="30"/>
    </row>
    <row r="964" spans="1:2" x14ac:dyDescent="0.25">
      <c r="A964" s="30"/>
      <c r="B964" s="30"/>
    </row>
    <row r="965" spans="1:2" x14ac:dyDescent="0.25">
      <c r="A965" s="30"/>
      <c r="B965" s="30"/>
    </row>
    <row r="966" spans="1:2" x14ac:dyDescent="0.25">
      <c r="A966" s="30"/>
      <c r="B966" s="30"/>
    </row>
    <row r="967" spans="1:2" x14ac:dyDescent="0.25">
      <c r="A967" s="30"/>
      <c r="B967" s="30"/>
    </row>
    <row r="968" spans="1:2" x14ac:dyDescent="0.25">
      <c r="A968" s="30"/>
      <c r="B968" s="30"/>
    </row>
    <row r="969" spans="1:2" x14ac:dyDescent="0.25">
      <c r="A969" s="30"/>
      <c r="B969" s="30"/>
    </row>
    <row r="970" spans="1:2" x14ac:dyDescent="0.25">
      <c r="A970" s="30"/>
      <c r="B970" s="30"/>
    </row>
    <row r="971" spans="1:2" x14ac:dyDescent="0.25">
      <c r="A971" s="30"/>
      <c r="B971" s="30"/>
    </row>
    <row r="972" spans="1:2" x14ac:dyDescent="0.25">
      <c r="A972" s="30"/>
      <c r="B972" s="30"/>
    </row>
    <row r="973" spans="1:2" x14ac:dyDescent="0.25">
      <c r="A973" s="30"/>
      <c r="B973" s="30"/>
    </row>
    <row r="974" spans="1:2" x14ac:dyDescent="0.25">
      <c r="A974" s="30"/>
      <c r="B974" s="30"/>
    </row>
    <row r="975" spans="1:2" x14ac:dyDescent="0.25">
      <c r="A975" s="30"/>
      <c r="B975" s="30"/>
    </row>
    <row r="976" spans="1:2" x14ac:dyDescent="0.25">
      <c r="A976" s="30"/>
      <c r="B976" s="30"/>
    </row>
    <row r="977" spans="1:2" x14ac:dyDescent="0.25">
      <c r="A977" s="30"/>
      <c r="B977" s="30"/>
    </row>
    <row r="978" spans="1:2" x14ac:dyDescent="0.25">
      <c r="A978" s="30"/>
      <c r="B978" s="30"/>
    </row>
    <row r="979" spans="1:2" x14ac:dyDescent="0.25">
      <c r="A979" s="30"/>
      <c r="B979" s="30"/>
    </row>
    <row r="980" spans="1:2" x14ac:dyDescent="0.25">
      <c r="A980" s="30"/>
      <c r="B980" s="30"/>
    </row>
    <row r="981" spans="1:2" x14ac:dyDescent="0.25">
      <c r="A981" s="30"/>
      <c r="B981" s="30"/>
    </row>
    <row r="982" spans="1:2" x14ac:dyDescent="0.25">
      <c r="A982" s="30"/>
      <c r="B982" s="30"/>
    </row>
    <row r="983" spans="1:2" x14ac:dyDescent="0.25">
      <c r="A983" s="30"/>
      <c r="B983" s="30"/>
    </row>
    <row r="984" spans="1:2" x14ac:dyDescent="0.25">
      <c r="A984" s="30"/>
      <c r="B984" s="30"/>
    </row>
    <row r="985" spans="1:2" x14ac:dyDescent="0.25">
      <c r="A985" s="30"/>
      <c r="B985" s="30"/>
    </row>
    <row r="986" spans="1:2" x14ac:dyDescent="0.25">
      <c r="A986" s="30"/>
      <c r="B986" s="30"/>
    </row>
    <row r="987" spans="1:2" x14ac:dyDescent="0.25">
      <c r="A987" s="30"/>
      <c r="B987" s="30"/>
    </row>
    <row r="988" spans="1:2" x14ac:dyDescent="0.25">
      <c r="A988" s="30"/>
      <c r="B988" s="30"/>
    </row>
    <row r="989" spans="1:2" x14ac:dyDescent="0.25">
      <c r="A989" s="30"/>
      <c r="B989" s="30"/>
    </row>
    <row r="990" spans="1:2" x14ac:dyDescent="0.25">
      <c r="A990" s="30"/>
      <c r="B990" s="30"/>
    </row>
    <row r="991" spans="1:2" x14ac:dyDescent="0.25">
      <c r="A991" s="30"/>
      <c r="B991" s="30"/>
    </row>
    <row r="992" spans="1:2" x14ac:dyDescent="0.25">
      <c r="A992" s="30"/>
      <c r="B992" s="30"/>
    </row>
    <row r="993" spans="1:2" x14ac:dyDescent="0.25">
      <c r="A993" s="30"/>
      <c r="B993" s="30"/>
    </row>
    <row r="994" spans="1:2" x14ac:dyDescent="0.25">
      <c r="A994" s="30"/>
      <c r="B994" s="30"/>
    </row>
    <row r="995" spans="1:2" x14ac:dyDescent="0.25">
      <c r="A995" s="30"/>
      <c r="B995" s="30"/>
    </row>
    <row r="996" spans="1:2" x14ac:dyDescent="0.25">
      <c r="A996" s="30"/>
      <c r="B996" s="30"/>
    </row>
    <row r="997" spans="1:2" x14ac:dyDescent="0.25">
      <c r="A997" s="30"/>
      <c r="B997" s="30"/>
    </row>
    <row r="998" spans="1:2" x14ac:dyDescent="0.25">
      <c r="A998" s="30"/>
      <c r="B998" s="30"/>
    </row>
    <row r="999" spans="1:2" x14ac:dyDescent="0.25">
      <c r="A999" s="30"/>
      <c r="B999" s="30"/>
    </row>
    <row r="1000" spans="1:2" x14ac:dyDescent="0.25">
      <c r="A1000" s="30"/>
      <c r="B1000" s="30"/>
    </row>
    <row r="1001" spans="1:2" x14ac:dyDescent="0.25">
      <c r="A1001" s="30"/>
      <c r="B1001" s="30"/>
    </row>
    <row r="1002" spans="1:2" x14ac:dyDescent="0.25">
      <c r="A1002" s="30"/>
      <c r="B1002" s="30"/>
    </row>
    <row r="1003" spans="1:2" x14ac:dyDescent="0.25">
      <c r="A1003" s="30"/>
      <c r="B1003" s="30"/>
    </row>
    <row r="1004" spans="1:2" x14ac:dyDescent="0.25">
      <c r="A1004" s="30"/>
      <c r="B1004" s="30"/>
    </row>
    <row r="1005" spans="1:2" x14ac:dyDescent="0.25">
      <c r="A1005" s="30"/>
      <c r="B1005" s="30"/>
    </row>
    <row r="1006" spans="1:2" x14ac:dyDescent="0.25">
      <c r="A1006" s="30"/>
      <c r="B1006" s="30"/>
    </row>
    <row r="1007" spans="1:2" x14ac:dyDescent="0.25">
      <c r="A1007" s="30"/>
      <c r="B1007" s="30"/>
    </row>
    <row r="1008" spans="1:2" x14ac:dyDescent="0.25">
      <c r="A1008" s="30"/>
      <c r="B1008" s="30"/>
    </row>
    <row r="1009" spans="1:2" x14ac:dyDescent="0.25">
      <c r="A1009" s="30"/>
      <c r="B1009" s="30"/>
    </row>
    <row r="1010" spans="1:2" x14ac:dyDescent="0.25">
      <c r="A1010" s="30"/>
      <c r="B1010" s="30"/>
    </row>
    <row r="1011" spans="1:2" x14ac:dyDescent="0.25">
      <c r="A1011" s="30"/>
      <c r="B1011" s="30"/>
    </row>
    <row r="1012" spans="1:2" x14ac:dyDescent="0.25">
      <c r="A1012" s="30"/>
      <c r="B1012" s="30"/>
    </row>
    <row r="1013" spans="1:2" x14ac:dyDescent="0.25">
      <c r="A1013" s="30"/>
      <c r="B1013" s="30"/>
    </row>
    <row r="1014" spans="1:2" x14ac:dyDescent="0.25">
      <c r="A1014" s="30"/>
      <c r="B1014" s="30"/>
    </row>
    <row r="1015" spans="1:2" x14ac:dyDescent="0.25">
      <c r="A1015" s="30"/>
      <c r="B1015" s="30"/>
    </row>
    <row r="1016" spans="1:2" x14ac:dyDescent="0.25">
      <c r="A1016" s="30"/>
      <c r="B1016" s="30"/>
    </row>
    <row r="1017" spans="1:2" x14ac:dyDescent="0.25">
      <c r="A1017" s="30"/>
      <c r="B1017" s="30"/>
    </row>
    <row r="1018" spans="1:2" x14ac:dyDescent="0.25">
      <c r="A1018" s="30"/>
      <c r="B1018" s="30"/>
    </row>
    <row r="1019" spans="1:2" x14ac:dyDescent="0.25">
      <c r="A1019" s="30"/>
      <c r="B1019" s="30"/>
    </row>
    <row r="1020" spans="1:2" x14ac:dyDescent="0.25">
      <c r="A1020" s="30"/>
      <c r="B1020" s="30"/>
    </row>
    <row r="1021" spans="1:2" x14ac:dyDescent="0.25">
      <c r="A1021" s="30"/>
      <c r="B1021" s="30"/>
    </row>
    <row r="1022" spans="1:2" x14ac:dyDescent="0.25">
      <c r="A1022" s="30"/>
      <c r="B1022" s="30"/>
    </row>
    <row r="1023" spans="1:2" x14ac:dyDescent="0.25">
      <c r="A1023" s="30"/>
      <c r="B1023" s="30"/>
    </row>
    <row r="1024" spans="1:2" x14ac:dyDescent="0.25">
      <c r="A1024" s="30"/>
      <c r="B1024" s="30"/>
    </row>
    <row r="1025" spans="1:2" x14ac:dyDescent="0.25">
      <c r="A1025" s="30"/>
      <c r="B1025" s="30"/>
    </row>
    <row r="1026" spans="1:2" x14ac:dyDescent="0.25">
      <c r="A1026" s="30"/>
      <c r="B1026" s="30"/>
    </row>
    <row r="1027" spans="1:2" x14ac:dyDescent="0.25">
      <c r="A1027" s="30"/>
      <c r="B1027" s="30"/>
    </row>
    <row r="1028" spans="1:2" x14ac:dyDescent="0.25">
      <c r="A1028" s="30"/>
      <c r="B1028" s="30"/>
    </row>
    <row r="1029" spans="1:2" x14ac:dyDescent="0.25">
      <c r="A1029" s="30"/>
      <c r="B1029" s="30"/>
    </row>
    <row r="1030" spans="1:2" x14ac:dyDescent="0.25">
      <c r="A1030" s="30"/>
      <c r="B1030" s="30"/>
    </row>
    <row r="1031" spans="1:2" x14ac:dyDescent="0.25">
      <c r="A1031" s="30"/>
      <c r="B1031" s="30"/>
    </row>
    <row r="1032" spans="1:2" x14ac:dyDescent="0.25">
      <c r="A1032" s="30"/>
      <c r="B1032" s="30"/>
    </row>
    <row r="1033" spans="1:2" x14ac:dyDescent="0.25">
      <c r="A1033" s="30"/>
      <c r="B1033" s="30"/>
    </row>
    <row r="1034" spans="1:2" x14ac:dyDescent="0.25">
      <c r="A1034" s="30"/>
      <c r="B1034" s="30"/>
    </row>
    <row r="1035" spans="1:2" x14ac:dyDescent="0.25">
      <c r="A1035" s="30"/>
      <c r="B1035" s="30"/>
    </row>
    <row r="1036" spans="1:2" x14ac:dyDescent="0.25">
      <c r="A1036" s="30"/>
      <c r="B1036" s="30"/>
    </row>
    <row r="1037" spans="1:2" x14ac:dyDescent="0.25">
      <c r="A1037" s="30"/>
      <c r="B1037" s="30"/>
    </row>
    <row r="1038" spans="1:2" x14ac:dyDescent="0.25">
      <c r="A1038" s="30"/>
      <c r="B1038" s="30"/>
    </row>
    <row r="1039" spans="1:2" x14ac:dyDescent="0.25">
      <c r="A1039" s="30"/>
      <c r="B1039" s="30"/>
    </row>
    <row r="1040" spans="1:2" x14ac:dyDescent="0.25">
      <c r="A1040" s="30"/>
      <c r="B1040" s="30"/>
    </row>
    <row r="1041" spans="1:2" x14ac:dyDescent="0.25">
      <c r="A1041" s="30"/>
      <c r="B1041" s="30"/>
    </row>
    <row r="1042" spans="1:2" x14ac:dyDescent="0.25">
      <c r="A1042" s="30"/>
      <c r="B1042" s="30"/>
    </row>
    <row r="1043" spans="1:2" x14ac:dyDescent="0.25">
      <c r="A1043" s="30"/>
      <c r="B1043" s="30"/>
    </row>
    <row r="1044" spans="1:2" x14ac:dyDescent="0.25">
      <c r="A1044" s="30"/>
      <c r="B1044" s="30"/>
    </row>
    <row r="1045" spans="1:2" x14ac:dyDescent="0.25">
      <c r="A1045" s="30"/>
      <c r="B1045" s="30"/>
    </row>
    <row r="1046" spans="1:2" x14ac:dyDescent="0.25">
      <c r="A1046" s="30"/>
      <c r="B1046" s="30"/>
    </row>
    <row r="1047" spans="1:2" x14ac:dyDescent="0.25">
      <c r="A1047" s="30"/>
      <c r="B1047" s="30"/>
    </row>
    <row r="1048" spans="1:2" x14ac:dyDescent="0.25">
      <c r="A1048" s="30"/>
      <c r="B1048" s="30"/>
    </row>
    <row r="1049" spans="1:2" x14ac:dyDescent="0.25">
      <c r="A1049" s="30"/>
      <c r="B1049" s="30"/>
    </row>
    <row r="1050" spans="1:2" x14ac:dyDescent="0.25">
      <c r="A1050" s="30"/>
      <c r="B1050" s="30"/>
    </row>
    <row r="1051" spans="1:2" x14ac:dyDescent="0.25">
      <c r="A1051" s="30"/>
      <c r="B1051" s="30"/>
    </row>
    <row r="1052" spans="1:2" x14ac:dyDescent="0.25">
      <c r="A1052" s="30"/>
      <c r="B1052" s="30"/>
    </row>
    <row r="1053" spans="1:2" x14ac:dyDescent="0.25">
      <c r="A1053" s="30"/>
      <c r="B1053" s="30"/>
    </row>
    <row r="1054" spans="1:2" x14ac:dyDescent="0.25">
      <c r="A1054" s="30"/>
      <c r="B1054" s="30"/>
    </row>
    <row r="1055" spans="1:2" x14ac:dyDescent="0.25">
      <c r="A1055" s="30"/>
      <c r="B1055" s="30"/>
    </row>
    <row r="1056" spans="1:2" x14ac:dyDescent="0.25">
      <c r="A1056" s="30"/>
      <c r="B1056" s="30"/>
    </row>
    <row r="1057" spans="1:2" x14ac:dyDescent="0.25">
      <c r="A1057" s="30"/>
      <c r="B1057" s="30"/>
    </row>
    <row r="1058" spans="1:2" x14ac:dyDescent="0.25">
      <c r="A1058" s="30"/>
      <c r="B1058" s="30"/>
    </row>
    <row r="1059" spans="1:2" x14ac:dyDescent="0.25">
      <c r="A1059" s="30"/>
      <c r="B1059" s="30"/>
    </row>
    <row r="1060" spans="1:2" x14ac:dyDescent="0.25">
      <c r="A1060" s="30"/>
      <c r="B1060" s="30"/>
    </row>
    <row r="1061" spans="1:2" x14ac:dyDescent="0.25">
      <c r="A1061" s="30"/>
      <c r="B1061" s="30"/>
    </row>
    <row r="1062" spans="1:2" x14ac:dyDescent="0.25">
      <c r="A1062" s="30"/>
      <c r="B1062" s="30"/>
    </row>
    <row r="1063" spans="1:2" x14ac:dyDescent="0.25">
      <c r="A1063" s="30"/>
      <c r="B1063" s="30"/>
    </row>
    <row r="1064" spans="1:2" x14ac:dyDescent="0.25">
      <c r="A1064" s="30"/>
      <c r="B1064" s="30"/>
    </row>
    <row r="1065" spans="1:2" x14ac:dyDescent="0.25">
      <c r="A1065" s="30"/>
      <c r="B1065" s="30"/>
    </row>
    <row r="1066" spans="1:2" x14ac:dyDescent="0.25">
      <c r="A1066" s="30"/>
      <c r="B1066" s="30"/>
    </row>
    <row r="1067" spans="1:2" x14ac:dyDescent="0.25">
      <c r="A1067" s="30"/>
      <c r="B1067" s="30"/>
    </row>
    <row r="1068" spans="1:2" x14ac:dyDescent="0.25">
      <c r="A1068" s="30"/>
      <c r="B1068" s="30"/>
    </row>
    <row r="1069" spans="1:2" x14ac:dyDescent="0.25">
      <c r="A1069" s="30"/>
      <c r="B1069" s="30"/>
    </row>
    <row r="1070" spans="1:2" x14ac:dyDescent="0.25">
      <c r="A1070" s="30"/>
      <c r="B1070" s="30"/>
    </row>
    <row r="1071" spans="1:2" x14ac:dyDescent="0.25">
      <c r="A1071" s="30"/>
      <c r="B1071" s="30"/>
    </row>
    <row r="1072" spans="1:2" x14ac:dyDescent="0.25">
      <c r="A1072" s="30"/>
      <c r="B1072" s="30"/>
    </row>
    <row r="1073" spans="1:2" x14ac:dyDescent="0.25">
      <c r="A1073" s="30"/>
      <c r="B1073" s="30"/>
    </row>
    <row r="1074" spans="1:2" x14ac:dyDescent="0.25">
      <c r="A1074" s="30"/>
      <c r="B1074" s="30"/>
    </row>
    <row r="1075" spans="1:2" x14ac:dyDescent="0.25">
      <c r="A1075" s="30"/>
      <c r="B1075" s="30"/>
    </row>
    <row r="1076" spans="1:2" x14ac:dyDescent="0.25">
      <c r="A1076" s="30"/>
      <c r="B1076" s="30"/>
    </row>
    <row r="1077" spans="1:2" x14ac:dyDescent="0.25">
      <c r="A1077" s="30"/>
      <c r="B1077" s="30"/>
    </row>
    <row r="1078" spans="1:2" x14ac:dyDescent="0.25">
      <c r="A1078" s="30"/>
      <c r="B1078" s="30"/>
    </row>
    <row r="1079" spans="1:2" x14ac:dyDescent="0.25">
      <c r="A1079" s="30"/>
      <c r="B1079" s="30"/>
    </row>
    <row r="1080" spans="1:2" x14ac:dyDescent="0.25">
      <c r="A1080" s="30"/>
      <c r="B1080" s="30"/>
    </row>
    <row r="1081" spans="1:2" x14ac:dyDescent="0.25">
      <c r="A1081" s="30"/>
      <c r="B1081" s="30"/>
    </row>
    <row r="1082" spans="1:2" x14ac:dyDescent="0.25">
      <c r="A1082" s="30"/>
      <c r="B1082" s="30"/>
    </row>
    <row r="1083" spans="1:2" x14ac:dyDescent="0.25">
      <c r="A1083" s="30"/>
      <c r="B1083" s="30"/>
    </row>
    <row r="1084" spans="1:2" x14ac:dyDescent="0.25">
      <c r="A1084" s="30"/>
      <c r="B1084" s="30"/>
    </row>
    <row r="1085" spans="1:2" x14ac:dyDescent="0.25">
      <c r="A1085" s="30"/>
      <c r="B1085" s="30"/>
    </row>
    <row r="1086" spans="1:2" x14ac:dyDescent="0.25">
      <c r="A1086" s="30"/>
      <c r="B1086" s="30"/>
    </row>
    <row r="1087" spans="1:2" x14ac:dyDescent="0.25">
      <c r="A1087" s="30"/>
      <c r="B1087" s="30"/>
    </row>
    <row r="1088" spans="1:2" x14ac:dyDescent="0.25">
      <c r="A1088" s="30"/>
      <c r="B1088" s="30"/>
    </row>
    <row r="1089" spans="1:2" x14ac:dyDescent="0.25">
      <c r="A1089" s="30"/>
      <c r="B1089" s="30"/>
    </row>
    <row r="1090" spans="1:2" x14ac:dyDescent="0.25">
      <c r="A1090" s="30"/>
      <c r="B1090" s="30"/>
    </row>
    <row r="1091" spans="1:2" x14ac:dyDescent="0.25">
      <c r="A1091" s="30"/>
      <c r="B1091" s="30"/>
    </row>
    <row r="1092" spans="1:2" x14ac:dyDescent="0.25">
      <c r="A1092" s="30"/>
      <c r="B1092" s="30"/>
    </row>
    <row r="1093" spans="1:2" x14ac:dyDescent="0.25">
      <c r="A1093" s="30"/>
      <c r="B1093" s="30"/>
    </row>
    <row r="1094" spans="1:2" x14ac:dyDescent="0.25">
      <c r="A1094" s="30"/>
      <c r="B1094" s="30"/>
    </row>
    <row r="1095" spans="1:2" x14ac:dyDescent="0.25">
      <c r="A1095" s="30"/>
      <c r="B1095" s="30"/>
    </row>
    <row r="1096" spans="1:2" x14ac:dyDescent="0.25">
      <c r="A1096" s="30"/>
      <c r="B1096" s="30"/>
    </row>
    <row r="1097" spans="1:2" x14ac:dyDescent="0.25">
      <c r="A1097" s="30"/>
      <c r="B1097" s="30"/>
    </row>
    <row r="1098" spans="1:2" x14ac:dyDescent="0.25">
      <c r="A1098" s="30"/>
      <c r="B1098" s="30"/>
    </row>
    <row r="1099" spans="1:2" x14ac:dyDescent="0.25">
      <c r="A1099" s="30"/>
      <c r="B1099" s="30"/>
    </row>
    <row r="1100" spans="1:2" x14ac:dyDescent="0.25">
      <c r="A1100" s="30"/>
      <c r="B1100" s="30"/>
    </row>
    <row r="1101" spans="1:2" x14ac:dyDescent="0.25">
      <c r="A1101" s="30"/>
      <c r="B1101" s="30"/>
    </row>
    <row r="1102" spans="1:2" x14ac:dyDescent="0.25">
      <c r="A1102" s="30"/>
      <c r="B1102" s="30"/>
    </row>
    <row r="1103" spans="1:2" x14ac:dyDescent="0.25">
      <c r="A1103" s="30"/>
      <c r="B1103" s="30"/>
    </row>
    <row r="1104" spans="1:2" x14ac:dyDescent="0.25">
      <c r="A1104" s="30"/>
      <c r="B1104" s="30"/>
    </row>
    <row r="1105" spans="1:2" x14ac:dyDescent="0.25">
      <c r="A1105" s="30"/>
      <c r="B1105" s="30"/>
    </row>
    <row r="1106" spans="1:2" x14ac:dyDescent="0.25">
      <c r="A1106" s="30"/>
      <c r="B1106" s="30"/>
    </row>
    <row r="1107" spans="1:2" x14ac:dyDescent="0.25">
      <c r="A1107" s="30"/>
      <c r="B1107" s="30"/>
    </row>
    <row r="1108" spans="1:2" x14ac:dyDescent="0.25">
      <c r="A1108" s="30"/>
      <c r="B1108" s="30"/>
    </row>
    <row r="1109" spans="1:2" x14ac:dyDescent="0.25">
      <c r="A1109" s="30"/>
      <c r="B1109" s="30"/>
    </row>
    <row r="1110" spans="1:2" x14ac:dyDescent="0.25">
      <c r="A1110" s="30"/>
      <c r="B1110" s="30"/>
    </row>
    <row r="1111" spans="1:2" x14ac:dyDescent="0.25">
      <c r="A1111" s="30"/>
      <c r="B1111" s="30"/>
    </row>
    <row r="1112" spans="1:2" x14ac:dyDescent="0.25">
      <c r="A1112" s="30"/>
      <c r="B1112" s="30"/>
    </row>
    <row r="1113" spans="1:2" x14ac:dyDescent="0.25">
      <c r="A1113" s="30"/>
      <c r="B1113" s="30"/>
    </row>
    <row r="1114" spans="1:2" x14ac:dyDescent="0.25">
      <c r="A1114" s="30"/>
      <c r="B1114" s="30"/>
    </row>
    <row r="1115" spans="1:2" x14ac:dyDescent="0.25">
      <c r="A1115" s="30"/>
      <c r="B1115" s="30"/>
    </row>
    <row r="1116" spans="1:2" x14ac:dyDescent="0.25">
      <c r="A1116" s="30"/>
      <c r="B1116" s="30"/>
    </row>
    <row r="1117" spans="1:2" x14ac:dyDescent="0.25">
      <c r="A1117" s="30"/>
      <c r="B1117" s="30"/>
    </row>
    <row r="1118" spans="1:2" x14ac:dyDescent="0.25">
      <c r="A1118" s="30"/>
      <c r="B1118" s="30"/>
    </row>
    <row r="1119" spans="1:2" x14ac:dyDescent="0.25">
      <c r="A1119" s="30"/>
      <c r="B1119" s="30"/>
    </row>
    <row r="1120" spans="1:2" x14ac:dyDescent="0.25">
      <c r="A1120" s="30"/>
      <c r="B1120" s="30"/>
    </row>
    <row r="1121" spans="1:2" x14ac:dyDescent="0.25">
      <c r="A1121" s="30"/>
      <c r="B1121" s="30"/>
    </row>
    <row r="1122" spans="1:2" x14ac:dyDescent="0.25">
      <c r="A1122" s="30"/>
      <c r="B1122" s="30"/>
    </row>
    <row r="1123" spans="1:2" x14ac:dyDescent="0.25">
      <c r="A1123" s="30"/>
      <c r="B1123" s="30"/>
    </row>
    <row r="1124" spans="1:2" x14ac:dyDescent="0.25">
      <c r="A1124" s="30"/>
      <c r="B1124" s="30"/>
    </row>
    <row r="1125" spans="1:2" x14ac:dyDescent="0.25">
      <c r="A1125" s="30"/>
      <c r="B1125" s="30"/>
    </row>
    <row r="1126" spans="1:2" x14ac:dyDescent="0.25">
      <c r="A1126" s="30"/>
      <c r="B1126" s="30"/>
    </row>
    <row r="1127" spans="1:2" x14ac:dyDescent="0.25">
      <c r="A1127" s="30"/>
      <c r="B1127" s="30"/>
    </row>
    <row r="1128" spans="1:2" x14ac:dyDescent="0.25">
      <c r="A1128" s="30"/>
      <c r="B1128" s="30"/>
    </row>
    <row r="1129" spans="1:2" x14ac:dyDescent="0.25">
      <c r="A1129" s="30"/>
      <c r="B1129" s="30"/>
    </row>
    <row r="1130" spans="1:2" x14ac:dyDescent="0.25">
      <c r="A1130" s="30"/>
      <c r="B1130" s="30"/>
    </row>
    <row r="1131" spans="1:2" x14ac:dyDescent="0.25">
      <c r="A1131" s="30"/>
      <c r="B1131" s="30"/>
    </row>
    <row r="1132" spans="1:2" x14ac:dyDescent="0.25">
      <c r="A1132" s="30"/>
      <c r="B1132" s="30"/>
    </row>
    <row r="1133" spans="1:2" x14ac:dyDescent="0.25">
      <c r="A1133" s="30"/>
      <c r="B1133" s="30"/>
    </row>
    <row r="1134" spans="1:2" x14ac:dyDescent="0.25">
      <c r="A1134" s="30"/>
      <c r="B1134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C00030</vt:lpstr>
      <vt:lpstr>Raw Data Cut 1.3</vt:lpstr>
      <vt:lpstr>Raw Data Hotspot</vt:lpstr>
      <vt:lpstr>Insertion</vt:lpstr>
      <vt:lpstr>Deletion</vt:lpstr>
      <vt:lpstr>Coverage Reports</vt:lpstr>
    </vt:vector>
  </TitlesOfParts>
  <Company>University of Kansas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ZP</dc:creator>
  <cp:lastModifiedBy>Ronald Ayoub</cp:lastModifiedBy>
  <cp:lastPrinted>2018-02-19T20:24:58Z</cp:lastPrinted>
  <dcterms:created xsi:type="dcterms:W3CDTF">2018-02-10T17:26:11Z</dcterms:created>
  <dcterms:modified xsi:type="dcterms:W3CDTF">2021-05-26T16:45:25Z</dcterms:modified>
</cp:coreProperties>
</file>
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QA\30B\"/>
    </mc:Choice>
  </mc:AlternateContent>
  <xr:revisionPtr revIDLastSave="0" documentId="13_ncr:1_{4239A140-7890-406A-BA8C-FFDEC7C4312E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2" i="1" l="1"/>
  <c r="J62" i="1"/>
  <c r="K62" i="1"/>
  <c r="L62" i="1"/>
  <c r="M62" i="1"/>
  <c r="N62" i="1"/>
  <c r="O62" i="1"/>
  <c r="P62" i="1"/>
  <c r="T62" i="1" s="1"/>
  <c r="Q62" i="1"/>
  <c r="R62" i="1"/>
  <c r="S62" i="1"/>
  <c r="U62" i="1" s="1"/>
  <c r="V62" i="1"/>
  <c r="I63" i="1"/>
  <c r="J63" i="1"/>
  <c r="V63" i="1" s="1"/>
  <c r="K63" i="1"/>
  <c r="L63" i="1"/>
  <c r="M63" i="1"/>
  <c r="N63" i="1"/>
  <c r="O63" i="1"/>
  <c r="P63" i="1"/>
  <c r="Q63" i="1"/>
  <c r="R63" i="1"/>
  <c r="S63" i="1"/>
  <c r="U63" i="1" s="1"/>
  <c r="T63" i="1"/>
  <c r="I64" i="1"/>
  <c r="J64" i="1"/>
  <c r="V64" i="1" s="1"/>
  <c r="K64" i="1"/>
  <c r="L64" i="1"/>
  <c r="M64" i="1"/>
  <c r="N64" i="1"/>
  <c r="O64" i="1"/>
  <c r="P64" i="1"/>
  <c r="T64" i="1" s="1"/>
  <c r="Q64" i="1"/>
  <c r="R64" i="1"/>
  <c r="S64" i="1"/>
  <c r="U64" i="1" s="1"/>
  <c r="I65" i="1"/>
  <c r="J65" i="1"/>
  <c r="V65" i="1" s="1"/>
  <c r="K65" i="1"/>
  <c r="L65" i="1"/>
  <c r="M65" i="1"/>
  <c r="N65" i="1"/>
  <c r="O65" i="1"/>
  <c r="P65" i="1"/>
  <c r="T65" i="1" s="1"/>
  <c r="Q65" i="1"/>
  <c r="R65" i="1"/>
  <c r="S65" i="1"/>
  <c r="U65" i="1"/>
  <c r="I66" i="1"/>
  <c r="J66" i="1"/>
  <c r="V66" i="1" s="1"/>
  <c r="K66" i="1"/>
  <c r="L66" i="1"/>
  <c r="M66" i="1"/>
  <c r="N66" i="1"/>
  <c r="O66" i="1"/>
  <c r="P66" i="1"/>
  <c r="T66" i="1" s="1"/>
  <c r="Q66" i="1"/>
  <c r="R66" i="1"/>
  <c r="S66" i="1"/>
  <c r="U66" i="1" s="1"/>
  <c r="I67" i="1"/>
  <c r="J67" i="1"/>
  <c r="V67" i="1" s="1"/>
  <c r="K67" i="1"/>
  <c r="L67" i="1"/>
  <c r="M67" i="1"/>
  <c r="N67" i="1"/>
  <c r="O67" i="1"/>
  <c r="P67" i="1"/>
  <c r="T67" i="1" s="1"/>
  <c r="Q67" i="1"/>
  <c r="R67" i="1"/>
  <c r="S67" i="1"/>
  <c r="U67" i="1" s="1"/>
  <c r="I68" i="1"/>
  <c r="J68" i="1"/>
  <c r="V68" i="1" s="1"/>
  <c r="K68" i="1"/>
  <c r="L68" i="1"/>
  <c r="M68" i="1"/>
  <c r="N68" i="1"/>
  <c r="O68" i="1"/>
  <c r="P68" i="1"/>
  <c r="T68" i="1" s="1"/>
  <c r="Q68" i="1"/>
  <c r="R68" i="1"/>
  <c r="S68" i="1"/>
  <c r="U68" i="1"/>
  <c r="I69" i="1"/>
  <c r="J69" i="1"/>
  <c r="V69" i="1" s="1"/>
  <c r="K69" i="1"/>
  <c r="L69" i="1"/>
  <c r="M69" i="1"/>
  <c r="N69" i="1"/>
  <c r="O69" i="1"/>
  <c r="P69" i="1"/>
  <c r="T69" i="1" s="1"/>
  <c r="Q69" i="1"/>
  <c r="R69" i="1"/>
  <c r="S69" i="1"/>
  <c r="U69" i="1" s="1"/>
  <c r="I70" i="1"/>
  <c r="J70" i="1"/>
  <c r="K70" i="1"/>
  <c r="L70" i="1"/>
  <c r="M70" i="1"/>
  <c r="N70" i="1"/>
  <c r="O70" i="1"/>
  <c r="P70" i="1"/>
  <c r="T70" i="1" s="1"/>
  <c r="Q70" i="1"/>
  <c r="R70" i="1"/>
  <c r="S70" i="1"/>
  <c r="U70" i="1" s="1"/>
  <c r="V70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I72" i="1"/>
  <c r="J72" i="1"/>
  <c r="V72" i="1" s="1"/>
  <c r="K72" i="1"/>
  <c r="L72" i="1"/>
  <c r="M72" i="1"/>
  <c r="N72" i="1"/>
  <c r="O72" i="1"/>
  <c r="P72" i="1"/>
  <c r="T72" i="1" s="1"/>
  <c r="Q72" i="1"/>
  <c r="R72" i="1"/>
  <c r="S72" i="1"/>
  <c r="U72" i="1"/>
  <c r="I73" i="1"/>
  <c r="J73" i="1"/>
  <c r="V73" i="1" s="1"/>
  <c r="K73" i="1"/>
  <c r="L73" i="1"/>
  <c r="M73" i="1"/>
  <c r="N73" i="1"/>
  <c r="O73" i="1"/>
  <c r="P73" i="1"/>
  <c r="T73" i="1" s="1"/>
  <c r="Q73" i="1"/>
  <c r="R73" i="1"/>
  <c r="S73" i="1"/>
  <c r="U73" i="1" s="1"/>
  <c r="I74" i="1"/>
  <c r="J74" i="1"/>
  <c r="K74" i="1"/>
  <c r="L74" i="1"/>
  <c r="M74" i="1"/>
  <c r="N74" i="1"/>
  <c r="O74" i="1"/>
  <c r="P74" i="1"/>
  <c r="T74" i="1" s="1"/>
  <c r="Q74" i="1"/>
  <c r="R74" i="1"/>
  <c r="S74" i="1"/>
  <c r="U74" i="1" s="1"/>
  <c r="V74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I76" i="1"/>
  <c r="J76" i="1"/>
  <c r="V76" i="1" s="1"/>
  <c r="K76" i="1"/>
  <c r="L76" i="1"/>
  <c r="M76" i="1"/>
  <c r="N76" i="1"/>
  <c r="O76" i="1"/>
  <c r="P76" i="1"/>
  <c r="T76" i="1" s="1"/>
  <c r="Q76" i="1"/>
  <c r="R76" i="1"/>
  <c r="S76" i="1"/>
  <c r="U76" i="1" s="1"/>
  <c r="I77" i="1"/>
  <c r="J77" i="1"/>
  <c r="K77" i="1"/>
  <c r="L77" i="1"/>
  <c r="M77" i="1"/>
  <c r="N77" i="1"/>
  <c r="O77" i="1"/>
  <c r="P77" i="1"/>
  <c r="T77" i="1" s="1"/>
  <c r="Q77" i="1"/>
  <c r="R77" i="1"/>
  <c r="S77" i="1"/>
  <c r="U77" i="1"/>
  <c r="V77" i="1"/>
  <c r="I78" i="1"/>
  <c r="J78" i="1"/>
  <c r="V78" i="1" s="1"/>
  <c r="K78" i="1"/>
  <c r="L78" i="1"/>
  <c r="M78" i="1"/>
  <c r="N78" i="1"/>
  <c r="O78" i="1"/>
  <c r="P78" i="1"/>
  <c r="T78" i="1" s="1"/>
  <c r="Q78" i="1"/>
  <c r="R78" i="1"/>
  <c r="S78" i="1"/>
  <c r="U78" i="1" s="1"/>
  <c r="I79" i="1"/>
  <c r="J79" i="1"/>
  <c r="K79" i="1"/>
  <c r="L79" i="1"/>
  <c r="M79" i="1"/>
  <c r="N79" i="1"/>
  <c r="O79" i="1"/>
  <c r="P79" i="1"/>
  <c r="T79" i="1" s="1"/>
  <c r="Q79" i="1"/>
  <c r="R79" i="1"/>
  <c r="S79" i="1"/>
  <c r="U79" i="1" s="1"/>
  <c r="V79" i="1"/>
  <c r="I80" i="1"/>
  <c r="J80" i="1"/>
  <c r="K80" i="1"/>
  <c r="L80" i="1"/>
  <c r="M80" i="1"/>
  <c r="N80" i="1"/>
  <c r="O80" i="1"/>
  <c r="P80" i="1"/>
  <c r="Q80" i="1"/>
  <c r="R80" i="1"/>
  <c r="S80" i="1"/>
  <c r="U80" i="1" s="1"/>
  <c r="T80" i="1"/>
  <c r="V80" i="1"/>
  <c r="I81" i="1"/>
  <c r="J81" i="1"/>
  <c r="K81" i="1"/>
  <c r="L81" i="1"/>
  <c r="M81" i="1"/>
  <c r="N81" i="1"/>
  <c r="O81" i="1"/>
  <c r="P81" i="1"/>
  <c r="T81" i="1" s="1"/>
  <c r="Q81" i="1"/>
  <c r="R81" i="1"/>
  <c r="S81" i="1"/>
  <c r="U81" i="1" s="1"/>
  <c r="V81" i="1"/>
  <c r="I82" i="1"/>
  <c r="J82" i="1"/>
  <c r="V82" i="1" s="1"/>
  <c r="K82" i="1"/>
  <c r="L82" i="1"/>
  <c r="M82" i="1"/>
  <c r="N82" i="1"/>
  <c r="O82" i="1"/>
  <c r="P82" i="1"/>
  <c r="T82" i="1" s="1"/>
  <c r="Q82" i="1"/>
  <c r="R82" i="1"/>
  <c r="S82" i="1"/>
  <c r="U82" i="1" s="1"/>
  <c r="I83" i="1"/>
  <c r="J83" i="1"/>
  <c r="V83" i="1" s="1"/>
  <c r="K83" i="1"/>
  <c r="L83" i="1"/>
  <c r="M83" i="1"/>
  <c r="N83" i="1"/>
  <c r="O83" i="1"/>
  <c r="P83" i="1"/>
  <c r="T83" i="1" s="1"/>
  <c r="Q83" i="1"/>
  <c r="R83" i="1"/>
  <c r="S83" i="1"/>
  <c r="U83" i="1" s="1"/>
  <c r="I84" i="1"/>
  <c r="J84" i="1"/>
  <c r="V84" i="1" s="1"/>
  <c r="K84" i="1"/>
  <c r="L84" i="1"/>
  <c r="M84" i="1"/>
  <c r="N84" i="1"/>
  <c r="O84" i="1"/>
  <c r="P84" i="1"/>
  <c r="T84" i="1" s="1"/>
  <c r="Q84" i="1"/>
  <c r="R84" i="1"/>
  <c r="S84" i="1"/>
  <c r="U84" i="1" s="1"/>
  <c r="I85" i="1"/>
  <c r="J85" i="1"/>
  <c r="V85" i="1" s="1"/>
  <c r="K85" i="1"/>
  <c r="L85" i="1"/>
  <c r="M85" i="1"/>
  <c r="N85" i="1"/>
  <c r="O85" i="1"/>
  <c r="P85" i="1"/>
  <c r="T85" i="1" s="1"/>
  <c r="Q85" i="1"/>
  <c r="R85" i="1"/>
  <c r="S85" i="1"/>
  <c r="U85" i="1" s="1"/>
  <c r="I86" i="1"/>
  <c r="J86" i="1"/>
  <c r="V86" i="1" s="1"/>
  <c r="K86" i="1"/>
  <c r="L86" i="1"/>
  <c r="M86" i="1"/>
  <c r="N86" i="1"/>
  <c r="O86" i="1"/>
  <c r="P86" i="1"/>
  <c r="T86" i="1" s="1"/>
  <c r="Q86" i="1"/>
  <c r="R86" i="1"/>
  <c r="S86" i="1"/>
  <c r="U86" i="1" s="1"/>
  <c r="I87" i="1"/>
  <c r="J87" i="1"/>
  <c r="K87" i="1"/>
  <c r="L87" i="1"/>
  <c r="M87" i="1"/>
  <c r="N87" i="1"/>
  <c r="O87" i="1"/>
  <c r="P87" i="1"/>
  <c r="T87" i="1" s="1"/>
  <c r="Q87" i="1"/>
  <c r="R87" i="1"/>
  <c r="S87" i="1"/>
  <c r="U87" i="1" s="1"/>
  <c r="V87" i="1"/>
  <c r="I88" i="1"/>
  <c r="J88" i="1"/>
  <c r="V88" i="1" s="1"/>
  <c r="K88" i="1"/>
  <c r="L88" i="1"/>
  <c r="M88" i="1"/>
  <c r="N88" i="1"/>
  <c r="O88" i="1"/>
  <c r="P88" i="1"/>
  <c r="T88" i="1" s="1"/>
  <c r="Q88" i="1"/>
  <c r="R88" i="1"/>
  <c r="S88" i="1"/>
  <c r="U88" i="1" s="1"/>
  <c r="I89" i="1"/>
  <c r="J89" i="1"/>
  <c r="K89" i="1"/>
  <c r="L89" i="1"/>
  <c r="M89" i="1"/>
  <c r="N89" i="1"/>
  <c r="O89" i="1"/>
  <c r="P89" i="1"/>
  <c r="T89" i="1" s="1"/>
  <c r="Q89" i="1"/>
  <c r="R89" i="1"/>
  <c r="S89" i="1"/>
  <c r="U89" i="1" s="1"/>
  <c r="V89" i="1"/>
  <c r="I90" i="1"/>
  <c r="J90" i="1"/>
  <c r="K90" i="1"/>
  <c r="L90" i="1"/>
  <c r="M90" i="1"/>
  <c r="N90" i="1"/>
  <c r="O90" i="1"/>
  <c r="P90" i="1"/>
  <c r="T90" i="1" s="1"/>
  <c r="Q90" i="1"/>
  <c r="R90" i="1"/>
  <c r="S90" i="1"/>
  <c r="U90" i="1" s="1"/>
  <c r="V90" i="1"/>
  <c r="I91" i="1"/>
  <c r="J91" i="1"/>
  <c r="K91" i="1"/>
  <c r="L91" i="1"/>
  <c r="M91" i="1"/>
  <c r="N91" i="1"/>
  <c r="O91" i="1"/>
  <c r="P91" i="1"/>
  <c r="T91" i="1" s="1"/>
  <c r="Q91" i="1"/>
  <c r="R91" i="1"/>
  <c r="S91" i="1"/>
  <c r="U91" i="1" s="1"/>
  <c r="V91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I93" i="1"/>
  <c r="J93" i="1"/>
  <c r="K93" i="1"/>
  <c r="L93" i="1"/>
  <c r="M93" i="1"/>
  <c r="N93" i="1"/>
  <c r="O93" i="1"/>
  <c r="P93" i="1"/>
  <c r="T93" i="1" s="1"/>
  <c r="Q93" i="1"/>
  <c r="R93" i="1"/>
  <c r="S93" i="1"/>
  <c r="U93" i="1"/>
  <c r="V93" i="1"/>
  <c r="I94" i="1"/>
  <c r="J94" i="1"/>
  <c r="V94" i="1" s="1"/>
  <c r="K94" i="1"/>
  <c r="L94" i="1"/>
  <c r="M94" i="1"/>
  <c r="N94" i="1"/>
  <c r="O94" i="1"/>
  <c r="P94" i="1"/>
  <c r="T94" i="1" s="1"/>
  <c r="Q94" i="1"/>
  <c r="R94" i="1"/>
  <c r="S94" i="1"/>
  <c r="U94" i="1" s="1"/>
  <c r="I95" i="1"/>
  <c r="J95" i="1"/>
  <c r="V95" i="1" s="1"/>
  <c r="K95" i="1"/>
  <c r="L95" i="1"/>
  <c r="M95" i="1"/>
  <c r="N95" i="1"/>
  <c r="O95" i="1"/>
  <c r="P95" i="1"/>
  <c r="T95" i="1" s="1"/>
  <c r="Q95" i="1"/>
  <c r="R95" i="1"/>
  <c r="S95" i="1"/>
  <c r="U95" i="1" s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I97" i="1"/>
  <c r="J97" i="1"/>
  <c r="V97" i="1" s="1"/>
  <c r="K97" i="1"/>
  <c r="L97" i="1"/>
  <c r="M97" i="1"/>
  <c r="N97" i="1"/>
  <c r="O97" i="1"/>
  <c r="P97" i="1"/>
  <c r="T97" i="1" s="1"/>
  <c r="Q97" i="1"/>
  <c r="R97" i="1"/>
  <c r="S97" i="1"/>
  <c r="U97" i="1" s="1"/>
  <c r="I98" i="1"/>
  <c r="J98" i="1"/>
  <c r="K98" i="1"/>
  <c r="L98" i="1"/>
  <c r="M98" i="1"/>
  <c r="N98" i="1"/>
  <c r="O98" i="1"/>
  <c r="P98" i="1"/>
  <c r="T98" i="1" s="1"/>
  <c r="Q98" i="1"/>
  <c r="R98" i="1"/>
  <c r="S98" i="1"/>
  <c r="U98" i="1"/>
  <c r="V98" i="1"/>
  <c r="I99" i="1"/>
  <c r="J99" i="1"/>
  <c r="V99" i="1" s="1"/>
  <c r="K99" i="1"/>
  <c r="L99" i="1"/>
  <c r="M99" i="1"/>
  <c r="N99" i="1"/>
  <c r="O99" i="1"/>
  <c r="P99" i="1"/>
  <c r="T99" i="1" s="1"/>
  <c r="Q99" i="1"/>
  <c r="R99" i="1"/>
  <c r="S99" i="1"/>
  <c r="U99" i="1" s="1"/>
  <c r="I100" i="1"/>
  <c r="J100" i="1"/>
  <c r="V100" i="1" s="1"/>
  <c r="K100" i="1"/>
  <c r="L100" i="1"/>
  <c r="M100" i="1"/>
  <c r="N100" i="1"/>
  <c r="O100" i="1"/>
  <c r="P100" i="1"/>
  <c r="T100" i="1" s="1"/>
  <c r="Q100" i="1"/>
  <c r="R100" i="1"/>
  <c r="S100" i="1"/>
  <c r="U100" i="1" s="1"/>
  <c r="I101" i="1"/>
  <c r="J101" i="1"/>
  <c r="K101" i="1"/>
  <c r="L101" i="1"/>
  <c r="M101" i="1"/>
  <c r="N101" i="1"/>
  <c r="O101" i="1"/>
  <c r="P101" i="1"/>
  <c r="T101" i="1" s="1"/>
  <c r="Q101" i="1"/>
  <c r="R101" i="1"/>
  <c r="S101" i="1"/>
  <c r="U101" i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T103" i="1" s="1"/>
  <c r="Q103" i="1"/>
  <c r="R103" i="1"/>
  <c r="S103" i="1"/>
  <c r="U103" i="1" s="1"/>
  <c r="V103" i="1"/>
  <c r="I104" i="1"/>
  <c r="J104" i="1"/>
  <c r="K104" i="1"/>
  <c r="L104" i="1"/>
  <c r="M104" i="1"/>
  <c r="N104" i="1"/>
  <c r="O104" i="1"/>
  <c r="P104" i="1"/>
  <c r="Q104" i="1"/>
  <c r="R104" i="1"/>
  <c r="S104" i="1"/>
  <c r="U104" i="1" s="1"/>
  <c r="T104" i="1"/>
  <c r="V104" i="1"/>
  <c r="I105" i="1"/>
  <c r="J105" i="1"/>
  <c r="K105" i="1"/>
  <c r="L105" i="1"/>
  <c r="M105" i="1"/>
  <c r="N105" i="1"/>
  <c r="O105" i="1"/>
  <c r="P105" i="1"/>
  <c r="T105" i="1" s="1"/>
  <c r="Q105" i="1"/>
  <c r="R105" i="1"/>
  <c r="S105" i="1"/>
  <c r="U105" i="1" s="1"/>
  <c r="V105" i="1"/>
  <c r="I106" i="1"/>
  <c r="J106" i="1"/>
  <c r="V106" i="1" s="1"/>
  <c r="K106" i="1"/>
  <c r="L106" i="1"/>
  <c r="M106" i="1"/>
  <c r="N106" i="1"/>
  <c r="O106" i="1"/>
  <c r="P106" i="1"/>
  <c r="T106" i="1" s="1"/>
  <c r="Q106" i="1"/>
  <c r="R106" i="1"/>
  <c r="S106" i="1"/>
  <c r="U106" i="1" s="1"/>
  <c r="I107" i="1"/>
  <c r="J107" i="1"/>
  <c r="V107" i="1" s="1"/>
  <c r="K107" i="1"/>
  <c r="L107" i="1"/>
  <c r="M107" i="1"/>
  <c r="N107" i="1"/>
  <c r="O107" i="1"/>
  <c r="P107" i="1"/>
  <c r="T107" i="1" s="1"/>
  <c r="Q107" i="1"/>
  <c r="R107" i="1"/>
  <c r="S107" i="1"/>
  <c r="U107" i="1" s="1"/>
  <c r="I108" i="1"/>
  <c r="J108" i="1"/>
  <c r="V108" i="1" s="1"/>
  <c r="K108" i="1"/>
  <c r="L108" i="1"/>
  <c r="M108" i="1"/>
  <c r="N108" i="1"/>
  <c r="O108" i="1"/>
  <c r="P108" i="1"/>
  <c r="T108" i="1" s="1"/>
  <c r="Q108" i="1"/>
  <c r="R108" i="1"/>
  <c r="S108" i="1"/>
  <c r="U108" i="1" s="1"/>
  <c r="I109" i="1"/>
  <c r="J109" i="1"/>
  <c r="V109" i="1" s="1"/>
  <c r="K109" i="1"/>
  <c r="L109" i="1"/>
  <c r="M109" i="1"/>
  <c r="N109" i="1"/>
  <c r="O109" i="1"/>
  <c r="P109" i="1"/>
  <c r="T109" i="1" s="1"/>
  <c r="Q109" i="1"/>
  <c r="R109" i="1"/>
  <c r="S109" i="1"/>
  <c r="U109" i="1" s="1"/>
  <c r="I110" i="1"/>
  <c r="J110" i="1"/>
  <c r="K110" i="1"/>
  <c r="L110" i="1"/>
  <c r="M110" i="1"/>
  <c r="N110" i="1"/>
  <c r="O110" i="1"/>
  <c r="P110" i="1"/>
  <c r="T110" i="1" s="1"/>
  <c r="Q110" i="1"/>
  <c r="R110" i="1"/>
  <c r="S110" i="1"/>
  <c r="U110" i="1" s="1"/>
  <c r="V110" i="1"/>
  <c r="I111" i="1"/>
  <c r="J111" i="1"/>
  <c r="K111" i="1"/>
  <c r="L111" i="1"/>
  <c r="M111" i="1"/>
  <c r="N111" i="1"/>
  <c r="O111" i="1"/>
  <c r="P111" i="1"/>
  <c r="T111" i="1" s="1"/>
  <c r="Q111" i="1"/>
  <c r="R111" i="1"/>
  <c r="S111" i="1"/>
  <c r="U111" i="1" s="1"/>
  <c r="V111" i="1"/>
  <c r="I112" i="1"/>
  <c r="J112" i="1"/>
  <c r="K112" i="1"/>
  <c r="L112" i="1"/>
  <c r="M112" i="1"/>
  <c r="N112" i="1"/>
  <c r="O112" i="1"/>
  <c r="P112" i="1"/>
  <c r="T112" i="1" s="1"/>
  <c r="Q112" i="1"/>
  <c r="R112" i="1"/>
  <c r="S112" i="1"/>
  <c r="U112" i="1" s="1"/>
  <c r="V112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I114" i="1"/>
  <c r="J114" i="1"/>
  <c r="K114" i="1"/>
  <c r="L114" i="1"/>
  <c r="M114" i="1"/>
  <c r="N114" i="1"/>
  <c r="O114" i="1"/>
  <c r="P114" i="1"/>
  <c r="T114" i="1" s="1"/>
  <c r="Q114" i="1"/>
  <c r="R114" i="1"/>
  <c r="S114" i="1"/>
  <c r="U114" i="1"/>
  <c r="V114" i="1"/>
  <c r="I115" i="1"/>
  <c r="J115" i="1"/>
  <c r="V115" i="1" s="1"/>
  <c r="K115" i="1"/>
  <c r="L115" i="1"/>
  <c r="M115" i="1"/>
  <c r="N115" i="1"/>
  <c r="O115" i="1"/>
  <c r="P115" i="1"/>
  <c r="T115" i="1" s="1"/>
  <c r="Q115" i="1"/>
  <c r="R115" i="1"/>
  <c r="S115" i="1"/>
  <c r="U115" i="1" s="1"/>
  <c r="I116" i="1"/>
  <c r="J116" i="1"/>
  <c r="K116" i="1"/>
  <c r="L116" i="1"/>
  <c r="M116" i="1"/>
  <c r="N116" i="1"/>
  <c r="O116" i="1"/>
  <c r="P116" i="1"/>
  <c r="T116" i="1" s="1"/>
  <c r="Q116" i="1"/>
  <c r="R116" i="1"/>
  <c r="S116" i="1"/>
  <c r="U116" i="1" s="1"/>
  <c r="V116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I118" i="1"/>
  <c r="J118" i="1"/>
  <c r="V118" i="1" s="1"/>
  <c r="K118" i="1"/>
  <c r="L118" i="1"/>
  <c r="M118" i="1"/>
  <c r="N118" i="1"/>
  <c r="O118" i="1"/>
  <c r="P118" i="1"/>
  <c r="T118" i="1" s="1"/>
  <c r="Q118" i="1"/>
  <c r="R118" i="1"/>
  <c r="S118" i="1"/>
  <c r="U118" i="1" s="1"/>
  <c r="I119" i="1"/>
  <c r="J119" i="1"/>
  <c r="K119" i="1"/>
  <c r="L119" i="1"/>
  <c r="M119" i="1"/>
  <c r="N119" i="1"/>
  <c r="O119" i="1"/>
  <c r="P119" i="1"/>
  <c r="T119" i="1" s="1"/>
  <c r="Q119" i="1"/>
  <c r="R119" i="1"/>
  <c r="S119" i="1"/>
  <c r="U119" i="1" s="1"/>
  <c r="V119" i="1"/>
  <c r="I120" i="1"/>
  <c r="J120" i="1"/>
  <c r="V120" i="1" s="1"/>
  <c r="K120" i="1"/>
  <c r="L120" i="1"/>
  <c r="M120" i="1"/>
  <c r="N120" i="1"/>
  <c r="O120" i="1"/>
  <c r="P120" i="1"/>
  <c r="T120" i="1" s="1"/>
  <c r="Q120" i="1"/>
  <c r="R120" i="1"/>
  <c r="S120" i="1"/>
  <c r="U120" i="1" s="1"/>
  <c r="I121" i="1"/>
  <c r="J121" i="1"/>
  <c r="V121" i="1" s="1"/>
  <c r="K121" i="1"/>
  <c r="L121" i="1"/>
  <c r="M121" i="1"/>
  <c r="N121" i="1"/>
  <c r="O121" i="1"/>
  <c r="P121" i="1"/>
  <c r="T121" i="1" s="1"/>
  <c r="Q121" i="1"/>
  <c r="R121" i="1"/>
  <c r="S121" i="1"/>
  <c r="U121" i="1" s="1"/>
  <c r="I122" i="1"/>
  <c r="J122" i="1"/>
  <c r="V122" i="1" s="1"/>
  <c r="K122" i="1"/>
  <c r="L122" i="1"/>
  <c r="M122" i="1"/>
  <c r="N122" i="1"/>
  <c r="O122" i="1"/>
  <c r="P122" i="1"/>
  <c r="T122" i="1" s="1"/>
  <c r="Q122" i="1"/>
  <c r="R122" i="1"/>
  <c r="S122" i="1"/>
  <c r="U122" i="1" s="1"/>
  <c r="I123" i="1"/>
  <c r="J123" i="1"/>
  <c r="V123" i="1" s="1"/>
  <c r="K123" i="1"/>
  <c r="L123" i="1"/>
  <c r="M123" i="1"/>
  <c r="N123" i="1"/>
  <c r="O123" i="1"/>
  <c r="P123" i="1"/>
  <c r="T123" i="1" s="1"/>
  <c r="Q123" i="1"/>
  <c r="R123" i="1"/>
  <c r="S123" i="1"/>
  <c r="U123" i="1"/>
  <c r="I124" i="1"/>
  <c r="J124" i="1"/>
  <c r="V124" i="1" s="1"/>
  <c r="K124" i="1"/>
  <c r="L124" i="1"/>
  <c r="M124" i="1"/>
  <c r="N124" i="1"/>
  <c r="O124" i="1"/>
  <c r="P124" i="1"/>
  <c r="T124" i="1" s="1"/>
  <c r="Q124" i="1"/>
  <c r="R124" i="1"/>
  <c r="S124" i="1"/>
  <c r="U124" i="1" s="1"/>
  <c r="I125" i="1"/>
  <c r="J125" i="1"/>
  <c r="V125" i="1" s="1"/>
  <c r="K125" i="1"/>
  <c r="L125" i="1"/>
  <c r="M125" i="1"/>
  <c r="N125" i="1"/>
  <c r="O125" i="1"/>
  <c r="P125" i="1"/>
  <c r="T125" i="1" s="1"/>
  <c r="Q125" i="1"/>
  <c r="R125" i="1"/>
  <c r="S125" i="1"/>
  <c r="U125" i="1" s="1"/>
  <c r="I126" i="1"/>
  <c r="J126" i="1"/>
  <c r="K126" i="1"/>
  <c r="L126" i="1"/>
  <c r="M126" i="1"/>
  <c r="N126" i="1"/>
  <c r="O126" i="1"/>
  <c r="P126" i="1"/>
  <c r="T126" i="1" s="1"/>
  <c r="Q126" i="1"/>
  <c r="R126" i="1"/>
  <c r="S126" i="1"/>
  <c r="U126" i="1"/>
  <c r="V126" i="1"/>
  <c r="I127" i="1"/>
  <c r="J127" i="1"/>
  <c r="V127" i="1" s="1"/>
  <c r="K127" i="1"/>
  <c r="L127" i="1"/>
  <c r="M127" i="1"/>
  <c r="N127" i="1"/>
  <c r="O127" i="1"/>
  <c r="P127" i="1"/>
  <c r="T127" i="1" s="1"/>
  <c r="Q127" i="1"/>
  <c r="R127" i="1"/>
  <c r="S127" i="1"/>
  <c r="U127" i="1" s="1"/>
  <c r="I128" i="1"/>
  <c r="J128" i="1"/>
  <c r="V128" i="1" s="1"/>
  <c r="K128" i="1"/>
  <c r="L128" i="1"/>
  <c r="M128" i="1"/>
  <c r="N128" i="1"/>
  <c r="O128" i="1"/>
  <c r="P128" i="1"/>
  <c r="T128" i="1" s="1"/>
  <c r="Q128" i="1"/>
  <c r="R128" i="1"/>
  <c r="S128" i="1"/>
  <c r="U128" i="1"/>
  <c r="I129" i="1"/>
  <c r="J129" i="1"/>
  <c r="V129" i="1" s="1"/>
  <c r="K129" i="1"/>
  <c r="L129" i="1"/>
  <c r="M129" i="1"/>
  <c r="N129" i="1"/>
  <c r="O129" i="1"/>
  <c r="P129" i="1"/>
  <c r="T129" i="1" s="1"/>
  <c r="Q129" i="1"/>
  <c r="R129" i="1"/>
  <c r="S129" i="1"/>
  <c r="U129" i="1" s="1"/>
  <c r="I130" i="1"/>
  <c r="J130" i="1"/>
  <c r="V130" i="1" s="1"/>
  <c r="K130" i="1"/>
  <c r="L130" i="1"/>
  <c r="M130" i="1"/>
  <c r="N130" i="1"/>
  <c r="O130" i="1"/>
  <c r="P130" i="1"/>
  <c r="T130" i="1" s="1"/>
  <c r="Q130" i="1"/>
  <c r="R130" i="1"/>
  <c r="S130" i="1"/>
  <c r="U130" i="1" s="1"/>
  <c r="I131" i="1"/>
  <c r="J131" i="1"/>
  <c r="K131" i="1"/>
  <c r="L131" i="1"/>
  <c r="M131" i="1"/>
  <c r="N131" i="1"/>
  <c r="O131" i="1"/>
  <c r="P131" i="1"/>
  <c r="T131" i="1" s="1"/>
  <c r="Q131" i="1"/>
  <c r="R131" i="1"/>
  <c r="S131" i="1"/>
  <c r="U131" i="1" s="1"/>
  <c r="V131" i="1"/>
  <c r="I132" i="1"/>
  <c r="J132" i="1"/>
  <c r="K132" i="1"/>
  <c r="L132" i="1"/>
  <c r="M132" i="1"/>
  <c r="N132" i="1"/>
  <c r="O132" i="1"/>
  <c r="P132" i="1"/>
  <c r="T132" i="1" s="1"/>
  <c r="Q132" i="1"/>
  <c r="R132" i="1"/>
  <c r="S132" i="1"/>
  <c r="U132" i="1" s="1"/>
  <c r="V132" i="1"/>
  <c r="I133" i="1"/>
  <c r="J133" i="1"/>
  <c r="V133" i="1" s="1"/>
  <c r="K133" i="1"/>
  <c r="L133" i="1"/>
  <c r="M133" i="1"/>
  <c r="N133" i="1"/>
  <c r="O133" i="1"/>
  <c r="P133" i="1"/>
  <c r="T133" i="1" s="1"/>
  <c r="Q133" i="1"/>
  <c r="R133" i="1"/>
  <c r="S133" i="1"/>
  <c r="U133" i="1" s="1"/>
  <c r="I134" i="1"/>
  <c r="J134" i="1"/>
  <c r="K134" i="1"/>
  <c r="L134" i="1"/>
  <c r="M134" i="1"/>
  <c r="N134" i="1"/>
  <c r="O134" i="1"/>
  <c r="P134" i="1"/>
  <c r="T134" i="1" s="1"/>
  <c r="Q134" i="1"/>
  <c r="R134" i="1"/>
  <c r="S134" i="1"/>
  <c r="U134" i="1" s="1"/>
  <c r="V134" i="1"/>
  <c r="I135" i="1"/>
  <c r="J135" i="1"/>
  <c r="K135" i="1"/>
  <c r="L135" i="1"/>
  <c r="M135" i="1"/>
  <c r="N135" i="1"/>
  <c r="O135" i="1"/>
  <c r="P135" i="1"/>
  <c r="Q135" i="1"/>
  <c r="R135" i="1"/>
  <c r="S135" i="1"/>
  <c r="U135" i="1" s="1"/>
  <c r="T135" i="1"/>
  <c r="V135" i="1"/>
  <c r="I136" i="1"/>
  <c r="J136" i="1"/>
  <c r="V136" i="1" s="1"/>
  <c r="K136" i="1"/>
  <c r="L136" i="1"/>
  <c r="M136" i="1"/>
  <c r="N136" i="1"/>
  <c r="O136" i="1"/>
  <c r="P136" i="1"/>
  <c r="T136" i="1" s="1"/>
  <c r="Q136" i="1"/>
  <c r="R136" i="1"/>
  <c r="S136" i="1"/>
  <c r="U136" i="1" s="1"/>
  <c r="I137" i="1"/>
  <c r="J137" i="1"/>
  <c r="V137" i="1" s="1"/>
  <c r="K137" i="1"/>
  <c r="L137" i="1"/>
  <c r="M137" i="1"/>
  <c r="N137" i="1"/>
  <c r="O137" i="1"/>
  <c r="P137" i="1"/>
  <c r="T137" i="1" s="1"/>
  <c r="Q137" i="1"/>
  <c r="R137" i="1"/>
  <c r="S137" i="1"/>
  <c r="U137" i="1" s="1"/>
  <c r="I138" i="1"/>
  <c r="J138" i="1"/>
  <c r="V138" i="1" s="1"/>
  <c r="K138" i="1"/>
  <c r="L138" i="1"/>
  <c r="M138" i="1"/>
  <c r="N138" i="1"/>
  <c r="O138" i="1"/>
  <c r="P138" i="1"/>
  <c r="T138" i="1" s="1"/>
  <c r="Q138" i="1"/>
  <c r="R138" i="1"/>
  <c r="S138" i="1"/>
  <c r="U138" i="1" s="1"/>
  <c r="I139" i="1"/>
  <c r="J139" i="1"/>
  <c r="V139" i="1" s="1"/>
  <c r="K139" i="1"/>
  <c r="L139" i="1"/>
  <c r="M139" i="1"/>
  <c r="N139" i="1"/>
  <c r="O139" i="1"/>
  <c r="P139" i="1"/>
  <c r="T139" i="1" s="1"/>
  <c r="Q139" i="1"/>
  <c r="R139" i="1"/>
  <c r="S139" i="1"/>
  <c r="U139" i="1" s="1"/>
  <c r="I140" i="1"/>
  <c r="J140" i="1"/>
  <c r="K140" i="1"/>
  <c r="L140" i="1"/>
  <c r="M140" i="1"/>
  <c r="N140" i="1"/>
  <c r="O140" i="1"/>
  <c r="P140" i="1"/>
  <c r="T140" i="1" s="1"/>
  <c r="Q140" i="1"/>
  <c r="R140" i="1"/>
  <c r="S140" i="1"/>
  <c r="U140" i="1"/>
  <c r="V140" i="1"/>
  <c r="I141" i="1"/>
  <c r="J141" i="1"/>
  <c r="K141" i="1"/>
  <c r="L141" i="1"/>
  <c r="M141" i="1"/>
  <c r="N141" i="1"/>
  <c r="O141" i="1"/>
  <c r="P141" i="1"/>
  <c r="T141" i="1" s="1"/>
  <c r="Q141" i="1"/>
  <c r="R141" i="1"/>
  <c r="S141" i="1"/>
  <c r="U141" i="1" s="1"/>
  <c r="V141" i="1"/>
  <c r="I142" i="1"/>
  <c r="J142" i="1"/>
  <c r="V142" i="1" s="1"/>
  <c r="K142" i="1"/>
  <c r="L142" i="1"/>
  <c r="M142" i="1"/>
  <c r="N142" i="1"/>
  <c r="O142" i="1"/>
  <c r="P142" i="1"/>
  <c r="T142" i="1" s="1"/>
  <c r="Q142" i="1"/>
  <c r="R142" i="1"/>
  <c r="S142" i="1"/>
  <c r="U142" i="1" s="1"/>
  <c r="I143" i="1"/>
  <c r="J143" i="1"/>
  <c r="V143" i="1" s="1"/>
  <c r="K143" i="1"/>
  <c r="L143" i="1"/>
  <c r="M143" i="1"/>
  <c r="N143" i="1"/>
  <c r="O143" i="1"/>
  <c r="P143" i="1"/>
  <c r="T143" i="1" s="1"/>
  <c r="Q143" i="1"/>
  <c r="R143" i="1"/>
  <c r="S143" i="1"/>
  <c r="U143" i="1" s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I145" i="1"/>
  <c r="J145" i="1"/>
  <c r="V145" i="1" s="1"/>
  <c r="K145" i="1"/>
  <c r="L145" i="1"/>
  <c r="M145" i="1"/>
  <c r="N145" i="1"/>
  <c r="O145" i="1"/>
  <c r="P145" i="1"/>
  <c r="T145" i="1" s="1"/>
  <c r="Q145" i="1"/>
  <c r="R145" i="1"/>
  <c r="S145" i="1"/>
  <c r="U145" i="1" s="1"/>
  <c r="I146" i="1"/>
  <c r="J146" i="1"/>
  <c r="K146" i="1"/>
  <c r="L146" i="1"/>
  <c r="M146" i="1"/>
  <c r="N146" i="1"/>
  <c r="O146" i="1"/>
  <c r="P146" i="1"/>
  <c r="T146" i="1" s="1"/>
  <c r="Q146" i="1"/>
  <c r="R146" i="1"/>
  <c r="S146" i="1"/>
  <c r="U146" i="1" s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T148" i="1" s="1"/>
  <c r="Q148" i="1"/>
  <c r="R148" i="1"/>
  <c r="S148" i="1"/>
  <c r="U148" i="1" s="1"/>
  <c r="V148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I150" i="1"/>
  <c r="J150" i="1"/>
  <c r="V150" i="1" s="1"/>
  <c r="K150" i="1"/>
  <c r="L150" i="1"/>
  <c r="M150" i="1"/>
  <c r="N150" i="1"/>
  <c r="O150" i="1"/>
  <c r="P150" i="1"/>
  <c r="T150" i="1" s="1"/>
  <c r="Q150" i="1"/>
  <c r="R150" i="1"/>
  <c r="S150" i="1"/>
  <c r="U150" i="1" s="1"/>
  <c r="I151" i="1"/>
  <c r="J151" i="1"/>
  <c r="V151" i="1" s="1"/>
  <c r="K151" i="1"/>
  <c r="L151" i="1"/>
  <c r="M151" i="1"/>
  <c r="N151" i="1"/>
  <c r="O151" i="1"/>
  <c r="P151" i="1"/>
  <c r="T151" i="1" s="1"/>
  <c r="Q151" i="1"/>
  <c r="R151" i="1"/>
  <c r="S151" i="1"/>
  <c r="U151" i="1" s="1"/>
  <c r="I152" i="1"/>
  <c r="J152" i="1"/>
  <c r="V152" i="1" s="1"/>
  <c r="K152" i="1"/>
  <c r="L152" i="1"/>
  <c r="M152" i="1"/>
  <c r="N152" i="1"/>
  <c r="O152" i="1"/>
  <c r="P152" i="1"/>
  <c r="T152" i="1" s="1"/>
  <c r="Q152" i="1"/>
  <c r="R152" i="1"/>
  <c r="S152" i="1"/>
  <c r="U152" i="1" s="1"/>
  <c r="I153" i="1"/>
  <c r="J153" i="1"/>
  <c r="K153" i="1"/>
  <c r="L153" i="1"/>
  <c r="M153" i="1"/>
  <c r="N153" i="1"/>
  <c r="O153" i="1"/>
  <c r="P153" i="1"/>
  <c r="T153" i="1" s="1"/>
  <c r="Q153" i="1"/>
  <c r="R153" i="1"/>
  <c r="S153" i="1"/>
  <c r="U153" i="1" s="1"/>
  <c r="V153" i="1"/>
  <c r="I154" i="1"/>
  <c r="J154" i="1"/>
  <c r="V154" i="1" s="1"/>
  <c r="K154" i="1"/>
  <c r="L154" i="1"/>
  <c r="M154" i="1"/>
  <c r="N154" i="1"/>
  <c r="O154" i="1"/>
  <c r="P154" i="1"/>
  <c r="T154" i="1" s="1"/>
  <c r="Q154" i="1"/>
  <c r="R154" i="1"/>
  <c r="S154" i="1"/>
  <c r="U154" i="1" s="1"/>
  <c r="I155" i="1"/>
  <c r="J155" i="1"/>
  <c r="K155" i="1"/>
  <c r="L155" i="1"/>
  <c r="M155" i="1"/>
  <c r="N155" i="1"/>
  <c r="O155" i="1"/>
  <c r="P155" i="1"/>
  <c r="T155" i="1" s="1"/>
  <c r="Q155" i="1"/>
  <c r="R155" i="1"/>
  <c r="S155" i="1"/>
  <c r="U155" i="1" s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T157" i="1" s="1"/>
  <c r="Q157" i="1"/>
  <c r="R157" i="1"/>
  <c r="S157" i="1"/>
  <c r="U157" i="1" s="1"/>
  <c r="V157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I159" i="1"/>
  <c r="J159" i="1"/>
  <c r="K159" i="1"/>
  <c r="L159" i="1"/>
  <c r="M159" i="1"/>
  <c r="N159" i="1"/>
  <c r="O159" i="1"/>
  <c r="P159" i="1"/>
  <c r="T159" i="1" s="1"/>
  <c r="Q159" i="1"/>
  <c r="R159" i="1"/>
  <c r="S159" i="1"/>
  <c r="U159" i="1"/>
  <c r="V159" i="1"/>
  <c r="I160" i="1"/>
  <c r="J160" i="1"/>
  <c r="V160" i="1" s="1"/>
  <c r="K160" i="1"/>
  <c r="L160" i="1"/>
  <c r="M160" i="1"/>
  <c r="N160" i="1"/>
  <c r="O160" i="1"/>
  <c r="P160" i="1"/>
  <c r="T160" i="1" s="1"/>
  <c r="Q160" i="1"/>
  <c r="R160" i="1"/>
  <c r="S160" i="1"/>
  <c r="U160" i="1" s="1"/>
  <c r="I161" i="1"/>
  <c r="J161" i="1"/>
  <c r="K161" i="1"/>
  <c r="L161" i="1"/>
  <c r="M161" i="1"/>
  <c r="N161" i="1"/>
  <c r="O161" i="1"/>
  <c r="P161" i="1"/>
  <c r="T161" i="1" s="1"/>
  <c r="Q161" i="1"/>
  <c r="R161" i="1"/>
  <c r="S161" i="1"/>
  <c r="U161" i="1" s="1"/>
  <c r="V161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I163" i="1"/>
  <c r="J163" i="1"/>
  <c r="V163" i="1" s="1"/>
  <c r="K163" i="1"/>
  <c r="L163" i="1"/>
  <c r="M163" i="1"/>
  <c r="N163" i="1"/>
  <c r="O163" i="1"/>
  <c r="P163" i="1"/>
  <c r="T163" i="1" s="1"/>
  <c r="Q163" i="1"/>
  <c r="R163" i="1"/>
  <c r="S163" i="1"/>
  <c r="U163" i="1" s="1"/>
  <c r="I164" i="1"/>
  <c r="J164" i="1"/>
  <c r="K164" i="1"/>
  <c r="L164" i="1"/>
  <c r="M164" i="1"/>
  <c r="N164" i="1"/>
  <c r="O164" i="1"/>
  <c r="P164" i="1"/>
  <c r="T164" i="1" s="1"/>
  <c r="Q164" i="1"/>
  <c r="R164" i="1"/>
  <c r="S164" i="1"/>
  <c r="U164" i="1"/>
  <c r="V164" i="1"/>
  <c r="I165" i="1"/>
  <c r="J165" i="1"/>
  <c r="V165" i="1" s="1"/>
  <c r="K165" i="1"/>
  <c r="L165" i="1"/>
  <c r="M165" i="1"/>
  <c r="N165" i="1"/>
  <c r="O165" i="1"/>
  <c r="P165" i="1"/>
  <c r="T165" i="1" s="1"/>
  <c r="Q165" i="1"/>
  <c r="R165" i="1"/>
  <c r="S165" i="1"/>
  <c r="U165" i="1" s="1"/>
  <c r="I166" i="1"/>
  <c r="J166" i="1"/>
  <c r="K166" i="1"/>
  <c r="L166" i="1"/>
  <c r="M166" i="1"/>
  <c r="N166" i="1"/>
  <c r="O166" i="1"/>
  <c r="P166" i="1"/>
  <c r="T166" i="1" s="1"/>
  <c r="Q166" i="1"/>
  <c r="R166" i="1"/>
  <c r="S166" i="1"/>
  <c r="U166" i="1" s="1"/>
  <c r="V166" i="1"/>
  <c r="I167" i="1"/>
  <c r="J167" i="1"/>
  <c r="K167" i="1"/>
  <c r="L167" i="1"/>
  <c r="M167" i="1"/>
  <c r="N167" i="1"/>
  <c r="O167" i="1"/>
  <c r="P167" i="1"/>
  <c r="Q167" i="1"/>
  <c r="R167" i="1"/>
  <c r="S167" i="1"/>
  <c r="U167" i="1" s="1"/>
  <c r="T167" i="1"/>
  <c r="V167" i="1"/>
  <c r="I168" i="1"/>
  <c r="J168" i="1"/>
  <c r="K168" i="1"/>
  <c r="L168" i="1"/>
  <c r="M168" i="1"/>
  <c r="N168" i="1"/>
  <c r="O168" i="1"/>
  <c r="P168" i="1"/>
  <c r="T168" i="1" s="1"/>
  <c r="Q168" i="1"/>
  <c r="R168" i="1"/>
  <c r="S168" i="1"/>
  <c r="U168" i="1" s="1"/>
  <c r="V168" i="1"/>
  <c r="I169" i="1"/>
  <c r="J169" i="1"/>
  <c r="V169" i="1" s="1"/>
  <c r="K169" i="1"/>
  <c r="L169" i="1"/>
  <c r="M169" i="1"/>
  <c r="N169" i="1"/>
  <c r="O169" i="1"/>
  <c r="P169" i="1"/>
  <c r="T169" i="1" s="1"/>
  <c r="Q169" i="1"/>
  <c r="R169" i="1"/>
  <c r="S169" i="1"/>
  <c r="U169" i="1" s="1"/>
  <c r="I170" i="1"/>
  <c r="J170" i="1"/>
  <c r="V170" i="1" s="1"/>
  <c r="K170" i="1"/>
  <c r="L170" i="1"/>
  <c r="M170" i="1"/>
  <c r="N170" i="1"/>
  <c r="O170" i="1"/>
  <c r="P170" i="1"/>
  <c r="T170" i="1" s="1"/>
  <c r="Q170" i="1"/>
  <c r="R170" i="1"/>
  <c r="S170" i="1"/>
  <c r="U170" i="1" s="1"/>
  <c r="I171" i="1"/>
  <c r="J171" i="1"/>
  <c r="K171" i="1"/>
  <c r="L171" i="1"/>
  <c r="M171" i="1"/>
  <c r="N171" i="1"/>
  <c r="O171" i="1"/>
  <c r="P171" i="1"/>
  <c r="T171" i="1" s="1"/>
  <c r="Q171" i="1"/>
  <c r="R171" i="1"/>
  <c r="S171" i="1"/>
  <c r="U171" i="1" s="1"/>
  <c r="V171" i="1"/>
  <c r="I172" i="1"/>
  <c r="J172" i="1"/>
  <c r="V172" i="1" s="1"/>
  <c r="K172" i="1"/>
  <c r="L172" i="1"/>
  <c r="M172" i="1"/>
  <c r="N172" i="1"/>
  <c r="O172" i="1"/>
  <c r="P172" i="1"/>
  <c r="T172" i="1" s="1"/>
  <c r="Q172" i="1"/>
  <c r="R172" i="1"/>
  <c r="S172" i="1"/>
  <c r="U172" i="1" s="1"/>
  <c r="I173" i="1"/>
  <c r="J173" i="1"/>
  <c r="K173" i="1"/>
  <c r="L173" i="1"/>
  <c r="M173" i="1"/>
  <c r="N173" i="1"/>
  <c r="O173" i="1"/>
  <c r="P173" i="1"/>
  <c r="T173" i="1" s="1"/>
  <c r="Q173" i="1"/>
  <c r="R173" i="1"/>
  <c r="S173" i="1"/>
  <c r="U173" i="1" s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T175" i="1" s="1"/>
  <c r="Q175" i="1"/>
  <c r="R175" i="1"/>
  <c r="S175" i="1"/>
  <c r="U175" i="1" s="1"/>
  <c r="V175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I177" i="1"/>
  <c r="J177" i="1"/>
  <c r="K177" i="1"/>
  <c r="L177" i="1"/>
  <c r="M177" i="1"/>
  <c r="N177" i="1"/>
  <c r="O177" i="1"/>
  <c r="P177" i="1"/>
  <c r="T177" i="1" s="1"/>
  <c r="Q177" i="1"/>
  <c r="R177" i="1"/>
  <c r="S177" i="1"/>
  <c r="U177" i="1"/>
  <c r="V177" i="1"/>
  <c r="I178" i="1"/>
  <c r="J178" i="1"/>
  <c r="V178" i="1" s="1"/>
  <c r="K178" i="1"/>
  <c r="L178" i="1"/>
  <c r="M178" i="1"/>
  <c r="N178" i="1"/>
  <c r="O178" i="1"/>
  <c r="P178" i="1"/>
  <c r="T178" i="1" s="1"/>
  <c r="Q178" i="1"/>
  <c r="R178" i="1"/>
  <c r="S178" i="1"/>
  <c r="U178" i="1" s="1"/>
  <c r="I179" i="1"/>
  <c r="J179" i="1"/>
  <c r="K179" i="1"/>
  <c r="L179" i="1"/>
  <c r="M179" i="1"/>
  <c r="N179" i="1"/>
  <c r="O179" i="1"/>
  <c r="P179" i="1"/>
  <c r="T179" i="1" s="1"/>
  <c r="Q179" i="1"/>
  <c r="R179" i="1"/>
  <c r="S179" i="1"/>
  <c r="U179" i="1" s="1"/>
  <c r="V179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I181" i="1"/>
  <c r="J181" i="1"/>
  <c r="V181" i="1" s="1"/>
  <c r="K181" i="1"/>
  <c r="L181" i="1"/>
  <c r="M181" i="1"/>
  <c r="N181" i="1"/>
  <c r="O181" i="1"/>
  <c r="P181" i="1"/>
  <c r="T181" i="1" s="1"/>
  <c r="Q181" i="1"/>
  <c r="R181" i="1"/>
  <c r="S181" i="1"/>
  <c r="U181" i="1" s="1"/>
  <c r="I182" i="1"/>
  <c r="J182" i="1"/>
  <c r="K182" i="1"/>
  <c r="L182" i="1"/>
  <c r="M182" i="1"/>
  <c r="N182" i="1"/>
  <c r="O182" i="1"/>
  <c r="P182" i="1"/>
  <c r="T182" i="1" s="1"/>
  <c r="Q182" i="1"/>
  <c r="R182" i="1"/>
  <c r="S182" i="1"/>
  <c r="U182" i="1" s="1"/>
  <c r="V182" i="1"/>
  <c r="I183" i="1"/>
  <c r="J183" i="1"/>
  <c r="K183" i="1"/>
  <c r="L183" i="1"/>
  <c r="M183" i="1"/>
  <c r="N183" i="1"/>
  <c r="O183" i="1"/>
  <c r="P183" i="1"/>
  <c r="Q183" i="1"/>
  <c r="R183" i="1"/>
  <c r="S183" i="1"/>
  <c r="U183" i="1" s="1"/>
  <c r="T183" i="1"/>
  <c r="V183" i="1"/>
  <c r="I184" i="1"/>
  <c r="J184" i="1"/>
  <c r="V184" i="1" s="1"/>
  <c r="K184" i="1"/>
  <c r="L184" i="1"/>
  <c r="M184" i="1"/>
  <c r="N184" i="1"/>
  <c r="O184" i="1"/>
  <c r="P184" i="1"/>
  <c r="T184" i="1" s="1"/>
  <c r="Q184" i="1"/>
  <c r="R184" i="1"/>
  <c r="S184" i="1"/>
  <c r="U184" i="1" s="1"/>
  <c r="I185" i="1"/>
  <c r="J185" i="1"/>
  <c r="V185" i="1" s="1"/>
  <c r="K185" i="1"/>
  <c r="L185" i="1"/>
  <c r="M185" i="1"/>
  <c r="N185" i="1"/>
  <c r="O185" i="1"/>
  <c r="P185" i="1"/>
  <c r="T185" i="1" s="1"/>
  <c r="Q185" i="1"/>
  <c r="R185" i="1"/>
  <c r="S185" i="1"/>
  <c r="U185" i="1" s="1"/>
  <c r="I186" i="1"/>
  <c r="J186" i="1"/>
  <c r="V186" i="1" s="1"/>
  <c r="K186" i="1"/>
  <c r="L186" i="1"/>
  <c r="M186" i="1"/>
  <c r="N186" i="1"/>
  <c r="O186" i="1"/>
  <c r="P186" i="1"/>
  <c r="T186" i="1" s="1"/>
  <c r="Q186" i="1"/>
  <c r="R186" i="1"/>
  <c r="S186" i="1"/>
  <c r="U186" i="1" s="1"/>
  <c r="I187" i="1"/>
  <c r="J187" i="1"/>
  <c r="V187" i="1" s="1"/>
  <c r="K187" i="1"/>
  <c r="L187" i="1"/>
  <c r="M187" i="1"/>
  <c r="N187" i="1"/>
  <c r="O187" i="1"/>
  <c r="P187" i="1"/>
  <c r="T187" i="1" s="1"/>
  <c r="Q187" i="1"/>
  <c r="R187" i="1"/>
  <c r="S187" i="1"/>
  <c r="U187" i="1" s="1"/>
  <c r="I188" i="1"/>
  <c r="J188" i="1"/>
  <c r="K188" i="1"/>
  <c r="L188" i="1"/>
  <c r="M188" i="1"/>
  <c r="N188" i="1"/>
  <c r="O188" i="1"/>
  <c r="P188" i="1"/>
  <c r="T188" i="1" s="1"/>
  <c r="Q188" i="1"/>
  <c r="R188" i="1"/>
  <c r="S188" i="1"/>
  <c r="U188" i="1"/>
  <c r="V188" i="1"/>
  <c r="I189" i="1"/>
  <c r="J189" i="1"/>
  <c r="K189" i="1"/>
  <c r="L189" i="1"/>
  <c r="M189" i="1"/>
  <c r="N189" i="1"/>
  <c r="O189" i="1"/>
  <c r="P189" i="1"/>
  <c r="T189" i="1" s="1"/>
  <c r="Q189" i="1"/>
  <c r="R189" i="1"/>
  <c r="S189" i="1"/>
  <c r="U189" i="1" s="1"/>
  <c r="V189" i="1"/>
  <c r="I190" i="1"/>
  <c r="J190" i="1"/>
  <c r="V190" i="1" s="1"/>
  <c r="K190" i="1"/>
  <c r="L190" i="1"/>
  <c r="M190" i="1"/>
  <c r="N190" i="1"/>
  <c r="O190" i="1"/>
  <c r="P190" i="1"/>
  <c r="T190" i="1" s="1"/>
  <c r="Q190" i="1"/>
  <c r="R190" i="1"/>
  <c r="S190" i="1"/>
  <c r="U190" i="1" s="1"/>
  <c r="I191" i="1"/>
  <c r="J191" i="1"/>
  <c r="V191" i="1" s="1"/>
  <c r="K191" i="1"/>
  <c r="L191" i="1"/>
  <c r="M191" i="1"/>
  <c r="N191" i="1"/>
  <c r="O191" i="1"/>
  <c r="P191" i="1"/>
  <c r="T191" i="1" s="1"/>
  <c r="Q191" i="1"/>
  <c r="R191" i="1"/>
  <c r="S191" i="1"/>
  <c r="U191" i="1" s="1"/>
  <c r="I192" i="1"/>
  <c r="J192" i="1"/>
  <c r="K192" i="1"/>
  <c r="L192" i="1"/>
  <c r="M192" i="1"/>
  <c r="N192" i="1"/>
  <c r="O192" i="1"/>
  <c r="P192" i="1"/>
  <c r="T192" i="1" s="1"/>
  <c r="Q192" i="1"/>
  <c r="R192" i="1"/>
  <c r="S192" i="1"/>
  <c r="U192" i="1" s="1"/>
  <c r="V192" i="1"/>
  <c r="I193" i="1"/>
  <c r="J193" i="1"/>
  <c r="V193" i="1" s="1"/>
  <c r="K193" i="1"/>
  <c r="L193" i="1"/>
  <c r="M193" i="1"/>
  <c r="N193" i="1"/>
  <c r="O193" i="1"/>
  <c r="P193" i="1"/>
  <c r="T193" i="1" s="1"/>
  <c r="Q193" i="1"/>
  <c r="R193" i="1"/>
  <c r="S193" i="1"/>
  <c r="U193" i="1" s="1"/>
  <c r="I194" i="1"/>
  <c r="J194" i="1"/>
  <c r="K194" i="1"/>
  <c r="L194" i="1"/>
  <c r="M194" i="1"/>
  <c r="N194" i="1"/>
  <c r="O194" i="1"/>
  <c r="P194" i="1"/>
  <c r="T194" i="1" s="1"/>
  <c r="Q194" i="1"/>
  <c r="R194" i="1"/>
  <c r="S194" i="1"/>
  <c r="U194" i="1"/>
  <c r="V194" i="1"/>
  <c r="I195" i="1"/>
  <c r="J195" i="1"/>
  <c r="K195" i="1"/>
  <c r="L195" i="1"/>
  <c r="M195" i="1"/>
  <c r="N195" i="1"/>
  <c r="O195" i="1"/>
  <c r="P195" i="1"/>
  <c r="T195" i="1" s="1"/>
  <c r="Q195" i="1"/>
  <c r="R195" i="1"/>
  <c r="S195" i="1"/>
  <c r="U195" i="1" s="1"/>
  <c r="V195" i="1"/>
  <c r="I196" i="1"/>
  <c r="J196" i="1"/>
  <c r="K196" i="1"/>
  <c r="L196" i="1"/>
  <c r="M196" i="1"/>
  <c r="N196" i="1"/>
  <c r="O196" i="1"/>
  <c r="P196" i="1"/>
  <c r="T196" i="1" s="1"/>
  <c r="Q196" i="1"/>
  <c r="R196" i="1"/>
  <c r="S196" i="1"/>
  <c r="U196" i="1" s="1"/>
  <c r="V196" i="1"/>
  <c r="I197" i="1"/>
  <c r="J197" i="1"/>
  <c r="K197" i="1"/>
  <c r="L197" i="1"/>
  <c r="M197" i="1"/>
  <c r="N197" i="1"/>
  <c r="O197" i="1"/>
  <c r="P197" i="1"/>
  <c r="Q197" i="1"/>
  <c r="R197" i="1"/>
  <c r="S197" i="1"/>
  <c r="U197" i="1" s="1"/>
  <c r="T197" i="1"/>
  <c r="V197" i="1"/>
  <c r="I198" i="1"/>
  <c r="J198" i="1"/>
  <c r="K198" i="1"/>
  <c r="L198" i="1"/>
  <c r="M198" i="1"/>
  <c r="N198" i="1"/>
  <c r="O198" i="1"/>
  <c r="P198" i="1"/>
  <c r="T198" i="1" s="1"/>
  <c r="Q198" i="1"/>
  <c r="R198" i="1"/>
  <c r="S198" i="1"/>
  <c r="U198" i="1" s="1"/>
  <c r="V198" i="1"/>
  <c r="I199" i="1"/>
  <c r="J199" i="1"/>
  <c r="V199" i="1" s="1"/>
  <c r="K199" i="1"/>
  <c r="L199" i="1"/>
  <c r="M199" i="1"/>
  <c r="N199" i="1"/>
  <c r="O199" i="1"/>
  <c r="P199" i="1"/>
  <c r="T199" i="1" s="1"/>
  <c r="Q199" i="1"/>
  <c r="R199" i="1"/>
  <c r="S199" i="1"/>
  <c r="U199" i="1" s="1"/>
  <c r="I200" i="1"/>
  <c r="J200" i="1"/>
  <c r="V200" i="1" s="1"/>
  <c r="K200" i="1"/>
  <c r="L200" i="1"/>
  <c r="M200" i="1"/>
  <c r="N200" i="1"/>
  <c r="O200" i="1"/>
  <c r="P200" i="1"/>
  <c r="T200" i="1" s="1"/>
  <c r="Q200" i="1"/>
  <c r="R200" i="1"/>
  <c r="S200" i="1"/>
  <c r="U200" i="1" s="1"/>
  <c r="I201" i="1"/>
  <c r="J201" i="1"/>
  <c r="K201" i="1"/>
  <c r="L201" i="1"/>
  <c r="M201" i="1"/>
  <c r="N201" i="1"/>
  <c r="O201" i="1"/>
  <c r="P201" i="1"/>
  <c r="T201" i="1" s="1"/>
  <c r="Q201" i="1"/>
  <c r="R201" i="1"/>
  <c r="S201" i="1"/>
  <c r="U201" i="1"/>
  <c r="V201" i="1"/>
  <c r="I202" i="1"/>
  <c r="J202" i="1"/>
  <c r="V202" i="1" s="1"/>
  <c r="K202" i="1"/>
  <c r="L202" i="1"/>
  <c r="M202" i="1"/>
  <c r="N202" i="1"/>
  <c r="O202" i="1"/>
  <c r="P202" i="1"/>
  <c r="T202" i="1" s="1"/>
  <c r="Q202" i="1"/>
  <c r="R202" i="1"/>
  <c r="S202" i="1"/>
  <c r="U202" i="1" s="1"/>
  <c r="I203" i="1"/>
  <c r="J203" i="1"/>
  <c r="V203" i="1" s="1"/>
  <c r="K203" i="1"/>
  <c r="L203" i="1"/>
  <c r="M203" i="1"/>
  <c r="N203" i="1"/>
  <c r="O203" i="1"/>
  <c r="P203" i="1"/>
  <c r="T203" i="1" s="1"/>
  <c r="Q203" i="1"/>
  <c r="R203" i="1"/>
  <c r="S203" i="1"/>
  <c r="U203" i="1"/>
  <c r="I204" i="1"/>
  <c r="J204" i="1"/>
  <c r="V204" i="1" s="1"/>
  <c r="K204" i="1"/>
  <c r="L204" i="1"/>
  <c r="M204" i="1"/>
  <c r="N204" i="1"/>
  <c r="O204" i="1"/>
  <c r="P204" i="1"/>
  <c r="T204" i="1" s="1"/>
  <c r="Q204" i="1"/>
  <c r="R204" i="1"/>
  <c r="S204" i="1"/>
  <c r="U204" i="1" s="1"/>
  <c r="I205" i="1"/>
  <c r="J205" i="1"/>
  <c r="V205" i="1" s="1"/>
  <c r="K205" i="1"/>
  <c r="L205" i="1"/>
  <c r="M205" i="1"/>
  <c r="N205" i="1"/>
  <c r="O205" i="1"/>
  <c r="P205" i="1"/>
  <c r="T205" i="1" s="1"/>
  <c r="Q205" i="1"/>
  <c r="R205" i="1"/>
  <c r="S205" i="1"/>
  <c r="U205" i="1" s="1"/>
  <c r="I206" i="1"/>
  <c r="J206" i="1"/>
  <c r="V206" i="1" s="1"/>
  <c r="K206" i="1"/>
  <c r="L206" i="1"/>
  <c r="M206" i="1"/>
  <c r="N206" i="1"/>
  <c r="O206" i="1"/>
  <c r="P206" i="1"/>
  <c r="T206" i="1" s="1"/>
  <c r="Q206" i="1"/>
  <c r="R206" i="1"/>
  <c r="S206" i="1"/>
  <c r="U206" i="1"/>
  <c r="I207" i="1"/>
  <c r="J207" i="1"/>
  <c r="V207" i="1" s="1"/>
  <c r="K207" i="1"/>
  <c r="L207" i="1"/>
  <c r="M207" i="1"/>
  <c r="N207" i="1"/>
  <c r="O207" i="1"/>
  <c r="P207" i="1"/>
  <c r="T207" i="1" s="1"/>
  <c r="Q207" i="1"/>
  <c r="R207" i="1"/>
  <c r="S207" i="1"/>
  <c r="U207" i="1" s="1"/>
  <c r="I208" i="1"/>
  <c r="J208" i="1"/>
  <c r="V208" i="1" s="1"/>
  <c r="K208" i="1"/>
  <c r="L208" i="1"/>
  <c r="M208" i="1"/>
  <c r="N208" i="1"/>
  <c r="O208" i="1"/>
  <c r="P208" i="1"/>
  <c r="T208" i="1" s="1"/>
  <c r="Q208" i="1"/>
  <c r="R208" i="1"/>
  <c r="S208" i="1"/>
  <c r="U208" i="1" s="1"/>
  <c r="I209" i="1"/>
  <c r="J209" i="1"/>
  <c r="K209" i="1"/>
  <c r="L209" i="1"/>
  <c r="M209" i="1"/>
  <c r="N209" i="1"/>
  <c r="O209" i="1"/>
  <c r="P209" i="1"/>
  <c r="T209" i="1" s="1"/>
  <c r="Q209" i="1"/>
  <c r="R209" i="1"/>
  <c r="S209" i="1"/>
  <c r="U209" i="1" s="1"/>
  <c r="V209" i="1"/>
  <c r="I210" i="1"/>
  <c r="J210" i="1"/>
  <c r="K210" i="1"/>
  <c r="L210" i="1"/>
  <c r="M210" i="1"/>
  <c r="N210" i="1"/>
  <c r="O210" i="1"/>
  <c r="P210" i="1"/>
  <c r="T210" i="1" s="1"/>
  <c r="Q210" i="1"/>
  <c r="R210" i="1"/>
  <c r="S210" i="1"/>
  <c r="U210" i="1" s="1"/>
  <c r="V210" i="1"/>
  <c r="I211" i="1"/>
  <c r="J211" i="1"/>
  <c r="V211" i="1" s="1"/>
  <c r="K211" i="1"/>
  <c r="L211" i="1"/>
  <c r="M211" i="1"/>
  <c r="N211" i="1"/>
  <c r="O211" i="1"/>
  <c r="P211" i="1"/>
  <c r="T211" i="1" s="1"/>
  <c r="Q211" i="1"/>
  <c r="R211" i="1"/>
  <c r="S211" i="1"/>
  <c r="U211" i="1" s="1"/>
  <c r="I212" i="1"/>
  <c r="J212" i="1"/>
  <c r="K212" i="1"/>
  <c r="L212" i="1"/>
  <c r="M212" i="1"/>
  <c r="N212" i="1"/>
  <c r="O212" i="1"/>
  <c r="P212" i="1"/>
  <c r="T212" i="1" s="1"/>
  <c r="Q212" i="1"/>
  <c r="R212" i="1"/>
  <c r="S212" i="1"/>
  <c r="U212" i="1" s="1"/>
  <c r="V212" i="1"/>
  <c r="I213" i="1"/>
  <c r="J213" i="1"/>
  <c r="K213" i="1"/>
  <c r="L213" i="1"/>
  <c r="M213" i="1"/>
  <c r="N213" i="1"/>
  <c r="O213" i="1"/>
  <c r="P213" i="1"/>
  <c r="Q213" i="1"/>
  <c r="R213" i="1"/>
  <c r="S213" i="1"/>
  <c r="U213" i="1" s="1"/>
  <c r="T213" i="1"/>
  <c r="V213" i="1"/>
  <c r="I214" i="1"/>
  <c r="J214" i="1"/>
  <c r="V214" i="1" s="1"/>
  <c r="K214" i="1"/>
  <c r="L214" i="1"/>
  <c r="M214" i="1"/>
  <c r="N214" i="1"/>
  <c r="O214" i="1"/>
  <c r="P214" i="1"/>
  <c r="T214" i="1" s="1"/>
  <c r="Q214" i="1"/>
  <c r="R214" i="1"/>
  <c r="S214" i="1"/>
  <c r="U214" i="1" s="1"/>
  <c r="I215" i="1"/>
  <c r="J215" i="1"/>
  <c r="V215" i="1" s="1"/>
  <c r="K215" i="1"/>
  <c r="L215" i="1"/>
  <c r="M215" i="1"/>
  <c r="N215" i="1"/>
  <c r="O215" i="1"/>
  <c r="P215" i="1"/>
  <c r="T215" i="1" s="1"/>
  <c r="Q215" i="1"/>
  <c r="R215" i="1"/>
  <c r="S215" i="1"/>
  <c r="U215" i="1" s="1"/>
  <c r="I216" i="1"/>
  <c r="J216" i="1"/>
  <c r="V216" i="1" s="1"/>
  <c r="K216" i="1"/>
  <c r="L216" i="1"/>
  <c r="M216" i="1"/>
  <c r="N216" i="1"/>
  <c r="O216" i="1"/>
  <c r="P216" i="1"/>
  <c r="T216" i="1" s="1"/>
  <c r="Q216" i="1"/>
  <c r="R216" i="1"/>
  <c r="S216" i="1"/>
  <c r="U216" i="1" s="1"/>
  <c r="I217" i="1"/>
  <c r="J217" i="1"/>
  <c r="V217" i="1" s="1"/>
  <c r="K217" i="1"/>
  <c r="L217" i="1"/>
  <c r="M217" i="1"/>
  <c r="N217" i="1"/>
  <c r="O217" i="1"/>
  <c r="P217" i="1"/>
  <c r="T217" i="1" s="1"/>
  <c r="Q217" i="1"/>
  <c r="R217" i="1"/>
  <c r="S217" i="1"/>
  <c r="U217" i="1" s="1"/>
  <c r="I218" i="1"/>
  <c r="J218" i="1"/>
  <c r="V218" i="1" s="1"/>
  <c r="K218" i="1"/>
  <c r="L218" i="1"/>
  <c r="M218" i="1"/>
  <c r="N218" i="1"/>
  <c r="O218" i="1"/>
  <c r="P218" i="1"/>
  <c r="T218" i="1" s="1"/>
  <c r="Q218" i="1"/>
  <c r="R218" i="1"/>
  <c r="S218" i="1"/>
  <c r="U218" i="1" s="1"/>
  <c r="I219" i="1"/>
  <c r="J219" i="1"/>
  <c r="V219" i="1" s="1"/>
  <c r="K219" i="1"/>
  <c r="L219" i="1"/>
  <c r="M219" i="1"/>
  <c r="N219" i="1"/>
  <c r="O219" i="1"/>
  <c r="P219" i="1"/>
  <c r="T219" i="1" s="1"/>
  <c r="Q219" i="1"/>
  <c r="R219" i="1"/>
  <c r="S219" i="1"/>
  <c r="U219" i="1" s="1"/>
  <c r="I220" i="1"/>
  <c r="J220" i="1"/>
  <c r="V220" i="1" s="1"/>
  <c r="K220" i="1"/>
  <c r="L220" i="1"/>
  <c r="M220" i="1"/>
  <c r="N220" i="1"/>
  <c r="O220" i="1"/>
  <c r="P220" i="1"/>
  <c r="T220" i="1" s="1"/>
  <c r="Q220" i="1"/>
  <c r="R220" i="1"/>
  <c r="S220" i="1"/>
  <c r="U220" i="1" s="1"/>
  <c r="I221" i="1"/>
  <c r="J221" i="1"/>
  <c r="K221" i="1"/>
  <c r="L221" i="1"/>
  <c r="M221" i="1"/>
  <c r="N221" i="1"/>
  <c r="O221" i="1"/>
  <c r="P221" i="1"/>
  <c r="T221" i="1" s="1"/>
  <c r="Q221" i="1"/>
  <c r="R221" i="1"/>
  <c r="S221" i="1"/>
  <c r="U221" i="1"/>
  <c r="V221" i="1"/>
  <c r="I222" i="1"/>
  <c r="J222" i="1"/>
  <c r="K222" i="1"/>
  <c r="L222" i="1"/>
  <c r="M222" i="1"/>
  <c r="N222" i="1"/>
  <c r="O222" i="1"/>
  <c r="P222" i="1"/>
  <c r="T222" i="1" s="1"/>
  <c r="Q222" i="1"/>
  <c r="R222" i="1"/>
  <c r="S222" i="1"/>
  <c r="U222" i="1" s="1"/>
  <c r="V222" i="1"/>
  <c r="I223" i="1"/>
  <c r="J223" i="1"/>
  <c r="V223" i="1" s="1"/>
  <c r="K223" i="1"/>
  <c r="L223" i="1"/>
  <c r="M223" i="1"/>
  <c r="N223" i="1"/>
  <c r="O223" i="1"/>
  <c r="P223" i="1"/>
  <c r="T223" i="1" s="1"/>
  <c r="Q223" i="1"/>
  <c r="R223" i="1"/>
  <c r="S223" i="1"/>
  <c r="U223" i="1" s="1"/>
  <c r="I224" i="1"/>
  <c r="J224" i="1"/>
  <c r="V224" i="1" s="1"/>
  <c r="K224" i="1"/>
  <c r="L224" i="1"/>
  <c r="M224" i="1"/>
  <c r="N224" i="1"/>
  <c r="O224" i="1"/>
  <c r="P224" i="1"/>
  <c r="T224" i="1" s="1"/>
  <c r="Q224" i="1"/>
  <c r="R224" i="1"/>
  <c r="S224" i="1"/>
  <c r="U224" i="1" s="1"/>
  <c r="I225" i="1"/>
  <c r="J225" i="1"/>
  <c r="K225" i="1"/>
  <c r="L225" i="1"/>
  <c r="M225" i="1"/>
  <c r="N225" i="1"/>
  <c r="O225" i="1"/>
  <c r="P225" i="1"/>
  <c r="T225" i="1" s="1"/>
  <c r="Q225" i="1"/>
  <c r="R225" i="1"/>
  <c r="S225" i="1"/>
  <c r="U225" i="1" s="1"/>
  <c r="V225" i="1"/>
  <c r="I226" i="1"/>
  <c r="J226" i="1"/>
  <c r="V226" i="1" s="1"/>
  <c r="K226" i="1"/>
  <c r="L226" i="1"/>
  <c r="M226" i="1"/>
  <c r="N226" i="1"/>
  <c r="O226" i="1"/>
  <c r="P226" i="1"/>
  <c r="T226" i="1" s="1"/>
  <c r="Q226" i="1"/>
  <c r="R226" i="1"/>
  <c r="S226" i="1"/>
  <c r="U226" i="1" s="1"/>
  <c r="I227" i="1"/>
  <c r="J227" i="1"/>
  <c r="K227" i="1"/>
  <c r="L227" i="1"/>
  <c r="M227" i="1"/>
  <c r="N227" i="1"/>
  <c r="O227" i="1"/>
  <c r="P227" i="1"/>
  <c r="T227" i="1" s="1"/>
  <c r="Q227" i="1"/>
  <c r="R227" i="1"/>
  <c r="S227" i="1"/>
  <c r="U227" i="1"/>
  <c r="V227" i="1"/>
  <c r="I228" i="1"/>
  <c r="J228" i="1"/>
  <c r="K228" i="1"/>
  <c r="L228" i="1"/>
  <c r="M228" i="1"/>
  <c r="N228" i="1"/>
  <c r="O228" i="1"/>
  <c r="P228" i="1"/>
  <c r="T228" i="1" s="1"/>
  <c r="Q228" i="1"/>
  <c r="R228" i="1"/>
  <c r="S228" i="1"/>
  <c r="U228" i="1" s="1"/>
  <c r="V228" i="1"/>
  <c r="I229" i="1"/>
  <c r="J229" i="1"/>
  <c r="K229" i="1"/>
  <c r="L229" i="1"/>
  <c r="M229" i="1"/>
  <c r="N229" i="1"/>
  <c r="O229" i="1"/>
  <c r="P229" i="1"/>
  <c r="T229" i="1" s="1"/>
  <c r="Q229" i="1"/>
  <c r="R229" i="1"/>
  <c r="S229" i="1"/>
  <c r="U229" i="1" s="1"/>
  <c r="V229" i="1"/>
  <c r="I230" i="1"/>
  <c r="J230" i="1"/>
  <c r="K230" i="1"/>
  <c r="L230" i="1"/>
  <c r="M230" i="1"/>
  <c r="N230" i="1"/>
  <c r="O230" i="1"/>
  <c r="P230" i="1"/>
  <c r="Q230" i="1"/>
  <c r="R230" i="1"/>
  <c r="S230" i="1"/>
  <c r="U230" i="1" s="1"/>
  <c r="T230" i="1"/>
  <c r="V230" i="1"/>
  <c r="I231" i="1"/>
  <c r="J231" i="1"/>
  <c r="V231" i="1" s="1"/>
  <c r="K231" i="1"/>
  <c r="L231" i="1"/>
  <c r="M231" i="1"/>
  <c r="N231" i="1"/>
  <c r="O231" i="1"/>
  <c r="P231" i="1"/>
  <c r="T231" i="1" s="1"/>
  <c r="Q231" i="1"/>
  <c r="R231" i="1"/>
  <c r="S231" i="1"/>
  <c r="U231" i="1" s="1"/>
  <c r="I232" i="1"/>
  <c r="J232" i="1"/>
  <c r="V232" i="1" s="1"/>
  <c r="K232" i="1"/>
  <c r="L232" i="1"/>
  <c r="M232" i="1"/>
  <c r="N232" i="1"/>
  <c r="O232" i="1"/>
  <c r="P232" i="1"/>
  <c r="T232" i="1" s="1"/>
  <c r="Q232" i="1"/>
  <c r="R232" i="1"/>
  <c r="S232" i="1"/>
  <c r="U232" i="1" s="1"/>
  <c r="I233" i="1"/>
  <c r="J233" i="1"/>
  <c r="V233" i="1" s="1"/>
  <c r="K233" i="1"/>
  <c r="L233" i="1"/>
  <c r="M233" i="1"/>
  <c r="N233" i="1"/>
  <c r="O233" i="1"/>
  <c r="P233" i="1"/>
  <c r="T233" i="1" s="1"/>
  <c r="Q233" i="1"/>
  <c r="R233" i="1"/>
  <c r="S233" i="1"/>
  <c r="U233" i="1" s="1"/>
  <c r="I234" i="1"/>
  <c r="J234" i="1"/>
  <c r="V234" i="1" s="1"/>
  <c r="K234" i="1"/>
  <c r="L234" i="1"/>
  <c r="M234" i="1"/>
  <c r="N234" i="1"/>
  <c r="O234" i="1"/>
  <c r="P234" i="1"/>
  <c r="T234" i="1" s="1"/>
  <c r="Q234" i="1"/>
  <c r="R234" i="1"/>
  <c r="S234" i="1"/>
  <c r="U234" i="1" s="1"/>
  <c r="I235" i="1"/>
  <c r="J235" i="1"/>
  <c r="V235" i="1" s="1"/>
  <c r="K235" i="1"/>
  <c r="L235" i="1"/>
  <c r="M235" i="1"/>
  <c r="N235" i="1"/>
  <c r="O235" i="1"/>
  <c r="P235" i="1"/>
  <c r="T235" i="1" s="1"/>
  <c r="Q235" i="1"/>
  <c r="R235" i="1"/>
  <c r="S235" i="1"/>
  <c r="U235" i="1" s="1"/>
  <c r="I236" i="1"/>
  <c r="J236" i="1"/>
  <c r="K236" i="1"/>
  <c r="L236" i="1"/>
  <c r="M236" i="1"/>
  <c r="N236" i="1"/>
  <c r="O236" i="1"/>
  <c r="P236" i="1"/>
  <c r="T236" i="1" s="1"/>
  <c r="Q236" i="1"/>
  <c r="R236" i="1"/>
  <c r="S236" i="1"/>
  <c r="U236" i="1" s="1"/>
  <c r="V236" i="1"/>
  <c r="I237" i="1"/>
  <c r="J237" i="1"/>
  <c r="K237" i="1"/>
  <c r="L237" i="1"/>
  <c r="M237" i="1"/>
  <c r="N237" i="1"/>
  <c r="O237" i="1"/>
  <c r="P237" i="1"/>
  <c r="T237" i="1" s="1"/>
  <c r="Q237" i="1"/>
  <c r="R237" i="1"/>
  <c r="S237" i="1"/>
  <c r="U237" i="1" s="1"/>
  <c r="V237" i="1"/>
  <c r="I238" i="1"/>
  <c r="J238" i="1"/>
  <c r="V238" i="1" s="1"/>
  <c r="K238" i="1"/>
  <c r="L238" i="1"/>
  <c r="M238" i="1"/>
  <c r="N238" i="1"/>
  <c r="O238" i="1"/>
  <c r="P238" i="1"/>
  <c r="T238" i="1" s="1"/>
  <c r="Q238" i="1"/>
  <c r="R238" i="1"/>
  <c r="S238" i="1"/>
  <c r="U238" i="1" s="1"/>
  <c r="I239" i="1"/>
  <c r="J239" i="1"/>
  <c r="V239" i="1" s="1"/>
  <c r="K239" i="1"/>
  <c r="L239" i="1"/>
  <c r="M239" i="1"/>
  <c r="N239" i="1"/>
  <c r="O239" i="1"/>
  <c r="P239" i="1"/>
  <c r="T239" i="1" s="1"/>
  <c r="Q239" i="1"/>
  <c r="R239" i="1"/>
  <c r="S239" i="1"/>
  <c r="U239" i="1" s="1"/>
  <c r="I240" i="1"/>
  <c r="J240" i="1"/>
  <c r="K240" i="1"/>
  <c r="L240" i="1"/>
  <c r="M240" i="1"/>
  <c r="N240" i="1"/>
  <c r="O240" i="1"/>
  <c r="P240" i="1"/>
  <c r="T240" i="1" s="1"/>
  <c r="Q240" i="1"/>
  <c r="R240" i="1"/>
  <c r="S240" i="1"/>
  <c r="U240" i="1"/>
  <c r="V240" i="1"/>
  <c r="I241" i="1"/>
  <c r="J241" i="1"/>
  <c r="V241" i="1" s="1"/>
  <c r="K241" i="1"/>
  <c r="L241" i="1"/>
  <c r="M241" i="1"/>
  <c r="N241" i="1"/>
  <c r="O241" i="1"/>
  <c r="P241" i="1"/>
  <c r="T241" i="1" s="1"/>
  <c r="Q241" i="1"/>
  <c r="R241" i="1"/>
  <c r="S241" i="1"/>
  <c r="U241" i="1" s="1"/>
  <c r="I242" i="1"/>
  <c r="J242" i="1"/>
  <c r="K242" i="1"/>
  <c r="L242" i="1"/>
  <c r="M242" i="1"/>
  <c r="N242" i="1"/>
  <c r="O242" i="1"/>
  <c r="P242" i="1"/>
  <c r="T242" i="1" s="1"/>
  <c r="Q242" i="1"/>
  <c r="R242" i="1"/>
  <c r="S242" i="1"/>
  <c r="U242" i="1" s="1"/>
  <c r="V242" i="1"/>
  <c r="I243" i="1"/>
  <c r="J243" i="1"/>
  <c r="K243" i="1"/>
  <c r="L243" i="1"/>
  <c r="M243" i="1"/>
  <c r="N243" i="1"/>
  <c r="O243" i="1"/>
  <c r="P243" i="1"/>
  <c r="T243" i="1" s="1"/>
  <c r="Q243" i="1"/>
  <c r="R243" i="1"/>
  <c r="S243" i="1"/>
  <c r="U243" i="1"/>
  <c r="V243" i="1"/>
  <c r="I244" i="1"/>
  <c r="J244" i="1"/>
  <c r="V244" i="1" s="1"/>
  <c r="K244" i="1"/>
  <c r="L244" i="1"/>
  <c r="M244" i="1"/>
  <c r="N244" i="1"/>
  <c r="O244" i="1"/>
  <c r="P244" i="1"/>
  <c r="T244" i="1" s="1"/>
  <c r="Q244" i="1"/>
  <c r="R244" i="1"/>
  <c r="S244" i="1"/>
  <c r="U244" i="1" s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I246" i="1"/>
  <c r="J246" i="1"/>
  <c r="V246" i="1" s="1"/>
  <c r="K246" i="1"/>
  <c r="L246" i="1"/>
  <c r="M246" i="1"/>
  <c r="N246" i="1"/>
  <c r="O246" i="1"/>
  <c r="P246" i="1"/>
  <c r="T246" i="1" s="1"/>
  <c r="Q246" i="1"/>
  <c r="R246" i="1"/>
  <c r="S246" i="1"/>
  <c r="U246" i="1" s="1"/>
  <c r="I247" i="1"/>
  <c r="J247" i="1"/>
  <c r="V247" i="1" s="1"/>
  <c r="K247" i="1"/>
  <c r="L247" i="1"/>
  <c r="M247" i="1"/>
  <c r="N247" i="1"/>
  <c r="O247" i="1"/>
  <c r="P247" i="1"/>
  <c r="T247" i="1" s="1"/>
  <c r="Q247" i="1"/>
  <c r="R247" i="1"/>
  <c r="S247" i="1"/>
  <c r="U247" i="1" s="1"/>
  <c r="I248" i="1"/>
  <c r="J248" i="1"/>
  <c r="K248" i="1"/>
  <c r="L248" i="1"/>
  <c r="M248" i="1"/>
  <c r="N248" i="1"/>
  <c r="O248" i="1"/>
  <c r="P248" i="1"/>
  <c r="T248" i="1" s="1"/>
  <c r="Q248" i="1"/>
  <c r="R248" i="1"/>
  <c r="S248" i="1"/>
  <c r="U248" i="1" s="1"/>
  <c r="V248" i="1"/>
  <c r="I249" i="1"/>
  <c r="J249" i="1"/>
  <c r="V249" i="1" s="1"/>
  <c r="K249" i="1"/>
  <c r="L249" i="1"/>
  <c r="M249" i="1"/>
  <c r="N249" i="1"/>
  <c r="O249" i="1"/>
  <c r="P249" i="1"/>
  <c r="T249" i="1" s="1"/>
  <c r="Q249" i="1"/>
  <c r="R249" i="1"/>
  <c r="S249" i="1"/>
  <c r="U249" i="1"/>
  <c r="I250" i="1"/>
  <c r="J250" i="1"/>
  <c r="V250" i="1" s="1"/>
  <c r="K250" i="1"/>
  <c r="L250" i="1"/>
  <c r="M250" i="1"/>
  <c r="N250" i="1"/>
  <c r="O250" i="1"/>
  <c r="P250" i="1"/>
  <c r="T250" i="1" s="1"/>
  <c r="Q250" i="1"/>
  <c r="R250" i="1"/>
  <c r="S250" i="1"/>
  <c r="U250" i="1" s="1"/>
  <c r="I251" i="1"/>
  <c r="J251" i="1"/>
  <c r="K251" i="1"/>
  <c r="L251" i="1"/>
  <c r="M251" i="1"/>
  <c r="N251" i="1"/>
  <c r="O251" i="1"/>
  <c r="P251" i="1"/>
  <c r="T251" i="1" s="1"/>
  <c r="Q251" i="1"/>
  <c r="R251" i="1"/>
  <c r="S251" i="1"/>
  <c r="U251" i="1" s="1"/>
  <c r="V251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I253" i="1"/>
  <c r="J253" i="1"/>
  <c r="V253" i="1" s="1"/>
  <c r="K253" i="1"/>
  <c r="L253" i="1"/>
  <c r="M253" i="1"/>
  <c r="N253" i="1"/>
  <c r="O253" i="1"/>
  <c r="P253" i="1"/>
  <c r="T253" i="1" s="1"/>
  <c r="Q253" i="1"/>
  <c r="R253" i="1"/>
  <c r="S253" i="1"/>
  <c r="U253" i="1" s="1"/>
  <c r="I254" i="1"/>
  <c r="J254" i="1"/>
  <c r="K254" i="1"/>
  <c r="L254" i="1"/>
  <c r="M254" i="1"/>
  <c r="N254" i="1"/>
  <c r="O254" i="1"/>
  <c r="P254" i="1"/>
  <c r="T254" i="1" s="1"/>
  <c r="Q254" i="1"/>
  <c r="R254" i="1"/>
  <c r="S254" i="1"/>
  <c r="U254" i="1" s="1"/>
  <c r="V254" i="1"/>
  <c r="I255" i="1"/>
  <c r="J255" i="1"/>
  <c r="K255" i="1"/>
  <c r="L255" i="1"/>
  <c r="M255" i="1"/>
  <c r="N255" i="1"/>
  <c r="O255" i="1"/>
  <c r="P255" i="1"/>
  <c r="T255" i="1" s="1"/>
  <c r="Q255" i="1"/>
  <c r="R255" i="1"/>
  <c r="S255" i="1"/>
  <c r="U255" i="1" s="1"/>
  <c r="V255" i="1"/>
  <c r="I256" i="1"/>
  <c r="J256" i="1"/>
  <c r="K256" i="1"/>
  <c r="L256" i="1"/>
  <c r="M256" i="1"/>
  <c r="N256" i="1"/>
  <c r="O256" i="1"/>
  <c r="P256" i="1"/>
  <c r="T256" i="1" s="1"/>
  <c r="Q256" i="1"/>
  <c r="R256" i="1"/>
  <c r="S256" i="1"/>
  <c r="U256" i="1" s="1"/>
  <c r="V256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I258" i="1"/>
  <c r="J258" i="1"/>
  <c r="V258" i="1" s="1"/>
  <c r="K258" i="1"/>
  <c r="L258" i="1"/>
  <c r="M258" i="1"/>
  <c r="N258" i="1"/>
  <c r="O258" i="1"/>
  <c r="P258" i="1"/>
  <c r="T258" i="1" s="1"/>
  <c r="Q258" i="1"/>
  <c r="R258" i="1"/>
  <c r="S258" i="1"/>
  <c r="U258" i="1" s="1"/>
  <c r="I259" i="1"/>
  <c r="J259" i="1"/>
  <c r="V259" i="1" s="1"/>
  <c r="K259" i="1"/>
  <c r="L259" i="1"/>
  <c r="M259" i="1"/>
  <c r="N259" i="1"/>
  <c r="O259" i="1"/>
  <c r="P259" i="1"/>
  <c r="T259" i="1" s="1"/>
  <c r="Q259" i="1"/>
  <c r="R259" i="1"/>
  <c r="S259" i="1"/>
  <c r="U259" i="1" s="1"/>
  <c r="I260" i="1"/>
  <c r="J260" i="1"/>
  <c r="K260" i="1"/>
  <c r="L260" i="1"/>
  <c r="M260" i="1"/>
  <c r="N260" i="1"/>
  <c r="O260" i="1"/>
  <c r="P260" i="1"/>
  <c r="T260" i="1" s="1"/>
  <c r="Q260" i="1"/>
  <c r="R260" i="1"/>
  <c r="S260" i="1"/>
  <c r="U260" i="1" s="1"/>
  <c r="V260" i="1"/>
  <c r="I261" i="1"/>
  <c r="J261" i="1"/>
  <c r="K261" i="1"/>
  <c r="L261" i="1"/>
  <c r="M261" i="1"/>
  <c r="N261" i="1"/>
  <c r="O261" i="1"/>
  <c r="P261" i="1"/>
  <c r="T261" i="1" s="1"/>
  <c r="Q261" i="1"/>
  <c r="R261" i="1"/>
  <c r="S261" i="1"/>
  <c r="U261" i="1" s="1"/>
  <c r="V261" i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 s="1"/>
  <c r="V262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I264" i="1"/>
  <c r="J264" i="1"/>
  <c r="K264" i="1"/>
  <c r="L264" i="1"/>
  <c r="M264" i="1"/>
  <c r="N264" i="1"/>
  <c r="O264" i="1"/>
  <c r="P264" i="1"/>
  <c r="T264" i="1" s="1"/>
  <c r="Q264" i="1"/>
  <c r="R264" i="1"/>
  <c r="S264" i="1"/>
  <c r="U264" i="1" s="1"/>
  <c r="V264" i="1"/>
  <c r="I265" i="1"/>
  <c r="J265" i="1"/>
  <c r="K265" i="1"/>
  <c r="L265" i="1"/>
  <c r="M265" i="1"/>
  <c r="N265" i="1"/>
  <c r="O265" i="1"/>
  <c r="P265" i="1"/>
  <c r="T265" i="1" s="1"/>
  <c r="Q265" i="1"/>
  <c r="R265" i="1"/>
  <c r="S265" i="1"/>
  <c r="U265" i="1" s="1"/>
  <c r="V265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I267" i="1"/>
  <c r="J267" i="1"/>
  <c r="V267" i="1" s="1"/>
  <c r="K267" i="1"/>
  <c r="L267" i="1"/>
  <c r="M267" i="1"/>
  <c r="N267" i="1"/>
  <c r="O267" i="1"/>
  <c r="P267" i="1"/>
  <c r="T267" i="1" s="1"/>
  <c r="Q267" i="1"/>
  <c r="R267" i="1"/>
  <c r="S267" i="1"/>
  <c r="U267" i="1" s="1"/>
  <c r="I268" i="1"/>
  <c r="J268" i="1"/>
  <c r="V268" i="1" s="1"/>
  <c r="K268" i="1"/>
  <c r="L268" i="1"/>
  <c r="M268" i="1"/>
  <c r="N268" i="1"/>
  <c r="O268" i="1"/>
  <c r="P268" i="1"/>
  <c r="T268" i="1" s="1"/>
  <c r="Q268" i="1"/>
  <c r="R268" i="1"/>
  <c r="S268" i="1"/>
  <c r="U268" i="1" s="1"/>
  <c r="I269" i="1"/>
  <c r="J269" i="1"/>
  <c r="K269" i="1"/>
  <c r="L269" i="1"/>
  <c r="M269" i="1"/>
  <c r="N269" i="1"/>
  <c r="O269" i="1"/>
  <c r="P269" i="1"/>
  <c r="T269" i="1" s="1"/>
  <c r="Q269" i="1"/>
  <c r="R269" i="1"/>
  <c r="S269" i="1"/>
  <c r="U269" i="1" s="1"/>
  <c r="V269" i="1"/>
  <c r="I270" i="1"/>
  <c r="J270" i="1"/>
  <c r="K270" i="1"/>
  <c r="L270" i="1"/>
  <c r="M270" i="1"/>
  <c r="N270" i="1"/>
  <c r="O270" i="1"/>
  <c r="P270" i="1"/>
  <c r="T270" i="1" s="1"/>
  <c r="Q270" i="1"/>
  <c r="R270" i="1"/>
  <c r="S270" i="1"/>
  <c r="U270" i="1" s="1"/>
  <c r="V270" i="1"/>
  <c r="I271" i="1"/>
  <c r="J271" i="1"/>
  <c r="V271" i="1" s="1"/>
  <c r="K271" i="1"/>
  <c r="L271" i="1"/>
  <c r="M271" i="1"/>
  <c r="N271" i="1"/>
  <c r="O271" i="1"/>
  <c r="P271" i="1"/>
  <c r="T271" i="1" s="1"/>
  <c r="Q271" i="1"/>
  <c r="R271" i="1"/>
  <c r="S271" i="1"/>
  <c r="U271" i="1" s="1"/>
  <c r="I272" i="1"/>
  <c r="J272" i="1"/>
  <c r="K272" i="1"/>
  <c r="L272" i="1"/>
  <c r="M272" i="1"/>
  <c r="N272" i="1"/>
  <c r="O272" i="1"/>
  <c r="P272" i="1"/>
  <c r="T272" i="1" s="1"/>
  <c r="Q272" i="1"/>
  <c r="R272" i="1"/>
  <c r="S272" i="1"/>
  <c r="U272" i="1" s="1"/>
  <c r="V272" i="1"/>
  <c r="I273" i="1"/>
  <c r="J273" i="1"/>
  <c r="V273" i="1" s="1"/>
  <c r="K273" i="1"/>
  <c r="L273" i="1"/>
  <c r="M273" i="1"/>
  <c r="N273" i="1"/>
  <c r="O273" i="1"/>
  <c r="P273" i="1"/>
  <c r="T273" i="1" s="1"/>
  <c r="Q273" i="1"/>
  <c r="R273" i="1"/>
  <c r="S273" i="1"/>
  <c r="U273" i="1" s="1"/>
  <c r="I274" i="1"/>
  <c r="J274" i="1"/>
  <c r="V274" i="1" s="1"/>
  <c r="K274" i="1"/>
  <c r="L274" i="1"/>
  <c r="M274" i="1"/>
  <c r="N274" i="1"/>
  <c r="O274" i="1"/>
  <c r="P274" i="1"/>
  <c r="T274" i="1" s="1"/>
  <c r="Q274" i="1"/>
  <c r="R274" i="1"/>
  <c r="S274" i="1"/>
  <c r="U274" i="1" s="1"/>
  <c r="I275" i="1"/>
  <c r="J275" i="1"/>
  <c r="V275" i="1" s="1"/>
  <c r="K275" i="1"/>
  <c r="L275" i="1"/>
  <c r="M275" i="1"/>
  <c r="N275" i="1"/>
  <c r="O275" i="1"/>
  <c r="P275" i="1"/>
  <c r="T275" i="1" s="1"/>
  <c r="Q275" i="1"/>
  <c r="R275" i="1"/>
  <c r="S275" i="1"/>
  <c r="U275" i="1" s="1"/>
  <c r="I276" i="1"/>
  <c r="J276" i="1"/>
  <c r="V276" i="1" s="1"/>
  <c r="K276" i="1"/>
  <c r="L276" i="1"/>
  <c r="M276" i="1"/>
  <c r="N276" i="1"/>
  <c r="O276" i="1"/>
  <c r="P276" i="1"/>
  <c r="T276" i="1" s="1"/>
  <c r="Q276" i="1"/>
  <c r="R276" i="1"/>
  <c r="S276" i="1"/>
  <c r="U276" i="1" s="1"/>
  <c r="I277" i="1"/>
  <c r="J277" i="1"/>
  <c r="V277" i="1" s="1"/>
  <c r="K277" i="1"/>
  <c r="L277" i="1"/>
  <c r="M277" i="1"/>
  <c r="N277" i="1"/>
  <c r="O277" i="1"/>
  <c r="P277" i="1"/>
  <c r="T277" i="1" s="1"/>
  <c r="Q277" i="1"/>
  <c r="R277" i="1"/>
  <c r="S277" i="1"/>
  <c r="U277" i="1" s="1"/>
  <c r="I278" i="1"/>
  <c r="J278" i="1"/>
  <c r="K278" i="1"/>
  <c r="L278" i="1"/>
  <c r="M278" i="1"/>
  <c r="N278" i="1"/>
  <c r="O278" i="1"/>
  <c r="P278" i="1"/>
  <c r="T278" i="1" s="1"/>
  <c r="Q278" i="1"/>
  <c r="R278" i="1"/>
  <c r="S278" i="1"/>
  <c r="U278" i="1"/>
  <c r="V278" i="1"/>
  <c r="I279" i="1"/>
  <c r="J279" i="1"/>
  <c r="V279" i="1" s="1"/>
  <c r="K279" i="1"/>
  <c r="L279" i="1"/>
  <c r="M279" i="1"/>
  <c r="N279" i="1"/>
  <c r="O279" i="1"/>
  <c r="P279" i="1"/>
  <c r="T279" i="1" s="1"/>
  <c r="Q279" i="1"/>
  <c r="R279" i="1"/>
  <c r="S279" i="1"/>
  <c r="U279" i="1" s="1"/>
  <c r="I280" i="1"/>
  <c r="J280" i="1"/>
  <c r="V280" i="1" s="1"/>
  <c r="K280" i="1"/>
  <c r="L280" i="1"/>
  <c r="M280" i="1"/>
  <c r="N280" i="1"/>
  <c r="O280" i="1"/>
  <c r="P280" i="1"/>
  <c r="T280" i="1" s="1"/>
  <c r="Q280" i="1"/>
  <c r="R280" i="1"/>
  <c r="S280" i="1"/>
  <c r="U280" i="1" s="1"/>
  <c r="I281" i="1"/>
  <c r="J281" i="1"/>
  <c r="K281" i="1"/>
  <c r="L281" i="1"/>
  <c r="M281" i="1"/>
  <c r="N281" i="1"/>
  <c r="O281" i="1"/>
  <c r="P281" i="1"/>
  <c r="T281" i="1" s="1"/>
  <c r="Q281" i="1"/>
  <c r="R281" i="1"/>
  <c r="S281" i="1"/>
  <c r="U281" i="1" s="1"/>
  <c r="V281" i="1"/>
  <c r="I282" i="1"/>
  <c r="J282" i="1"/>
  <c r="K282" i="1"/>
  <c r="L282" i="1"/>
  <c r="M282" i="1"/>
  <c r="N282" i="1"/>
  <c r="O282" i="1"/>
  <c r="P282" i="1"/>
  <c r="T282" i="1" s="1"/>
  <c r="Q282" i="1"/>
  <c r="R282" i="1"/>
  <c r="S282" i="1"/>
  <c r="U282" i="1"/>
  <c r="V282" i="1"/>
  <c r="I283" i="1"/>
  <c r="J283" i="1"/>
  <c r="V283" i="1" s="1"/>
  <c r="K283" i="1"/>
  <c r="L283" i="1"/>
  <c r="M283" i="1"/>
  <c r="N283" i="1"/>
  <c r="O283" i="1"/>
  <c r="P283" i="1"/>
  <c r="T283" i="1" s="1"/>
  <c r="Q283" i="1"/>
  <c r="R283" i="1"/>
  <c r="S283" i="1"/>
  <c r="U283" i="1" s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I285" i="1"/>
  <c r="J285" i="1"/>
  <c r="V285" i="1" s="1"/>
  <c r="K285" i="1"/>
  <c r="L285" i="1"/>
  <c r="M285" i="1"/>
  <c r="N285" i="1"/>
  <c r="O285" i="1"/>
  <c r="P285" i="1"/>
  <c r="T285" i="1" s="1"/>
  <c r="Q285" i="1"/>
  <c r="R285" i="1"/>
  <c r="S285" i="1"/>
  <c r="U285" i="1" s="1"/>
  <c r="I286" i="1"/>
  <c r="J286" i="1"/>
  <c r="V286" i="1" s="1"/>
  <c r="K286" i="1"/>
  <c r="L286" i="1"/>
  <c r="M286" i="1"/>
  <c r="N286" i="1"/>
  <c r="O286" i="1"/>
  <c r="P286" i="1"/>
  <c r="T286" i="1" s="1"/>
  <c r="Q286" i="1"/>
  <c r="R286" i="1"/>
  <c r="S286" i="1"/>
  <c r="U286" i="1" s="1"/>
  <c r="I287" i="1"/>
  <c r="J287" i="1"/>
  <c r="V287" i="1" s="1"/>
  <c r="K287" i="1"/>
  <c r="L287" i="1"/>
  <c r="M287" i="1"/>
  <c r="N287" i="1"/>
  <c r="O287" i="1"/>
  <c r="P287" i="1"/>
  <c r="T287" i="1" s="1"/>
  <c r="Q287" i="1"/>
  <c r="R287" i="1"/>
  <c r="S287" i="1"/>
  <c r="U287" i="1" s="1"/>
  <c r="I288" i="1"/>
  <c r="J288" i="1"/>
  <c r="K288" i="1"/>
  <c r="L288" i="1"/>
  <c r="M288" i="1"/>
  <c r="N288" i="1"/>
  <c r="O288" i="1"/>
  <c r="P288" i="1"/>
  <c r="T288" i="1" s="1"/>
  <c r="Q288" i="1"/>
  <c r="R288" i="1"/>
  <c r="S288" i="1"/>
  <c r="U288" i="1" s="1"/>
  <c r="V288" i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 s="1"/>
  <c r="V289" i="1"/>
  <c r="I290" i="1"/>
  <c r="J290" i="1"/>
  <c r="K290" i="1"/>
  <c r="L290" i="1"/>
  <c r="M290" i="1"/>
  <c r="N290" i="1"/>
  <c r="O290" i="1"/>
  <c r="P290" i="1"/>
  <c r="Q290" i="1"/>
  <c r="R290" i="1"/>
  <c r="S290" i="1"/>
  <c r="U290" i="1" s="1"/>
  <c r="T290" i="1"/>
  <c r="V290" i="1"/>
  <c r="I291" i="1"/>
  <c r="J291" i="1"/>
  <c r="K291" i="1"/>
  <c r="L291" i="1"/>
  <c r="M291" i="1"/>
  <c r="N291" i="1"/>
  <c r="O291" i="1"/>
  <c r="P291" i="1"/>
  <c r="T291" i="1" s="1"/>
  <c r="Q291" i="1"/>
  <c r="R291" i="1"/>
  <c r="S291" i="1"/>
  <c r="U291" i="1" s="1"/>
  <c r="V291" i="1"/>
  <c r="I292" i="1"/>
  <c r="J292" i="1"/>
  <c r="K292" i="1"/>
  <c r="L292" i="1"/>
  <c r="M292" i="1"/>
  <c r="N292" i="1"/>
  <c r="O292" i="1"/>
  <c r="P292" i="1"/>
  <c r="T292" i="1" s="1"/>
  <c r="Q292" i="1"/>
  <c r="R292" i="1"/>
  <c r="S292" i="1"/>
  <c r="U292" i="1" s="1"/>
  <c r="V292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I294" i="1"/>
  <c r="J294" i="1"/>
  <c r="V294" i="1" s="1"/>
  <c r="K294" i="1"/>
  <c r="L294" i="1"/>
  <c r="M294" i="1"/>
  <c r="N294" i="1"/>
  <c r="O294" i="1"/>
  <c r="P294" i="1"/>
  <c r="T294" i="1" s="1"/>
  <c r="Q294" i="1"/>
  <c r="R294" i="1"/>
  <c r="S294" i="1"/>
  <c r="U294" i="1" s="1"/>
  <c r="I295" i="1"/>
  <c r="J295" i="1"/>
  <c r="V295" i="1" s="1"/>
  <c r="K295" i="1"/>
  <c r="L295" i="1"/>
  <c r="M295" i="1"/>
  <c r="N295" i="1"/>
  <c r="O295" i="1"/>
  <c r="P295" i="1"/>
  <c r="T295" i="1" s="1"/>
  <c r="Q295" i="1"/>
  <c r="R295" i="1"/>
  <c r="S295" i="1"/>
  <c r="U295" i="1" s="1"/>
  <c r="I296" i="1"/>
  <c r="J296" i="1"/>
  <c r="K296" i="1"/>
  <c r="L296" i="1"/>
  <c r="M296" i="1"/>
  <c r="N296" i="1"/>
  <c r="O296" i="1"/>
  <c r="P296" i="1"/>
  <c r="T296" i="1" s="1"/>
  <c r="Q296" i="1"/>
  <c r="R296" i="1"/>
  <c r="S296" i="1"/>
  <c r="U296" i="1" s="1"/>
  <c r="V296" i="1"/>
  <c r="I297" i="1"/>
  <c r="J297" i="1"/>
  <c r="K297" i="1"/>
  <c r="L297" i="1"/>
  <c r="M297" i="1"/>
  <c r="N297" i="1"/>
  <c r="O297" i="1"/>
  <c r="P297" i="1"/>
  <c r="T297" i="1" s="1"/>
  <c r="Q297" i="1"/>
  <c r="R297" i="1"/>
  <c r="S297" i="1"/>
  <c r="U297" i="1" s="1"/>
  <c r="V297" i="1"/>
  <c r="I298" i="1"/>
  <c r="J298" i="1"/>
  <c r="K298" i="1"/>
  <c r="L298" i="1"/>
  <c r="M298" i="1"/>
  <c r="N298" i="1"/>
  <c r="O298" i="1"/>
  <c r="P298" i="1"/>
  <c r="T298" i="1" s="1"/>
  <c r="Q298" i="1"/>
  <c r="R298" i="1"/>
  <c r="S298" i="1"/>
  <c r="U298" i="1" s="1"/>
  <c r="V298" i="1"/>
  <c r="I299" i="1"/>
  <c r="J299" i="1"/>
  <c r="K299" i="1"/>
  <c r="L299" i="1"/>
  <c r="M299" i="1"/>
  <c r="N299" i="1"/>
  <c r="O299" i="1"/>
  <c r="P299" i="1"/>
  <c r="Q299" i="1"/>
  <c r="R299" i="1"/>
  <c r="S299" i="1"/>
  <c r="U299" i="1" s="1"/>
  <c r="T299" i="1"/>
  <c r="V299" i="1"/>
  <c r="I300" i="1"/>
  <c r="J300" i="1"/>
  <c r="K300" i="1"/>
  <c r="L300" i="1"/>
  <c r="M300" i="1"/>
  <c r="N300" i="1"/>
  <c r="O300" i="1"/>
  <c r="P300" i="1"/>
  <c r="T300" i="1" s="1"/>
  <c r="Q300" i="1"/>
  <c r="R300" i="1"/>
  <c r="S300" i="1"/>
  <c r="U300" i="1" s="1"/>
  <c r="V300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P11" i="1"/>
  <c r="T11" i="1" s="1"/>
  <c r="S12" i="1"/>
  <c r="U12" i="1" s="1"/>
  <c r="P12" i="1"/>
  <c r="T12" i="1" s="1"/>
  <c r="S13" i="1"/>
  <c r="U13" i="1" s="1"/>
  <c r="P13" i="1"/>
  <c r="T13" i="1" s="1"/>
  <c r="S14" i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U37" i="1" s="1"/>
  <c r="P37" i="1"/>
  <c r="T37" i="1" s="1"/>
  <c r="S38" i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P52" i="1"/>
  <c r="T52" i="1" s="1"/>
  <c r="S53" i="1"/>
  <c r="U53" i="1" s="1"/>
  <c r="S54" i="1"/>
  <c r="S55" i="1"/>
  <c r="S56" i="1"/>
  <c r="U56" i="1" s="1"/>
  <c r="P53" i="1"/>
  <c r="T53" i="1" s="1"/>
  <c r="P54" i="1"/>
  <c r="T54" i="1" s="1"/>
  <c r="P55" i="1"/>
  <c r="T55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S61" i="1"/>
  <c r="U61" i="1" s="1"/>
  <c r="P61" i="1"/>
  <c r="T61" i="1" s="1"/>
  <c r="U11" i="1"/>
  <c r="U54" i="1"/>
  <c r="U55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J7" i="1"/>
  <c r="V7" i="1" s="1"/>
  <c r="J53" i="1"/>
  <c r="V53" i="1" s="1"/>
  <c r="J27" i="1"/>
  <c r="V27" i="1" s="1"/>
  <c r="B4" i="1"/>
  <c r="J36" i="1"/>
  <c r="V36" i="1" s="1"/>
  <c r="J61" i="1"/>
  <c r="V61" i="1" s="1"/>
  <c r="J34" i="1"/>
  <c r="V34" i="1" s="1"/>
  <c r="J35" i="1"/>
  <c r="V35" i="1" s="1"/>
  <c r="J37" i="1"/>
  <c r="V37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7" i="1"/>
  <c r="V57" i="1" s="1"/>
  <c r="J58" i="1"/>
  <c r="V58" i="1" s="1"/>
  <c r="J59" i="1"/>
  <c r="V59" i="1" s="1"/>
  <c r="J60" i="1"/>
  <c r="V60" i="1" s="1"/>
  <c r="J50" i="1"/>
  <c r="V50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2" i="1"/>
  <c r="V52" i="1" s="1"/>
  <c r="J54" i="1"/>
  <c r="V54" i="1" s="1"/>
  <c r="J55" i="1"/>
  <c r="V55" i="1" s="1"/>
  <c r="J56" i="1"/>
  <c r="V56" i="1" s="1"/>
  <c r="J40" i="1"/>
  <c r="V40" i="1" s="1"/>
  <c r="J41" i="1"/>
  <c r="V41" i="1" s="1"/>
  <c r="J45" i="1"/>
  <c r="V45" i="1" s="1"/>
  <c r="J46" i="1"/>
  <c r="V46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9" i="1"/>
  <c r="V49" i="1" s="1"/>
  <c r="J21" i="1"/>
  <c r="V21" i="1" s="1"/>
  <c r="J22" i="1"/>
  <c r="V22" i="1" s="1"/>
  <c r="J38" i="1"/>
  <c r="V38" i="1" s="1"/>
  <c r="J39" i="1"/>
  <c r="V39" i="1" s="1"/>
  <c r="J42" i="1"/>
  <c r="V42" i="1" s="1"/>
  <c r="J43" i="1"/>
  <c r="V43" i="1" s="1"/>
  <c r="J44" i="1"/>
  <c r="V44" i="1" s="1"/>
  <c r="J47" i="1"/>
  <c r="V47" i="1" s="1"/>
  <c r="J48" i="1"/>
  <c r="V48" i="1" s="1"/>
  <c r="J51" i="1"/>
  <c r="V51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I61" i="1"/>
  <c r="K61" i="1"/>
  <c r="L61" i="1"/>
  <c r="M61" i="1"/>
  <c r="N61" i="1"/>
  <c r="O61" i="1"/>
  <c r="D7" i="1" l="1"/>
  <c r="E7" i="1" s="1"/>
  <c r="D13" i="1"/>
  <c r="E13" i="1" s="1"/>
  <c r="D19" i="1"/>
  <c r="E19" i="1" s="1"/>
  <c r="D25" i="1"/>
  <c r="E25" i="1" s="1"/>
  <c r="D31" i="1"/>
  <c r="E31" i="1" s="1"/>
  <c r="D37" i="1"/>
  <c r="E37" i="1" s="1"/>
  <c r="D43" i="1"/>
  <c r="E43" i="1" s="1"/>
  <c r="D49" i="1"/>
  <c r="E49" i="1" s="1"/>
  <c r="D55" i="1"/>
  <c r="E55" i="1" s="1"/>
  <c r="D61" i="1"/>
  <c r="E61" i="1" s="1"/>
  <c r="D36" i="1"/>
  <c r="E36" i="1" s="1"/>
  <c r="D8" i="1"/>
  <c r="E8" i="1" s="1"/>
  <c r="D14" i="1"/>
  <c r="E14" i="1" s="1"/>
  <c r="D20" i="1"/>
  <c r="E20" i="1" s="1"/>
  <c r="D26" i="1"/>
  <c r="E26" i="1" s="1"/>
  <c r="D32" i="1"/>
  <c r="E32" i="1" s="1"/>
  <c r="D38" i="1"/>
  <c r="E38" i="1" s="1"/>
  <c r="D44" i="1"/>
  <c r="E44" i="1" s="1"/>
  <c r="D50" i="1"/>
  <c r="E50" i="1" s="1"/>
  <c r="D56" i="1"/>
  <c r="E56" i="1" s="1"/>
  <c r="D24" i="1"/>
  <c r="E24" i="1" s="1"/>
  <c r="D9" i="1"/>
  <c r="E9" i="1" s="1"/>
  <c r="D15" i="1"/>
  <c r="E15" i="1" s="1"/>
  <c r="D21" i="1"/>
  <c r="E21" i="1" s="1"/>
  <c r="D27" i="1"/>
  <c r="E27" i="1" s="1"/>
  <c r="D33" i="1"/>
  <c r="E33" i="1" s="1"/>
  <c r="D39" i="1"/>
  <c r="E39" i="1" s="1"/>
  <c r="D45" i="1"/>
  <c r="E45" i="1" s="1"/>
  <c r="D51" i="1"/>
  <c r="E51" i="1" s="1"/>
  <c r="D57" i="1"/>
  <c r="E57" i="1" s="1"/>
  <c r="D18" i="1"/>
  <c r="E18" i="1" s="1"/>
  <c r="D42" i="1"/>
  <c r="E42" i="1" s="1"/>
  <c r="D48" i="1"/>
  <c r="E48" i="1" s="1"/>
  <c r="D54" i="1"/>
  <c r="E54" i="1" s="1"/>
  <c r="D60" i="1"/>
  <c r="E60" i="1" s="1"/>
  <c r="D10" i="1"/>
  <c r="E10" i="1" s="1"/>
  <c r="D16" i="1"/>
  <c r="E16" i="1" s="1"/>
  <c r="D22" i="1"/>
  <c r="E22" i="1" s="1"/>
  <c r="D28" i="1"/>
  <c r="E28" i="1" s="1"/>
  <c r="D34" i="1"/>
  <c r="E34" i="1" s="1"/>
  <c r="D40" i="1"/>
  <c r="E40" i="1" s="1"/>
  <c r="D46" i="1"/>
  <c r="E46" i="1" s="1"/>
  <c r="D52" i="1"/>
  <c r="E52" i="1" s="1"/>
  <c r="D58" i="1"/>
  <c r="E58" i="1" s="1"/>
  <c r="D30" i="1"/>
  <c r="E30" i="1" s="1"/>
  <c r="D11" i="1"/>
  <c r="E11" i="1" s="1"/>
  <c r="D17" i="1"/>
  <c r="E17" i="1" s="1"/>
  <c r="D23" i="1"/>
  <c r="E23" i="1" s="1"/>
  <c r="D29" i="1"/>
  <c r="E29" i="1" s="1"/>
  <c r="D35" i="1"/>
  <c r="E35" i="1" s="1"/>
  <c r="D41" i="1"/>
  <c r="E41" i="1" s="1"/>
  <c r="D47" i="1"/>
  <c r="E47" i="1" s="1"/>
  <c r="D53" i="1"/>
  <c r="E53" i="1" s="1"/>
  <c r="D59" i="1"/>
  <c r="E59" i="1" s="1"/>
  <c r="D12" i="1"/>
  <c r="E12" i="1" s="1"/>
  <c r="U38" i="1"/>
  <c r="U14" i="1"/>
  <c r="U7" i="1"/>
  <c r="E62" i="1" l="1"/>
</calcChain>
</file>

<file path=xl/sharedStrings.xml><?xml version="1.0" encoding="utf-8"?>
<sst xmlns="http://schemas.openxmlformats.org/spreadsheetml/2006/main" count="149" uniqueCount="146">
  <si>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</si>
  <si>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</si>
  <si>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</si>
  <si>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</si>
  <si>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</si>
  <si>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</si>
  <si>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</si>
  <si>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</si>
  <si>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</si>
  <si>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</si>
  <si>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</si>
  <si>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</si>
  <si>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</si>
  <si>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</si>
  <si>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</si>
  <si>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</si>
  <si>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</si>
  <si>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</si>
  <si>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</si>
  <si>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</si>
  <si>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</si>
  <si>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</si>
  <si>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</si>
  <si>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</si>
  <si>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</si>
  <si>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</si>
  <si>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</si>
  <si>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</si>
  <si>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</si>
  <si>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</si>
  <si>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</si>
  <si>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</si>
  <si>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</si>
  <si>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</si>
  <si>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</si>
  <si>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</si>
  <si>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</si>
  <si>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</si>
  <si>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</si>
  <si>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</si>
  <si>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</si>
  <si>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</si>
  <si>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</si>
  <si>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</si>
  <si>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</si>
  <si>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</si>
  <si>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</si>
  <si>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</si>
  <si>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</si>
  <si>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</si>
  <si>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</si>
  <si>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</si>
  <si>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</si>
  <si>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</si>
  <si>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</si>
  <si>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ENSP00000288135:p.Asn400Ser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</si>
  <si>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</si>
  <si>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</si>
  <si>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</si>
  <si>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</si>
  <si>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</si>
  <si>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</si>
  <si>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</si>
  <si>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</si>
  <si>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</si>
  <si>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</si>
  <si>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</si>
  <si>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</si>
  <si>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</si>
  <si>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</si>
  <si>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</si>
  <si>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</si>
  <si>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</si>
  <si>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</si>
  <si>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</si>
  <si>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</si>
  <si>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</si>
  <si>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Raw Data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</si>
  <si>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</si>
  <si>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</si>
  <si>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</si>
  <si>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</si>
  <si>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</si>
  <si>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</si>
  <si>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</si>
  <si>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</si>
  <si>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</si>
  <si>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</si>
  <si>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</si>
  <si>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C00030-B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</si>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</sst>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rgb="FFFF0000"/>
      <name val="Arial Narrow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8" fillId="5" borderId="3" xfId="1" applyFont="1" applyBorder="1" applyAlignment="1">
      <alignment horizontal="center" vertical="center"/>
    </xf>
    <xf numFmtId="0" fontId="8" fillId="5" borderId="2" xfId="1" applyFont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4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400050</xdr:colOff>
          <xdr:row>4</xdr:row>
          <xdr:rowOff>28575</xdr:rowOff>
        </xdr:from>
        <xdr:to>
          <xdr:col>28</xdr:col>
          <xdr:colOff>152400</xdr:colOff>
          <xdr:row>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409575</xdr:colOff>
          <xdr:row>8</xdr:row>
          <xdr:rowOff>66675</xdr:rowOff>
        </xdr:from>
        <xdr:to>
          <xdr:col>28</xdr:col>
          <xdr:colOff>161925</xdr:colOff>
          <xdr:row>11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1" totalsRowShown="0" headerRowDxfId="7" dataDxfId="11" headerRowBorderDxfId="16" tableBorderDxfId="15" totalsRowBorderDxfId="14" headerRowCellStyle="Accent1">
  <autoFilter ref="A6:F61" xr:uid="{00000000-0009-0000-0100-000001000000}"/>
  <sortState xmlns:xlrd2="http://schemas.microsoft.com/office/spreadsheetml/2017/richdata2" ref="A5:D61">
    <sortCondition ref="A4:A61"/>
  </sortState>
  <tableColumns count="6">
    <tableColumn id="1" xr3:uid="{00000000-0010-0000-0000-000001000000}" name="Variant" dataDxfId="10"/>
    <tableColumn id="5" xr3:uid="{00000000-0010-0000-0000-000005000000}" name="Amino Acid Change" dataDxfId="8"/>
    <tableColumn id="2" xr3:uid="{00000000-0010-0000-0000-000002000000}" name="Expected frequency" dataDxfId="9"/>
    <tableColumn id="3" xr3:uid="{00000000-0010-0000-0000-000003000000}" name="Detected Frequency" dataDxfId="6">
      <calculatedColumnFormula>IFERROR(VLOOKUP(Table1[[#This Row],[Amino Acid Change]],$S$7:$T$300,2,0),"0.00")</calculatedColumnFormula>
    </tableColumn>
    <tableColumn id="4" xr3:uid="{00000000-0010-0000-0000-000004000000}" name="QC" dataDxfId="1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1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300"/>
  <sheetViews>
    <sheetView showZeros="0" tabSelected="1" zoomScale="68" zoomScaleNormal="68" workbookViewId="0">
      <selection activeCell="X19" sqref="X19"/>
    </sheetView>
  </sheetViews>
  <sheetFormatPr defaultColWidth="8.7109375" defaultRowHeight="18" x14ac:dyDescent="0.25"/>
  <cols>
    <col min="1" max="1" width="31.85546875" style="1" customWidth="1"/>
    <col min="2" max="2" width="45.140625" style="6" customWidth="1"/>
    <col min="3" max="3" width="27.5703125" style="1" customWidth="1"/>
    <col min="4" max="4" width="45.42578125" style="1" customWidth="1"/>
    <col min="5" max="5" width="33.42578125" style="1" customWidth="1"/>
    <col min="6" max="6" width="28.42578125" style="10" customWidth="1"/>
    <col min="7" max="7" width="13.28515625" style="10" customWidth="1"/>
    <col min="8" max="8" width="12.42578125" style="10" customWidth="1"/>
    <col min="9" max="9" width="16.140625" style="1" hidden="1" customWidth="1"/>
    <col min="10" max="10" width="9.42578125" style="1" hidden="1" customWidth="1"/>
    <col min="11" max="11" width="6.7109375" style="1" hidden="1" customWidth="1"/>
    <col min="12" max="12" width="12.5703125" style="1" hidden="1" customWidth="1"/>
    <col min="13" max="13" width="7.28515625" style="1" hidden="1" customWidth="1"/>
    <col min="14" max="14" width="8.28515625" style="1" hidden="1" customWidth="1"/>
    <col min="15" max="15" width="11.85546875" style="1" hidden="1" customWidth="1"/>
    <col min="16" max="16" width="13.140625" style="1" hidden="1" customWidth="1"/>
    <col min="17" max="17" width="18.5703125" style="1" hidden="1" customWidth="1"/>
    <col min="18" max="18" width="14.28515625" style="1" hidden="1" customWidth="1"/>
    <col min="19" max="19" width="46.7109375" style="1" hidden="1" customWidth="1"/>
    <col min="20" max="20" width="13.140625" style="1" hidden="1" customWidth="1"/>
    <col min="21" max="21" width="19.85546875" style="1" hidden="1" customWidth="1"/>
    <col min="22" max="22" width="8.5703125" style="1" hidden="1" customWidth="1"/>
    <col min="23" max="25" width="8.7109375" style="1" customWidth="1"/>
    <col min="26" max="16384" width="8.7109375" style="1"/>
  </cols>
  <sheetData>
    <row r="1" spans="1:22" x14ac:dyDescent="0.25">
      <c r="A1" s="17" t="s">
        <v>4</v>
      </c>
      <c r="B1" s="15"/>
      <c r="C1" s="17" t="s">
        <v>84</v>
      </c>
      <c r="D1" s="5" t="s">
        <v>89</v>
      </c>
      <c r="F1" s="1"/>
    </row>
    <row r="2" spans="1:22" x14ac:dyDescent="0.25">
      <c r="A2" s="17" t="s">
        <v>92</v>
      </c>
      <c r="B2" s="15"/>
      <c r="C2" s="17" t="s">
        <v>5</v>
      </c>
      <c r="D2" s="14"/>
      <c r="F2" s="1"/>
    </row>
    <row r="3" spans="1:22" ht="72" x14ac:dyDescent="0.25">
      <c r="A3" s="17" t="s">
        <v>7</v>
      </c>
      <c r="B3" s="5" t="s">
        <v>10</v>
      </c>
      <c r="C3" s="17" t="s">
        <v>6</v>
      </c>
      <c r="D3" s="16" t="s">
        <v>90</v>
      </c>
      <c r="F3" s="1"/>
    </row>
    <row r="4" spans="1:22" x14ac:dyDescent="0.25">
      <c r="A4" s="17" t="s">
        <v>11</v>
      </c>
      <c r="B4" s="5">
        <f>'Coverage Reports'!B5</f>
        <v>0</v>
      </c>
      <c r="C4" s="17" t="s">
        <v>83</v>
      </c>
      <c r="D4" s="18" t="s">
        <v>91</v>
      </c>
      <c r="F4" s="1"/>
    </row>
    <row r="5" spans="1:22" x14ac:dyDescent="0.25">
      <c r="A5" s="4"/>
      <c r="B5" s="7"/>
      <c r="I5" s="3" t="s">
        <v>77</v>
      </c>
    </row>
    <row r="6" spans="1:22" x14ac:dyDescent="0.25">
      <c r="A6" s="23" t="s">
        <v>0</v>
      </c>
      <c r="B6" s="24" t="s">
        <v>78</v>
      </c>
      <c r="C6" s="24" t="s">
        <v>1</v>
      </c>
      <c r="D6" s="24" t="s">
        <v>2</v>
      </c>
      <c r="E6" s="24" t="s">
        <v>3</v>
      </c>
      <c r="F6" s="24" t="s">
        <v>13</v>
      </c>
      <c r="G6" s="11"/>
      <c r="H6" s="11"/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tr">
        <f>P6</f>
        <v>Frequency</v>
      </c>
      <c r="U6" s="5" t="s">
        <v>79</v>
      </c>
      <c r="V6" s="5" t="s">
        <v>13</v>
      </c>
    </row>
    <row r="7" spans="1:22" x14ac:dyDescent="0.25">
      <c r="A7" s="20" t="s">
        <v>93</v>
      </c>
      <c r="B7" s="21" t="s">
        <v>24</v>
      </c>
      <c r="C7" s="18">
        <v>1</v>
      </c>
      <c r="D7" s="19" t="str">
        <f>IFERROR(VLOOKUP(Table1[[#This Row],[Amino Acid Change]],$S$7:$T$300,2,0),"0.00")</f>
        <v>0.00</v>
      </c>
      <c r="E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8" t="s">
        <v>23</v>
      </c>
      <c r="G7" s="11"/>
      <c r="H7" s="11"/>
      <c r="I7" s="2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1" si="0">P7</f>
        <v>0</v>
      </c>
      <c r="U7" s="9" t="str">
        <f>IF($S7=0, "", IF(COUNTIF(Table1[Amino Acid Change], $S7)=0, "Missing", "Y"))</f>
        <v/>
      </c>
      <c r="V7" s="9">
        <f>J7</f>
        <v>0</v>
      </c>
    </row>
    <row r="8" spans="1:22" x14ac:dyDescent="0.25">
      <c r="A8" s="20" t="s">
        <v>94</v>
      </c>
      <c r="B8" s="21" t="s">
        <v>25</v>
      </c>
      <c r="C8" s="18">
        <v>25</v>
      </c>
      <c r="D8" s="19" t="str">
        <f>IFERROR(VLOOKUP(Table1[[#This Row],[Amino Acid Change]],$S$7:$T$300,2,0),"0.00")</f>
        <v>0.00</v>
      </c>
      <c r="E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8">
        <v>40743956</v>
      </c>
      <c r="G8" s="11"/>
      <c r="H8" s="11"/>
      <c r="I8" s="2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0"/>
        <v>0</v>
      </c>
      <c r="U8" s="9" t="str">
        <f>IF($S8=0, "", IF(COUNTIF(Table1[Amino Acid Change], $S8)=0, "Missing", "Y"))</f>
        <v/>
      </c>
      <c r="V8" s="9">
        <f t="shared" ref="V8:V62" si="1">J8</f>
        <v>0</v>
      </c>
    </row>
    <row r="9" spans="1:22" x14ac:dyDescent="0.25">
      <c r="A9" s="20" t="s">
        <v>95</v>
      </c>
      <c r="B9" s="21" t="s">
        <v>26</v>
      </c>
      <c r="C9" s="18">
        <v>1</v>
      </c>
      <c r="D9" s="19" t="str">
        <f>IFERROR(VLOOKUP(Table1[[#This Row],[Amino Acid Change]],$S$7:$T$300,2,0),"0.00")</f>
        <v>0.00</v>
      </c>
      <c r="E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8">
        <v>140453136</v>
      </c>
      <c r="G9" s="11"/>
      <c r="H9" s="11"/>
      <c r="I9" s="2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0"/>
        <v>0</v>
      </c>
      <c r="U9" s="9" t="str">
        <f>IF($S9=0, "", IF(COUNTIF(Table1[Amino Acid Change], $S9)=0, "Missing", "Y"))</f>
        <v/>
      </c>
      <c r="V9" s="9">
        <f t="shared" si="1"/>
        <v>0</v>
      </c>
    </row>
    <row r="10" spans="1:22" x14ac:dyDescent="0.25">
      <c r="A10" s="20" t="s">
        <v>96</v>
      </c>
      <c r="B10" s="21" t="s">
        <v>27</v>
      </c>
      <c r="C10" s="18">
        <v>8</v>
      </c>
      <c r="D10" s="19" t="str">
        <f>IFERROR(VLOOKUP(Table1[[#This Row],[Amino Acid Change]],$S$7:$T$300,2,0),"0.00")</f>
        <v>0.00</v>
      </c>
      <c r="E1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8">
        <v>140453136</v>
      </c>
      <c r="G10" s="11"/>
      <c r="H10" s="11"/>
      <c r="I10" s="2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0"/>
        <v>0</v>
      </c>
      <c r="U10" s="9" t="str">
        <f>IF($S10=0, "", IF(COUNTIF(Table1[Amino Acid Change], $S10)=0, "Missing", "Y"))</f>
        <v/>
      </c>
      <c r="V10" s="9">
        <f t="shared" si="1"/>
        <v>0</v>
      </c>
    </row>
    <row r="11" spans="1:22" x14ac:dyDescent="0.25">
      <c r="A11" s="20" t="s">
        <v>97</v>
      </c>
      <c r="B11" s="21" t="s">
        <v>29</v>
      </c>
      <c r="C11" s="18">
        <v>2</v>
      </c>
      <c r="D11" s="19" t="str">
        <f>IFERROR(VLOOKUP(Table1[[#This Row],[Amino Acid Change]],$S$7:$T$300,2,0),"0.00")</f>
        <v>0.00</v>
      </c>
      <c r="E1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8" t="s">
        <v>28</v>
      </c>
      <c r="G11" s="11"/>
      <c r="H11" s="11"/>
      <c r="I11" s="2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0"/>
        <v>0</v>
      </c>
      <c r="U11" s="9" t="str">
        <f>IF($S11=0, "", IF(COUNTIF(Table1[Amino Acid Change], $S11)=0, "Missing", "Y"))</f>
        <v/>
      </c>
      <c r="V11" s="9">
        <f t="shared" si="1"/>
        <v>0</v>
      </c>
    </row>
    <row r="12" spans="1:22" x14ac:dyDescent="0.25">
      <c r="A12" s="20" t="s">
        <v>98</v>
      </c>
      <c r="B12" s="21" t="s">
        <v>30</v>
      </c>
      <c r="C12" s="18">
        <v>1</v>
      </c>
      <c r="D12" s="19" t="str">
        <f>IFERROR(VLOOKUP(Table1[[#This Row],[Amino Acid Change]],$S$7:$T$300,2,0),"0.00")</f>
        <v>0.00</v>
      </c>
      <c r="E1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8" t="s">
        <v>28</v>
      </c>
      <c r="G12" s="11"/>
      <c r="H12" s="11"/>
      <c r="I12" s="2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0"/>
        <v>0</v>
      </c>
      <c r="U12" s="9" t="str">
        <f>IF($S12=0, "", IF(COUNTIF(Table1[Amino Acid Change], $S12)=0, "Missing", "Y"))</f>
        <v/>
      </c>
      <c r="V12" s="9">
        <f t="shared" si="1"/>
        <v>0</v>
      </c>
    </row>
    <row r="13" spans="1:22" x14ac:dyDescent="0.25">
      <c r="A13" s="20" t="s">
        <v>99</v>
      </c>
      <c r="B13" s="21" t="s">
        <v>31</v>
      </c>
      <c r="C13" s="18">
        <v>1</v>
      </c>
      <c r="D13" s="19" t="str">
        <f>IFERROR(VLOOKUP(Table1[[#This Row],[Amino Acid Change]],$S$7:$T$300,2,0),"0.00")</f>
        <v>0.00</v>
      </c>
      <c r="E1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8">
        <v>140453137</v>
      </c>
      <c r="G13" s="11"/>
      <c r="H13" s="11"/>
      <c r="I13" s="2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0"/>
        <v>0</v>
      </c>
      <c r="U13" s="9" t="str">
        <f>IF($S13=0, "", IF(COUNTIF(Table1[Amino Acid Change], $S13)=0, "Missing", "Y"))</f>
        <v/>
      </c>
      <c r="V13" s="9">
        <f t="shared" si="1"/>
        <v>0</v>
      </c>
    </row>
    <row r="14" spans="1:22" x14ac:dyDescent="0.25">
      <c r="A14" s="20" t="s">
        <v>100</v>
      </c>
      <c r="B14" s="21" t="s">
        <v>32</v>
      </c>
      <c r="C14" s="18">
        <v>25</v>
      </c>
      <c r="D14" s="19" t="str">
        <f>IFERROR(VLOOKUP(Table1[[#This Row],[Amino Acid Change]],$S$7:$T$300,2,0),"0.00")</f>
        <v>0.00</v>
      </c>
      <c r="E1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8">
        <v>13051383</v>
      </c>
      <c r="G14" s="11"/>
      <c r="H14" s="11"/>
      <c r="I14" s="2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0"/>
        <v>0</v>
      </c>
      <c r="U14" s="9" t="str">
        <f>IF($S14=0, "", IF(COUNTIF(Table1[Amino Acid Change], $S14)=0, "Missing", "Y"))</f>
        <v/>
      </c>
      <c r="V14" s="9">
        <f t="shared" si="1"/>
        <v>0</v>
      </c>
    </row>
    <row r="15" spans="1:22" x14ac:dyDescent="0.25">
      <c r="A15" s="20" t="s">
        <v>101</v>
      </c>
      <c r="B15" s="21" t="s">
        <v>33</v>
      </c>
      <c r="C15" s="18">
        <v>1</v>
      </c>
      <c r="D15" s="19" t="str">
        <f>IFERROR(VLOOKUP(Table1[[#This Row],[Amino Acid Change]],$S$7:$T$300,2,0),"0.00")</f>
        <v>0.00</v>
      </c>
      <c r="E1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8">
        <v>55220310</v>
      </c>
      <c r="G15" s="11"/>
      <c r="H15" s="11"/>
      <c r="I15" s="2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0"/>
        <v>0</v>
      </c>
      <c r="U15" s="9" t="str">
        <f>IF($S15=0, "", IF(COUNTIF(Table1[Amino Acid Change], $S15)=0, "Missing", "Y"))</f>
        <v/>
      </c>
      <c r="V15" s="9">
        <f t="shared" si="1"/>
        <v>0</v>
      </c>
    </row>
    <row r="16" spans="1:22" x14ac:dyDescent="0.25">
      <c r="A16" s="20" t="s">
        <v>102</v>
      </c>
      <c r="B16" s="21" t="s">
        <v>34</v>
      </c>
      <c r="C16" s="18">
        <v>16.7</v>
      </c>
      <c r="D16" s="19" t="str">
        <f>IFERROR(VLOOKUP(Table1[[#This Row],[Amino Acid Change]],$S$7:$T$300,2,0),"0.00")</f>
        <v>0.00</v>
      </c>
      <c r="E1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8">
        <v>55241707</v>
      </c>
      <c r="G16" s="11"/>
      <c r="H16" s="11"/>
      <c r="I16" s="2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0"/>
        <v>0</v>
      </c>
      <c r="U16" s="9" t="str">
        <f>IF($S16=0, "", IF(COUNTIF(Table1[Amino Acid Change], $S16)=0, "Missing", "Y"))</f>
        <v/>
      </c>
      <c r="V16" s="9">
        <f t="shared" si="1"/>
        <v>0</v>
      </c>
    </row>
    <row r="17" spans="1:22" x14ac:dyDescent="0.25">
      <c r="A17" s="20" t="s">
        <v>103</v>
      </c>
      <c r="B17" s="21" t="s">
        <v>36</v>
      </c>
      <c r="C17" s="18">
        <v>1</v>
      </c>
      <c r="D17" s="19" t="str">
        <f>IFERROR(VLOOKUP(Table1[[#This Row],[Amino Acid Change]],$S$7:$T$300,2,0),"0.00")</f>
        <v>0.00</v>
      </c>
      <c r="E1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8" t="s">
        <v>35</v>
      </c>
      <c r="G17" s="11"/>
      <c r="H17" s="11"/>
      <c r="I17" s="2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0"/>
        <v>0</v>
      </c>
      <c r="U17" s="9" t="str">
        <f>IF($S17=0, "", IF(COUNTIF(Table1[Amino Acid Change], $S17)=0, "Missing", "Y"))</f>
        <v/>
      </c>
      <c r="V17" s="9">
        <f t="shared" si="1"/>
        <v>0</v>
      </c>
    </row>
    <row r="18" spans="1:22" x14ac:dyDescent="0.25">
      <c r="A18" s="20" t="s">
        <v>104</v>
      </c>
      <c r="B18" s="21" t="s">
        <v>37</v>
      </c>
      <c r="C18" s="18">
        <v>1</v>
      </c>
      <c r="D18" s="19" t="str">
        <f>IFERROR(VLOOKUP(Table1[[#This Row],[Amino Acid Change]],$S$7:$T$300,2,0),"0.00")</f>
        <v>0.00</v>
      </c>
      <c r="E1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8">
        <v>55259515</v>
      </c>
      <c r="G18" s="11"/>
      <c r="H18" s="11"/>
      <c r="I18" s="2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0"/>
        <v>0</v>
      </c>
      <c r="U18" s="9" t="str">
        <f>IF($S18=0, "", IF(COUNTIF(Table1[Amino Acid Change], $S18)=0, "Missing", "Y"))</f>
        <v/>
      </c>
      <c r="V18" s="9">
        <f t="shared" si="1"/>
        <v>0</v>
      </c>
    </row>
    <row r="19" spans="1:22" x14ac:dyDescent="0.25">
      <c r="A19" s="20" t="s">
        <v>105</v>
      </c>
      <c r="B19" s="21" t="s">
        <v>38</v>
      </c>
      <c r="C19" s="18">
        <v>1</v>
      </c>
      <c r="D19" s="19" t="str">
        <f>IFERROR(VLOOKUP(Table1[[#This Row],[Amino Acid Change]],$S$7:$T$300,2,0),"0.00")</f>
        <v>0.00</v>
      </c>
      <c r="E1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8">
        <v>55259524</v>
      </c>
      <c r="G19" s="11"/>
      <c r="H19" s="11"/>
      <c r="I19" s="2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0"/>
        <v>0</v>
      </c>
      <c r="U19" s="9" t="str">
        <f>IF($S19=0, "", IF(COUNTIF(Table1[Amino Acid Change], $S19)=0, "Missing", "Y"))</f>
        <v/>
      </c>
      <c r="V19" s="9">
        <f t="shared" si="1"/>
        <v>0</v>
      </c>
    </row>
    <row r="20" spans="1:22" x14ac:dyDescent="0.25">
      <c r="A20" s="20" t="s">
        <v>106</v>
      </c>
      <c r="B20" s="21" t="s">
        <v>39</v>
      </c>
      <c r="C20" s="18">
        <v>16</v>
      </c>
      <c r="D20" s="19" t="str">
        <f>IFERROR(VLOOKUP(Table1[[#This Row],[Amino Acid Change]],$S$7:$T$300,2,0),"0.00")</f>
        <v>0.00</v>
      </c>
      <c r="E2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8">
        <v>55268980</v>
      </c>
      <c r="G20" s="11"/>
      <c r="H20" s="11"/>
      <c r="I20" s="2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0"/>
        <v>0</v>
      </c>
      <c r="U20" s="9" t="str">
        <f>IF($S20=0, "", IF(COUNTIF(Table1[Amino Acid Change], $S20)=0, "Missing", "Y"))</f>
        <v/>
      </c>
      <c r="V20" s="9">
        <f t="shared" si="1"/>
        <v>0</v>
      </c>
    </row>
    <row r="21" spans="1:22" x14ac:dyDescent="0.25">
      <c r="A21" s="20" t="s">
        <v>107</v>
      </c>
      <c r="B21" s="22" t="s">
        <v>80</v>
      </c>
      <c r="C21" s="18">
        <v>1</v>
      </c>
      <c r="D21" s="19" t="str">
        <f>IFERROR(VLOOKUP(Table1[[#This Row],[Amino Acid Change]],$S$7:$T$300,2,0),"0.00")</f>
        <v>0.00</v>
      </c>
      <c r="E2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8">
        <v>55249071</v>
      </c>
      <c r="G21" s="11"/>
      <c r="H21" s="11"/>
      <c r="I21" s="2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0"/>
        <v>0</v>
      </c>
      <c r="U21" s="9" t="str">
        <f>IF($S21=0, "", IF(COUNTIF(Table1[Amino Acid Change], $S21)=0, "Missing", "Y"))</f>
        <v/>
      </c>
      <c r="V21" s="9">
        <f t="shared" si="1"/>
        <v>0</v>
      </c>
    </row>
    <row r="22" spans="1:22" x14ac:dyDescent="0.25">
      <c r="A22" s="20" t="s">
        <v>108</v>
      </c>
      <c r="B22" s="21" t="s">
        <v>40</v>
      </c>
      <c r="C22" s="18">
        <v>20</v>
      </c>
      <c r="D22" s="19" t="str">
        <f>IFERROR(VLOOKUP(Table1[[#This Row],[Amino Acid Change]],$S$7:$T$300,2,0),"0.00")</f>
        <v>0.00</v>
      </c>
      <c r="E2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8">
        <v>55138600</v>
      </c>
      <c r="G22" s="11"/>
      <c r="H22" s="11"/>
      <c r="I22" s="2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0"/>
        <v>0</v>
      </c>
      <c r="U22" s="9" t="str">
        <f>IF($S22=0, "", IF(COUNTIF(Table1[Amino Acid Change], $S22)=0, "Missing", "Y"))</f>
        <v/>
      </c>
      <c r="V22" s="9">
        <f t="shared" si="1"/>
        <v>0</v>
      </c>
    </row>
    <row r="23" spans="1:22" x14ac:dyDescent="0.25">
      <c r="A23" s="20" t="s">
        <v>109</v>
      </c>
      <c r="B23" s="21" t="s">
        <v>85</v>
      </c>
      <c r="C23" s="18">
        <v>1.3</v>
      </c>
      <c r="D23" s="19" t="str">
        <f>IFERROR(VLOOKUP(Table1[[#This Row],[Amino Acid Change]],$S$7:$T$300,2,0),"0.00")</f>
        <v>0.00</v>
      </c>
      <c r="E2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8">
        <v>55152093</v>
      </c>
      <c r="G23" s="11"/>
      <c r="H23" s="11"/>
      <c r="I23" s="2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0"/>
        <v>0</v>
      </c>
      <c r="U23" s="9" t="str">
        <f>IF($S23=0, "", IF(COUNTIF(Table1[Amino Acid Change], $S23)=0, "Missing", "Y"))</f>
        <v/>
      </c>
      <c r="V23" s="9">
        <f t="shared" si="1"/>
        <v>0</v>
      </c>
    </row>
    <row r="24" spans="1:22" x14ac:dyDescent="0.25">
      <c r="A24" s="20" t="s">
        <v>110</v>
      </c>
      <c r="B24" s="21" t="s">
        <v>41</v>
      </c>
      <c r="C24" s="18">
        <v>10</v>
      </c>
      <c r="D24" s="19" t="str">
        <f>IFERROR(VLOOKUP(Table1[[#This Row],[Amino Acid Change]],$S$7:$T$300,2,0),"0.00")</f>
        <v>0.00</v>
      </c>
      <c r="E2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8">
        <v>55155059</v>
      </c>
      <c r="G24" s="11"/>
      <c r="H24" s="11"/>
      <c r="I24" s="2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0"/>
        <v>0</v>
      </c>
      <c r="U24" s="9" t="str">
        <f>IF($S24=0, "", IF(COUNTIF(Table1[Amino Acid Change], $S24)=0, "Missing", "Y"))</f>
        <v/>
      </c>
      <c r="V24" s="9">
        <f t="shared" si="1"/>
        <v>0</v>
      </c>
    </row>
    <row r="25" spans="1:22" x14ac:dyDescent="0.25">
      <c r="A25" s="20" t="s">
        <v>111</v>
      </c>
      <c r="B25" s="21" t="s">
        <v>43</v>
      </c>
      <c r="C25" s="18">
        <v>25</v>
      </c>
      <c r="D25" s="19" t="str">
        <f>IFERROR(VLOOKUP(Table1[[#This Row],[Amino Acid Change]],$S$7:$T$300,2,0),"0.00")</f>
        <v>0.00</v>
      </c>
      <c r="E2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8" t="s">
        <v>42</v>
      </c>
      <c r="G25" s="11"/>
      <c r="H25" s="11"/>
      <c r="I25" s="2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0"/>
        <v>0</v>
      </c>
      <c r="U25" s="9" t="str">
        <f>IF($S25=0, "", IF(COUNTIF(Table1[Amino Acid Change], $S25)=0, "Missing", "Y"))</f>
        <v/>
      </c>
      <c r="V25" s="9">
        <f t="shared" si="1"/>
        <v>0</v>
      </c>
    </row>
    <row r="26" spans="1:22" x14ac:dyDescent="0.25">
      <c r="A26" s="20" t="s">
        <v>112</v>
      </c>
      <c r="B26" s="21" t="s">
        <v>45</v>
      </c>
      <c r="C26" s="18">
        <v>1.3</v>
      </c>
      <c r="D26" s="19" t="str">
        <f>IFERROR(VLOOKUP(Table1[[#This Row],[Amino Acid Change]],$S$7:$T$300,2,0),"0.00")</f>
        <v>0.00</v>
      </c>
      <c r="E2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8" t="s">
        <v>44</v>
      </c>
      <c r="G26" s="11"/>
      <c r="H26" s="11"/>
      <c r="I26" s="2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0"/>
        <v>0</v>
      </c>
      <c r="U26" s="9" t="str">
        <f>IF($S26=0, "", IF(COUNTIF(Table1[Amino Acid Change], $S26)=0, "Missing", "Y"))</f>
        <v/>
      </c>
      <c r="V26" s="9">
        <f t="shared" si="1"/>
        <v>0</v>
      </c>
    </row>
    <row r="27" spans="1:22" x14ac:dyDescent="0.25">
      <c r="A27" s="20" t="s">
        <v>8</v>
      </c>
      <c r="B27" s="21" t="s">
        <v>46</v>
      </c>
      <c r="C27" s="18">
        <v>1.3</v>
      </c>
      <c r="D27" s="19" t="str">
        <f>IFERROR(VLOOKUP(Table1[[#This Row],[Amino Acid Change]],$S$7:$T$300,2,0),"0.00")</f>
        <v>0.00</v>
      </c>
      <c r="E2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8">
        <v>28592642</v>
      </c>
      <c r="G27" s="11"/>
      <c r="H27" s="11"/>
      <c r="I27" s="2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0"/>
        <v>0</v>
      </c>
      <c r="U27" s="9" t="str">
        <f>IF($S27=0, "", IF(COUNTIF(Table1[Amino Acid Change], $S27)=0, "Missing", "Y"))</f>
        <v/>
      </c>
      <c r="V27" s="9">
        <f t="shared" si="1"/>
        <v>0</v>
      </c>
    </row>
    <row r="28" spans="1:22" x14ac:dyDescent="0.25">
      <c r="A28" s="20" t="s">
        <v>113</v>
      </c>
      <c r="B28" s="21" t="s">
        <v>47</v>
      </c>
      <c r="C28" s="18">
        <v>25</v>
      </c>
      <c r="D28" s="19" t="str">
        <f>IFERROR(VLOOKUP(Table1[[#This Row],[Amino Acid Change]],$S$7:$T$300,2,0),"0.00")</f>
        <v>0.00</v>
      </c>
      <c r="E2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8">
        <v>28626706</v>
      </c>
      <c r="G28" s="11"/>
      <c r="H28" s="11"/>
      <c r="I28" s="2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0"/>
        <v>0</v>
      </c>
      <c r="U28" s="9" t="str">
        <f>IF($S28=0, "", IF(COUNTIF(Table1[Amino Acid Change], $S28)=0, "Missing", "Y"))</f>
        <v/>
      </c>
      <c r="V28" s="9">
        <f t="shared" si="1"/>
        <v>0</v>
      </c>
    </row>
    <row r="29" spans="1:22" x14ac:dyDescent="0.25">
      <c r="A29" s="20" t="s">
        <v>114</v>
      </c>
      <c r="B29" s="21" t="s">
        <v>48</v>
      </c>
      <c r="C29" s="18">
        <v>20</v>
      </c>
      <c r="D29" s="19" t="str">
        <f>IFERROR(VLOOKUP(Table1[[#This Row],[Amino Acid Change]],$S$7:$T$300,2,0),"0.00")</f>
        <v>0.00</v>
      </c>
      <c r="E2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8">
        <v>533328</v>
      </c>
      <c r="G29" s="11"/>
      <c r="H29" s="11"/>
      <c r="I29" s="2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0"/>
        <v>0</v>
      </c>
      <c r="U29" s="9" t="str">
        <f>IF($S29=0, "", IF(COUNTIF(Table1[Amino Acid Change], $S29)=0, "Missing", "Y"))</f>
        <v/>
      </c>
      <c r="V29" s="9">
        <f t="shared" si="1"/>
        <v>0</v>
      </c>
    </row>
    <row r="30" spans="1:22" x14ac:dyDescent="0.25">
      <c r="A30" s="20" t="s">
        <v>115</v>
      </c>
      <c r="B30" s="21" t="s">
        <v>49</v>
      </c>
      <c r="C30" s="18">
        <v>25</v>
      </c>
      <c r="D30" s="19" t="str">
        <f>IFERROR(VLOOKUP(Table1[[#This Row],[Amino Acid Change]],$S$7:$T$300,2,0),"0.00")</f>
        <v>0.00</v>
      </c>
      <c r="E3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8">
        <v>209106786</v>
      </c>
      <c r="G30" s="11"/>
      <c r="H30" s="11"/>
      <c r="I30" s="2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0"/>
        <v>0</v>
      </c>
      <c r="U30" s="9" t="str">
        <f>IF($S30=0, "", IF(COUNTIF(Table1[Amino Acid Change], $S30)=0, "Missing", "Y"))</f>
        <v/>
      </c>
      <c r="V30" s="9">
        <f t="shared" si="1"/>
        <v>0</v>
      </c>
    </row>
    <row r="31" spans="1:22" x14ac:dyDescent="0.25">
      <c r="A31" s="20" t="s">
        <v>116</v>
      </c>
      <c r="B31" s="21" t="s">
        <v>50</v>
      </c>
      <c r="C31" s="18">
        <v>1.3</v>
      </c>
      <c r="D31" s="19" t="str">
        <f>IFERROR(VLOOKUP(Table1[[#This Row],[Amino Acid Change]],$S$7:$T$300,2,0),"0.00")</f>
        <v>0.00</v>
      </c>
      <c r="E3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8">
        <v>209113112</v>
      </c>
      <c r="G31" s="11"/>
      <c r="H31" s="11"/>
      <c r="I31" s="2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0"/>
        <v>0</v>
      </c>
      <c r="U31" s="9" t="str">
        <f>IF($S31=0, "", IF(COUNTIF(Table1[Amino Acid Change], $S31)=0, "Missing", "Y"))</f>
        <v/>
      </c>
      <c r="V31" s="9">
        <f t="shared" si="1"/>
        <v>0</v>
      </c>
    </row>
    <row r="32" spans="1:22" x14ac:dyDescent="0.25">
      <c r="A32" s="20" t="s">
        <v>117</v>
      </c>
      <c r="B32" s="21" t="s">
        <v>51</v>
      </c>
      <c r="C32" s="18">
        <v>1.3</v>
      </c>
      <c r="D32" s="19" t="str">
        <f>IFERROR(VLOOKUP(Table1[[#This Row],[Amino Acid Change]],$S$7:$T$300,2,0),"0.00")</f>
        <v>0.00</v>
      </c>
      <c r="E3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8">
        <v>209113113</v>
      </c>
      <c r="G32" s="11"/>
      <c r="H32" s="11"/>
      <c r="I32" s="2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0"/>
        <v>0</v>
      </c>
      <c r="U32" s="9" t="str">
        <f>IF($S32=0, "", IF(COUNTIF(Table1[Amino Acid Change], $S32)=0, "Missing", "Y"))</f>
        <v/>
      </c>
      <c r="V32" s="9">
        <f t="shared" si="1"/>
        <v>0</v>
      </c>
    </row>
    <row r="33" spans="1:22" x14ac:dyDescent="0.25">
      <c r="A33" s="20" t="s">
        <v>118</v>
      </c>
      <c r="B33" s="21" t="s">
        <v>52</v>
      </c>
      <c r="C33" s="18">
        <v>5</v>
      </c>
      <c r="D33" s="19" t="str">
        <f>IFERROR(VLOOKUP(Table1[[#This Row],[Amino Acid Change]],$S$7:$T$300,2,0),"0.00")</f>
        <v>0.00</v>
      </c>
      <c r="E3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8">
        <v>90631700</v>
      </c>
      <c r="G33" s="11"/>
      <c r="H33" s="11"/>
      <c r="I33" s="2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0"/>
        <v>0</v>
      </c>
      <c r="U33" s="9" t="str">
        <f>IF($S33=0, "", IF(COUNTIF(Table1[Amino Acid Change], $S33)=0, "Missing", "Y"))</f>
        <v/>
      </c>
      <c r="V33" s="9">
        <f t="shared" si="1"/>
        <v>0</v>
      </c>
    </row>
    <row r="34" spans="1:22" x14ac:dyDescent="0.25">
      <c r="A34" s="20" t="s">
        <v>119</v>
      </c>
      <c r="B34" s="21" t="s">
        <v>53</v>
      </c>
      <c r="C34" s="18">
        <v>1.3</v>
      </c>
      <c r="D34" s="19" t="str">
        <f>IFERROR(VLOOKUP(Table1[[#This Row],[Amino Acid Change]],$S$7:$T$300,2,0),"0.00")</f>
        <v>0.00</v>
      </c>
      <c r="E3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8">
        <v>90631838</v>
      </c>
      <c r="G34" s="11"/>
      <c r="H34" s="11"/>
      <c r="I34" s="2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0"/>
        <v>0</v>
      </c>
      <c r="U34" s="9" t="str">
        <f>IF($S34=0, "", IF(COUNTIF(Table1[Amino Acid Change], $S34)=0, "Missing", "Y"))</f>
        <v/>
      </c>
      <c r="V34" s="9">
        <f t="shared" si="1"/>
        <v>0</v>
      </c>
    </row>
    <row r="35" spans="1:22" x14ac:dyDescent="0.25">
      <c r="A35" s="20" t="s">
        <v>120</v>
      </c>
      <c r="B35" s="21" t="s">
        <v>54</v>
      </c>
      <c r="C35" s="18">
        <v>1.3</v>
      </c>
      <c r="D35" s="19" t="str">
        <f>IFERROR(VLOOKUP(Table1[[#This Row],[Amino Acid Change]],$S$7:$T$300,2,0),"0.00")</f>
        <v>0.00</v>
      </c>
      <c r="E3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8">
        <v>90631934</v>
      </c>
      <c r="G35" s="11"/>
      <c r="H35" s="11"/>
      <c r="I35" s="2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0"/>
        <v>0</v>
      </c>
      <c r="U35" s="9" t="str">
        <f>IF($S35=0, "", IF(COUNTIF(Table1[Amino Acid Change], $S35)=0, "Missing", "Y"))</f>
        <v/>
      </c>
      <c r="V35" s="9">
        <f t="shared" si="1"/>
        <v>0</v>
      </c>
    </row>
    <row r="36" spans="1:22" x14ac:dyDescent="0.25">
      <c r="A36" s="20" t="s">
        <v>121</v>
      </c>
      <c r="B36" s="21" t="s">
        <v>86</v>
      </c>
      <c r="C36" s="18">
        <v>1.3</v>
      </c>
      <c r="D36" s="19" t="str">
        <f>IFERROR(VLOOKUP(Table1[[#This Row],[Amino Acid Change]],$S$7:$T$300,2,0),"0.00")</f>
        <v>0.00</v>
      </c>
      <c r="E3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8">
        <v>5073770</v>
      </c>
      <c r="G36" s="11"/>
      <c r="H36" s="11"/>
      <c r="I36" s="2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0"/>
        <v>0</v>
      </c>
      <c r="U36" s="9" t="str">
        <f>IF($S36=0, "", IF(COUNTIF(Table1[Amino Acid Change], $S36)=0, "Missing", "Y"))</f>
        <v/>
      </c>
      <c r="V36" s="9">
        <f t="shared" si="1"/>
        <v>0</v>
      </c>
    </row>
    <row r="37" spans="1:22" x14ac:dyDescent="0.25">
      <c r="A37" s="20" t="s">
        <v>122</v>
      </c>
      <c r="B37" s="21" t="s">
        <v>55</v>
      </c>
      <c r="C37" s="18">
        <v>5</v>
      </c>
      <c r="D37" s="19" t="str">
        <f>IFERROR(VLOOKUP(Table1[[#This Row],[Amino Acid Change]],$S$7:$T$300,2,0),"0.00")</f>
        <v>0.00</v>
      </c>
      <c r="E3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18">
        <v>55575673</v>
      </c>
      <c r="G37" s="11"/>
      <c r="H37" s="11"/>
      <c r="I37" s="2">
        <f>'Raw Data Cut 1.3'!A33</f>
        <v>0</v>
      </c>
      <c r="J37" s="2">
        <f>'Raw Data Cut 1.3'!B33</f>
        <v>0</v>
      </c>
      <c r="K37" s="2">
        <f>'Raw Data Cut 1.3'!C33</f>
        <v>0</v>
      </c>
      <c r="L37" s="2">
        <f>'Raw Data Cut 1.3'!D33</f>
        <v>0</v>
      </c>
      <c r="M37" s="2">
        <f>'Raw Data Cut 1.3'!E33</f>
        <v>0</v>
      </c>
      <c r="N37" s="2">
        <f>'Raw Data Cut 1.3'!G33</f>
        <v>0</v>
      </c>
      <c r="O37" s="2">
        <f>'Raw Data Cut 1.3'!H33</f>
        <v>0</v>
      </c>
      <c r="P37" s="2">
        <f>'Raw Data Cut 1.3'!I33</f>
        <v>0</v>
      </c>
      <c r="Q37" s="2">
        <f>'Raw Data Cut 1.3'!J33</f>
        <v>0</v>
      </c>
      <c r="R37" s="2">
        <f>'Raw Data Cut 1.3'!K33</f>
        <v>0</v>
      </c>
      <c r="S37" s="2">
        <f>'Raw Data Cut 1.3'!N33</f>
        <v>0</v>
      </c>
      <c r="T37" s="2">
        <f t="shared" si="0"/>
        <v>0</v>
      </c>
      <c r="U37" s="9" t="str">
        <f>IF($S37=0, "", IF(COUNTIF(Table1[Amino Acid Change], $S37)=0, "Missing", "Y"))</f>
        <v/>
      </c>
      <c r="V37" s="9">
        <f t="shared" si="1"/>
        <v>0</v>
      </c>
    </row>
    <row r="38" spans="1:22" x14ac:dyDescent="0.25">
      <c r="A38" s="20" t="s">
        <v>9</v>
      </c>
      <c r="B38" s="21" t="s">
        <v>56</v>
      </c>
      <c r="C38" s="18">
        <v>1.3</v>
      </c>
      <c r="D38" s="19" t="str">
        <f>IFERROR(VLOOKUP(Table1[[#This Row],[Amino Acid Change]],$S$7:$T$300,2,0),"0.00")</f>
        <v>0.00</v>
      </c>
      <c r="E3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18">
        <v>55599321</v>
      </c>
      <c r="G38" s="11"/>
      <c r="H38" s="11"/>
      <c r="I38" s="2">
        <f>'Raw Data Cut 1.3'!A34</f>
        <v>0</v>
      </c>
      <c r="J38" s="2">
        <f>'Raw Data Cut 1.3'!B34</f>
        <v>0</v>
      </c>
      <c r="K38" s="2">
        <f>'Raw Data Cut 1.3'!C34</f>
        <v>0</v>
      </c>
      <c r="L38" s="2">
        <f>'Raw Data Cut 1.3'!D34</f>
        <v>0</v>
      </c>
      <c r="M38" s="2">
        <f>'Raw Data Cut 1.3'!E34</f>
        <v>0</v>
      </c>
      <c r="N38" s="2">
        <f>'Raw Data Cut 1.3'!G34</f>
        <v>0</v>
      </c>
      <c r="O38" s="2">
        <f>'Raw Data Cut 1.3'!H34</f>
        <v>0</v>
      </c>
      <c r="P38" s="2">
        <f>'Raw Data Cut 1.3'!I34</f>
        <v>0</v>
      </c>
      <c r="Q38" s="2">
        <f>'Raw Data Cut 1.3'!J34</f>
        <v>0</v>
      </c>
      <c r="R38" s="2">
        <f>'Raw Data Cut 1.3'!K34</f>
        <v>0</v>
      </c>
      <c r="S38" s="2">
        <f>'Raw Data Cut 1.3'!N34</f>
        <v>0</v>
      </c>
      <c r="T38" s="2">
        <f t="shared" si="0"/>
        <v>0</v>
      </c>
      <c r="U38" s="9" t="str">
        <f>IF($S38=0, "", IF(COUNTIF(Table1[Amino Acid Change], $S38)=0, "Missing", "Y"))</f>
        <v/>
      </c>
      <c r="V38" s="9">
        <f t="shared" si="1"/>
        <v>0</v>
      </c>
    </row>
    <row r="39" spans="1:22" x14ac:dyDescent="0.25">
      <c r="A39" s="20" t="s">
        <v>123</v>
      </c>
      <c r="B39" s="21" t="s">
        <v>57</v>
      </c>
      <c r="C39" s="18">
        <v>1.3</v>
      </c>
      <c r="D39" s="19" t="str">
        <f>IFERROR(VLOOKUP(Table1[[#This Row],[Amino Acid Change]],$S$7:$T$300,2,0),"0.00")</f>
        <v>0.00</v>
      </c>
      <c r="E3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18">
        <v>25380275</v>
      </c>
      <c r="G39" s="11"/>
      <c r="H39" s="11"/>
      <c r="I39" s="2">
        <f>'Raw Data Cut 1.3'!A35</f>
        <v>0</v>
      </c>
      <c r="J39" s="2">
        <f>'Raw Data Cut 1.3'!B35</f>
        <v>0</v>
      </c>
      <c r="K39" s="2">
        <f>'Raw Data Cut 1.3'!C35</f>
        <v>0</v>
      </c>
      <c r="L39" s="2">
        <f>'Raw Data Cut 1.3'!D35</f>
        <v>0</v>
      </c>
      <c r="M39" s="2">
        <f>'Raw Data Cut 1.3'!E35</f>
        <v>0</v>
      </c>
      <c r="N39" s="2">
        <f>'Raw Data Cut 1.3'!G35</f>
        <v>0</v>
      </c>
      <c r="O39" s="2">
        <f>'Raw Data Cut 1.3'!H35</f>
        <v>0</v>
      </c>
      <c r="P39" s="2">
        <f>'Raw Data Cut 1.3'!I35</f>
        <v>0</v>
      </c>
      <c r="Q39" s="2">
        <f>'Raw Data Cut 1.3'!J35</f>
        <v>0</v>
      </c>
      <c r="R39" s="2">
        <f>'Raw Data Cut 1.3'!K35</f>
        <v>0</v>
      </c>
      <c r="S39" s="2">
        <f>'Raw Data Cut 1.3'!N35</f>
        <v>0</v>
      </c>
      <c r="T39" s="2">
        <f t="shared" si="0"/>
        <v>0</v>
      </c>
      <c r="U39" s="9" t="str">
        <f>IF($S39=0, "", IF(COUNTIF(Table1[Amino Acid Change], $S39)=0, "Missing", "Y"))</f>
        <v/>
      </c>
      <c r="V39" s="9">
        <f t="shared" si="1"/>
        <v>0</v>
      </c>
    </row>
    <row r="40" spans="1:22" x14ac:dyDescent="0.25">
      <c r="A40" s="20" t="s">
        <v>124</v>
      </c>
      <c r="B40" s="21" t="s">
        <v>58</v>
      </c>
      <c r="C40" s="18">
        <v>1.3</v>
      </c>
      <c r="D40" s="19" t="str">
        <f>IFERROR(VLOOKUP(Table1[[#This Row],[Amino Acid Change]],$S$7:$T$300,2,0),"0.00")</f>
        <v>0.00</v>
      </c>
      <c r="E4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18">
        <v>25380276</v>
      </c>
      <c r="G40" s="11"/>
      <c r="H40" s="11"/>
      <c r="I40" s="2">
        <f>'Raw Data Cut 1.3'!A36</f>
        <v>0</v>
      </c>
      <c r="J40" s="2">
        <f>'Raw Data Cut 1.3'!B36</f>
        <v>0</v>
      </c>
      <c r="K40" s="2">
        <f>'Raw Data Cut 1.3'!C36</f>
        <v>0</v>
      </c>
      <c r="L40" s="2">
        <f>'Raw Data Cut 1.3'!D36</f>
        <v>0</v>
      </c>
      <c r="M40" s="2">
        <f>'Raw Data Cut 1.3'!E36</f>
        <v>0</v>
      </c>
      <c r="N40" s="2">
        <f>'Raw Data Cut 1.3'!G36</f>
        <v>0</v>
      </c>
      <c r="O40" s="2">
        <f>'Raw Data Cut 1.3'!H36</f>
        <v>0</v>
      </c>
      <c r="P40" s="2">
        <f>'Raw Data Cut 1.3'!I36</f>
        <v>0</v>
      </c>
      <c r="Q40" s="2">
        <f>'Raw Data Cut 1.3'!J36</f>
        <v>0</v>
      </c>
      <c r="R40" s="2">
        <f>'Raw Data Cut 1.3'!K36</f>
        <v>0</v>
      </c>
      <c r="S40" s="2">
        <f>'Raw Data Cut 1.3'!N36</f>
        <v>0</v>
      </c>
      <c r="T40" s="2">
        <f t="shared" si="0"/>
        <v>0</v>
      </c>
      <c r="U40" s="9" t="str">
        <f>IF($S40=0, "", IF(COUNTIF(Table1[Amino Acid Change], $S40)=0, "Missing", "Y"))</f>
        <v/>
      </c>
      <c r="V40" s="9">
        <f t="shared" si="1"/>
        <v>0</v>
      </c>
    </row>
    <row r="41" spans="1:22" x14ac:dyDescent="0.25">
      <c r="A41" s="20" t="s">
        <v>125</v>
      </c>
      <c r="B41" s="21" t="s">
        <v>59</v>
      </c>
      <c r="C41" s="18">
        <v>25</v>
      </c>
      <c r="D41" s="19" t="str">
        <f>IFERROR(VLOOKUP(Table1[[#This Row],[Amino Acid Change]],$S$7:$T$300,2,0),"0.00")</f>
        <v>0.00</v>
      </c>
      <c r="E4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18">
        <v>25398281</v>
      </c>
      <c r="G41" s="11"/>
      <c r="H41" s="11"/>
      <c r="I41" s="2">
        <f>'Raw Data Cut 1.3'!A37</f>
        <v>0</v>
      </c>
      <c r="J41" s="2">
        <f>'Raw Data Cut 1.3'!B37</f>
        <v>0</v>
      </c>
      <c r="K41" s="2">
        <f>'Raw Data Cut 1.3'!C37</f>
        <v>0</v>
      </c>
      <c r="L41" s="2">
        <f>'Raw Data Cut 1.3'!D37</f>
        <v>0</v>
      </c>
      <c r="M41" s="2">
        <f>'Raw Data Cut 1.3'!E37</f>
        <v>0</v>
      </c>
      <c r="N41" s="2">
        <f>'Raw Data Cut 1.3'!G37</f>
        <v>0</v>
      </c>
      <c r="O41" s="2">
        <f>'Raw Data Cut 1.3'!H37</f>
        <v>0</v>
      </c>
      <c r="P41" s="2">
        <f>'Raw Data Cut 1.3'!I37</f>
        <v>0</v>
      </c>
      <c r="Q41" s="2">
        <f>'Raw Data Cut 1.3'!J37</f>
        <v>0</v>
      </c>
      <c r="R41" s="2">
        <f>'Raw Data Cut 1.3'!K37</f>
        <v>0</v>
      </c>
      <c r="S41" s="2">
        <f>'Raw Data Cut 1.3'!N37</f>
        <v>0</v>
      </c>
      <c r="T41" s="2">
        <f t="shared" si="0"/>
        <v>0</v>
      </c>
      <c r="U41" s="9" t="str">
        <f>IF($S41=0, "", IF(COUNTIF(Table1[Amino Acid Change], $S41)=0, "Missing", "Y"))</f>
        <v/>
      </c>
      <c r="V41" s="9">
        <f t="shared" si="1"/>
        <v>0</v>
      </c>
    </row>
    <row r="42" spans="1:22" x14ac:dyDescent="0.25">
      <c r="A42" s="20" t="s">
        <v>126</v>
      </c>
      <c r="B42" s="22" t="s">
        <v>81</v>
      </c>
      <c r="C42" s="18">
        <v>1.3</v>
      </c>
      <c r="D42" s="19" t="str">
        <f>IFERROR(VLOOKUP(Table1[[#This Row],[Amino Acid Change]],$S$7:$T$300,2,0),"0.00")</f>
        <v>0.00</v>
      </c>
      <c r="E4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18">
        <v>25398284</v>
      </c>
      <c r="G42" s="11"/>
      <c r="H42" s="11"/>
      <c r="I42" s="2">
        <f>'Raw Data Cut 1.3'!A38</f>
        <v>0</v>
      </c>
      <c r="J42" s="2">
        <f>'Raw Data Cut 1.3'!B38</f>
        <v>0</v>
      </c>
      <c r="K42" s="2">
        <f>'Raw Data Cut 1.3'!C38</f>
        <v>0</v>
      </c>
      <c r="L42" s="2">
        <f>'Raw Data Cut 1.3'!D38</f>
        <v>0</v>
      </c>
      <c r="M42" s="2">
        <f>'Raw Data Cut 1.3'!E38</f>
        <v>0</v>
      </c>
      <c r="N42" s="2">
        <f>'Raw Data Cut 1.3'!G38</f>
        <v>0</v>
      </c>
      <c r="O42" s="2">
        <f>'Raw Data Cut 1.3'!H38</f>
        <v>0</v>
      </c>
      <c r="P42" s="2">
        <f>'Raw Data Cut 1.3'!I38</f>
        <v>0</v>
      </c>
      <c r="Q42" s="2">
        <f>'Raw Data Cut 1.3'!J38</f>
        <v>0</v>
      </c>
      <c r="R42" s="2">
        <f>'Raw Data Cut 1.3'!K38</f>
        <v>0</v>
      </c>
      <c r="S42" s="2">
        <f>'Raw Data Cut 1.3'!N38</f>
        <v>0</v>
      </c>
      <c r="T42" s="2">
        <f t="shared" si="0"/>
        <v>0</v>
      </c>
      <c r="U42" s="9" t="str">
        <f>IF($S42=0, "", IF(COUNTIF(Table1[Amino Acid Change], $S42)=0, "Missing", "Y"))</f>
        <v/>
      </c>
      <c r="V42" s="9">
        <f t="shared" si="1"/>
        <v>0</v>
      </c>
    </row>
    <row r="43" spans="1:22" x14ac:dyDescent="0.25">
      <c r="A43" s="20" t="s">
        <v>127</v>
      </c>
      <c r="B43" s="21" t="s">
        <v>60</v>
      </c>
      <c r="C43" s="18">
        <v>1.3</v>
      </c>
      <c r="D43" s="19" t="str">
        <f>IFERROR(VLOOKUP(Table1[[#This Row],[Amino Acid Change]],$S$7:$T$300,2,0),"0.00")</f>
        <v>0.00</v>
      </c>
      <c r="E4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18">
        <v>25398284</v>
      </c>
      <c r="G43" s="11"/>
      <c r="H43" s="11"/>
      <c r="I43" s="2">
        <f>'Raw Data Cut 1.3'!A39</f>
        <v>0</v>
      </c>
      <c r="J43" s="2">
        <f>'Raw Data Cut 1.3'!B39</f>
        <v>0</v>
      </c>
      <c r="K43" s="2">
        <f>'Raw Data Cut 1.3'!C39</f>
        <v>0</v>
      </c>
      <c r="L43" s="2">
        <f>'Raw Data Cut 1.3'!D39</f>
        <v>0</v>
      </c>
      <c r="M43" s="2">
        <f>'Raw Data Cut 1.3'!E39</f>
        <v>0</v>
      </c>
      <c r="N43" s="2">
        <f>'Raw Data Cut 1.3'!G39</f>
        <v>0</v>
      </c>
      <c r="O43" s="2">
        <f>'Raw Data Cut 1.3'!H39</f>
        <v>0</v>
      </c>
      <c r="P43" s="2">
        <f>'Raw Data Cut 1.3'!I39</f>
        <v>0</v>
      </c>
      <c r="Q43" s="2">
        <f>'Raw Data Cut 1.3'!J39</f>
        <v>0</v>
      </c>
      <c r="R43" s="2">
        <f>'Raw Data Cut 1.3'!K39</f>
        <v>0</v>
      </c>
      <c r="S43" s="2">
        <f>'Raw Data Cut 1.3'!N39</f>
        <v>0</v>
      </c>
      <c r="T43" s="2">
        <f>P43</f>
        <v>0</v>
      </c>
      <c r="U43" s="9" t="str">
        <f>IF($S43=0, "", IF(COUNTIF(Table1[Amino Acid Change], $S43)=0, "Missing", "Y"))</f>
        <v/>
      </c>
      <c r="V43" s="9">
        <f t="shared" si="1"/>
        <v>0</v>
      </c>
    </row>
    <row r="44" spans="1:22" x14ac:dyDescent="0.25">
      <c r="A44" s="20" t="s">
        <v>128</v>
      </c>
      <c r="B44" s="21" t="s">
        <v>61</v>
      </c>
      <c r="C44" s="18">
        <v>1.3</v>
      </c>
      <c r="D44" s="19" t="str">
        <f>IFERROR(VLOOKUP(Table1[[#This Row],[Amino Acid Change]],$S$7:$T$300,2,0),"0.00")</f>
        <v>0.00</v>
      </c>
      <c r="E4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18">
        <v>25398285</v>
      </c>
      <c r="G44" s="11"/>
      <c r="H44" s="11"/>
      <c r="I44" s="2">
        <f>'Raw Data Cut 1.3'!A40</f>
        <v>0</v>
      </c>
      <c r="J44" s="2">
        <f>'Raw Data Cut 1.3'!B40</f>
        <v>0</v>
      </c>
      <c r="K44" s="2">
        <f>'Raw Data Cut 1.3'!C40</f>
        <v>0</v>
      </c>
      <c r="L44" s="2">
        <f>'Raw Data Cut 1.3'!D40</f>
        <v>0</v>
      </c>
      <c r="M44" s="2">
        <f>'Raw Data Cut 1.3'!E40</f>
        <v>0</v>
      </c>
      <c r="N44" s="2">
        <f>'Raw Data Cut 1.3'!G40</f>
        <v>0</v>
      </c>
      <c r="O44" s="2">
        <f>'Raw Data Cut 1.3'!H40</f>
        <v>0</v>
      </c>
      <c r="P44" s="2">
        <f>'Raw Data Cut 1.3'!I40</f>
        <v>0</v>
      </c>
      <c r="Q44" s="2">
        <f>'Raw Data Cut 1.3'!J40</f>
        <v>0</v>
      </c>
      <c r="R44" s="2">
        <f>'Raw Data Cut 1.3'!K40</f>
        <v>0</v>
      </c>
      <c r="S44" s="2">
        <f>'Raw Data Cut 1.3'!N40</f>
        <v>0</v>
      </c>
      <c r="T44" s="2">
        <f t="shared" si="0"/>
        <v>0</v>
      </c>
      <c r="U44" s="9" t="str">
        <f>IF($S44=0, "", IF(COUNTIF(Table1[Amino Acid Change], $S44)=0, "Missing", "Y"))</f>
        <v/>
      </c>
      <c r="V44" s="9">
        <f t="shared" si="1"/>
        <v>0</v>
      </c>
    </row>
    <row r="45" spans="1:22" x14ac:dyDescent="0.25">
      <c r="A45" s="20" t="s">
        <v>129</v>
      </c>
      <c r="B45" s="21" t="s">
        <v>87</v>
      </c>
      <c r="C45" s="18">
        <v>1.3</v>
      </c>
      <c r="D45" s="19" t="str">
        <f>IFERROR(VLOOKUP(Table1[[#This Row],[Amino Acid Change]],$S$7:$T$300,2,0),"0.00")</f>
        <v>0.00</v>
      </c>
      <c r="E4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18">
        <v>25398285</v>
      </c>
      <c r="G45" s="11"/>
      <c r="H45" s="11"/>
      <c r="I45" s="2">
        <f>'Raw Data Cut 1.3'!A41</f>
        <v>0</v>
      </c>
      <c r="J45" s="2">
        <f>'Raw Data Cut 1.3'!B41</f>
        <v>0</v>
      </c>
      <c r="K45" s="2">
        <f>'Raw Data Cut 1.3'!C41</f>
        <v>0</v>
      </c>
      <c r="L45" s="2">
        <f>'Raw Data Cut 1.3'!D41</f>
        <v>0</v>
      </c>
      <c r="M45" s="2">
        <f>'Raw Data Cut 1.3'!E41</f>
        <v>0</v>
      </c>
      <c r="N45" s="2">
        <f>'Raw Data Cut 1.3'!G41</f>
        <v>0</v>
      </c>
      <c r="O45" s="2">
        <f>'Raw Data Cut 1.3'!H41</f>
        <v>0</v>
      </c>
      <c r="P45" s="2">
        <f>'Raw Data Cut 1.3'!I41</f>
        <v>0</v>
      </c>
      <c r="Q45" s="2">
        <f>'Raw Data Cut 1.3'!J41</f>
        <v>0</v>
      </c>
      <c r="R45" s="2">
        <f>'Raw Data Cut 1.3'!K41</f>
        <v>0</v>
      </c>
      <c r="S45" s="2">
        <f>'Raw Data Cut 1.3'!N41</f>
        <v>0</v>
      </c>
      <c r="T45" s="2">
        <f t="shared" si="0"/>
        <v>0</v>
      </c>
      <c r="U45" s="9" t="str">
        <f>IF($S45=0, "", IF(COUNTIF(Table1[Amino Acid Change], $S45)=0, "Missing", "Y"))</f>
        <v/>
      </c>
      <c r="V45" s="9">
        <f t="shared" si="1"/>
        <v>0</v>
      </c>
    </row>
    <row r="46" spans="1:22" x14ac:dyDescent="0.25">
      <c r="A46" s="20" t="s">
        <v>130</v>
      </c>
      <c r="B46" s="22" t="s">
        <v>82</v>
      </c>
      <c r="C46" s="18">
        <v>1.3</v>
      </c>
      <c r="D46" s="19" t="str">
        <f>IFERROR(VLOOKUP(Table1[[#This Row],[Amino Acid Change]],$S$7:$T$300,2,0),"0.00")</f>
        <v>0.00</v>
      </c>
      <c r="E4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18">
        <v>25398285</v>
      </c>
      <c r="G46" s="11"/>
      <c r="H46" s="11"/>
      <c r="I46" s="2">
        <f>'Raw Data Cut 1.3'!A42</f>
        <v>0</v>
      </c>
      <c r="J46" s="2">
        <f>'Raw Data Cut 1.3'!B42</f>
        <v>0</v>
      </c>
      <c r="K46" s="2">
        <f>'Raw Data Cut 1.3'!C42</f>
        <v>0</v>
      </c>
      <c r="L46" s="2">
        <f>'Raw Data Cut 1.3'!D42</f>
        <v>0</v>
      </c>
      <c r="M46" s="2">
        <f>'Raw Data Cut 1.3'!E42</f>
        <v>0</v>
      </c>
      <c r="N46" s="2">
        <f>'Raw Data Cut 1.3'!G42</f>
        <v>0</v>
      </c>
      <c r="O46" s="2">
        <f>'Raw Data Cut 1.3'!H42</f>
        <v>0</v>
      </c>
      <c r="P46" s="2">
        <f>'Raw Data Cut 1.3'!I42</f>
        <v>0</v>
      </c>
      <c r="Q46" s="2">
        <f>'Raw Data Cut 1.3'!J42</f>
        <v>0</v>
      </c>
      <c r="R46" s="2">
        <f>'Raw Data Cut 1.3'!K42</f>
        <v>0</v>
      </c>
      <c r="S46" s="2">
        <f>'Raw Data Cut 1.3'!N42</f>
        <v>0</v>
      </c>
      <c r="T46" s="2">
        <f t="shared" si="0"/>
        <v>0</v>
      </c>
      <c r="U46" s="9" t="str">
        <f>IF($S46=0, "", IF(COUNTIF(Table1[Amino Acid Change], $S46)=0, "Missing", "Y"))</f>
        <v/>
      </c>
      <c r="V46" s="9">
        <f t="shared" si="1"/>
        <v>0</v>
      </c>
    </row>
    <row r="47" spans="1:22" x14ac:dyDescent="0.25">
      <c r="A47" s="20" t="s">
        <v>131</v>
      </c>
      <c r="B47" s="21" t="s">
        <v>88</v>
      </c>
      <c r="C47" s="18">
        <v>1.3</v>
      </c>
      <c r="D47" s="19" t="str">
        <f>IFERROR(VLOOKUP(Table1[[#This Row],[Amino Acid Change]],$S$7:$T$300,2,0),"0.00")</f>
        <v>0.00</v>
      </c>
      <c r="E4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18">
        <v>25398284</v>
      </c>
      <c r="G47" s="11"/>
      <c r="H47" s="11"/>
      <c r="I47" s="2">
        <f>'Raw Data Cut 1.3'!A43</f>
        <v>0</v>
      </c>
      <c r="J47" s="2">
        <f>'Raw Data Cut 1.3'!B43</f>
        <v>0</v>
      </c>
      <c r="K47" s="2">
        <f>'Raw Data Cut 1.3'!C43</f>
        <v>0</v>
      </c>
      <c r="L47" s="2">
        <f>'Raw Data Cut 1.3'!D43</f>
        <v>0</v>
      </c>
      <c r="M47" s="2">
        <f>'Raw Data Cut 1.3'!E43</f>
        <v>0</v>
      </c>
      <c r="N47" s="2">
        <f>'Raw Data Cut 1.3'!G43</f>
        <v>0</v>
      </c>
      <c r="O47" s="2">
        <f>'Raw Data Cut 1.3'!H43</f>
        <v>0</v>
      </c>
      <c r="P47" s="2">
        <f>'Raw Data Cut 1.3'!I43</f>
        <v>0</v>
      </c>
      <c r="Q47" s="2">
        <f>'Raw Data Cut 1.3'!J43</f>
        <v>0</v>
      </c>
      <c r="R47" s="2">
        <f>'Raw Data Cut 1.3'!K43</f>
        <v>0</v>
      </c>
      <c r="S47" s="2">
        <f>'Raw Data Cut 1.3'!N43</f>
        <v>0</v>
      </c>
      <c r="T47" s="2">
        <f t="shared" si="0"/>
        <v>0</v>
      </c>
      <c r="U47" s="9" t="str">
        <f>IF($S47=0, "", IF(COUNTIF(Table1[Amino Acid Change], $S47)=0, "Missing", "Y"))</f>
        <v/>
      </c>
      <c r="V47" s="9">
        <f t="shared" si="1"/>
        <v>0</v>
      </c>
    </row>
    <row r="48" spans="1:22" x14ac:dyDescent="0.25">
      <c r="A48" s="20" t="s">
        <v>132</v>
      </c>
      <c r="B48" s="21" t="s">
        <v>62</v>
      </c>
      <c r="C48" s="18">
        <v>20</v>
      </c>
      <c r="D48" s="19" t="str">
        <f>IFERROR(VLOOKUP(Table1[[#This Row],[Amino Acid Change]],$S$7:$T$300,2,0),"0.00")</f>
        <v>0.00</v>
      </c>
      <c r="E4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18">
        <v>139396746</v>
      </c>
      <c r="G48" s="11"/>
      <c r="H48" s="11"/>
      <c r="I48" s="2">
        <f>'Raw Data Cut 1.3'!A44</f>
        <v>0</v>
      </c>
      <c r="J48" s="2">
        <f>'Raw Data Cut 1.3'!B44</f>
        <v>0</v>
      </c>
      <c r="K48" s="2">
        <f>'Raw Data Cut 1.3'!C44</f>
        <v>0</v>
      </c>
      <c r="L48" s="2">
        <f>'Raw Data Cut 1.3'!D44</f>
        <v>0</v>
      </c>
      <c r="M48" s="2">
        <f>'Raw Data Cut 1.3'!E44</f>
        <v>0</v>
      </c>
      <c r="N48" s="2">
        <f>'Raw Data Cut 1.3'!G44</f>
        <v>0</v>
      </c>
      <c r="O48" s="2">
        <f>'Raw Data Cut 1.3'!H44</f>
        <v>0</v>
      </c>
      <c r="P48" s="2">
        <f>'Raw Data Cut 1.3'!I44</f>
        <v>0</v>
      </c>
      <c r="Q48" s="2">
        <f>'Raw Data Cut 1.3'!J44</f>
        <v>0</v>
      </c>
      <c r="R48" s="2">
        <f>'Raw Data Cut 1.3'!K44</f>
        <v>0</v>
      </c>
      <c r="S48" s="2">
        <f>'Raw Data Cut 1.3'!N44</f>
        <v>0</v>
      </c>
      <c r="T48" s="2">
        <f t="shared" si="0"/>
        <v>0</v>
      </c>
      <c r="U48" s="9" t="str">
        <f>IF($S48=0, "", IF(COUNTIF(Table1[Amino Acid Change], $S48)=0, "Missing", "Y"))</f>
        <v/>
      </c>
      <c r="V48" s="9">
        <f t="shared" si="1"/>
        <v>0</v>
      </c>
    </row>
    <row r="49" spans="1:22" x14ac:dyDescent="0.25">
      <c r="A49" s="20" t="s">
        <v>133</v>
      </c>
      <c r="B49" s="21" t="s">
        <v>63</v>
      </c>
      <c r="C49" s="18">
        <v>1.3</v>
      </c>
      <c r="D49" s="19" t="str">
        <f>IFERROR(VLOOKUP(Table1[[#This Row],[Amino Acid Change]],$S$7:$T$300,2,0),"0.00")</f>
        <v>0.00</v>
      </c>
      <c r="E4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18">
        <v>139399344</v>
      </c>
      <c r="G49" s="11"/>
      <c r="H49" s="11"/>
      <c r="I49" s="2">
        <f>'Raw Data Cut 1.3'!A45</f>
        <v>0</v>
      </c>
      <c r="J49" s="2">
        <f>'Raw Data Cut 1.3'!B45</f>
        <v>0</v>
      </c>
      <c r="K49" s="2">
        <f>'Raw Data Cut 1.3'!C45</f>
        <v>0</v>
      </c>
      <c r="L49" s="2">
        <f>'Raw Data Cut 1.3'!D45</f>
        <v>0</v>
      </c>
      <c r="M49" s="2">
        <f>'Raw Data Cut 1.3'!E45</f>
        <v>0</v>
      </c>
      <c r="N49" s="2">
        <f>'Raw Data Cut 1.3'!G45</f>
        <v>0</v>
      </c>
      <c r="O49" s="2">
        <f>'Raw Data Cut 1.3'!H45</f>
        <v>0</v>
      </c>
      <c r="P49" s="2">
        <f>'Raw Data Cut 1.3'!I45</f>
        <v>0</v>
      </c>
      <c r="Q49" s="2">
        <f>'Raw Data Cut 1.3'!J45</f>
        <v>0</v>
      </c>
      <c r="R49" s="2">
        <f>'Raw Data Cut 1.3'!K45</f>
        <v>0</v>
      </c>
      <c r="S49" s="2">
        <f>'Raw Data Cut 1.3'!N45</f>
        <v>0</v>
      </c>
      <c r="T49" s="2">
        <f t="shared" si="0"/>
        <v>0</v>
      </c>
      <c r="U49" s="9" t="str">
        <f>IF($S49=0, "", IF(COUNTIF(Table1[Amino Acid Change], $S49)=0, "Missing", "Y"))</f>
        <v/>
      </c>
      <c r="V49" s="9">
        <f t="shared" si="1"/>
        <v>0</v>
      </c>
    </row>
    <row r="50" spans="1:22" x14ac:dyDescent="0.25">
      <c r="A50" s="20" t="s">
        <v>134</v>
      </c>
      <c r="B50" s="21" t="s">
        <v>64</v>
      </c>
      <c r="C50" s="18">
        <v>2</v>
      </c>
      <c r="D50" s="19" t="str">
        <f>IFERROR(VLOOKUP(Table1[[#This Row],[Amino Acid Change]],$S$7:$T$300,2,0),"0.00")</f>
        <v>0.00</v>
      </c>
      <c r="E5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18">
        <v>139407521</v>
      </c>
      <c r="G50" s="11"/>
      <c r="H50" s="11"/>
      <c r="I50" s="2">
        <f>'Raw Data Cut 1.3'!A46</f>
        <v>0</v>
      </c>
      <c r="J50" s="2">
        <f>'Raw Data Cut 1.3'!B46</f>
        <v>0</v>
      </c>
      <c r="K50" s="2">
        <f>'Raw Data Cut 1.3'!C46</f>
        <v>0</v>
      </c>
      <c r="L50" s="2">
        <f>'Raw Data Cut 1.3'!D46</f>
        <v>0</v>
      </c>
      <c r="M50" s="2">
        <f>'Raw Data Cut 1.3'!E46</f>
        <v>0</v>
      </c>
      <c r="N50" s="2">
        <f>'Raw Data Cut 1.3'!G46</f>
        <v>0</v>
      </c>
      <c r="O50" s="2">
        <f>'Raw Data Cut 1.3'!H46</f>
        <v>0</v>
      </c>
      <c r="P50" s="2">
        <f>'Raw Data Cut 1.3'!I46</f>
        <v>0</v>
      </c>
      <c r="Q50" s="2">
        <f>'Raw Data Cut 1.3'!J46</f>
        <v>0</v>
      </c>
      <c r="R50" s="2">
        <f>'Raw Data Cut 1.3'!K46</f>
        <v>0</v>
      </c>
      <c r="S50" s="2">
        <f>'Raw Data Cut 1.3'!N46</f>
        <v>0</v>
      </c>
      <c r="T50" s="2">
        <f t="shared" si="0"/>
        <v>0</v>
      </c>
      <c r="U50" s="9" t="str">
        <f>IF($S50=0, "", IF(COUNTIF(Table1[Amino Acid Change], $S50)=0, "Missing", "Y"))</f>
        <v/>
      </c>
      <c r="V50" s="9">
        <f t="shared" si="1"/>
        <v>0</v>
      </c>
    </row>
    <row r="51" spans="1:22" x14ac:dyDescent="0.25">
      <c r="A51" s="20" t="s">
        <v>135</v>
      </c>
      <c r="B51" s="21" t="s">
        <v>65</v>
      </c>
      <c r="C51" s="18">
        <v>19</v>
      </c>
      <c r="D51" s="19" t="str">
        <f>IFERROR(VLOOKUP(Table1[[#This Row],[Amino Acid Change]],$S$7:$T$300,2,0),"0.00")</f>
        <v>0.00</v>
      </c>
      <c r="E5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18">
        <v>139409754</v>
      </c>
      <c r="G51" s="11"/>
      <c r="H51" s="11"/>
      <c r="I51" s="2">
        <f>'Raw Data Cut 1.3'!A47</f>
        <v>0</v>
      </c>
      <c r="J51" s="2">
        <f>'Raw Data Cut 1.3'!B47</f>
        <v>0</v>
      </c>
      <c r="K51" s="2">
        <f>'Raw Data Cut 1.3'!C47</f>
        <v>0</v>
      </c>
      <c r="L51" s="2">
        <f>'Raw Data Cut 1.3'!D47</f>
        <v>0</v>
      </c>
      <c r="M51" s="2">
        <f>'Raw Data Cut 1.3'!E47</f>
        <v>0</v>
      </c>
      <c r="N51" s="2">
        <f>'Raw Data Cut 1.3'!G47</f>
        <v>0</v>
      </c>
      <c r="O51" s="2">
        <f>'Raw Data Cut 1.3'!H47</f>
        <v>0</v>
      </c>
      <c r="P51" s="2">
        <f>'Raw Data Cut 1.3'!I47</f>
        <v>0</v>
      </c>
      <c r="Q51" s="2">
        <f>'Raw Data Cut 1.3'!J47</f>
        <v>0</v>
      </c>
      <c r="R51" s="2">
        <f>'Raw Data Cut 1.3'!K47</f>
        <v>0</v>
      </c>
      <c r="S51" s="2">
        <f>'Raw Data Cut 1.3'!N47</f>
        <v>0</v>
      </c>
      <c r="T51" s="2">
        <f t="shared" si="0"/>
        <v>0</v>
      </c>
      <c r="U51" s="9" t="str">
        <f>IF($S51=0, "", IF(COUNTIF(Table1[Amino Acid Change], $S51)=0, "Missing", "Y"))</f>
        <v/>
      </c>
      <c r="V51" s="9">
        <f t="shared" si="1"/>
        <v>0</v>
      </c>
    </row>
    <row r="52" spans="1:22" x14ac:dyDescent="0.25">
      <c r="A52" s="20" t="s">
        <v>136</v>
      </c>
      <c r="B52" s="21" t="s">
        <v>66</v>
      </c>
      <c r="C52" s="18">
        <v>1</v>
      </c>
      <c r="D52" s="19" t="str">
        <f>IFERROR(VLOOKUP(Table1[[#This Row],[Amino Acid Change]],$S$7:$T$300,2,0),"0.00")</f>
        <v>0.00</v>
      </c>
      <c r="E5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18">
        <v>170818372</v>
      </c>
      <c r="G52" s="11"/>
      <c r="H52" s="11"/>
      <c r="I52" s="2">
        <f>'Raw Data Cut 1.3'!A48</f>
        <v>0</v>
      </c>
      <c r="J52" s="2">
        <f>'Raw Data Cut 1.3'!B48</f>
        <v>0</v>
      </c>
      <c r="K52" s="2">
        <f>'Raw Data Cut 1.3'!C48</f>
        <v>0</v>
      </c>
      <c r="L52" s="2">
        <f>'Raw Data Cut 1.3'!D48</f>
        <v>0</v>
      </c>
      <c r="M52" s="2">
        <f>'Raw Data Cut 1.3'!E48</f>
        <v>0</v>
      </c>
      <c r="N52" s="2">
        <f>'Raw Data Cut 1.3'!G48</f>
        <v>0</v>
      </c>
      <c r="O52" s="2">
        <f>'Raw Data Cut 1.3'!H48</f>
        <v>0</v>
      </c>
      <c r="P52" s="2">
        <f>'Raw Data Cut 1.3'!I48</f>
        <v>0</v>
      </c>
      <c r="Q52" s="2">
        <f>'Raw Data Cut 1.3'!J48</f>
        <v>0</v>
      </c>
      <c r="R52" s="2">
        <f>'Raw Data Cut 1.3'!K48</f>
        <v>0</v>
      </c>
      <c r="S52" s="2">
        <f>'Raw Data Cut 1.3'!N48</f>
        <v>0</v>
      </c>
      <c r="T52" s="2">
        <f t="shared" si="0"/>
        <v>0</v>
      </c>
      <c r="U52" s="9" t="str">
        <f>IF($S52=0, "", IF(COUNTIF(Table1[Amino Acid Change], $S52)=0, "Missing", "Y"))</f>
        <v/>
      </c>
      <c r="V52" s="9">
        <f t="shared" si="1"/>
        <v>0</v>
      </c>
    </row>
    <row r="53" spans="1:22" x14ac:dyDescent="0.25">
      <c r="A53" s="20" t="s">
        <v>137</v>
      </c>
      <c r="B53" s="21" t="s">
        <v>68</v>
      </c>
      <c r="C53" s="18">
        <v>2</v>
      </c>
      <c r="D53" s="19" t="str">
        <f>IFERROR(VLOOKUP(Table1[[#This Row],[Amino Acid Change]],$S$7:$T$300,2,0),"0.00")</f>
        <v>0.00</v>
      </c>
      <c r="E5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18" t="s">
        <v>67</v>
      </c>
      <c r="G53" s="11"/>
      <c r="H53" s="11"/>
      <c r="I53" s="2">
        <f>'Raw Data Cut 1.3'!A49</f>
        <v>0</v>
      </c>
      <c r="J53" s="2">
        <f>'Raw Data Cut 1.3'!B49</f>
        <v>0</v>
      </c>
      <c r="K53" s="2">
        <f>'Raw Data Cut 1.3'!C49</f>
        <v>0</v>
      </c>
      <c r="L53" s="2">
        <f>'Raw Data Cut 1.3'!D49</f>
        <v>0</v>
      </c>
      <c r="M53" s="2">
        <f>'Raw Data Cut 1.3'!E49</f>
        <v>0</v>
      </c>
      <c r="N53" s="2">
        <f>'Raw Data Cut 1.3'!G49</f>
        <v>0</v>
      </c>
      <c r="O53" s="2">
        <f>'Raw Data Cut 1.3'!H49</f>
        <v>0</v>
      </c>
      <c r="P53" s="2">
        <f>'Raw Data Cut 1.3'!I49</f>
        <v>0</v>
      </c>
      <c r="Q53" s="2">
        <f>'Raw Data Cut 1.3'!J49</f>
        <v>0</v>
      </c>
      <c r="R53" s="2">
        <f>'Raw Data Cut 1.3'!K49</f>
        <v>0</v>
      </c>
      <c r="S53" s="2">
        <f>'Raw Data Cut 1.3'!N49</f>
        <v>0</v>
      </c>
      <c r="T53" s="2">
        <f t="shared" si="0"/>
        <v>0</v>
      </c>
      <c r="U53" s="9" t="str">
        <f>IF($S53=0, "", IF(COUNTIF(Table1[Amino Acid Change], $S53)=0, "Missing", "Y"))</f>
        <v/>
      </c>
      <c r="V53" s="9">
        <f t="shared" si="1"/>
        <v>0</v>
      </c>
    </row>
    <row r="54" spans="1:22" x14ac:dyDescent="0.25">
      <c r="A54" s="20" t="s">
        <v>138</v>
      </c>
      <c r="B54" s="21" t="s">
        <v>69</v>
      </c>
      <c r="C54" s="18">
        <v>1.3</v>
      </c>
      <c r="D54" s="19" t="str">
        <f>IFERROR(VLOOKUP(Table1[[#This Row],[Amino Acid Change]],$S$7:$T$300,2,0),"0.00")</f>
        <v>0.00</v>
      </c>
      <c r="E5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18">
        <v>115256528</v>
      </c>
      <c r="G54" s="11"/>
      <c r="H54" s="11"/>
      <c r="I54" s="2">
        <f>'Raw Data Cut 1.3'!A50</f>
        <v>0</v>
      </c>
      <c r="J54" s="2">
        <f>'Raw Data Cut 1.3'!B50</f>
        <v>0</v>
      </c>
      <c r="K54" s="2">
        <f>'Raw Data Cut 1.3'!C50</f>
        <v>0</v>
      </c>
      <c r="L54" s="2">
        <f>'Raw Data Cut 1.3'!D50</f>
        <v>0</v>
      </c>
      <c r="M54" s="2">
        <f>'Raw Data Cut 1.3'!E50</f>
        <v>0</v>
      </c>
      <c r="N54" s="2">
        <f>'Raw Data Cut 1.3'!G50</f>
        <v>0</v>
      </c>
      <c r="O54" s="2">
        <f>'Raw Data Cut 1.3'!H50</f>
        <v>0</v>
      </c>
      <c r="P54" s="2">
        <f>'Raw Data Cut 1.3'!I50</f>
        <v>0</v>
      </c>
      <c r="Q54" s="2">
        <f>'Raw Data Cut 1.3'!J50</f>
        <v>0</v>
      </c>
      <c r="R54" s="2">
        <f>'Raw Data Cut 1.3'!K50</f>
        <v>0</v>
      </c>
      <c r="S54" s="2">
        <f>'Raw Data Cut 1.3'!N50</f>
        <v>0</v>
      </c>
      <c r="T54" s="2">
        <f t="shared" si="0"/>
        <v>0</v>
      </c>
      <c r="U54" s="9" t="str">
        <f>IF($S54=0, "", IF(COUNTIF(Table1[Amino Acid Change], $S54)=0, "Missing", "Y"))</f>
        <v/>
      </c>
      <c r="V54" s="9">
        <f t="shared" si="1"/>
        <v>0</v>
      </c>
    </row>
    <row r="55" spans="1:22" x14ac:dyDescent="0.25">
      <c r="A55" s="20" t="s">
        <v>139</v>
      </c>
      <c r="B55" s="21" t="s">
        <v>70</v>
      </c>
      <c r="C55" s="18">
        <v>1.3</v>
      </c>
      <c r="D55" s="19" t="str">
        <f>IFERROR(VLOOKUP(Table1[[#This Row],[Amino Acid Change]],$S$7:$T$300,2,0),"0.00")</f>
        <v>0.00</v>
      </c>
      <c r="E5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18">
        <v>115256529</v>
      </c>
      <c r="G55" s="11"/>
      <c r="H55" s="11"/>
      <c r="I55" s="2">
        <f>'Raw Data Cut 1.3'!A51</f>
        <v>0</v>
      </c>
      <c r="J55" s="2">
        <f>'Raw Data Cut 1.3'!B51</f>
        <v>0</v>
      </c>
      <c r="K55" s="2">
        <f>'Raw Data Cut 1.3'!C51</f>
        <v>0</v>
      </c>
      <c r="L55" s="2">
        <f>'Raw Data Cut 1.3'!D51</f>
        <v>0</v>
      </c>
      <c r="M55" s="2">
        <f>'Raw Data Cut 1.3'!E51</f>
        <v>0</v>
      </c>
      <c r="N55" s="2">
        <f>'Raw Data Cut 1.3'!G51</f>
        <v>0</v>
      </c>
      <c r="O55" s="2">
        <f>'Raw Data Cut 1.3'!H51</f>
        <v>0</v>
      </c>
      <c r="P55" s="2">
        <f>'Raw Data Cut 1.3'!I51</f>
        <v>0</v>
      </c>
      <c r="Q55" s="2">
        <f>'Raw Data Cut 1.3'!J51</f>
        <v>0</v>
      </c>
      <c r="R55" s="2">
        <f>'Raw Data Cut 1.3'!K51</f>
        <v>0</v>
      </c>
      <c r="S55" s="2">
        <f>'Raw Data Cut 1.3'!N51</f>
        <v>0</v>
      </c>
      <c r="T55" s="2">
        <f t="shared" si="0"/>
        <v>0</v>
      </c>
      <c r="U55" s="9" t="str">
        <f>IF($S55=0, "", IF(COUNTIF(Table1[Amino Acid Change], $S55)=0, "Missing", "Y"))</f>
        <v/>
      </c>
      <c r="V55" s="9">
        <f t="shared" si="1"/>
        <v>0</v>
      </c>
    </row>
    <row r="56" spans="1:22" x14ac:dyDescent="0.25">
      <c r="A56" s="20" t="s">
        <v>140</v>
      </c>
      <c r="B56" s="21" t="s">
        <v>71</v>
      </c>
      <c r="C56" s="18">
        <v>1.3</v>
      </c>
      <c r="D56" s="19" t="str">
        <f>IFERROR(VLOOKUP(Table1[[#This Row],[Amino Acid Change]],$S$7:$T$300,2,0),"0.00")</f>
        <v>0.00</v>
      </c>
      <c r="E5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18">
        <v>115256529</v>
      </c>
      <c r="G56" s="11"/>
      <c r="H56" s="11"/>
      <c r="I56" s="2">
        <f>'Raw Data Cut 1.3'!A52</f>
        <v>0</v>
      </c>
      <c r="J56" s="2">
        <f>'Raw Data Cut 1.3'!B52</f>
        <v>0</v>
      </c>
      <c r="K56" s="2">
        <f>'Raw Data Cut 1.3'!C52</f>
        <v>0</v>
      </c>
      <c r="L56" s="2">
        <f>'Raw Data Cut 1.3'!D52</f>
        <v>0</v>
      </c>
      <c r="M56" s="2">
        <f>'Raw Data Cut 1.3'!E52</f>
        <v>0</v>
      </c>
      <c r="N56" s="2">
        <f>'Raw Data Cut 1.3'!G52</f>
        <v>0</v>
      </c>
      <c r="O56" s="2">
        <f>'Raw Data Cut 1.3'!H52</f>
        <v>0</v>
      </c>
      <c r="P56" s="2">
        <f>'Raw Data Cut 1.3'!I52</f>
        <v>0</v>
      </c>
      <c r="Q56" s="2">
        <f>'Raw Data Cut 1.3'!J52</f>
        <v>0</v>
      </c>
      <c r="R56" s="2">
        <f>'Raw Data Cut 1.3'!K52</f>
        <v>0</v>
      </c>
      <c r="S56" s="2">
        <f>'Raw Data Cut 1.3'!N52</f>
        <v>0</v>
      </c>
      <c r="T56" s="2">
        <f t="shared" si="0"/>
        <v>0</v>
      </c>
      <c r="U56" s="9" t="str">
        <f>IF($S56=0, "", IF(COUNTIF(Table1[Amino Acid Change], $S56)=0, "Missing", "Y"))</f>
        <v/>
      </c>
      <c r="V56" s="9">
        <f t="shared" si="1"/>
        <v>0</v>
      </c>
    </row>
    <row r="57" spans="1:22" x14ac:dyDescent="0.25">
      <c r="A57" s="20" t="s">
        <v>141</v>
      </c>
      <c r="B57" s="21" t="s">
        <v>72</v>
      </c>
      <c r="C57" s="18">
        <v>1.3</v>
      </c>
      <c r="D57" s="19" t="str">
        <f>IFERROR(VLOOKUP(Table1[[#This Row],[Amino Acid Change]],$S$7:$T$300,2,0),"0.00")</f>
        <v>0.00</v>
      </c>
      <c r="E5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18">
        <v>115256530</v>
      </c>
      <c r="G57" s="11"/>
      <c r="H57" s="11"/>
      <c r="I57" s="2">
        <f>'Raw Data Cut 1.3'!A53</f>
        <v>0</v>
      </c>
      <c r="J57" s="2">
        <f>'Raw Data Cut 1.3'!B53</f>
        <v>0</v>
      </c>
      <c r="K57" s="2">
        <f>'Raw Data Cut 1.3'!C53</f>
        <v>0</v>
      </c>
      <c r="L57" s="2">
        <f>'Raw Data Cut 1.3'!D53</f>
        <v>0</v>
      </c>
      <c r="M57" s="2">
        <f>'Raw Data Cut 1.3'!E53</f>
        <v>0</v>
      </c>
      <c r="N57" s="2">
        <f>'Raw Data Cut 1.3'!G53</f>
        <v>0</v>
      </c>
      <c r="O57" s="2">
        <f>'Raw Data Cut 1.3'!H53</f>
        <v>0</v>
      </c>
      <c r="P57" s="2">
        <f>'Raw Data Cut 1.3'!I53</f>
        <v>0</v>
      </c>
      <c r="Q57" s="2">
        <f>'Raw Data Cut 1.3'!J53</f>
        <v>0</v>
      </c>
      <c r="R57" s="2">
        <f>'Raw Data Cut 1.3'!K53</f>
        <v>0</v>
      </c>
      <c r="S57" s="2">
        <f>'Raw Data Cut 1.3'!N53</f>
        <v>0</v>
      </c>
      <c r="T57" s="2">
        <f t="shared" si="0"/>
        <v>0</v>
      </c>
      <c r="U57" s="9" t="str">
        <f>IF($S57=0, "", IF(COUNTIF(Table1[Amino Acid Change], $S57)=0, "Missing", "Y"))</f>
        <v/>
      </c>
      <c r="V57" s="9">
        <f t="shared" si="1"/>
        <v>0</v>
      </c>
    </row>
    <row r="58" spans="1:22" x14ac:dyDescent="0.25">
      <c r="A58" s="20" t="s">
        <v>142</v>
      </c>
      <c r="B58" s="21" t="s">
        <v>73</v>
      </c>
      <c r="C58" s="18">
        <v>1.3</v>
      </c>
      <c r="D58" s="19" t="str">
        <f>IFERROR(VLOOKUP(Table1[[#This Row],[Amino Acid Change]],$S$7:$T$300,2,0),"0.00")</f>
        <v>0.00</v>
      </c>
      <c r="E5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18">
        <v>178936082</v>
      </c>
      <c r="G58" s="11"/>
      <c r="H58" s="11"/>
      <c r="I58" s="2">
        <f>'Raw Data Cut 1.3'!A54</f>
        <v>0</v>
      </c>
      <c r="J58" s="2">
        <f>'Raw Data Cut 1.3'!B54</f>
        <v>0</v>
      </c>
      <c r="K58" s="2">
        <f>'Raw Data Cut 1.3'!C54</f>
        <v>0</v>
      </c>
      <c r="L58" s="2">
        <f>'Raw Data Cut 1.3'!D54</f>
        <v>0</v>
      </c>
      <c r="M58" s="2">
        <f>'Raw Data Cut 1.3'!E54</f>
        <v>0</v>
      </c>
      <c r="N58" s="2">
        <f>'Raw Data Cut 1.3'!G54</f>
        <v>0</v>
      </c>
      <c r="O58" s="2">
        <f>'Raw Data Cut 1.3'!H54</f>
        <v>0</v>
      </c>
      <c r="P58" s="2">
        <f>'Raw Data Cut 1.3'!I54</f>
        <v>0</v>
      </c>
      <c r="Q58" s="2">
        <f>'Raw Data Cut 1.3'!J54</f>
        <v>0</v>
      </c>
      <c r="R58" s="2">
        <f>'Raw Data Cut 1.3'!K54</f>
        <v>0</v>
      </c>
      <c r="S58" s="2">
        <f>'Raw Data Cut 1.3'!N54</f>
        <v>0</v>
      </c>
      <c r="T58" s="2">
        <f t="shared" si="0"/>
        <v>0</v>
      </c>
      <c r="U58" s="9" t="str">
        <f>IF($S58=0, "", IF(COUNTIF(Table1[Amino Acid Change], $S58)=0, "Missing", "Y"))</f>
        <v/>
      </c>
      <c r="V58" s="9">
        <f t="shared" si="1"/>
        <v>0</v>
      </c>
    </row>
    <row r="59" spans="1:22" x14ac:dyDescent="0.25">
      <c r="A59" s="20" t="s">
        <v>143</v>
      </c>
      <c r="B59" s="21" t="s">
        <v>74</v>
      </c>
      <c r="C59" s="18">
        <v>1.3</v>
      </c>
      <c r="D59" s="19" t="str">
        <f>IFERROR(VLOOKUP(Table1[[#This Row],[Amino Acid Change]],$S$7:$T$300,2,0),"0.00")</f>
        <v>0.00</v>
      </c>
      <c r="E5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18">
        <v>178936091</v>
      </c>
      <c r="G59" s="11"/>
      <c r="H59" s="11"/>
      <c r="I59" s="2">
        <f>'Raw Data Cut 1.3'!A55</f>
        <v>0</v>
      </c>
      <c r="J59" s="2">
        <f>'Raw Data Cut 1.3'!B55</f>
        <v>0</v>
      </c>
      <c r="K59" s="2">
        <f>'Raw Data Cut 1.3'!C55</f>
        <v>0</v>
      </c>
      <c r="L59" s="2">
        <f>'Raw Data Cut 1.3'!D55</f>
        <v>0</v>
      </c>
      <c r="M59" s="2">
        <f>'Raw Data Cut 1.3'!E55</f>
        <v>0</v>
      </c>
      <c r="N59" s="2">
        <f>'Raw Data Cut 1.3'!G55</f>
        <v>0</v>
      </c>
      <c r="O59" s="2">
        <f>'Raw Data Cut 1.3'!H55</f>
        <v>0</v>
      </c>
      <c r="P59" s="2">
        <f>'Raw Data Cut 1.3'!I55</f>
        <v>0</v>
      </c>
      <c r="Q59" s="2">
        <f>'Raw Data Cut 1.3'!J55</f>
        <v>0</v>
      </c>
      <c r="R59" s="2">
        <f>'Raw Data Cut 1.3'!K55</f>
        <v>0</v>
      </c>
      <c r="S59" s="2">
        <f>'Raw Data Cut 1.3'!N55</f>
        <v>0</v>
      </c>
      <c r="T59" s="2">
        <f t="shared" si="0"/>
        <v>0</v>
      </c>
      <c r="U59" s="9" t="str">
        <f>IF($S59=0, "", IF(COUNTIF(Table1[Amino Acid Change], $S59)=0, "Missing", "Y"))</f>
        <v/>
      </c>
      <c r="V59" s="9">
        <f t="shared" si="1"/>
        <v>0</v>
      </c>
    </row>
    <row r="60" spans="1:22" x14ac:dyDescent="0.25">
      <c r="A60" s="20" t="s">
        <v>144</v>
      </c>
      <c r="B60" s="21" t="s">
        <v>75</v>
      </c>
      <c r="C60" s="18">
        <v>20</v>
      </c>
      <c r="D60" s="19" t="str">
        <f>IFERROR(VLOOKUP(Table1[[#This Row],[Amino Acid Change]],$S$7:$T$300,2,0),"0.00")</f>
        <v>0.00</v>
      </c>
      <c r="E6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18">
        <v>178947865</v>
      </c>
      <c r="G60" s="11"/>
      <c r="H60" s="11"/>
      <c r="I60" s="2">
        <f>'Raw Data Cut 1.3'!A56</f>
        <v>0</v>
      </c>
      <c r="J60" s="2">
        <f>'Raw Data Cut 1.3'!B56</f>
        <v>0</v>
      </c>
      <c r="K60" s="2">
        <f>'Raw Data Cut 1.3'!C56</f>
        <v>0</v>
      </c>
      <c r="L60" s="2">
        <f>'Raw Data Cut 1.3'!D56</f>
        <v>0</v>
      </c>
      <c r="M60" s="2">
        <f>'Raw Data Cut 1.3'!E56</f>
        <v>0</v>
      </c>
      <c r="N60" s="2">
        <f>'Raw Data Cut 1.3'!G56</f>
        <v>0</v>
      </c>
      <c r="O60" s="2">
        <f>'Raw Data Cut 1.3'!H56</f>
        <v>0</v>
      </c>
      <c r="P60" s="2">
        <f>'Raw Data Cut 1.3'!I56</f>
        <v>0</v>
      </c>
      <c r="Q60" s="2">
        <f>'Raw Data Cut 1.3'!J56</f>
        <v>0</v>
      </c>
      <c r="R60" s="2">
        <f>'Raw Data Cut 1.3'!K56</f>
        <v>0</v>
      </c>
      <c r="S60" s="2">
        <f>'Raw Data Cut 1.3'!N56</f>
        <v>0</v>
      </c>
      <c r="T60" s="2">
        <f t="shared" si="0"/>
        <v>0</v>
      </c>
      <c r="U60" s="9" t="str">
        <f>IF($S60=0, "", IF(COUNTIF(Table1[Amino Acid Change], $S60)=0, "Missing", "Y"))</f>
        <v/>
      </c>
      <c r="V60" s="9">
        <f t="shared" si="1"/>
        <v>0</v>
      </c>
    </row>
    <row r="61" spans="1:22" x14ac:dyDescent="0.25">
      <c r="A61" s="22" t="s">
        <v>145</v>
      </c>
      <c r="B61" s="21" t="s">
        <v>76</v>
      </c>
      <c r="C61" s="18">
        <v>30</v>
      </c>
      <c r="D61" s="19" t="str">
        <f>IFERROR(VLOOKUP(Table1[[#This Row],[Amino Acid Change]],$S$7:$T$300,2,0),"0.00")</f>
        <v>0.00</v>
      </c>
      <c r="E6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1" s="18">
        <v>178952085</v>
      </c>
      <c r="G61" s="11"/>
      <c r="H61" s="11"/>
      <c r="I61" s="2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si="0"/>
        <v>0</v>
      </c>
      <c r="U61" s="9" t="str">
        <f>IF($S61=0, "", IF(COUNTIF(Table1[Amino Acid Change], $S61)=0, "Missing", "Y"))</f>
        <v/>
      </c>
      <c r="V61" s="9">
        <f t="shared" si="1"/>
        <v>0</v>
      </c>
    </row>
    <row r="62" spans="1:22" x14ac:dyDescent="0.25">
      <c r="E62" s="27" t="str">
        <f>TEXT(COUNTIF(E7:E61,"Pass"),0) &amp;" of 55 passed"</f>
        <v>0 of 55 passed</v>
      </c>
      <c r="I62" s="2">
        <f>'Raw Data Cut 1.3'!A57</f>
        <v>0</v>
      </c>
      <c r="J62" s="2">
        <f>'Raw Data Cut 1.3'!B57</f>
        <v>0</v>
      </c>
      <c r="K62" s="2">
        <f>'Raw Data Cut 1.3'!C57</f>
        <v>0</v>
      </c>
      <c r="L62" s="2">
        <f>'Raw Data Cut 1.3'!D57</f>
        <v>0</v>
      </c>
      <c r="M62" s="2">
        <f>'Raw Data Cut 1.3'!E57</f>
        <v>0</v>
      </c>
      <c r="N62" s="2">
        <f>'Raw Data Cut 1.3'!G57</f>
        <v>0</v>
      </c>
      <c r="O62" s="2">
        <f>'Raw Data Cut 1.3'!H57</f>
        <v>0</v>
      </c>
      <c r="P62" s="2">
        <f>'Raw Data Cut 1.3'!I57</f>
        <v>0</v>
      </c>
      <c r="Q62" s="2">
        <f>'Raw Data Cut 1.3'!J57</f>
        <v>0</v>
      </c>
      <c r="R62" s="2">
        <f>'Raw Data Cut 1.3'!K57</f>
        <v>0</v>
      </c>
      <c r="S62" s="2">
        <f>'Raw Data Cut 1.3'!N57</f>
        <v>0</v>
      </c>
      <c r="T62" s="2">
        <f t="shared" ref="T62:T125" si="2">P62</f>
        <v>0</v>
      </c>
      <c r="U62" s="9" t="str">
        <f>IF($S62=0, "", IF(COUNTIF(Table1[Amino Acid Change], $S62)=0, "Missing", "Y"))</f>
        <v/>
      </c>
      <c r="V62" s="9">
        <f t="shared" si="1"/>
        <v>0</v>
      </c>
    </row>
    <row r="63" spans="1:22" x14ac:dyDescent="0.25">
      <c r="E63" s="28"/>
      <c r="I63" s="2">
        <f>'Raw Data Cut 1.3'!A58</f>
        <v>0</v>
      </c>
      <c r="J63" s="2">
        <f>'Raw Data Cut 1.3'!B58</f>
        <v>0</v>
      </c>
      <c r="K63" s="2">
        <f>'Raw Data Cut 1.3'!C58</f>
        <v>0</v>
      </c>
      <c r="L63" s="2">
        <f>'Raw Data Cut 1.3'!D58</f>
        <v>0</v>
      </c>
      <c r="M63" s="2">
        <f>'Raw Data Cut 1.3'!E58</f>
        <v>0</v>
      </c>
      <c r="N63" s="2">
        <f>'Raw Data Cut 1.3'!G58</f>
        <v>0</v>
      </c>
      <c r="O63" s="2">
        <f>'Raw Data Cut 1.3'!H58</f>
        <v>0</v>
      </c>
      <c r="P63" s="2">
        <f>'Raw Data Cut 1.3'!I58</f>
        <v>0</v>
      </c>
      <c r="Q63" s="2">
        <f>'Raw Data Cut 1.3'!J58</f>
        <v>0</v>
      </c>
      <c r="R63" s="2">
        <f>'Raw Data Cut 1.3'!K58</f>
        <v>0</v>
      </c>
      <c r="S63" s="2">
        <f>'Raw Data Cut 1.3'!N58</f>
        <v>0</v>
      </c>
      <c r="T63" s="2">
        <f t="shared" si="2"/>
        <v>0</v>
      </c>
      <c r="U63" s="9" t="str">
        <f>IF($S63=0, "", IF(COUNTIF(Table1[Amino Acid Change], $S63)=0, "Missing", "Y"))</f>
        <v/>
      </c>
      <c r="V63" s="9">
        <f t="shared" ref="V63:V126" si="3">J63</f>
        <v>0</v>
      </c>
    </row>
    <row r="64" spans="1:22" x14ac:dyDescent="0.25">
      <c r="E64" s="29"/>
      <c r="I64" s="2">
        <f>'Raw Data Cut 1.3'!A59</f>
        <v>0</v>
      </c>
      <c r="J64" s="2">
        <f>'Raw Data Cut 1.3'!B59</f>
        <v>0</v>
      </c>
      <c r="K64" s="2">
        <f>'Raw Data Cut 1.3'!C59</f>
        <v>0</v>
      </c>
      <c r="L64" s="2">
        <f>'Raw Data Cut 1.3'!D59</f>
        <v>0</v>
      </c>
      <c r="M64" s="2">
        <f>'Raw Data Cut 1.3'!E59</f>
        <v>0</v>
      </c>
      <c r="N64" s="2">
        <f>'Raw Data Cut 1.3'!G59</f>
        <v>0</v>
      </c>
      <c r="O64" s="2">
        <f>'Raw Data Cut 1.3'!H59</f>
        <v>0</v>
      </c>
      <c r="P64" s="2">
        <f>'Raw Data Cut 1.3'!I59</f>
        <v>0</v>
      </c>
      <c r="Q64" s="2">
        <f>'Raw Data Cut 1.3'!J59</f>
        <v>0</v>
      </c>
      <c r="R64" s="2">
        <f>'Raw Data Cut 1.3'!K59</f>
        <v>0</v>
      </c>
      <c r="S64" s="2">
        <f>'Raw Data Cut 1.3'!N59</f>
        <v>0</v>
      </c>
      <c r="T64" s="2">
        <f t="shared" si="2"/>
        <v>0</v>
      </c>
      <c r="U64" s="9" t="str">
        <f>IF($S64=0, "", IF(COUNTIF(Table1[Amino Acid Change], $S64)=0, "Missing", "Y"))</f>
        <v/>
      </c>
      <c r="V64" s="9">
        <f t="shared" si="3"/>
        <v>0</v>
      </c>
    </row>
    <row r="65" spans="9:22" x14ac:dyDescent="0.25">
      <c r="I65" s="2">
        <f>'Raw Data Cut 1.3'!A60</f>
        <v>0</v>
      </c>
      <c r="J65" s="2">
        <f>'Raw Data Cut 1.3'!B60</f>
        <v>0</v>
      </c>
      <c r="K65" s="2">
        <f>'Raw Data Cut 1.3'!C60</f>
        <v>0</v>
      </c>
      <c r="L65" s="2">
        <f>'Raw Data Cut 1.3'!D60</f>
        <v>0</v>
      </c>
      <c r="M65" s="2">
        <f>'Raw Data Cut 1.3'!E60</f>
        <v>0</v>
      </c>
      <c r="N65" s="2">
        <f>'Raw Data Cut 1.3'!G60</f>
        <v>0</v>
      </c>
      <c r="O65" s="2">
        <f>'Raw Data Cut 1.3'!H60</f>
        <v>0</v>
      </c>
      <c r="P65" s="2">
        <f>'Raw Data Cut 1.3'!I60</f>
        <v>0</v>
      </c>
      <c r="Q65" s="2">
        <f>'Raw Data Cut 1.3'!J60</f>
        <v>0</v>
      </c>
      <c r="R65" s="2">
        <f>'Raw Data Cut 1.3'!K60</f>
        <v>0</v>
      </c>
      <c r="S65" s="2">
        <f>'Raw Data Cut 1.3'!N60</f>
        <v>0</v>
      </c>
      <c r="T65" s="2">
        <f t="shared" si="2"/>
        <v>0</v>
      </c>
      <c r="U65" s="9" t="str">
        <f>IF($S65=0, "", IF(COUNTIF(Table1[Amino Acid Change], $S65)=0, "Missing", "Y"))</f>
        <v/>
      </c>
      <c r="V65" s="9">
        <f t="shared" si="3"/>
        <v>0</v>
      </c>
    </row>
    <row r="66" spans="9:22" x14ac:dyDescent="0.25">
      <c r="I66" s="2">
        <f>'Raw Data Cut 1.3'!A61</f>
        <v>0</v>
      </c>
      <c r="J66" s="2">
        <f>'Raw Data Cut 1.3'!B61</f>
        <v>0</v>
      </c>
      <c r="K66" s="2">
        <f>'Raw Data Cut 1.3'!C61</f>
        <v>0</v>
      </c>
      <c r="L66" s="2">
        <f>'Raw Data Cut 1.3'!D61</f>
        <v>0</v>
      </c>
      <c r="M66" s="2">
        <f>'Raw Data Cut 1.3'!E61</f>
        <v>0</v>
      </c>
      <c r="N66" s="2">
        <f>'Raw Data Cut 1.3'!G61</f>
        <v>0</v>
      </c>
      <c r="O66" s="2">
        <f>'Raw Data Cut 1.3'!H61</f>
        <v>0</v>
      </c>
      <c r="P66" s="2">
        <f>'Raw Data Cut 1.3'!I61</f>
        <v>0</v>
      </c>
      <c r="Q66" s="2">
        <f>'Raw Data Cut 1.3'!J61</f>
        <v>0</v>
      </c>
      <c r="R66" s="2">
        <f>'Raw Data Cut 1.3'!K61</f>
        <v>0</v>
      </c>
      <c r="S66" s="2">
        <f>'Raw Data Cut 1.3'!N61</f>
        <v>0</v>
      </c>
      <c r="T66" s="2">
        <f t="shared" si="2"/>
        <v>0</v>
      </c>
      <c r="U66" s="9" t="str">
        <f>IF($S66=0, "", IF(COUNTIF(Table1[Amino Acid Change], $S66)=0, "Missing", "Y"))</f>
        <v/>
      </c>
      <c r="V66" s="9">
        <f t="shared" si="3"/>
        <v>0</v>
      </c>
    </row>
    <row r="67" spans="9:22" x14ac:dyDescent="0.25">
      <c r="I67" s="2">
        <f>'Raw Data Cut 1.3'!A62</f>
        <v>0</v>
      </c>
      <c r="J67" s="2">
        <f>'Raw Data Cut 1.3'!B62</f>
        <v>0</v>
      </c>
      <c r="K67" s="2">
        <f>'Raw Data Cut 1.3'!C62</f>
        <v>0</v>
      </c>
      <c r="L67" s="2">
        <f>'Raw Data Cut 1.3'!D62</f>
        <v>0</v>
      </c>
      <c r="M67" s="2">
        <f>'Raw Data Cut 1.3'!E62</f>
        <v>0</v>
      </c>
      <c r="N67" s="2">
        <f>'Raw Data Cut 1.3'!G62</f>
        <v>0</v>
      </c>
      <c r="O67" s="2">
        <f>'Raw Data Cut 1.3'!H62</f>
        <v>0</v>
      </c>
      <c r="P67" s="2">
        <f>'Raw Data Cut 1.3'!I62</f>
        <v>0</v>
      </c>
      <c r="Q67" s="2">
        <f>'Raw Data Cut 1.3'!J62</f>
        <v>0</v>
      </c>
      <c r="R67" s="2">
        <f>'Raw Data Cut 1.3'!K62</f>
        <v>0</v>
      </c>
      <c r="S67" s="2">
        <f>'Raw Data Cut 1.3'!N62</f>
        <v>0</v>
      </c>
      <c r="T67" s="2">
        <f t="shared" si="2"/>
        <v>0</v>
      </c>
      <c r="U67" s="9" t="str">
        <f>IF($S67=0, "", IF(COUNTIF(Table1[Amino Acid Change], $S67)=0, "Missing", "Y"))</f>
        <v/>
      </c>
      <c r="V67" s="9">
        <f t="shared" si="3"/>
        <v>0</v>
      </c>
    </row>
    <row r="68" spans="9:22" x14ac:dyDescent="0.25">
      <c r="I68" s="2">
        <f>'Raw Data Cut 1.3'!A63</f>
        <v>0</v>
      </c>
      <c r="J68" s="2">
        <f>'Raw Data Cut 1.3'!B63</f>
        <v>0</v>
      </c>
      <c r="K68" s="2">
        <f>'Raw Data Cut 1.3'!C63</f>
        <v>0</v>
      </c>
      <c r="L68" s="2">
        <f>'Raw Data Cut 1.3'!D63</f>
        <v>0</v>
      </c>
      <c r="M68" s="2">
        <f>'Raw Data Cut 1.3'!E63</f>
        <v>0</v>
      </c>
      <c r="N68" s="2">
        <f>'Raw Data Cut 1.3'!G63</f>
        <v>0</v>
      </c>
      <c r="O68" s="2">
        <f>'Raw Data Cut 1.3'!H63</f>
        <v>0</v>
      </c>
      <c r="P68" s="2">
        <f>'Raw Data Cut 1.3'!I63</f>
        <v>0</v>
      </c>
      <c r="Q68" s="2">
        <f>'Raw Data Cut 1.3'!J63</f>
        <v>0</v>
      </c>
      <c r="R68" s="2">
        <f>'Raw Data Cut 1.3'!K63</f>
        <v>0</v>
      </c>
      <c r="S68" s="2">
        <f>'Raw Data Cut 1.3'!N63</f>
        <v>0</v>
      </c>
      <c r="T68" s="2">
        <f t="shared" si="2"/>
        <v>0</v>
      </c>
      <c r="U68" s="9" t="str">
        <f>IF($S68=0, "", IF(COUNTIF(Table1[Amino Acid Change], $S68)=0, "Missing", "Y"))</f>
        <v/>
      </c>
      <c r="V68" s="9">
        <f t="shared" si="3"/>
        <v>0</v>
      </c>
    </row>
    <row r="69" spans="9:22" x14ac:dyDescent="0.25">
      <c r="I69" s="2">
        <f>'Raw Data Cut 1.3'!A64</f>
        <v>0</v>
      </c>
      <c r="J69" s="2">
        <f>'Raw Data Cut 1.3'!B64</f>
        <v>0</v>
      </c>
      <c r="K69" s="2">
        <f>'Raw Data Cut 1.3'!C64</f>
        <v>0</v>
      </c>
      <c r="L69" s="2">
        <f>'Raw Data Cut 1.3'!D64</f>
        <v>0</v>
      </c>
      <c r="M69" s="2">
        <f>'Raw Data Cut 1.3'!E64</f>
        <v>0</v>
      </c>
      <c r="N69" s="2">
        <f>'Raw Data Cut 1.3'!G64</f>
        <v>0</v>
      </c>
      <c r="O69" s="2">
        <f>'Raw Data Cut 1.3'!H64</f>
        <v>0</v>
      </c>
      <c r="P69" s="2">
        <f>'Raw Data Cut 1.3'!I64</f>
        <v>0</v>
      </c>
      <c r="Q69" s="2">
        <f>'Raw Data Cut 1.3'!J64</f>
        <v>0</v>
      </c>
      <c r="R69" s="2">
        <f>'Raw Data Cut 1.3'!K64</f>
        <v>0</v>
      </c>
      <c r="S69" s="2">
        <f>'Raw Data Cut 1.3'!N64</f>
        <v>0</v>
      </c>
      <c r="T69" s="2">
        <f t="shared" si="2"/>
        <v>0</v>
      </c>
      <c r="U69" s="9" t="str">
        <f>IF($S69=0, "", IF(COUNTIF(Table1[Amino Acid Change], $S69)=0, "Missing", "Y"))</f>
        <v/>
      </c>
      <c r="V69" s="9">
        <f t="shared" si="3"/>
        <v>0</v>
      </c>
    </row>
    <row r="70" spans="9:22" x14ac:dyDescent="0.25">
      <c r="I70" s="2">
        <f>'Raw Data Cut 1.3'!A65</f>
        <v>0</v>
      </c>
      <c r="J70" s="2">
        <f>'Raw Data Cut 1.3'!B65</f>
        <v>0</v>
      </c>
      <c r="K70" s="2">
        <f>'Raw Data Cut 1.3'!C65</f>
        <v>0</v>
      </c>
      <c r="L70" s="2">
        <f>'Raw Data Cut 1.3'!D65</f>
        <v>0</v>
      </c>
      <c r="M70" s="2">
        <f>'Raw Data Cut 1.3'!E65</f>
        <v>0</v>
      </c>
      <c r="N70" s="2">
        <f>'Raw Data Cut 1.3'!G65</f>
        <v>0</v>
      </c>
      <c r="O70" s="2">
        <f>'Raw Data Cut 1.3'!H65</f>
        <v>0</v>
      </c>
      <c r="P70" s="2">
        <f>'Raw Data Cut 1.3'!I65</f>
        <v>0</v>
      </c>
      <c r="Q70" s="2">
        <f>'Raw Data Cut 1.3'!J65</f>
        <v>0</v>
      </c>
      <c r="R70" s="2">
        <f>'Raw Data Cut 1.3'!K65</f>
        <v>0</v>
      </c>
      <c r="S70" s="2">
        <f>'Raw Data Cut 1.3'!N65</f>
        <v>0</v>
      </c>
      <c r="T70" s="2">
        <f t="shared" si="2"/>
        <v>0</v>
      </c>
      <c r="U70" s="9" t="str">
        <f>IF($S70=0, "", IF(COUNTIF(Table1[Amino Acid Change], $S70)=0, "Missing", "Y"))</f>
        <v/>
      </c>
      <c r="V70" s="9">
        <f t="shared" si="3"/>
        <v>0</v>
      </c>
    </row>
    <row r="71" spans="9:22" x14ac:dyDescent="0.25">
      <c r="I71" s="2">
        <f>'Raw Data Cut 1.3'!A66</f>
        <v>0</v>
      </c>
      <c r="J71" s="2">
        <f>'Raw Data Cut 1.3'!B66</f>
        <v>0</v>
      </c>
      <c r="K71" s="2">
        <f>'Raw Data Cut 1.3'!C66</f>
        <v>0</v>
      </c>
      <c r="L71" s="2">
        <f>'Raw Data Cut 1.3'!D66</f>
        <v>0</v>
      </c>
      <c r="M71" s="2">
        <f>'Raw Data Cut 1.3'!E66</f>
        <v>0</v>
      </c>
      <c r="N71" s="2">
        <f>'Raw Data Cut 1.3'!G66</f>
        <v>0</v>
      </c>
      <c r="O71" s="2">
        <f>'Raw Data Cut 1.3'!H66</f>
        <v>0</v>
      </c>
      <c r="P71" s="2">
        <f>'Raw Data Cut 1.3'!I66</f>
        <v>0</v>
      </c>
      <c r="Q71" s="2">
        <f>'Raw Data Cut 1.3'!J66</f>
        <v>0</v>
      </c>
      <c r="R71" s="2">
        <f>'Raw Data Cut 1.3'!K66</f>
        <v>0</v>
      </c>
      <c r="S71" s="2">
        <f>'Raw Data Cut 1.3'!N66</f>
        <v>0</v>
      </c>
      <c r="T71" s="2">
        <f t="shared" si="2"/>
        <v>0</v>
      </c>
      <c r="U71" s="9" t="str">
        <f>IF($S71=0, "", IF(COUNTIF(Table1[Amino Acid Change], $S71)=0, "Missing", "Y"))</f>
        <v/>
      </c>
      <c r="V71" s="9">
        <f t="shared" si="3"/>
        <v>0</v>
      </c>
    </row>
    <row r="72" spans="9:22" x14ac:dyDescent="0.25">
      <c r="I72" s="2">
        <f>'Raw Data Cut 1.3'!A67</f>
        <v>0</v>
      </c>
      <c r="J72" s="2">
        <f>'Raw Data Cut 1.3'!B67</f>
        <v>0</v>
      </c>
      <c r="K72" s="2">
        <f>'Raw Data Cut 1.3'!C67</f>
        <v>0</v>
      </c>
      <c r="L72" s="2">
        <f>'Raw Data Cut 1.3'!D67</f>
        <v>0</v>
      </c>
      <c r="M72" s="2">
        <f>'Raw Data Cut 1.3'!E67</f>
        <v>0</v>
      </c>
      <c r="N72" s="2">
        <f>'Raw Data Cut 1.3'!G67</f>
        <v>0</v>
      </c>
      <c r="O72" s="2">
        <f>'Raw Data Cut 1.3'!H67</f>
        <v>0</v>
      </c>
      <c r="P72" s="2">
        <f>'Raw Data Cut 1.3'!I67</f>
        <v>0</v>
      </c>
      <c r="Q72" s="2">
        <f>'Raw Data Cut 1.3'!J67</f>
        <v>0</v>
      </c>
      <c r="R72" s="2">
        <f>'Raw Data Cut 1.3'!K67</f>
        <v>0</v>
      </c>
      <c r="S72" s="2">
        <f>'Raw Data Cut 1.3'!N67</f>
        <v>0</v>
      </c>
      <c r="T72" s="2">
        <f t="shared" si="2"/>
        <v>0</v>
      </c>
      <c r="U72" s="9" t="str">
        <f>IF($S72=0, "", IF(COUNTIF(Table1[Amino Acid Change], $S72)=0, "Missing", "Y"))</f>
        <v/>
      </c>
      <c r="V72" s="9">
        <f t="shared" si="3"/>
        <v>0</v>
      </c>
    </row>
    <row r="73" spans="9:22" x14ac:dyDescent="0.25">
      <c r="I73" s="2">
        <f>'Raw Data Cut 1.3'!A68</f>
        <v>0</v>
      </c>
      <c r="J73" s="2">
        <f>'Raw Data Cut 1.3'!B68</f>
        <v>0</v>
      </c>
      <c r="K73" s="2">
        <f>'Raw Data Cut 1.3'!C68</f>
        <v>0</v>
      </c>
      <c r="L73" s="2">
        <f>'Raw Data Cut 1.3'!D68</f>
        <v>0</v>
      </c>
      <c r="M73" s="2">
        <f>'Raw Data Cut 1.3'!E68</f>
        <v>0</v>
      </c>
      <c r="N73" s="2">
        <f>'Raw Data Cut 1.3'!G68</f>
        <v>0</v>
      </c>
      <c r="O73" s="2">
        <f>'Raw Data Cut 1.3'!H68</f>
        <v>0</v>
      </c>
      <c r="P73" s="2">
        <f>'Raw Data Cut 1.3'!I68</f>
        <v>0</v>
      </c>
      <c r="Q73" s="2">
        <f>'Raw Data Cut 1.3'!J68</f>
        <v>0</v>
      </c>
      <c r="R73" s="2">
        <f>'Raw Data Cut 1.3'!K68</f>
        <v>0</v>
      </c>
      <c r="S73" s="2">
        <f>'Raw Data Cut 1.3'!N68</f>
        <v>0</v>
      </c>
      <c r="T73" s="2">
        <f t="shared" si="2"/>
        <v>0</v>
      </c>
      <c r="U73" s="9" t="str">
        <f>IF($S73=0, "", IF(COUNTIF(Table1[Amino Acid Change], $S73)=0, "Missing", "Y"))</f>
        <v/>
      </c>
      <c r="V73" s="9">
        <f t="shared" si="3"/>
        <v>0</v>
      </c>
    </row>
    <row r="74" spans="9:22" x14ac:dyDescent="0.25">
      <c r="I74" s="2">
        <f>'Raw Data Cut 1.3'!A69</f>
        <v>0</v>
      </c>
      <c r="J74" s="2">
        <f>'Raw Data Cut 1.3'!B69</f>
        <v>0</v>
      </c>
      <c r="K74" s="2">
        <f>'Raw Data Cut 1.3'!C69</f>
        <v>0</v>
      </c>
      <c r="L74" s="2">
        <f>'Raw Data Cut 1.3'!D69</f>
        <v>0</v>
      </c>
      <c r="M74" s="2">
        <f>'Raw Data Cut 1.3'!E69</f>
        <v>0</v>
      </c>
      <c r="N74" s="2">
        <f>'Raw Data Cut 1.3'!G69</f>
        <v>0</v>
      </c>
      <c r="O74" s="2">
        <f>'Raw Data Cut 1.3'!H69</f>
        <v>0</v>
      </c>
      <c r="P74" s="2">
        <f>'Raw Data Cut 1.3'!I69</f>
        <v>0</v>
      </c>
      <c r="Q74" s="2">
        <f>'Raw Data Cut 1.3'!J69</f>
        <v>0</v>
      </c>
      <c r="R74" s="2">
        <f>'Raw Data Cut 1.3'!K69</f>
        <v>0</v>
      </c>
      <c r="S74" s="2">
        <f>'Raw Data Cut 1.3'!N69</f>
        <v>0</v>
      </c>
      <c r="T74" s="2">
        <f t="shared" si="2"/>
        <v>0</v>
      </c>
      <c r="U74" s="9" t="str">
        <f>IF($S74=0, "", IF(COUNTIF(Table1[Amino Acid Change], $S74)=0, "Missing", "Y"))</f>
        <v/>
      </c>
      <c r="V74" s="9">
        <f t="shared" si="3"/>
        <v>0</v>
      </c>
    </row>
    <row r="75" spans="9:22" x14ac:dyDescent="0.25">
      <c r="I75" s="2">
        <f>'Raw Data Cut 1.3'!A70</f>
        <v>0</v>
      </c>
      <c r="J75" s="2">
        <f>'Raw Data Cut 1.3'!B70</f>
        <v>0</v>
      </c>
      <c r="K75" s="2">
        <f>'Raw Data Cut 1.3'!C70</f>
        <v>0</v>
      </c>
      <c r="L75" s="2">
        <f>'Raw Data Cut 1.3'!D70</f>
        <v>0</v>
      </c>
      <c r="M75" s="2">
        <f>'Raw Data Cut 1.3'!E70</f>
        <v>0</v>
      </c>
      <c r="N75" s="2">
        <f>'Raw Data Cut 1.3'!G70</f>
        <v>0</v>
      </c>
      <c r="O75" s="2">
        <f>'Raw Data Cut 1.3'!H70</f>
        <v>0</v>
      </c>
      <c r="P75" s="2">
        <f>'Raw Data Cut 1.3'!I70</f>
        <v>0</v>
      </c>
      <c r="Q75" s="2">
        <f>'Raw Data Cut 1.3'!J70</f>
        <v>0</v>
      </c>
      <c r="R75" s="2">
        <f>'Raw Data Cut 1.3'!K70</f>
        <v>0</v>
      </c>
      <c r="S75" s="2">
        <f>'Raw Data Cut 1.3'!N70</f>
        <v>0</v>
      </c>
      <c r="T75" s="2">
        <f t="shared" si="2"/>
        <v>0</v>
      </c>
      <c r="U75" s="9" t="str">
        <f>IF($S75=0, "", IF(COUNTIF(Table1[Amino Acid Change], $S75)=0, "Missing", "Y"))</f>
        <v/>
      </c>
      <c r="V75" s="9">
        <f t="shared" si="3"/>
        <v>0</v>
      </c>
    </row>
    <row r="76" spans="9:22" x14ac:dyDescent="0.25">
      <c r="I76" s="2">
        <f>'Raw Data Cut 1.3'!A71</f>
        <v>0</v>
      </c>
      <c r="J76" s="2">
        <f>'Raw Data Cut 1.3'!B71</f>
        <v>0</v>
      </c>
      <c r="K76" s="2">
        <f>'Raw Data Cut 1.3'!C71</f>
        <v>0</v>
      </c>
      <c r="L76" s="2">
        <f>'Raw Data Cut 1.3'!D71</f>
        <v>0</v>
      </c>
      <c r="M76" s="2">
        <f>'Raw Data Cut 1.3'!E71</f>
        <v>0</v>
      </c>
      <c r="N76" s="2">
        <f>'Raw Data Cut 1.3'!G71</f>
        <v>0</v>
      </c>
      <c r="O76" s="2">
        <f>'Raw Data Cut 1.3'!H71</f>
        <v>0</v>
      </c>
      <c r="P76" s="2">
        <f>'Raw Data Cut 1.3'!I71</f>
        <v>0</v>
      </c>
      <c r="Q76" s="2">
        <f>'Raw Data Cut 1.3'!J71</f>
        <v>0</v>
      </c>
      <c r="R76" s="2">
        <f>'Raw Data Cut 1.3'!K71</f>
        <v>0</v>
      </c>
      <c r="S76" s="2">
        <f>'Raw Data Cut 1.3'!N71</f>
        <v>0</v>
      </c>
      <c r="T76" s="2">
        <f t="shared" si="2"/>
        <v>0</v>
      </c>
      <c r="U76" s="9" t="str">
        <f>IF($S76=0, "", IF(COUNTIF(Table1[Amino Acid Change], $S76)=0, "Missing", "Y"))</f>
        <v/>
      </c>
      <c r="V76" s="9">
        <f t="shared" si="3"/>
        <v>0</v>
      </c>
    </row>
    <row r="77" spans="9:22" x14ac:dyDescent="0.25">
      <c r="I77" s="2">
        <f>'Raw Data Cut 1.3'!A72</f>
        <v>0</v>
      </c>
      <c r="J77" s="2">
        <f>'Raw Data Cut 1.3'!B72</f>
        <v>0</v>
      </c>
      <c r="K77" s="2">
        <f>'Raw Data Cut 1.3'!C72</f>
        <v>0</v>
      </c>
      <c r="L77" s="2">
        <f>'Raw Data Cut 1.3'!D72</f>
        <v>0</v>
      </c>
      <c r="M77" s="2">
        <f>'Raw Data Cut 1.3'!E72</f>
        <v>0</v>
      </c>
      <c r="N77" s="2">
        <f>'Raw Data Cut 1.3'!G72</f>
        <v>0</v>
      </c>
      <c r="O77" s="2">
        <f>'Raw Data Cut 1.3'!H72</f>
        <v>0</v>
      </c>
      <c r="P77" s="2">
        <f>'Raw Data Cut 1.3'!I72</f>
        <v>0</v>
      </c>
      <c r="Q77" s="2">
        <f>'Raw Data Cut 1.3'!J72</f>
        <v>0</v>
      </c>
      <c r="R77" s="2">
        <f>'Raw Data Cut 1.3'!K72</f>
        <v>0</v>
      </c>
      <c r="S77" s="2">
        <f>'Raw Data Cut 1.3'!N72</f>
        <v>0</v>
      </c>
      <c r="T77" s="2">
        <f t="shared" si="2"/>
        <v>0</v>
      </c>
      <c r="U77" s="9" t="str">
        <f>IF($S77=0, "", IF(COUNTIF(Table1[Amino Acid Change], $S77)=0, "Missing", "Y"))</f>
        <v/>
      </c>
      <c r="V77" s="9">
        <f t="shared" si="3"/>
        <v>0</v>
      </c>
    </row>
    <row r="78" spans="9:22" x14ac:dyDescent="0.25">
      <c r="I78" s="2">
        <f>'Raw Data Cut 1.3'!A73</f>
        <v>0</v>
      </c>
      <c r="J78" s="2">
        <f>'Raw Data Cut 1.3'!B73</f>
        <v>0</v>
      </c>
      <c r="K78" s="2">
        <f>'Raw Data Cut 1.3'!C73</f>
        <v>0</v>
      </c>
      <c r="L78" s="2">
        <f>'Raw Data Cut 1.3'!D73</f>
        <v>0</v>
      </c>
      <c r="M78" s="2">
        <f>'Raw Data Cut 1.3'!E73</f>
        <v>0</v>
      </c>
      <c r="N78" s="2">
        <f>'Raw Data Cut 1.3'!G73</f>
        <v>0</v>
      </c>
      <c r="O78" s="2">
        <f>'Raw Data Cut 1.3'!H73</f>
        <v>0</v>
      </c>
      <c r="P78" s="2">
        <f>'Raw Data Cut 1.3'!I73</f>
        <v>0</v>
      </c>
      <c r="Q78" s="2">
        <f>'Raw Data Cut 1.3'!J73</f>
        <v>0</v>
      </c>
      <c r="R78" s="2">
        <f>'Raw Data Cut 1.3'!K73</f>
        <v>0</v>
      </c>
      <c r="S78" s="2">
        <f>'Raw Data Cut 1.3'!N73</f>
        <v>0</v>
      </c>
      <c r="T78" s="2">
        <f t="shared" si="2"/>
        <v>0</v>
      </c>
      <c r="U78" s="9" t="str">
        <f>IF($S78=0, "", IF(COUNTIF(Table1[Amino Acid Change], $S78)=0, "Missing", "Y"))</f>
        <v/>
      </c>
      <c r="V78" s="9">
        <f t="shared" si="3"/>
        <v>0</v>
      </c>
    </row>
    <row r="79" spans="9:22" x14ac:dyDescent="0.25">
      <c r="I79" s="2">
        <f>'Raw Data Cut 1.3'!A74</f>
        <v>0</v>
      </c>
      <c r="J79" s="2">
        <f>'Raw Data Cut 1.3'!B74</f>
        <v>0</v>
      </c>
      <c r="K79" s="2">
        <f>'Raw Data Cut 1.3'!C74</f>
        <v>0</v>
      </c>
      <c r="L79" s="2">
        <f>'Raw Data Cut 1.3'!D74</f>
        <v>0</v>
      </c>
      <c r="M79" s="2">
        <f>'Raw Data Cut 1.3'!E74</f>
        <v>0</v>
      </c>
      <c r="N79" s="2">
        <f>'Raw Data Cut 1.3'!G74</f>
        <v>0</v>
      </c>
      <c r="O79" s="2">
        <f>'Raw Data Cut 1.3'!H74</f>
        <v>0</v>
      </c>
      <c r="P79" s="2">
        <f>'Raw Data Cut 1.3'!I74</f>
        <v>0</v>
      </c>
      <c r="Q79" s="2">
        <f>'Raw Data Cut 1.3'!J74</f>
        <v>0</v>
      </c>
      <c r="R79" s="2">
        <f>'Raw Data Cut 1.3'!K74</f>
        <v>0</v>
      </c>
      <c r="S79" s="2">
        <f>'Raw Data Cut 1.3'!N74</f>
        <v>0</v>
      </c>
      <c r="T79" s="2">
        <f t="shared" si="2"/>
        <v>0</v>
      </c>
      <c r="U79" s="9" t="str">
        <f>IF($S79=0, "", IF(COUNTIF(Table1[Amino Acid Change], $S79)=0, "Missing", "Y"))</f>
        <v/>
      </c>
      <c r="V79" s="9">
        <f t="shared" si="3"/>
        <v>0</v>
      </c>
    </row>
    <row r="80" spans="9:22" x14ac:dyDescent="0.25">
      <c r="I80" s="2">
        <f>'Raw Data Cut 1.3'!A75</f>
        <v>0</v>
      </c>
      <c r="J80" s="2">
        <f>'Raw Data Cut 1.3'!B75</f>
        <v>0</v>
      </c>
      <c r="K80" s="2">
        <f>'Raw Data Cut 1.3'!C75</f>
        <v>0</v>
      </c>
      <c r="L80" s="2">
        <f>'Raw Data Cut 1.3'!D75</f>
        <v>0</v>
      </c>
      <c r="M80" s="2">
        <f>'Raw Data Cut 1.3'!E75</f>
        <v>0</v>
      </c>
      <c r="N80" s="2">
        <f>'Raw Data Cut 1.3'!G75</f>
        <v>0</v>
      </c>
      <c r="O80" s="2">
        <f>'Raw Data Cut 1.3'!H75</f>
        <v>0</v>
      </c>
      <c r="P80" s="2">
        <f>'Raw Data Cut 1.3'!I75</f>
        <v>0</v>
      </c>
      <c r="Q80" s="2">
        <f>'Raw Data Cut 1.3'!J75</f>
        <v>0</v>
      </c>
      <c r="R80" s="2">
        <f>'Raw Data Cut 1.3'!K75</f>
        <v>0</v>
      </c>
      <c r="S80" s="2">
        <f>'Raw Data Cut 1.3'!N75</f>
        <v>0</v>
      </c>
      <c r="T80" s="2">
        <f t="shared" si="2"/>
        <v>0</v>
      </c>
      <c r="U80" s="9" t="str">
        <f>IF($S80=0, "", IF(COUNTIF(Table1[Amino Acid Change], $S80)=0, "Missing", "Y"))</f>
        <v/>
      </c>
      <c r="V80" s="9">
        <f t="shared" si="3"/>
        <v>0</v>
      </c>
    </row>
    <row r="81" spans="9:22" x14ac:dyDescent="0.25">
      <c r="I81" s="2">
        <f>'Raw Data Cut 1.3'!A76</f>
        <v>0</v>
      </c>
      <c r="J81" s="2">
        <f>'Raw Data Cut 1.3'!B76</f>
        <v>0</v>
      </c>
      <c r="K81" s="2">
        <f>'Raw Data Cut 1.3'!C76</f>
        <v>0</v>
      </c>
      <c r="L81" s="2">
        <f>'Raw Data Cut 1.3'!D76</f>
        <v>0</v>
      </c>
      <c r="M81" s="2">
        <f>'Raw Data Cut 1.3'!E76</f>
        <v>0</v>
      </c>
      <c r="N81" s="2">
        <f>'Raw Data Cut 1.3'!G76</f>
        <v>0</v>
      </c>
      <c r="O81" s="2">
        <f>'Raw Data Cut 1.3'!H76</f>
        <v>0</v>
      </c>
      <c r="P81" s="2">
        <f>'Raw Data Cut 1.3'!I76</f>
        <v>0</v>
      </c>
      <c r="Q81" s="2">
        <f>'Raw Data Cut 1.3'!J76</f>
        <v>0</v>
      </c>
      <c r="R81" s="2">
        <f>'Raw Data Cut 1.3'!K76</f>
        <v>0</v>
      </c>
      <c r="S81" s="2">
        <f>'Raw Data Cut 1.3'!N76</f>
        <v>0</v>
      </c>
      <c r="T81" s="2">
        <f t="shared" si="2"/>
        <v>0</v>
      </c>
      <c r="U81" s="9" t="str">
        <f>IF($S81=0, "", IF(COUNTIF(Table1[Amino Acid Change], $S81)=0, "Missing", "Y"))</f>
        <v/>
      </c>
      <c r="V81" s="9">
        <f t="shared" si="3"/>
        <v>0</v>
      </c>
    </row>
    <row r="82" spans="9:22" x14ac:dyDescent="0.25">
      <c r="I82" s="2">
        <f>'Raw Data Cut 1.3'!A77</f>
        <v>0</v>
      </c>
      <c r="J82" s="2">
        <f>'Raw Data Cut 1.3'!B77</f>
        <v>0</v>
      </c>
      <c r="K82" s="2">
        <f>'Raw Data Cut 1.3'!C77</f>
        <v>0</v>
      </c>
      <c r="L82" s="2">
        <f>'Raw Data Cut 1.3'!D77</f>
        <v>0</v>
      </c>
      <c r="M82" s="2">
        <f>'Raw Data Cut 1.3'!E77</f>
        <v>0</v>
      </c>
      <c r="N82" s="2">
        <f>'Raw Data Cut 1.3'!G77</f>
        <v>0</v>
      </c>
      <c r="O82" s="2">
        <f>'Raw Data Cut 1.3'!H77</f>
        <v>0</v>
      </c>
      <c r="P82" s="2">
        <f>'Raw Data Cut 1.3'!I77</f>
        <v>0</v>
      </c>
      <c r="Q82" s="2">
        <f>'Raw Data Cut 1.3'!J77</f>
        <v>0</v>
      </c>
      <c r="R82" s="2">
        <f>'Raw Data Cut 1.3'!K77</f>
        <v>0</v>
      </c>
      <c r="S82" s="2">
        <f>'Raw Data Cut 1.3'!N77</f>
        <v>0</v>
      </c>
      <c r="T82" s="2">
        <f t="shared" si="2"/>
        <v>0</v>
      </c>
      <c r="U82" s="9" t="str">
        <f>IF($S82=0, "", IF(COUNTIF(Table1[Amino Acid Change], $S82)=0, "Missing", "Y"))</f>
        <v/>
      </c>
      <c r="V82" s="9">
        <f t="shared" si="3"/>
        <v>0</v>
      </c>
    </row>
    <row r="83" spans="9:22" x14ac:dyDescent="0.25">
      <c r="I83" s="2">
        <f>'Raw Data Cut 1.3'!A78</f>
        <v>0</v>
      </c>
      <c r="J83" s="2">
        <f>'Raw Data Cut 1.3'!B78</f>
        <v>0</v>
      </c>
      <c r="K83" s="2">
        <f>'Raw Data Cut 1.3'!C78</f>
        <v>0</v>
      </c>
      <c r="L83" s="2">
        <f>'Raw Data Cut 1.3'!D78</f>
        <v>0</v>
      </c>
      <c r="M83" s="2">
        <f>'Raw Data Cut 1.3'!E78</f>
        <v>0</v>
      </c>
      <c r="N83" s="2">
        <f>'Raw Data Cut 1.3'!G78</f>
        <v>0</v>
      </c>
      <c r="O83" s="2">
        <f>'Raw Data Cut 1.3'!H78</f>
        <v>0</v>
      </c>
      <c r="P83" s="2">
        <f>'Raw Data Cut 1.3'!I78</f>
        <v>0</v>
      </c>
      <c r="Q83" s="2">
        <f>'Raw Data Cut 1.3'!J78</f>
        <v>0</v>
      </c>
      <c r="R83" s="2">
        <f>'Raw Data Cut 1.3'!K78</f>
        <v>0</v>
      </c>
      <c r="S83" s="2">
        <f>'Raw Data Cut 1.3'!N78</f>
        <v>0</v>
      </c>
      <c r="T83" s="2">
        <f t="shared" si="2"/>
        <v>0</v>
      </c>
      <c r="U83" s="9" t="str">
        <f>IF($S83=0, "", IF(COUNTIF(Table1[Amino Acid Change], $S83)=0, "Missing", "Y"))</f>
        <v/>
      </c>
      <c r="V83" s="9">
        <f t="shared" si="3"/>
        <v>0</v>
      </c>
    </row>
    <row r="84" spans="9:22" x14ac:dyDescent="0.25">
      <c r="I84" s="2">
        <f>'Raw Data Cut 1.3'!A79</f>
        <v>0</v>
      </c>
      <c r="J84" s="2">
        <f>'Raw Data Cut 1.3'!B79</f>
        <v>0</v>
      </c>
      <c r="K84" s="2">
        <f>'Raw Data Cut 1.3'!C79</f>
        <v>0</v>
      </c>
      <c r="L84" s="2">
        <f>'Raw Data Cut 1.3'!D79</f>
        <v>0</v>
      </c>
      <c r="M84" s="2">
        <f>'Raw Data Cut 1.3'!E79</f>
        <v>0</v>
      </c>
      <c r="N84" s="2">
        <f>'Raw Data Cut 1.3'!G79</f>
        <v>0</v>
      </c>
      <c r="O84" s="2">
        <f>'Raw Data Cut 1.3'!H79</f>
        <v>0</v>
      </c>
      <c r="P84" s="2">
        <f>'Raw Data Cut 1.3'!I79</f>
        <v>0</v>
      </c>
      <c r="Q84" s="2">
        <f>'Raw Data Cut 1.3'!J79</f>
        <v>0</v>
      </c>
      <c r="R84" s="2">
        <f>'Raw Data Cut 1.3'!K79</f>
        <v>0</v>
      </c>
      <c r="S84" s="2">
        <f>'Raw Data Cut 1.3'!N79</f>
        <v>0</v>
      </c>
      <c r="T84" s="2">
        <f t="shared" si="2"/>
        <v>0</v>
      </c>
      <c r="U84" s="9" t="str">
        <f>IF($S84=0, "", IF(COUNTIF(Table1[Amino Acid Change], $S84)=0, "Missing", "Y"))</f>
        <v/>
      </c>
      <c r="V84" s="9">
        <f t="shared" si="3"/>
        <v>0</v>
      </c>
    </row>
    <row r="85" spans="9:22" x14ac:dyDescent="0.25">
      <c r="I85" s="2">
        <f>'Raw Data Cut 1.3'!A80</f>
        <v>0</v>
      </c>
      <c r="J85" s="2">
        <f>'Raw Data Cut 1.3'!B80</f>
        <v>0</v>
      </c>
      <c r="K85" s="2">
        <f>'Raw Data Cut 1.3'!C80</f>
        <v>0</v>
      </c>
      <c r="L85" s="2">
        <f>'Raw Data Cut 1.3'!D80</f>
        <v>0</v>
      </c>
      <c r="M85" s="2">
        <f>'Raw Data Cut 1.3'!E80</f>
        <v>0</v>
      </c>
      <c r="N85" s="2">
        <f>'Raw Data Cut 1.3'!G80</f>
        <v>0</v>
      </c>
      <c r="O85" s="2">
        <f>'Raw Data Cut 1.3'!H80</f>
        <v>0</v>
      </c>
      <c r="P85" s="2">
        <f>'Raw Data Cut 1.3'!I80</f>
        <v>0</v>
      </c>
      <c r="Q85" s="2">
        <f>'Raw Data Cut 1.3'!J80</f>
        <v>0</v>
      </c>
      <c r="R85" s="2">
        <f>'Raw Data Cut 1.3'!K80</f>
        <v>0</v>
      </c>
      <c r="S85" s="2">
        <f>'Raw Data Cut 1.3'!N80</f>
        <v>0</v>
      </c>
      <c r="T85" s="2">
        <f t="shared" si="2"/>
        <v>0</v>
      </c>
      <c r="U85" s="9" t="str">
        <f>IF($S85=0, "", IF(COUNTIF(Table1[Amino Acid Change], $S85)=0, "Missing", "Y"))</f>
        <v/>
      </c>
      <c r="V85" s="9">
        <f t="shared" si="3"/>
        <v>0</v>
      </c>
    </row>
    <row r="86" spans="9:22" x14ac:dyDescent="0.25">
      <c r="I86" s="2">
        <f>'Raw Data Cut 1.3'!A81</f>
        <v>0</v>
      </c>
      <c r="J86" s="2">
        <f>'Raw Data Cut 1.3'!B81</f>
        <v>0</v>
      </c>
      <c r="K86" s="2">
        <f>'Raw Data Cut 1.3'!C81</f>
        <v>0</v>
      </c>
      <c r="L86" s="2">
        <f>'Raw Data Cut 1.3'!D81</f>
        <v>0</v>
      </c>
      <c r="M86" s="2">
        <f>'Raw Data Cut 1.3'!E81</f>
        <v>0</v>
      </c>
      <c r="N86" s="2">
        <f>'Raw Data Cut 1.3'!G81</f>
        <v>0</v>
      </c>
      <c r="O86" s="2">
        <f>'Raw Data Cut 1.3'!H81</f>
        <v>0</v>
      </c>
      <c r="P86" s="2">
        <f>'Raw Data Cut 1.3'!I81</f>
        <v>0</v>
      </c>
      <c r="Q86" s="2">
        <f>'Raw Data Cut 1.3'!J81</f>
        <v>0</v>
      </c>
      <c r="R86" s="2">
        <f>'Raw Data Cut 1.3'!K81</f>
        <v>0</v>
      </c>
      <c r="S86" s="2">
        <f>'Raw Data Cut 1.3'!N81</f>
        <v>0</v>
      </c>
      <c r="T86" s="2">
        <f t="shared" si="2"/>
        <v>0</v>
      </c>
      <c r="U86" s="9" t="str">
        <f>IF($S86=0, "", IF(COUNTIF(Table1[Amino Acid Change], $S86)=0, "Missing", "Y"))</f>
        <v/>
      </c>
      <c r="V86" s="9">
        <f t="shared" si="3"/>
        <v>0</v>
      </c>
    </row>
    <row r="87" spans="9:22" x14ac:dyDescent="0.25">
      <c r="I87" s="2">
        <f>'Raw Data Cut 1.3'!A82</f>
        <v>0</v>
      </c>
      <c r="J87" s="2">
        <f>'Raw Data Cut 1.3'!B82</f>
        <v>0</v>
      </c>
      <c r="K87" s="2">
        <f>'Raw Data Cut 1.3'!C82</f>
        <v>0</v>
      </c>
      <c r="L87" s="2">
        <f>'Raw Data Cut 1.3'!D82</f>
        <v>0</v>
      </c>
      <c r="M87" s="2">
        <f>'Raw Data Cut 1.3'!E82</f>
        <v>0</v>
      </c>
      <c r="N87" s="2">
        <f>'Raw Data Cut 1.3'!G82</f>
        <v>0</v>
      </c>
      <c r="O87" s="2">
        <f>'Raw Data Cut 1.3'!H82</f>
        <v>0</v>
      </c>
      <c r="P87" s="2">
        <f>'Raw Data Cut 1.3'!I82</f>
        <v>0</v>
      </c>
      <c r="Q87" s="2">
        <f>'Raw Data Cut 1.3'!J82</f>
        <v>0</v>
      </c>
      <c r="R87" s="2">
        <f>'Raw Data Cut 1.3'!K82</f>
        <v>0</v>
      </c>
      <c r="S87" s="2">
        <f>'Raw Data Cut 1.3'!N82</f>
        <v>0</v>
      </c>
      <c r="T87" s="2">
        <f t="shared" si="2"/>
        <v>0</v>
      </c>
      <c r="U87" s="9" t="str">
        <f>IF($S87=0, "", IF(COUNTIF(Table1[Amino Acid Change], $S87)=0, "Missing", "Y"))</f>
        <v/>
      </c>
      <c r="V87" s="9">
        <f t="shared" si="3"/>
        <v>0</v>
      </c>
    </row>
    <row r="88" spans="9:22" x14ac:dyDescent="0.25">
      <c r="I88" s="2">
        <f>'Raw Data Cut 1.3'!A83</f>
        <v>0</v>
      </c>
      <c r="J88" s="2">
        <f>'Raw Data Cut 1.3'!B83</f>
        <v>0</v>
      </c>
      <c r="K88" s="2">
        <f>'Raw Data Cut 1.3'!C83</f>
        <v>0</v>
      </c>
      <c r="L88" s="2">
        <f>'Raw Data Cut 1.3'!D83</f>
        <v>0</v>
      </c>
      <c r="M88" s="2">
        <f>'Raw Data Cut 1.3'!E83</f>
        <v>0</v>
      </c>
      <c r="N88" s="2">
        <f>'Raw Data Cut 1.3'!G83</f>
        <v>0</v>
      </c>
      <c r="O88" s="2">
        <f>'Raw Data Cut 1.3'!H83</f>
        <v>0</v>
      </c>
      <c r="P88" s="2">
        <f>'Raw Data Cut 1.3'!I83</f>
        <v>0</v>
      </c>
      <c r="Q88" s="2">
        <f>'Raw Data Cut 1.3'!J83</f>
        <v>0</v>
      </c>
      <c r="R88" s="2">
        <f>'Raw Data Cut 1.3'!K83</f>
        <v>0</v>
      </c>
      <c r="S88" s="2">
        <f>'Raw Data Cut 1.3'!N83</f>
        <v>0</v>
      </c>
      <c r="T88" s="2">
        <f t="shared" si="2"/>
        <v>0</v>
      </c>
      <c r="U88" s="9" t="str">
        <f>IF($S88=0, "", IF(COUNTIF(Table1[Amino Acid Change], $S88)=0, "Missing", "Y"))</f>
        <v/>
      </c>
      <c r="V88" s="9">
        <f t="shared" si="3"/>
        <v>0</v>
      </c>
    </row>
    <row r="89" spans="9:22" x14ac:dyDescent="0.25">
      <c r="I89" s="2">
        <f>'Raw Data Cut 1.3'!A84</f>
        <v>0</v>
      </c>
      <c r="J89" s="2">
        <f>'Raw Data Cut 1.3'!B84</f>
        <v>0</v>
      </c>
      <c r="K89" s="2">
        <f>'Raw Data Cut 1.3'!C84</f>
        <v>0</v>
      </c>
      <c r="L89" s="2">
        <f>'Raw Data Cut 1.3'!D84</f>
        <v>0</v>
      </c>
      <c r="M89" s="2">
        <f>'Raw Data Cut 1.3'!E84</f>
        <v>0</v>
      </c>
      <c r="N89" s="2">
        <f>'Raw Data Cut 1.3'!G84</f>
        <v>0</v>
      </c>
      <c r="O89" s="2">
        <f>'Raw Data Cut 1.3'!H84</f>
        <v>0</v>
      </c>
      <c r="P89" s="2">
        <f>'Raw Data Cut 1.3'!I84</f>
        <v>0</v>
      </c>
      <c r="Q89" s="2">
        <f>'Raw Data Cut 1.3'!J84</f>
        <v>0</v>
      </c>
      <c r="R89" s="2">
        <f>'Raw Data Cut 1.3'!K84</f>
        <v>0</v>
      </c>
      <c r="S89" s="2">
        <f>'Raw Data Cut 1.3'!N84</f>
        <v>0</v>
      </c>
      <c r="T89" s="2">
        <f t="shared" si="2"/>
        <v>0</v>
      </c>
      <c r="U89" s="9" t="str">
        <f>IF($S89=0, "", IF(COUNTIF(Table1[Amino Acid Change], $S89)=0, "Missing", "Y"))</f>
        <v/>
      </c>
      <c r="V89" s="9">
        <f t="shared" si="3"/>
        <v>0</v>
      </c>
    </row>
    <row r="90" spans="9:22" x14ac:dyDescent="0.25">
      <c r="I90" s="2">
        <f>'Raw Data Cut 1.3'!A85</f>
        <v>0</v>
      </c>
      <c r="J90" s="2">
        <f>'Raw Data Cut 1.3'!B85</f>
        <v>0</v>
      </c>
      <c r="K90" s="2">
        <f>'Raw Data Cut 1.3'!C85</f>
        <v>0</v>
      </c>
      <c r="L90" s="2">
        <f>'Raw Data Cut 1.3'!D85</f>
        <v>0</v>
      </c>
      <c r="M90" s="2">
        <f>'Raw Data Cut 1.3'!E85</f>
        <v>0</v>
      </c>
      <c r="N90" s="2">
        <f>'Raw Data Cut 1.3'!G85</f>
        <v>0</v>
      </c>
      <c r="O90" s="2">
        <f>'Raw Data Cut 1.3'!H85</f>
        <v>0</v>
      </c>
      <c r="P90" s="2">
        <f>'Raw Data Cut 1.3'!I85</f>
        <v>0</v>
      </c>
      <c r="Q90" s="2">
        <f>'Raw Data Cut 1.3'!J85</f>
        <v>0</v>
      </c>
      <c r="R90" s="2">
        <f>'Raw Data Cut 1.3'!K85</f>
        <v>0</v>
      </c>
      <c r="S90" s="2">
        <f>'Raw Data Cut 1.3'!N85</f>
        <v>0</v>
      </c>
      <c r="T90" s="2">
        <f t="shared" si="2"/>
        <v>0</v>
      </c>
      <c r="U90" s="9" t="str">
        <f>IF($S90=0, "", IF(COUNTIF(Table1[Amino Acid Change], $S90)=0, "Missing", "Y"))</f>
        <v/>
      </c>
      <c r="V90" s="9">
        <f t="shared" si="3"/>
        <v>0</v>
      </c>
    </row>
    <row r="91" spans="9:22" x14ac:dyDescent="0.25">
      <c r="I91" s="2">
        <f>'Raw Data Cut 1.3'!A86</f>
        <v>0</v>
      </c>
      <c r="J91" s="2">
        <f>'Raw Data Cut 1.3'!B86</f>
        <v>0</v>
      </c>
      <c r="K91" s="2">
        <f>'Raw Data Cut 1.3'!C86</f>
        <v>0</v>
      </c>
      <c r="L91" s="2">
        <f>'Raw Data Cut 1.3'!D86</f>
        <v>0</v>
      </c>
      <c r="M91" s="2">
        <f>'Raw Data Cut 1.3'!E86</f>
        <v>0</v>
      </c>
      <c r="N91" s="2">
        <f>'Raw Data Cut 1.3'!G86</f>
        <v>0</v>
      </c>
      <c r="O91" s="2">
        <f>'Raw Data Cut 1.3'!H86</f>
        <v>0</v>
      </c>
      <c r="P91" s="2">
        <f>'Raw Data Cut 1.3'!I86</f>
        <v>0</v>
      </c>
      <c r="Q91" s="2">
        <f>'Raw Data Cut 1.3'!J86</f>
        <v>0</v>
      </c>
      <c r="R91" s="2">
        <f>'Raw Data Cut 1.3'!K86</f>
        <v>0</v>
      </c>
      <c r="S91" s="2">
        <f>'Raw Data Cut 1.3'!N86</f>
        <v>0</v>
      </c>
      <c r="T91" s="2">
        <f t="shared" si="2"/>
        <v>0</v>
      </c>
      <c r="U91" s="9" t="str">
        <f>IF($S91=0, "", IF(COUNTIF(Table1[Amino Acid Change], $S91)=0, "Missing", "Y"))</f>
        <v/>
      </c>
      <c r="V91" s="9">
        <f t="shared" si="3"/>
        <v>0</v>
      </c>
    </row>
    <row r="92" spans="9:22" x14ac:dyDescent="0.25">
      <c r="I92" s="2">
        <f>'Raw Data Cut 1.3'!A88</f>
        <v>0</v>
      </c>
      <c r="J92" s="2">
        <f>'Raw Data Cut 1.3'!B88</f>
        <v>0</v>
      </c>
      <c r="K92" s="2">
        <f>'Raw Data Cut 1.3'!C88</f>
        <v>0</v>
      </c>
      <c r="L92" s="2">
        <f>'Raw Data Cut 1.3'!D88</f>
        <v>0</v>
      </c>
      <c r="M92" s="2">
        <f>'Raw Data Cut 1.3'!E88</f>
        <v>0</v>
      </c>
      <c r="N92" s="2">
        <f>'Raw Data Cut 1.3'!G88</f>
        <v>0</v>
      </c>
      <c r="O92" s="2">
        <f>'Raw Data Cut 1.3'!H88</f>
        <v>0</v>
      </c>
      <c r="P92" s="2">
        <f>'Raw Data Cut 1.3'!I88</f>
        <v>0</v>
      </c>
      <c r="Q92" s="2">
        <f>'Raw Data Cut 1.3'!J88</f>
        <v>0</v>
      </c>
      <c r="R92" s="2">
        <f>'Raw Data Cut 1.3'!K88</f>
        <v>0</v>
      </c>
      <c r="S92" s="2">
        <f>'Raw Data Cut 1.3'!N88</f>
        <v>0</v>
      </c>
      <c r="T92" s="2">
        <f t="shared" si="2"/>
        <v>0</v>
      </c>
      <c r="U92" s="9" t="str">
        <f>IF($S92=0, "", IF(COUNTIF(Table1[Amino Acid Change], $S92)=0, "Missing", "Y"))</f>
        <v/>
      </c>
      <c r="V92" s="9">
        <f t="shared" si="3"/>
        <v>0</v>
      </c>
    </row>
    <row r="93" spans="9:22" x14ac:dyDescent="0.25">
      <c r="I93" s="2">
        <f>'Raw Data Cut 1.3'!A89</f>
        <v>0</v>
      </c>
      <c r="J93" s="2">
        <f>'Raw Data Cut 1.3'!B89</f>
        <v>0</v>
      </c>
      <c r="K93" s="2">
        <f>'Raw Data Cut 1.3'!C89</f>
        <v>0</v>
      </c>
      <c r="L93" s="2">
        <f>'Raw Data Cut 1.3'!D89</f>
        <v>0</v>
      </c>
      <c r="M93" s="2">
        <f>'Raw Data Cut 1.3'!E89</f>
        <v>0</v>
      </c>
      <c r="N93" s="2">
        <f>'Raw Data Cut 1.3'!G89</f>
        <v>0</v>
      </c>
      <c r="O93" s="2">
        <f>'Raw Data Cut 1.3'!H89</f>
        <v>0</v>
      </c>
      <c r="P93" s="2">
        <f>'Raw Data Cut 1.3'!I89</f>
        <v>0</v>
      </c>
      <c r="Q93" s="2">
        <f>'Raw Data Cut 1.3'!J89</f>
        <v>0</v>
      </c>
      <c r="R93" s="2">
        <f>'Raw Data Cut 1.3'!K89</f>
        <v>0</v>
      </c>
      <c r="S93" s="2">
        <f>'Raw Data Cut 1.3'!N89</f>
        <v>0</v>
      </c>
      <c r="T93" s="2">
        <f t="shared" si="2"/>
        <v>0</v>
      </c>
      <c r="U93" s="9" t="str">
        <f>IF($S93=0, "", IF(COUNTIF(Table1[Amino Acid Change], $S93)=0, "Missing", "Y"))</f>
        <v/>
      </c>
      <c r="V93" s="9">
        <f t="shared" si="3"/>
        <v>0</v>
      </c>
    </row>
    <row r="94" spans="9:22" x14ac:dyDescent="0.25">
      <c r="I94" s="2">
        <f>'Raw Data Cut 1.3'!A90</f>
        <v>0</v>
      </c>
      <c r="J94" s="2">
        <f>'Raw Data Cut 1.3'!B90</f>
        <v>0</v>
      </c>
      <c r="K94" s="2">
        <f>'Raw Data Cut 1.3'!C90</f>
        <v>0</v>
      </c>
      <c r="L94" s="2">
        <f>'Raw Data Cut 1.3'!D90</f>
        <v>0</v>
      </c>
      <c r="M94" s="2">
        <f>'Raw Data Cut 1.3'!E90</f>
        <v>0</v>
      </c>
      <c r="N94" s="2">
        <f>'Raw Data Cut 1.3'!G90</f>
        <v>0</v>
      </c>
      <c r="O94" s="2">
        <f>'Raw Data Cut 1.3'!H90</f>
        <v>0</v>
      </c>
      <c r="P94" s="2">
        <f>'Raw Data Cut 1.3'!I90</f>
        <v>0</v>
      </c>
      <c r="Q94" s="2">
        <f>'Raw Data Cut 1.3'!J90</f>
        <v>0</v>
      </c>
      <c r="R94" s="2">
        <f>'Raw Data Cut 1.3'!K90</f>
        <v>0</v>
      </c>
      <c r="S94" s="2">
        <f>'Raw Data Cut 1.3'!N90</f>
        <v>0</v>
      </c>
      <c r="T94" s="2">
        <f t="shared" si="2"/>
        <v>0</v>
      </c>
      <c r="U94" s="9" t="str">
        <f>IF($S94=0, "", IF(COUNTIF(Table1[Amino Acid Change], $S94)=0, "Missing", "Y"))</f>
        <v/>
      </c>
      <c r="V94" s="9">
        <f t="shared" si="3"/>
        <v>0</v>
      </c>
    </row>
    <row r="95" spans="9:22" x14ac:dyDescent="0.25">
      <c r="I95" s="2">
        <f>'Raw Data Cut 1.3'!A91</f>
        <v>0</v>
      </c>
      <c r="J95" s="2">
        <f>'Raw Data Cut 1.3'!B91</f>
        <v>0</v>
      </c>
      <c r="K95" s="2">
        <f>'Raw Data Cut 1.3'!C91</f>
        <v>0</v>
      </c>
      <c r="L95" s="2">
        <f>'Raw Data Cut 1.3'!D91</f>
        <v>0</v>
      </c>
      <c r="M95" s="2">
        <f>'Raw Data Cut 1.3'!E91</f>
        <v>0</v>
      </c>
      <c r="N95" s="2">
        <f>'Raw Data Cut 1.3'!G91</f>
        <v>0</v>
      </c>
      <c r="O95" s="2">
        <f>'Raw Data Cut 1.3'!H91</f>
        <v>0</v>
      </c>
      <c r="P95" s="2">
        <f>'Raw Data Cut 1.3'!I91</f>
        <v>0</v>
      </c>
      <c r="Q95" s="2">
        <f>'Raw Data Cut 1.3'!J91</f>
        <v>0</v>
      </c>
      <c r="R95" s="2">
        <f>'Raw Data Cut 1.3'!K91</f>
        <v>0</v>
      </c>
      <c r="S95" s="2">
        <f>'Raw Data Cut 1.3'!N91</f>
        <v>0</v>
      </c>
      <c r="T95" s="2">
        <f t="shared" si="2"/>
        <v>0</v>
      </c>
      <c r="U95" s="9" t="str">
        <f>IF($S95=0, "", IF(COUNTIF(Table1[Amino Acid Change], $S95)=0, "Missing", "Y"))</f>
        <v/>
      </c>
      <c r="V95" s="9">
        <f t="shared" si="3"/>
        <v>0</v>
      </c>
    </row>
    <row r="96" spans="9:22" x14ac:dyDescent="0.25">
      <c r="I96" s="2">
        <f>'Raw Data Cut 1.3'!A92</f>
        <v>0</v>
      </c>
      <c r="J96" s="2">
        <f>'Raw Data Cut 1.3'!B92</f>
        <v>0</v>
      </c>
      <c r="K96" s="2">
        <f>'Raw Data Cut 1.3'!C92</f>
        <v>0</v>
      </c>
      <c r="L96" s="2">
        <f>'Raw Data Cut 1.3'!D92</f>
        <v>0</v>
      </c>
      <c r="M96" s="2">
        <f>'Raw Data Cut 1.3'!E92</f>
        <v>0</v>
      </c>
      <c r="N96" s="2">
        <f>'Raw Data Cut 1.3'!G92</f>
        <v>0</v>
      </c>
      <c r="O96" s="2">
        <f>'Raw Data Cut 1.3'!H92</f>
        <v>0</v>
      </c>
      <c r="P96" s="2">
        <f>'Raw Data Cut 1.3'!I92</f>
        <v>0</v>
      </c>
      <c r="Q96" s="2">
        <f>'Raw Data Cut 1.3'!J92</f>
        <v>0</v>
      </c>
      <c r="R96" s="2">
        <f>'Raw Data Cut 1.3'!K92</f>
        <v>0</v>
      </c>
      <c r="S96" s="2">
        <f>'Raw Data Cut 1.3'!N92</f>
        <v>0</v>
      </c>
      <c r="T96" s="2">
        <f t="shared" si="2"/>
        <v>0</v>
      </c>
      <c r="U96" s="9" t="str">
        <f>IF($S96=0, "", IF(COUNTIF(Table1[Amino Acid Change], $S96)=0, "Missing", "Y"))</f>
        <v/>
      </c>
      <c r="V96" s="9">
        <f t="shared" si="3"/>
        <v>0</v>
      </c>
    </row>
    <row r="97" spans="9:22" x14ac:dyDescent="0.25">
      <c r="I97" s="2">
        <f>'Raw Data Cut 1.3'!A93</f>
        <v>0</v>
      </c>
      <c r="J97" s="2">
        <f>'Raw Data Cut 1.3'!B93</f>
        <v>0</v>
      </c>
      <c r="K97" s="2">
        <f>'Raw Data Cut 1.3'!C93</f>
        <v>0</v>
      </c>
      <c r="L97" s="2">
        <f>'Raw Data Cut 1.3'!D93</f>
        <v>0</v>
      </c>
      <c r="M97" s="2">
        <f>'Raw Data Cut 1.3'!E93</f>
        <v>0</v>
      </c>
      <c r="N97" s="2">
        <f>'Raw Data Cut 1.3'!G93</f>
        <v>0</v>
      </c>
      <c r="O97" s="2">
        <f>'Raw Data Cut 1.3'!H93</f>
        <v>0</v>
      </c>
      <c r="P97" s="2">
        <f>'Raw Data Cut 1.3'!I93</f>
        <v>0</v>
      </c>
      <c r="Q97" s="2">
        <f>'Raw Data Cut 1.3'!J93</f>
        <v>0</v>
      </c>
      <c r="R97" s="2">
        <f>'Raw Data Cut 1.3'!K93</f>
        <v>0</v>
      </c>
      <c r="S97" s="2">
        <f>'Raw Data Cut 1.3'!N93</f>
        <v>0</v>
      </c>
      <c r="T97" s="2">
        <f t="shared" si="2"/>
        <v>0</v>
      </c>
      <c r="U97" s="9" t="str">
        <f>IF($S97=0, "", IF(COUNTIF(Table1[Amino Acid Change], $S97)=0, "Missing", "Y"))</f>
        <v/>
      </c>
      <c r="V97" s="9">
        <f t="shared" si="3"/>
        <v>0</v>
      </c>
    </row>
    <row r="98" spans="9:22" x14ac:dyDescent="0.25">
      <c r="I98" s="2">
        <f>'Raw Data Cut 1.3'!A94</f>
        <v>0</v>
      </c>
      <c r="J98" s="2">
        <f>'Raw Data Cut 1.3'!B94</f>
        <v>0</v>
      </c>
      <c r="K98" s="2">
        <f>'Raw Data Cut 1.3'!C94</f>
        <v>0</v>
      </c>
      <c r="L98" s="2">
        <f>'Raw Data Cut 1.3'!D94</f>
        <v>0</v>
      </c>
      <c r="M98" s="2">
        <f>'Raw Data Cut 1.3'!E94</f>
        <v>0</v>
      </c>
      <c r="N98" s="2">
        <f>'Raw Data Cut 1.3'!G94</f>
        <v>0</v>
      </c>
      <c r="O98" s="2">
        <f>'Raw Data Cut 1.3'!H94</f>
        <v>0</v>
      </c>
      <c r="P98" s="2">
        <f>'Raw Data Cut 1.3'!I94</f>
        <v>0</v>
      </c>
      <c r="Q98" s="2">
        <f>'Raw Data Cut 1.3'!J94</f>
        <v>0</v>
      </c>
      <c r="R98" s="2">
        <f>'Raw Data Cut 1.3'!K94</f>
        <v>0</v>
      </c>
      <c r="S98" s="2">
        <f>'Raw Data Cut 1.3'!N94</f>
        <v>0</v>
      </c>
      <c r="T98" s="2">
        <f t="shared" si="2"/>
        <v>0</v>
      </c>
      <c r="U98" s="9" t="str">
        <f>IF($S98=0, "", IF(COUNTIF(Table1[Amino Acid Change], $S98)=0, "Missing", "Y"))</f>
        <v/>
      </c>
      <c r="V98" s="9">
        <f t="shared" si="3"/>
        <v>0</v>
      </c>
    </row>
    <row r="99" spans="9:22" x14ac:dyDescent="0.25">
      <c r="I99" s="2">
        <f>'Raw Data Cut 1.3'!A95</f>
        <v>0</v>
      </c>
      <c r="J99" s="2">
        <f>'Raw Data Cut 1.3'!B95</f>
        <v>0</v>
      </c>
      <c r="K99" s="2">
        <f>'Raw Data Cut 1.3'!C95</f>
        <v>0</v>
      </c>
      <c r="L99" s="2">
        <f>'Raw Data Cut 1.3'!D95</f>
        <v>0</v>
      </c>
      <c r="M99" s="2">
        <f>'Raw Data Cut 1.3'!E95</f>
        <v>0</v>
      </c>
      <c r="N99" s="2">
        <f>'Raw Data Cut 1.3'!G95</f>
        <v>0</v>
      </c>
      <c r="O99" s="2">
        <f>'Raw Data Cut 1.3'!H95</f>
        <v>0</v>
      </c>
      <c r="P99" s="2">
        <f>'Raw Data Cut 1.3'!I95</f>
        <v>0</v>
      </c>
      <c r="Q99" s="2">
        <f>'Raw Data Cut 1.3'!J95</f>
        <v>0</v>
      </c>
      <c r="R99" s="2">
        <f>'Raw Data Cut 1.3'!K95</f>
        <v>0</v>
      </c>
      <c r="S99" s="2">
        <f>'Raw Data Cut 1.3'!N95</f>
        <v>0</v>
      </c>
      <c r="T99" s="2">
        <f t="shared" si="2"/>
        <v>0</v>
      </c>
      <c r="U99" s="9" t="str">
        <f>IF($S99=0, "", IF(COUNTIF(Table1[Amino Acid Change], $S99)=0, "Missing", "Y"))</f>
        <v/>
      </c>
      <c r="V99" s="9">
        <f t="shared" si="3"/>
        <v>0</v>
      </c>
    </row>
    <row r="100" spans="9:22" x14ac:dyDescent="0.25">
      <c r="I100" s="2">
        <f>'Raw Data Cut 1.3'!A96</f>
        <v>0</v>
      </c>
      <c r="J100" s="2">
        <f>'Raw Data Cut 1.3'!B96</f>
        <v>0</v>
      </c>
      <c r="K100" s="2">
        <f>'Raw Data Cut 1.3'!C96</f>
        <v>0</v>
      </c>
      <c r="L100" s="2">
        <f>'Raw Data Cut 1.3'!D96</f>
        <v>0</v>
      </c>
      <c r="M100" s="2">
        <f>'Raw Data Cut 1.3'!E96</f>
        <v>0</v>
      </c>
      <c r="N100" s="2">
        <f>'Raw Data Cut 1.3'!G96</f>
        <v>0</v>
      </c>
      <c r="O100" s="2">
        <f>'Raw Data Cut 1.3'!H96</f>
        <v>0</v>
      </c>
      <c r="P100" s="2">
        <f>'Raw Data Cut 1.3'!I96</f>
        <v>0</v>
      </c>
      <c r="Q100" s="2">
        <f>'Raw Data Cut 1.3'!J96</f>
        <v>0</v>
      </c>
      <c r="R100" s="2">
        <f>'Raw Data Cut 1.3'!K96</f>
        <v>0</v>
      </c>
      <c r="S100" s="2">
        <f>'Raw Data Cut 1.3'!N96</f>
        <v>0</v>
      </c>
      <c r="T100" s="2">
        <f t="shared" si="2"/>
        <v>0</v>
      </c>
      <c r="U100" s="9" t="str">
        <f>IF($S100=0, "", IF(COUNTIF(Table1[Amino Acid Change], $S100)=0, "Missing", "Y"))</f>
        <v/>
      </c>
      <c r="V100" s="9">
        <f t="shared" si="3"/>
        <v>0</v>
      </c>
    </row>
    <row r="101" spans="9:22" x14ac:dyDescent="0.25">
      <c r="I101" s="2">
        <f>'Raw Data Cut 1.3'!A97</f>
        <v>0</v>
      </c>
      <c r="J101" s="2">
        <f>'Raw Data Cut 1.3'!B97</f>
        <v>0</v>
      </c>
      <c r="K101" s="2">
        <f>'Raw Data Cut 1.3'!C97</f>
        <v>0</v>
      </c>
      <c r="L101" s="2">
        <f>'Raw Data Cut 1.3'!D97</f>
        <v>0</v>
      </c>
      <c r="M101" s="2">
        <f>'Raw Data Cut 1.3'!E97</f>
        <v>0</v>
      </c>
      <c r="N101" s="2">
        <f>'Raw Data Cut 1.3'!G97</f>
        <v>0</v>
      </c>
      <c r="O101" s="2">
        <f>'Raw Data Cut 1.3'!H97</f>
        <v>0</v>
      </c>
      <c r="P101" s="2">
        <f>'Raw Data Cut 1.3'!I97</f>
        <v>0</v>
      </c>
      <c r="Q101" s="2">
        <f>'Raw Data Cut 1.3'!J97</f>
        <v>0</v>
      </c>
      <c r="R101" s="2">
        <f>'Raw Data Cut 1.3'!K97</f>
        <v>0</v>
      </c>
      <c r="S101" s="2">
        <f>'Raw Data Cut 1.3'!N97</f>
        <v>0</v>
      </c>
      <c r="T101" s="2">
        <f t="shared" si="2"/>
        <v>0</v>
      </c>
      <c r="U101" s="9" t="str">
        <f>IF($S101=0, "", IF(COUNTIF(Table1[Amino Acid Change], $S101)=0, "Missing", "Y"))</f>
        <v/>
      </c>
      <c r="V101" s="9">
        <f t="shared" si="3"/>
        <v>0</v>
      </c>
    </row>
    <row r="102" spans="9:22" x14ac:dyDescent="0.25">
      <c r="I102" s="2">
        <f>'Raw Data Cut 1.3'!A98</f>
        <v>0</v>
      </c>
      <c r="J102" s="2">
        <f>'Raw Data Cut 1.3'!B98</f>
        <v>0</v>
      </c>
      <c r="K102" s="2">
        <f>'Raw Data Cut 1.3'!C98</f>
        <v>0</v>
      </c>
      <c r="L102" s="2">
        <f>'Raw Data Cut 1.3'!D98</f>
        <v>0</v>
      </c>
      <c r="M102" s="2">
        <f>'Raw Data Cut 1.3'!E98</f>
        <v>0</v>
      </c>
      <c r="N102" s="2">
        <f>'Raw Data Cut 1.3'!G98</f>
        <v>0</v>
      </c>
      <c r="O102" s="2">
        <f>'Raw Data Cut 1.3'!H98</f>
        <v>0</v>
      </c>
      <c r="P102" s="2">
        <f>'Raw Data Cut 1.3'!I98</f>
        <v>0</v>
      </c>
      <c r="Q102" s="2">
        <f>'Raw Data Cut 1.3'!J98</f>
        <v>0</v>
      </c>
      <c r="R102" s="2">
        <f>'Raw Data Cut 1.3'!K98</f>
        <v>0</v>
      </c>
      <c r="S102" s="2">
        <f>'Raw Data Cut 1.3'!N98</f>
        <v>0</v>
      </c>
      <c r="T102" s="2">
        <f t="shared" si="2"/>
        <v>0</v>
      </c>
      <c r="U102" s="9" t="str">
        <f>IF($S102=0, "", IF(COUNTIF(Table1[Amino Acid Change], $S102)=0, "Missing", "Y"))</f>
        <v/>
      </c>
      <c r="V102" s="9">
        <f t="shared" si="3"/>
        <v>0</v>
      </c>
    </row>
    <row r="103" spans="9:22" x14ac:dyDescent="0.25">
      <c r="I103" s="2">
        <f>'Raw Data Cut 1.3'!A99</f>
        <v>0</v>
      </c>
      <c r="J103" s="2">
        <f>'Raw Data Cut 1.3'!B99</f>
        <v>0</v>
      </c>
      <c r="K103" s="2">
        <f>'Raw Data Cut 1.3'!C99</f>
        <v>0</v>
      </c>
      <c r="L103" s="2">
        <f>'Raw Data Cut 1.3'!D99</f>
        <v>0</v>
      </c>
      <c r="M103" s="2">
        <f>'Raw Data Cut 1.3'!E99</f>
        <v>0</v>
      </c>
      <c r="N103" s="2">
        <f>'Raw Data Cut 1.3'!G99</f>
        <v>0</v>
      </c>
      <c r="O103" s="2">
        <f>'Raw Data Cut 1.3'!H99</f>
        <v>0</v>
      </c>
      <c r="P103" s="2">
        <f>'Raw Data Cut 1.3'!I99</f>
        <v>0</v>
      </c>
      <c r="Q103" s="2">
        <f>'Raw Data Cut 1.3'!J99</f>
        <v>0</v>
      </c>
      <c r="R103" s="2">
        <f>'Raw Data Cut 1.3'!K99</f>
        <v>0</v>
      </c>
      <c r="S103" s="2">
        <f>'Raw Data Cut 1.3'!N99</f>
        <v>0</v>
      </c>
      <c r="T103" s="2">
        <f t="shared" si="2"/>
        <v>0</v>
      </c>
      <c r="U103" s="9" t="str">
        <f>IF($S103=0, "", IF(COUNTIF(Table1[Amino Acid Change], $S103)=0, "Missing", "Y"))</f>
        <v/>
      </c>
      <c r="V103" s="9">
        <f t="shared" si="3"/>
        <v>0</v>
      </c>
    </row>
    <row r="104" spans="9:22" x14ac:dyDescent="0.25">
      <c r="I104" s="2">
        <f>'Raw Data Cut 1.3'!A100</f>
        <v>0</v>
      </c>
      <c r="J104" s="2">
        <f>'Raw Data Cut 1.3'!B100</f>
        <v>0</v>
      </c>
      <c r="K104" s="2">
        <f>'Raw Data Cut 1.3'!C100</f>
        <v>0</v>
      </c>
      <c r="L104" s="2">
        <f>'Raw Data Cut 1.3'!D100</f>
        <v>0</v>
      </c>
      <c r="M104" s="2">
        <f>'Raw Data Cut 1.3'!E100</f>
        <v>0</v>
      </c>
      <c r="N104" s="2">
        <f>'Raw Data Cut 1.3'!G100</f>
        <v>0</v>
      </c>
      <c r="O104" s="2">
        <f>'Raw Data Cut 1.3'!H100</f>
        <v>0</v>
      </c>
      <c r="P104" s="2">
        <f>'Raw Data Cut 1.3'!I100</f>
        <v>0</v>
      </c>
      <c r="Q104" s="2">
        <f>'Raw Data Cut 1.3'!J100</f>
        <v>0</v>
      </c>
      <c r="R104" s="2">
        <f>'Raw Data Cut 1.3'!K100</f>
        <v>0</v>
      </c>
      <c r="S104" s="2">
        <f>'Raw Data Cut 1.3'!N100</f>
        <v>0</v>
      </c>
      <c r="T104" s="2">
        <f t="shared" si="2"/>
        <v>0</v>
      </c>
      <c r="U104" s="9" t="str">
        <f>IF($S104=0, "", IF(COUNTIF(Table1[Amino Acid Change], $S104)=0, "Missing", "Y"))</f>
        <v/>
      </c>
      <c r="V104" s="9">
        <f t="shared" si="3"/>
        <v>0</v>
      </c>
    </row>
    <row r="105" spans="9:22" x14ac:dyDescent="0.25">
      <c r="I105" s="2">
        <f>'Raw Data Cut 1.3'!A101</f>
        <v>0</v>
      </c>
      <c r="J105" s="2">
        <f>'Raw Data Cut 1.3'!B101</f>
        <v>0</v>
      </c>
      <c r="K105" s="2">
        <f>'Raw Data Cut 1.3'!C101</f>
        <v>0</v>
      </c>
      <c r="L105" s="2">
        <f>'Raw Data Cut 1.3'!D101</f>
        <v>0</v>
      </c>
      <c r="M105" s="2">
        <f>'Raw Data Cut 1.3'!E101</f>
        <v>0</v>
      </c>
      <c r="N105" s="2">
        <f>'Raw Data Cut 1.3'!G101</f>
        <v>0</v>
      </c>
      <c r="O105" s="2">
        <f>'Raw Data Cut 1.3'!H101</f>
        <v>0</v>
      </c>
      <c r="P105" s="2">
        <f>'Raw Data Cut 1.3'!I101</f>
        <v>0</v>
      </c>
      <c r="Q105" s="2">
        <f>'Raw Data Cut 1.3'!J101</f>
        <v>0</v>
      </c>
      <c r="R105" s="2">
        <f>'Raw Data Cut 1.3'!K101</f>
        <v>0</v>
      </c>
      <c r="S105" s="2">
        <f>'Raw Data Cut 1.3'!N101</f>
        <v>0</v>
      </c>
      <c r="T105" s="2">
        <f t="shared" si="2"/>
        <v>0</v>
      </c>
      <c r="U105" s="9" t="str">
        <f>IF($S105=0, "", IF(COUNTIF(Table1[Amino Acid Change], $S105)=0, "Missing", "Y"))</f>
        <v/>
      </c>
      <c r="V105" s="9">
        <f t="shared" si="3"/>
        <v>0</v>
      </c>
    </row>
    <row r="106" spans="9:22" x14ac:dyDescent="0.25">
      <c r="I106" s="2">
        <f>'Raw Data Cut 1.3'!A102</f>
        <v>0</v>
      </c>
      <c r="J106" s="2">
        <f>'Raw Data Cut 1.3'!B102</f>
        <v>0</v>
      </c>
      <c r="K106" s="2">
        <f>'Raw Data Cut 1.3'!C102</f>
        <v>0</v>
      </c>
      <c r="L106" s="2">
        <f>'Raw Data Cut 1.3'!D102</f>
        <v>0</v>
      </c>
      <c r="M106" s="2">
        <f>'Raw Data Cut 1.3'!E102</f>
        <v>0</v>
      </c>
      <c r="N106" s="2">
        <f>'Raw Data Cut 1.3'!G102</f>
        <v>0</v>
      </c>
      <c r="O106" s="2">
        <f>'Raw Data Cut 1.3'!H102</f>
        <v>0</v>
      </c>
      <c r="P106" s="2">
        <f>'Raw Data Cut 1.3'!I102</f>
        <v>0</v>
      </c>
      <c r="Q106" s="2">
        <f>'Raw Data Cut 1.3'!J102</f>
        <v>0</v>
      </c>
      <c r="R106" s="2">
        <f>'Raw Data Cut 1.3'!K102</f>
        <v>0</v>
      </c>
      <c r="S106" s="2">
        <f>'Raw Data Cut 1.3'!N102</f>
        <v>0</v>
      </c>
      <c r="T106" s="2">
        <f t="shared" si="2"/>
        <v>0</v>
      </c>
      <c r="U106" s="9" t="str">
        <f>IF($S106=0, "", IF(COUNTIF(Table1[Amino Acid Change], $S106)=0, "Missing", "Y"))</f>
        <v/>
      </c>
      <c r="V106" s="9">
        <f t="shared" si="3"/>
        <v>0</v>
      </c>
    </row>
    <row r="107" spans="9:22" x14ac:dyDescent="0.25">
      <c r="I107" s="2">
        <f>'Raw Data Cut 1.3'!A103</f>
        <v>0</v>
      </c>
      <c r="J107" s="2">
        <f>'Raw Data Cut 1.3'!B103</f>
        <v>0</v>
      </c>
      <c r="K107" s="2">
        <f>'Raw Data Cut 1.3'!C103</f>
        <v>0</v>
      </c>
      <c r="L107" s="2">
        <f>'Raw Data Cut 1.3'!D103</f>
        <v>0</v>
      </c>
      <c r="M107" s="2">
        <f>'Raw Data Cut 1.3'!E103</f>
        <v>0</v>
      </c>
      <c r="N107" s="2">
        <f>'Raw Data Cut 1.3'!G103</f>
        <v>0</v>
      </c>
      <c r="O107" s="2">
        <f>'Raw Data Cut 1.3'!H103</f>
        <v>0</v>
      </c>
      <c r="P107" s="2">
        <f>'Raw Data Cut 1.3'!I103</f>
        <v>0</v>
      </c>
      <c r="Q107" s="2">
        <f>'Raw Data Cut 1.3'!J103</f>
        <v>0</v>
      </c>
      <c r="R107" s="2">
        <f>'Raw Data Cut 1.3'!K103</f>
        <v>0</v>
      </c>
      <c r="S107" s="2">
        <f>'Raw Data Cut 1.3'!N103</f>
        <v>0</v>
      </c>
      <c r="T107" s="2">
        <f t="shared" si="2"/>
        <v>0</v>
      </c>
      <c r="U107" s="9" t="str">
        <f>IF($S107=0, "", IF(COUNTIF(Table1[Amino Acid Change], $S107)=0, "Missing", "Y"))</f>
        <v/>
      </c>
      <c r="V107" s="9">
        <f t="shared" si="3"/>
        <v>0</v>
      </c>
    </row>
    <row r="108" spans="9:22" x14ac:dyDescent="0.25">
      <c r="I108" s="2">
        <f>'Raw Data Cut 1.3'!A104</f>
        <v>0</v>
      </c>
      <c r="J108" s="2">
        <f>'Raw Data Cut 1.3'!B104</f>
        <v>0</v>
      </c>
      <c r="K108" s="2">
        <f>'Raw Data Cut 1.3'!C104</f>
        <v>0</v>
      </c>
      <c r="L108" s="2">
        <f>'Raw Data Cut 1.3'!D104</f>
        <v>0</v>
      </c>
      <c r="M108" s="2">
        <f>'Raw Data Cut 1.3'!E104</f>
        <v>0</v>
      </c>
      <c r="N108" s="2">
        <f>'Raw Data Cut 1.3'!G104</f>
        <v>0</v>
      </c>
      <c r="O108" s="2">
        <f>'Raw Data Cut 1.3'!H104</f>
        <v>0</v>
      </c>
      <c r="P108" s="2">
        <f>'Raw Data Cut 1.3'!I104</f>
        <v>0</v>
      </c>
      <c r="Q108" s="2">
        <f>'Raw Data Cut 1.3'!J104</f>
        <v>0</v>
      </c>
      <c r="R108" s="2">
        <f>'Raw Data Cut 1.3'!K104</f>
        <v>0</v>
      </c>
      <c r="S108" s="2">
        <f>'Raw Data Cut 1.3'!N104</f>
        <v>0</v>
      </c>
      <c r="T108" s="2">
        <f t="shared" si="2"/>
        <v>0</v>
      </c>
      <c r="U108" s="9" t="str">
        <f>IF($S108=0, "", IF(COUNTIF(Table1[Amino Acid Change], $S108)=0, "Missing", "Y"))</f>
        <v/>
      </c>
      <c r="V108" s="9">
        <f t="shared" si="3"/>
        <v>0</v>
      </c>
    </row>
    <row r="109" spans="9:22" x14ac:dyDescent="0.25">
      <c r="I109" s="2">
        <f>'Raw Data Cut 1.3'!A105</f>
        <v>0</v>
      </c>
      <c r="J109" s="2">
        <f>'Raw Data Cut 1.3'!B105</f>
        <v>0</v>
      </c>
      <c r="K109" s="2">
        <f>'Raw Data Cut 1.3'!C105</f>
        <v>0</v>
      </c>
      <c r="L109" s="2">
        <f>'Raw Data Cut 1.3'!D105</f>
        <v>0</v>
      </c>
      <c r="M109" s="2">
        <f>'Raw Data Cut 1.3'!E105</f>
        <v>0</v>
      </c>
      <c r="N109" s="2">
        <f>'Raw Data Cut 1.3'!G105</f>
        <v>0</v>
      </c>
      <c r="O109" s="2">
        <f>'Raw Data Cut 1.3'!H105</f>
        <v>0</v>
      </c>
      <c r="P109" s="2">
        <f>'Raw Data Cut 1.3'!I105</f>
        <v>0</v>
      </c>
      <c r="Q109" s="2">
        <f>'Raw Data Cut 1.3'!J105</f>
        <v>0</v>
      </c>
      <c r="R109" s="2">
        <f>'Raw Data Cut 1.3'!K105</f>
        <v>0</v>
      </c>
      <c r="S109" s="2">
        <f>'Raw Data Cut 1.3'!N105</f>
        <v>0</v>
      </c>
      <c r="T109" s="2">
        <f t="shared" si="2"/>
        <v>0</v>
      </c>
      <c r="U109" s="9" t="str">
        <f>IF($S109=0, "", IF(COUNTIF(Table1[Amino Acid Change], $S109)=0, "Missing", "Y"))</f>
        <v/>
      </c>
      <c r="V109" s="9">
        <f t="shared" si="3"/>
        <v>0</v>
      </c>
    </row>
    <row r="110" spans="9:22" x14ac:dyDescent="0.25">
      <c r="I110" s="2">
        <f>'Raw Data Cut 1.3'!A106</f>
        <v>0</v>
      </c>
      <c r="J110" s="2">
        <f>'Raw Data Cut 1.3'!B106</f>
        <v>0</v>
      </c>
      <c r="K110" s="2">
        <f>'Raw Data Cut 1.3'!C106</f>
        <v>0</v>
      </c>
      <c r="L110" s="2">
        <f>'Raw Data Cut 1.3'!D106</f>
        <v>0</v>
      </c>
      <c r="M110" s="2">
        <f>'Raw Data Cut 1.3'!E106</f>
        <v>0</v>
      </c>
      <c r="N110" s="2">
        <f>'Raw Data Cut 1.3'!G106</f>
        <v>0</v>
      </c>
      <c r="O110" s="2">
        <f>'Raw Data Cut 1.3'!H106</f>
        <v>0</v>
      </c>
      <c r="P110" s="2">
        <f>'Raw Data Cut 1.3'!I106</f>
        <v>0</v>
      </c>
      <c r="Q110" s="2">
        <f>'Raw Data Cut 1.3'!J106</f>
        <v>0</v>
      </c>
      <c r="R110" s="2">
        <f>'Raw Data Cut 1.3'!K106</f>
        <v>0</v>
      </c>
      <c r="S110" s="2">
        <f>'Raw Data Cut 1.3'!N106</f>
        <v>0</v>
      </c>
      <c r="T110" s="2">
        <f t="shared" si="2"/>
        <v>0</v>
      </c>
      <c r="U110" s="9" t="str">
        <f>IF($S110=0, "", IF(COUNTIF(Table1[Amino Acid Change], $S110)=0, "Missing", "Y"))</f>
        <v/>
      </c>
      <c r="V110" s="9">
        <f t="shared" si="3"/>
        <v>0</v>
      </c>
    </row>
    <row r="111" spans="9:22" x14ac:dyDescent="0.25">
      <c r="I111" s="2">
        <f>'Raw Data Cut 1.3'!A107</f>
        <v>0</v>
      </c>
      <c r="J111" s="2">
        <f>'Raw Data Cut 1.3'!B107</f>
        <v>0</v>
      </c>
      <c r="K111" s="2">
        <f>'Raw Data Cut 1.3'!C107</f>
        <v>0</v>
      </c>
      <c r="L111" s="2">
        <f>'Raw Data Cut 1.3'!D107</f>
        <v>0</v>
      </c>
      <c r="M111" s="2">
        <f>'Raw Data Cut 1.3'!E107</f>
        <v>0</v>
      </c>
      <c r="N111" s="2">
        <f>'Raw Data Cut 1.3'!G107</f>
        <v>0</v>
      </c>
      <c r="O111" s="2">
        <f>'Raw Data Cut 1.3'!H107</f>
        <v>0</v>
      </c>
      <c r="P111" s="2">
        <f>'Raw Data Cut 1.3'!I107</f>
        <v>0</v>
      </c>
      <c r="Q111" s="2">
        <f>'Raw Data Cut 1.3'!J107</f>
        <v>0</v>
      </c>
      <c r="R111" s="2">
        <f>'Raw Data Cut 1.3'!K107</f>
        <v>0</v>
      </c>
      <c r="S111" s="2">
        <f>'Raw Data Cut 1.3'!N107</f>
        <v>0</v>
      </c>
      <c r="T111" s="2">
        <f t="shared" si="2"/>
        <v>0</v>
      </c>
      <c r="U111" s="9" t="str">
        <f>IF($S111=0, "", IF(COUNTIF(Table1[Amino Acid Change], $S111)=0, "Missing", "Y"))</f>
        <v/>
      </c>
      <c r="V111" s="9">
        <f t="shared" si="3"/>
        <v>0</v>
      </c>
    </row>
    <row r="112" spans="9:22" x14ac:dyDescent="0.25">
      <c r="I112" s="2">
        <f>'Raw Data Cut 1.3'!A108</f>
        <v>0</v>
      </c>
      <c r="J112" s="2">
        <f>'Raw Data Cut 1.3'!B108</f>
        <v>0</v>
      </c>
      <c r="K112" s="2">
        <f>'Raw Data Cut 1.3'!C108</f>
        <v>0</v>
      </c>
      <c r="L112" s="2">
        <f>'Raw Data Cut 1.3'!D108</f>
        <v>0</v>
      </c>
      <c r="M112" s="2">
        <f>'Raw Data Cut 1.3'!E108</f>
        <v>0</v>
      </c>
      <c r="N112" s="2">
        <f>'Raw Data Cut 1.3'!G108</f>
        <v>0</v>
      </c>
      <c r="O112" s="2">
        <f>'Raw Data Cut 1.3'!H108</f>
        <v>0</v>
      </c>
      <c r="P112" s="2">
        <f>'Raw Data Cut 1.3'!I108</f>
        <v>0</v>
      </c>
      <c r="Q112" s="2">
        <f>'Raw Data Cut 1.3'!J108</f>
        <v>0</v>
      </c>
      <c r="R112" s="2">
        <f>'Raw Data Cut 1.3'!K108</f>
        <v>0</v>
      </c>
      <c r="S112" s="2">
        <f>'Raw Data Cut 1.3'!N108</f>
        <v>0</v>
      </c>
      <c r="T112" s="2">
        <f t="shared" si="2"/>
        <v>0</v>
      </c>
      <c r="U112" s="9" t="str">
        <f>IF($S112=0, "", IF(COUNTIF(Table1[Amino Acid Change], $S112)=0, "Missing", "Y"))</f>
        <v/>
      </c>
      <c r="V112" s="9">
        <f t="shared" si="3"/>
        <v>0</v>
      </c>
    </row>
    <row r="113" spans="9:22" x14ac:dyDescent="0.25">
      <c r="I113" s="2">
        <f>'Raw Data Cut 1.3'!A109</f>
        <v>0</v>
      </c>
      <c r="J113" s="2">
        <f>'Raw Data Cut 1.3'!B109</f>
        <v>0</v>
      </c>
      <c r="K113" s="2">
        <f>'Raw Data Cut 1.3'!C109</f>
        <v>0</v>
      </c>
      <c r="L113" s="2">
        <f>'Raw Data Cut 1.3'!D109</f>
        <v>0</v>
      </c>
      <c r="M113" s="2">
        <f>'Raw Data Cut 1.3'!E109</f>
        <v>0</v>
      </c>
      <c r="N113" s="2">
        <f>'Raw Data Cut 1.3'!G109</f>
        <v>0</v>
      </c>
      <c r="O113" s="2">
        <f>'Raw Data Cut 1.3'!H109</f>
        <v>0</v>
      </c>
      <c r="P113" s="2">
        <f>'Raw Data Cut 1.3'!I109</f>
        <v>0</v>
      </c>
      <c r="Q113" s="2">
        <f>'Raw Data Cut 1.3'!J109</f>
        <v>0</v>
      </c>
      <c r="R113" s="2">
        <f>'Raw Data Cut 1.3'!K109</f>
        <v>0</v>
      </c>
      <c r="S113" s="2">
        <f>'Raw Data Cut 1.3'!N109</f>
        <v>0</v>
      </c>
      <c r="T113" s="2">
        <f t="shared" si="2"/>
        <v>0</v>
      </c>
      <c r="U113" s="9" t="str">
        <f>IF($S113=0, "", IF(COUNTIF(Table1[Amino Acid Change], $S113)=0, "Missing", "Y"))</f>
        <v/>
      </c>
      <c r="V113" s="9">
        <f t="shared" si="3"/>
        <v>0</v>
      </c>
    </row>
    <row r="114" spans="9:22" x14ac:dyDescent="0.25">
      <c r="I114" s="2">
        <f>'Raw Data Cut 1.3'!A110</f>
        <v>0</v>
      </c>
      <c r="J114" s="2">
        <f>'Raw Data Cut 1.3'!B110</f>
        <v>0</v>
      </c>
      <c r="K114" s="2">
        <f>'Raw Data Cut 1.3'!C110</f>
        <v>0</v>
      </c>
      <c r="L114" s="2">
        <f>'Raw Data Cut 1.3'!D110</f>
        <v>0</v>
      </c>
      <c r="M114" s="2">
        <f>'Raw Data Cut 1.3'!E110</f>
        <v>0</v>
      </c>
      <c r="N114" s="2">
        <f>'Raw Data Cut 1.3'!G110</f>
        <v>0</v>
      </c>
      <c r="O114" s="2">
        <f>'Raw Data Cut 1.3'!H110</f>
        <v>0</v>
      </c>
      <c r="P114" s="2">
        <f>'Raw Data Cut 1.3'!I110</f>
        <v>0</v>
      </c>
      <c r="Q114" s="2">
        <f>'Raw Data Cut 1.3'!J110</f>
        <v>0</v>
      </c>
      <c r="R114" s="2">
        <f>'Raw Data Cut 1.3'!K110</f>
        <v>0</v>
      </c>
      <c r="S114" s="2">
        <f>'Raw Data Cut 1.3'!N110</f>
        <v>0</v>
      </c>
      <c r="T114" s="2">
        <f t="shared" si="2"/>
        <v>0</v>
      </c>
      <c r="U114" s="9" t="str">
        <f>IF($S114=0, "", IF(COUNTIF(Table1[Amino Acid Change], $S114)=0, "Missing", "Y"))</f>
        <v/>
      </c>
      <c r="V114" s="9">
        <f t="shared" si="3"/>
        <v>0</v>
      </c>
    </row>
    <row r="115" spans="9:22" x14ac:dyDescent="0.25">
      <c r="I115" s="2">
        <f>'Raw Data Cut 1.3'!A111</f>
        <v>0</v>
      </c>
      <c r="J115" s="2">
        <f>'Raw Data Cut 1.3'!B111</f>
        <v>0</v>
      </c>
      <c r="K115" s="2">
        <f>'Raw Data Cut 1.3'!C111</f>
        <v>0</v>
      </c>
      <c r="L115" s="2">
        <f>'Raw Data Cut 1.3'!D111</f>
        <v>0</v>
      </c>
      <c r="M115" s="2">
        <f>'Raw Data Cut 1.3'!E111</f>
        <v>0</v>
      </c>
      <c r="N115" s="2">
        <f>'Raw Data Cut 1.3'!G111</f>
        <v>0</v>
      </c>
      <c r="O115" s="2">
        <f>'Raw Data Cut 1.3'!H111</f>
        <v>0</v>
      </c>
      <c r="P115" s="2">
        <f>'Raw Data Cut 1.3'!I111</f>
        <v>0</v>
      </c>
      <c r="Q115" s="2">
        <f>'Raw Data Cut 1.3'!J111</f>
        <v>0</v>
      </c>
      <c r="R115" s="2">
        <f>'Raw Data Cut 1.3'!K111</f>
        <v>0</v>
      </c>
      <c r="S115" s="2">
        <f>'Raw Data Cut 1.3'!N111</f>
        <v>0</v>
      </c>
      <c r="T115" s="2">
        <f t="shared" si="2"/>
        <v>0</v>
      </c>
      <c r="U115" s="9" t="str">
        <f>IF($S115=0, "", IF(COUNTIF(Table1[Amino Acid Change], $S115)=0, "Missing", "Y"))</f>
        <v/>
      </c>
      <c r="V115" s="9">
        <f t="shared" si="3"/>
        <v>0</v>
      </c>
    </row>
    <row r="116" spans="9:22" x14ac:dyDescent="0.25">
      <c r="I116" s="2">
        <f>'Raw Data Cut 1.3'!A112</f>
        <v>0</v>
      </c>
      <c r="J116" s="2">
        <f>'Raw Data Cut 1.3'!B112</f>
        <v>0</v>
      </c>
      <c r="K116" s="2">
        <f>'Raw Data Cut 1.3'!C112</f>
        <v>0</v>
      </c>
      <c r="L116" s="2">
        <f>'Raw Data Cut 1.3'!D112</f>
        <v>0</v>
      </c>
      <c r="M116" s="2">
        <f>'Raw Data Cut 1.3'!E112</f>
        <v>0</v>
      </c>
      <c r="N116" s="2">
        <f>'Raw Data Cut 1.3'!G112</f>
        <v>0</v>
      </c>
      <c r="O116" s="2">
        <f>'Raw Data Cut 1.3'!H112</f>
        <v>0</v>
      </c>
      <c r="P116" s="2">
        <f>'Raw Data Cut 1.3'!I112</f>
        <v>0</v>
      </c>
      <c r="Q116" s="2">
        <f>'Raw Data Cut 1.3'!J112</f>
        <v>0</v>
      </c>
      <c r="R116" s="2">
        <f>'Raw Data Cut 1.3'!K112</f>
        <v>0</v>
      </c>
      <c r="S116" s="2">
        <f>'Raw Data Cut 1.3'!N112</f>
        <v>0</v>
      </c>
      <c r="T116" s="2">
        <f t="shared" si="2"/>
        <v>0</v>
      </c>
      <c r="U116" s="9" t="str">
        <f>IF($S116=0, "", IF(COUNTIF(Table1[Amino Acid Change], $S116)=0, "Missing", "Y"))</f>
        <v/>
      </c>
      <c r="V116" s="9">
        <f t="shared" si="3"/>
        <v>0</v>
      </c>
    </row>
    <row r="117" spans="9:22" x14ac:dyDescent="0.25">
      <c r="I117" s="2">
        <f>'Raw Data Cut 1.3'!A112</f>
        <v>0</v>
      </c>
      <c r="J117" s="2">
        <f>'Raw Data Cut 1.3'!B112</f>
        <v>0</v>
      </c>
      <c r="K117" s="2">
        <f>'Raw Data Cut 1.3'!C112</f>
        <v>0</v>
      </c>
      <c r="L117" s="2">
        <f>'Raw Data Cut 1.3'!D112</f>
        <v>0</v>
      </c>
      <c r="M117" s="2">
        <f>'Raw Data Cut 1.3'!E112</f>
        <v>0</v>
      </c>
      <c r="N117" s="2">
        <f>'Raw Data Cut 1.3'!G112</f>
        <v>0</v>
      </c>
      <c r="O117" s="2">
        <f>'Raw Data Cut 1.3'!H112</f>
        <v>0</v>
      </c>
      <c r="P117" s="2">
        <f>'Raw Data Cut 1.3'!I112</f>
        <v>0</v>
      </c>
      <c r="Q117" s="2">
        <f>'Raw Data Cut 1.3'!J112</f>
        <v>0</v>
      </c>
      <c r="R117" s="2">
        <f>'Raw Data Cut 1.3'!K112</f>
        <v>0</v>
      </c>
      <c r="S117" s="2">
        <f>'Raw Data Cut 1.3'!N112</f>
        <v>0</v>
      </c>
      <c r="T117" s="2">
        <f t="shared" si="2"/>
        <v>0</v>
      </c>
      <c r="U117" s="9" t="str">
        <f>IF($S117=0, "", IF(COUNTIF(Table1[Amino Acid Change], $S117)=0, "Missing", "Y"))</f>
        <v/>
      </c>
      <c r="V117" s="9">
        <f t="shared" si="3"/>
        <v>0</v>
      </c>
    </row>
    <row r="118" spans="9:22" x14ac:dyDescent="0.25">
      <c r="I118" s="2">
        <f>'Raw Data Cut 1.3'!A113</f>
        <v>0</v>
      </c>
      <c r="J118" s="2">
        <f>'Raw Data Cut 1.3'!B113</f>
        <v>0</v>
      </c>
      <c r="K118" s="2">
        <f>'Raw Data Cut 1.3'!C113</f>
        <v>0</v>
      </c>
      <c r="L118" s="2">
        <f>'Raw Data Cut 1.3'!D113</f>
        <v>0</v>
      </c>
      <c r="M118" s="2">
        <f>'Raw Data Cut 1.3'!E113</f>
        <v>0</v>
      </c>
      <c r="N118" s="2">
        <f>'Raw Data Cut 1.3'!G113</f>
        <v>0</v>
      </c>
      <c r="O118" s="2">
        <f>'Raw Data Cut 1.3'!H113</f>
        <v>0</v>
      </c>
      <c r="P118" s="2">
        <f>'Raw Data Cut 1.3'!I113</f>
        <v>0</v>
      </c>
      <c r="Q118" s="2">
        <f>'Raw Data Cut 1.3'!J113</f>
        <v>0</v>
      </c>
      <c r="R118" s="2">
        <f>'Raw Data Cut 1.3'!K113</f>
        <v>0</v>
      </c>
      <c r="S118" s="2">
        <f>'Raw Data Cut 1.3'!N113</f>
        <v>0</v>
      </c>
      <c r="T118" s="2">
        <f t="shared" si="2"/>
        <v>0</v>
      </c>
      <c r="U118" s="9" t="str">
        <f>IF($S118=0, "", IF(COUNTIF(Table1[Amino Acid Change], $S118)=0, "Missing", "Y"))</f>
        <v/>
      </c>
      <c r="V118" s="9">
        <f t="shared" si="3"/>
        <v>0</v>
      </c>
    </row>
    <row r="119" spans="9:22" x14ac:dyDescent="0.25">
      <c r="I119" s="2">
        <f>'Raw Data Cut 1.3'!A114</f>
        <v>0</v>
      </c>
      <c r="J119" s="2">
        <f>'Raw Data Cut 1.3'!B114</f>
        <v>0</v>
      </c>
      <c r="K119" s="2">
        <f>'Raw Data Cut 1.3'!C114</f>
        <v>0</v>
      </c>
      <c r="L119" s="2">
        <f>'Raw Data Cut 1.3'!D114</f>
        <v>0</v>
      </c>
      <c r="M119" s="2">
        <f>'Raw Data Cut 1.3'!E114</f>
        <v>0</v>
      </c>
      <c r="N119" s="2">
        <f>'Raw Data Cut 1.3'!G114</f>
        <v>0</v>
      </c>
      <c r="O119" s="2">
        <f>'Raw Data Cut 1.3'!H114</f>
        <v>0</v>
      </c>
      <c r="P119" s="2">
        <f>'Raw Data Cut 1.3'!I114</f>
        <v>0</v>
      </c>
      <c r="Q119" s="2">
        <f>'Raw Data Cut 1.3'!J114</f>
        <v>0</v>
      </c>
      <c r="R119" s="2">
        <f>'Raw Data Cut 1.3'!K114</f>
        <v>0</v>
      </c>
      <c r="S119" s="2">
        <f>'Raw Data Cut 1.3'!N114</f>
        <v>0</v>
      </c>
      <c r="T119" s="2">
        <f t="shared" si="2"/>
        <v>0</v>
      </c>
      <c r="U119" s="9" t="str">
        <f>IF($S119=0, "", IF(COUNTIF(Table1[Amino Acid Change], $S119)=0, "Missing", "Y"))</f>
        <v/>
      </c>
      <c r="V119" s="9">
        <f t="shared" si="3"/>
        <v>0</v>
      </c>
    </row>
    <row r="120" spans="9:22" x14ac:dyDescent="0.25">
      <c r="I120" s="2">
        <f>'Raw Data Cut 1.3'!A115</f>
        <v>0</v>
      </c>
      <c r="J120" s="2">
        <f>'Raw Data Cut 1.3'!B115</f>
        <v>0</v>
      </c>
      <c r="K120" s="2">
        <f>'Raw Data Cut 1.3'!C115</f>
        <v>0</v>
      </c>
      <c r="L120" s="2">
        <f>'Raw Data Cut 1.3'!D115</f>
        <v>0</v>
      </c>
      <c r="M120" s="2">
        <f>'Raw Data Cut 1.3'!E115</f>
        <v>0</v>
      </c>
      <c r="N120" s="2">
        <f>'Raw Data Cut 1.3'!G115</f>
        <v>0</v>
      </c>
      <c r="O120" s="2">
        <f>'Raw Data Cut 1.3'!H115</f>
        <v>0</v>
      </c>
      <c r="P120" s="2">
        <f>'Raw Data Cut 1.3'!I115</f>
        <v>0</v>
      </c>
      <c r="Q120" s="2">
        <f>'Raw Data Cut 1.3'!J115</f>
        <v>0</v>
      </c>
      <c r="R120" s="2">
        <f>'Raw Data Cut 1.3'!K115</f>
        <v>0</v>
      </c>
      <c r="S120" s="2">
        <f>'Raw Data Cut 1.3'!N115</f>
        <v>0</v>
      </c>
      <c r="T120" s="2">
        <f t="shared" si="2"/>
        <v>0</v>
      </c>
      <c r="U120" s="9" t="str">
        <f>IF($S120=0, "", IF(COUNTIF(Table1[Amino Acid Change], $S120)=0, "Missing", "Y"))</f>
        <v/>
      </c>
      <c r="V120" s="9">
        <f t="shared" si="3"/>
        <v>0</v>
      </c>
    </row>
    <row r="121" spans="9:22" x14ac:dyDescent="0.25">
      <c r="I121" s="2">
        <f>'Raw Data Cut 1.3'!A116</f>
        <v>0</v>
      </c>
      <c r="J121" s="2">
        <f>'Raw Data Cut 1.3'!B116</f>
        <v>0</v>
      </c>
      <c r="K121" s="2">
        <f>'Raw Data Cut 1.3'!C116</f>
        <v>0</v>
      </c>
      <c r="L121" s="2">
        <f>'Raw Data Cut 1.3'!D116</f>
        <v>0</v>
      </c>
      <c r="M121" s="2">
        <f>'Raw Data Cut 1.3'!E116</f>
        <v>0</v>
      </c>
      <c r="N121" s="2">
        <f>'Raw Data Cut 1.3'!G116</f>
        <v>0</v>
      </c>
      <c r="O121" s="2">
        <f>'Raw Data Cut 1.3'!H116</f>
        <v>0</v>
      </c>
      <c r="P121" s="2">
        <f>'Raw Data Cut 1.3'!I116</f>
        <v>0</v>
      </c>
      <c r="Q121" s="2">
        <f>'Raw Data Cut 1.3'!J116</f>
        <v>0</v>
      </c>
      <c r="R121" s="2">
        <f>'Raw Data Cut 1.3'!K116</f>
        <v>0</v>
      </c>
      <c r="S121" s="2">
        <f>'Raw Data Cut 1.3'!N116</f>
        <v>0</v>
      </c>
      <c r="T121" s="2">
        <f t="shared" si="2"/>
        <v>0</v>
      </c>
      <c r="U121" s="9" t="str">
        <f>IF($S121=0, "", IF(COUNTIF(Table1[Amino Acid Change], $S121)=0, "Missing", "Y"))</f>
        <v/>
      </c>
      <c r="V121" s="9">
        <f t="shared" si="3"/>
        <v>0</v>
      </c>
    </row>
    <row r="122" spans="9:22" x14ac:dyDescent="0.25">
      <c r="I122" s="2">
        <f>'Raw Data Cut 1.3'!A117</f>
        <v>0</v>
      </c>
      <c r="J122" s="2">
        <f>'Raw Data Cut 1.3'!B117</f>
        <v>0</v>
      </c>
      <c r="K122" s="2">
        <f>'Raw Data Cut 1.3'!C117</f>
        <v>0</v>
      </c>
      <c r="L122" s="2">
        <f>'Raw Data Cut 1.3'!D117</f>
        <v>0</v>
      </c>
      <c r="M122" s="2">
        <f>'Raw Data Cut 1.3'!E117</f>
        <v>0</v>
      </c>
      <c r="N122" s="2">
        <f>'Raw Data Cut 1.3'!G117</f>
        <v>0</v>
      </c>
      <c r="O122" s="2">
        <f>'Raw Data Cut 1.3'!H117</f>
        <v>0</v>
      </c>
      <c r="P122" s="2">
        <f>'Raw Data Cut 1.3'!I117</f>
        <v>0</v>
      </c>
      <c r="Q122" s="2">
        <f>'Raw Data Cut 1.3'!J117</f>
        <v>0</v>
      </c>
      <c r="R122" s="2">
        <f>'Raw Data Cut 1.3'!K117</f>
        <v>0</v>
      </c>
      <c r="S122" s="2">
        <f>'Raw Data Cut 1.3'!N117</f>
        <v>0</v>
      </c>
      <c r="T122" s="2">
        <f t="shared" si="2"/>
        <v>0</v>
      </c>
      <c r="U122" s="9" t="str">
        <f>IF($S122=0, "", IF(COUNTIF(Table1[Amino Acid Change], $S122)=0, "Missing", "Y"))</f>
        <v/>
      </c>
      <c r="V122" s="9">
        <f t="shared" si="3"/>
        <v>0</v>
      </c>
    </row>
    <row r="123" spans="9:22" x14ac:dyDescent="0.25">
      <c r="I123" s="2">
        <f>'Raw Data Cut 1.3'!A118</f>
        <v>0</v>
      </c>
      <c r="J123" s="2">
        <f>'Raw Data Cut 1.3'!B118</f>
        <v>0</v>
      </c>
      <c r="K123" s="2">
        <f>'Raw Data Cut 1.3'!C118</f>
        <v>0</v>
      </c>
      <c r="L123" s="2">
        <f>'Raw Data Cut 1.3'!D118</f>
        <v>0</v>
      </c>
      <c r="M123" s="2">
        <f>'Raw Data Cut 1.3'!E118</f>
        <v>0</v>
      </c>
      <c r="N123" s="2">
        <f>'Raw Data Cut 1.3'!G118</f>
        <v>0</v>
      </c>
      <c r="O123" s="2">
        <f>'Raw Data Cut 1.3'!H118</f>
        <v>0</v>
      </c>
      <c r="P123" s="2">
        <f>'Raw Data Cut 1.3'!I118</f>
        <v>0</v>
      </c>
      <c r="Q123" s="2">
        <f>'Raw Data Cut 1.3'!J118</f>
        <v>0</v>
      </c>
      <c r="R123" s="2">
        <f>'Raw Data Cut 1.3'!K118</f>
        <v>0</v>
      </c>
      <c r="S123" s="2">
        <f>'Raw Data Cut 1.3'!N118</f>
        <v>0</v>
      </c>
      <c r="T123" s="2">
        <f t="shared" si="2"/>
        <v>0</v>
      </c>
      <c r="U123" s="9" t="str">
        <f>IF($S123=0, "", IF(COUNTIF(Table1[Amino Acid Change], $S123)=0, "Missing", "Y"))</f>
        <v/>
      </c>
      <c r="V123" s="9">
        <f t="shared" si="3"/>
        <v>0</v>
      </c>
    </row>
    <row r="124" spans="9:22" x14ac:dyDescent="0.25">
      <c r="I124" s="2">
        <f>'Raw Data Cut 1.3'!A119</f>
        <v>0</v>
      </c>
      <c r="J124" s="2">
        <f>'Raw Data Cut 1.3'!B119</f>
        <v>0</v>
      </c>
      <c r="K124" s="2">
        <f>'Raw Data Cut 1.3'!C119</f>
        <v>0</v>
      </c>
      <c r="L124" s="2">
        <f>'Raw Data Cut 1.3'!D119</f>
        <v>0</v>
      </c>
      <c r="M124" s="2">
        <f>'Raw Data Cut 1.3'!E119</f>
        <v>0</v>
      </c>
      <c r="N124" s="2">
        <f>'Raw Data Cut 1.3'!G119</f>
        <v>0</v>
      </c>
      <c r="O124" s="2">
        <f>'Raw Data Cut 1.3'!H119</f>
        <v>0</v>
      </c>
      <c r="P124" s="2">
        <f>'Raw Data Cut 1.3'!I119</f>
        <v>0</v>
      </c>
      <c r="Q124" s="2">
        <f>'Raw Data Cut 1.3'!J119</f>
        <v>0</v>
      </c>
      <c r="R124" s="2">
        <f>'Raw Data Cut 1.3'!K119</f>
        <v>0</v>
      </c>
      <c r="S124" s="2">
        <f>'Raw Data Cut 1.3'!N119</f>
        <v>0</v>
      </c>
      <c r="T124" s="2">
        <f t="shared" si="2"/>
        <v>0</v>
      </c>
      <c r="U124" s="9" t="str">
        <f>IF($S124=0, "", IF(COUNTIF(Table1[Amino Acid Change], $S124)=0, "Missing", "Y"))</f>
        <v/>
      </c>
      <c r="V124" s="9">
        <f t="shared" si="3"/>
        <v>0</v>
      </c>
    </row>
    <row r="125" spans="9:22" x14ac:dyDescent="0.25">
      <c r="I125" s="2">
        <f>'Raw Data Cut 1.3'!A120</f>
        <v>0</v>
      </c>
      <c r="J125" s="2">
        <f>'Raw Data Cut 1.3'!B120</f>
        <v>0</v>
      </c>
      <c r="K125" s="2">
        <f>'Raw Data Cut 1.3'!C120</f>
        <v>0</v>
      </c>
      <c r="L125" s="2">
        <f>'Raw Data Cut 1.3'!D120</f>
        <v>0</v>
      </c>
      <c r="M125" s="2">
        <f>'Raw Data Cut 1.3'!E120</f>
        <v>0</v>
      </c>
      <c r="N125" s="2">
        <f>'Raw Data Cut 1.3'!G120</f>
        <v>0</v>
      </c>
      <c r="O125" s="2">
        <f>'Raw Data Cut 1.3'!H120</f>
        <v>0</v>
      </c>
      <c r="P125" s="2">
        <f>'Raw Data Cut 1.3'!I120</f>
        <v>0</v>
      </c>
      <c r="Q125" s="2">
        <f>'Raw Data Cut 1.3'!J120</f>
        <v>0</v>
      </c>
      <c r="R125" s="2">
        <f>'Raw Data Cut 1.3'!K120</f>
        <v>0</v>
      </c>
      <c r="S125" s="2">
        <f>'Raw Data Cut 1.3'!N120</f>
        <v>0</v>
      </c>
      <c r="T125" s="2">
        <f t="shared" si="2"/>
        <v>0</v>
      </c>
      <c r="U125" s="9" t="str">
        <f>IF($S125=0, "", IF(COUNTIF(Table1[Amino Acid Change], $S125)=0, "Missing", "Y"))</f>
        <v/>
      </c>
      <c r="V125" s="9">
        <f t="shared" si="3"/>
        <v>0</v>
      </c>
    </row>
    <row r="126" spans="9:22" x14ac:dyDescent="0.25">
      <c r="I126" s="2">
        <f>'Raw Data Cut 1.3'!A121</f>
        <v>0</v>
      </c>
      <c r="J126" s="2">
        <f>'Raw Data Cut 1.3'!B121</f>
        <v>0</v>
      </c>
      <c r="K126" s="2">
        <f>'Raw Data Cut 1.3'!C121</f>
        <v>0</v>
      </c>
      <c r="L126" s="2">
        <f>'Raw Data Cut 1.3'!D121</f>
        <v>0</v>
      </c>
      <c r="M126" s="2">
        <f>'Raw Data Cut 1.3'!E121</f>
        <v>0</v>
      </c>
      <c r="N126" s="2">
        <f>'Raw Data Cut 1.3'!G121</f>
        <v>0</v>
      </c>
      <c r="O126" s="2">
        <f>'Raw Data Cut 1.3'!H121</f>
        <v>0</v>
      </c>
      <c r="P126" s="2">
        <f>'Raw Data Cut 1.3'!I121</f>
        <v>0</v>
      </c>
      <c r="Q126" s="2">
        <f>'Raw Data Cut 1.3'!J121</f>
        <v>0</v>
      </c>
      <c r="R126" s="2">
        <f>'Raw Data Cut 1.3'!K121</f>
        <v>0</v>
      </c>
      <c r="S126" s="2">
        <f>'Raw Data Cut 1.3'!N121</f>
        <v>0</v>
      </c>
      <c r="T126" s="2">
        <f t="shared" ref="T126:T189" si="4">P126</f>
        <v>0</v>
      </c>
      <c r="U126" s="9" t="str">
        <f>IF($S126=0, "", IF(COUNTIF(Table1[Amino Acid Change], $S126)=0, "Missing", "Y"))</f>
        <v/>
      </c>
      <c r="V126" s="9">
        <f t="shared" si="3"/>
        <v>0</v>
      </c>
    </row>
    <row r="127" spans="9:22" x14ac:dyDescent="0.25">
      <c r="I127" s="2">
        <f>'Raw Data Cut 1.3'!A122</f>
        <v>0</v>
      </c>
      <c r="J127" s="2">
        <f>'Raw Data Cut 1.3'!B122</f>
        <v>0</v>
      </c>
      <c r="K127" s="2">
        <f>'Raw Data Cut 1.3'!C122</f>
        <v>0</v>
      </c>
      <c r="L127" s="2">
        <f>'Raw Data Cut 1.3'!D122</f>
        <v>0</v>
      </c>
      <c r="M127" s="2">
        <f>'Raw Data Cut 1.3'!E122</f>
        <v>0</v>
      </c>
      <c r="N127" s="2">
        <f>'Raw Data Cut 1.3'!G122</f>
        <v>0</v>
      </c>
      <c r="O127" s="2">
        <f>'Raw Data Cut 1.3'!H122</f>
        <v>0</v>
      </c>
      <c r="P127" s="2">
        <f>'Raw Data Cut 1.3'!I122</f>
        <v>0</v>
      </c>
      <c r="Q127" s="2">
        <f>'Raw Data Cut 1.3'!J122</f>
        <v>0</v>
      </c>
      <c r="R127" s="2">
        <f>'Raw Data Cut 1.3'!K122</f>
        <v>0</v>
      </c>
      <c r="S127" s="2">
        <f>'Raw Data Cut 1.3'!N122</f>
        <v>0</v>
      </c>
      <c r="T127" s="2">
        <f t="shared" si="4"/>
        <v>0</v>
      </c>
      <c r="U127" s="9" t="str">
        <f>IF($S127=0, "", IF(COUNTIF(Table1[Amino Acid Change], $S127)=0, "Missing", "Y"))</f>
        <v/>
      </c>
      <c r="V127" s="9">
        <f t="shared" ref="V127:V190" si="5">J127</f>
        <v>0</v>
      </c>
    </row>
    <row r="128" spans="9:22" x14ac:dyDescent="0.25">
      <c r="I128" s="2">
        <f>'Raw Data Cut 1.3'!A123</f>
        <v>0</v>
      </c>
      <c r="J128" s="2">
        <f>'Raw Data Cut 1.3'!B123</f>
        <v>0</v>
      </c>
      <c r="K128" s="2">
        <f>'Raw Data Cut 1.3'!C123</f>
        <v>0</v>
      </c>
      <c r="L128" s="2">
        <f>'Raw Data Cut 1.3'!D123</f>
        <v>0</v>
      </c>
      <c r="M128" s="2">
        <f>'Raw Data Cut 1.3'!E123</f>
        <v>0</v>
      </c>
      <c r="N128" s="2">
        <f>'Raw Data Cut 1.3'!G123</f>
        <v>0</v>
      </c>
      <c r="O128" s="2">
        <f>'Raw Data Cut 1.3'!H123</f>
        <v>0</v>
      </c>
      <c r="P128" s="2">
        <f>'Raw Data Cut 1.3'!I123</f>
        <v>0</v>
      </c>
      <c r="Q128" s="2">
        <f>'Raw Data Cut 1.3'!J123</f>
        <v>0</v>
      </c>
      <c r="R128" s="2">
        <f>'Raw Data Cut 1.3'!K123</f>
        <v>0</v>
      </c>
      <c r="S128" s="2">
        <f>'Raw Data Cut 1.3'!N123</f>
        <v>0</v>
      </c>
      <c r="T128" s="2">
        <f t="shared" si="4"/>
        <v>0</v>
      </c>
      <c r="U128" s="9" t="str">
        <f>IF($S128=0, "", IF(COUNTIF(Table1[Amino Acid Change], $S128)=0, "Missing", "Y"))</f>
        <v/>
      </c>
      <c r="V128" s="9">
        <f t="shared" si="5"/>
        <v>0</v>
      </c>
    </row>
    <row r="129" spans="9:22" x14ac:dyDescent="0.25">
      <c r="I129" s="2">
        <f>'Raw Data Cut 1.3'!A124</f>
        <v>0</v>
      </c>
      <c r="J129" s="2">
        <f>'Raw Data Cut 1.3'!B124</f>
        <v>0</v>
      </c>
      <c r="K129" s="2">
        <f>'Raw Data Cut 1.3'!C124</f>
        <v>0</v>
      </c>
      <c r="L129" s="2">
        <f>'Raw Data Cut 1.3'!D124</f>
        <v>0</v>
      </c>
      <c r="M129" s="2">
        <f>'Raw Data Cut 1.3'!E124</f>
        <v>0</v>
      </c>
      <c r="N129" s="2">
        <f>'Raw Data Cut 1.3'!G124</f>
        <v>0</v>
      </c>
      <c r="O129" s="2">
        <f>'Raw Data Cut 1.3'!H124</f>
        <v>0</v>
      </c>
      <c r="P129" s="2">
        <f>'Raw Data Cut 1.3'!I124</f>
        <v>0</v>
      </c>
      <c r="Q129" s="2">
        <f>'Raw Data Cut 1.3'!J124</f>
        <v>0</v>
      </c>
      <c r="R129" s="2">
        <f>'Raw Data Cut 1.3'!K124</f>
        <v>0</v>
      </c>
      <c r="S129" s="2">
        <f>'Raw Data Cut 1.3'!N124</f>
        <v>0</v>
      </c>
      <c r="T129" s="2">
        <f t="shared" si="4"/>
        <v>0</v>
      </c>
      <c r="U129" s="9" t="str">
        <f>IF($S129=0, "", IF(COUNTIF(Table1[Amino Acid Change], $S129)=0, "Missing", "Y"))</f>
        <v/>
      </c>
      <c r="V129" s="9">
        <f t="shared" si="5"/>
        <v>0</v>
      </c>
    </row>
    <row r="130" spans="9:22" x14ac:dyDescent="0.25">
      <c r="I130" s="2">
        <f>'Raw Data Cut 1.3'!A125</f>
        <v>0</v>
      </c>
      <c r="J130" s="2">
        <f>'Raw Data Cut 1.3'!B125</f>
        <v>0</v>
      </c>
      <c r="K130" s="2">
        <f>'Raw Data Cut 1.3'!C125</f>
        <v>0</v>
      </c>
      <c r="L130" s="2">
        <f>'Raw Data Cut 1.3'!D125</f>
        <v>0</v>
      </c>
      <c r="M130" s="2">
        <f>'Raw Data Cut 1.3'!E125</f>
        <v>0</v>
      </c>
      <c r="N130" s="2">
        <f>'Raw Data Cut 1.3'!G125</f>
        <v>0</v>
      </c>
      <c r="O130" s="2">
        <f>'Raw Data Cut 1.3'!H125</f>
        <v>0</v>
      </c>
      <c r="P130" s="2">
        <f>'Raw Data Cut 1.3'!I125</f>
        <v>0</v>
      </c>
      <c r="Q130" s="2">
        <f>'Raw Data Cut 1.3'!J125</f>
        <v>0</v>
      </c>
      <c r="R130" s="2">
        <f>'Raw Data Cut 1.3'!K125</f>
        <v>0</v>
      </c>
      <c r="S130" s="2">
        <f>'Raw Data Cut 1.3'!N125</f>
        <v>0</v>
      </c>
      <c r="T130" s="2">
        <f t="shared" si="4"/>
        <v>0</v>
      </c>
      <c r="U130" s="9" t="str">
        <f>IF($S130=0, "", IF(COUNTIF(Table1[Amino Acid Change], $S130)=0, "Missing", "Y"))</f>
        <v/>
      </c>
      <c r="V130" s="9">
        <f t="shared" si="5"/>
        <v>0</v>
      </c>
    </row>
    <row r="131" spans="9:22" x14ac:dyDescent="0.25">
      <c r="I131" s="2">
        <f>'Raw Data Cut 1.3'!A126</f>
        <v>0</v>
      </c>
      <c r="J131" s="2">
        <f>'Raw Data Cut 1.3'!B126</f>
        <v>0</v>
      </c>
      <c r="K131" s="2">
        <f>'Raw Data Cut 1.3'!C126</f>
        <v>0</v>
      </c>
      <c r="L131" s="2">
        <f>'Raw Data Cut 1.3'!D126</f>
        <v>0</v>
      </c>
      <c r="M131" s="2">
        <f>'Raw Data Cut 1.3'!E126</f>
        <v>0</v>
      </c>
      <c r="N131" s="2">
        <f>'Raw Data Cut 1.3'!G126</f>
        <v>0</v>
      </c>
      <c r="O131" s="2">
        <f>'Raw Data Cut 1.3'!H126</f>
        <v>0</v>
      </c>
      <c r="P131" s="2">
        <f>'Raw Data Cut 1.3'!I126</f>
        <v>0</v>
      </c>
      <c r="Q131" s="2">
        <f>'Raw Data Cut 1.3'!J126</f>
        <v>0</v>
      </c>
      <c r="R131" s="2">
        <f>'Raw Data Cut 1.3'!K126</f>
        <v>0</v>
      </c>
      <c r="S131" s="2">
        <f>'Raw Data Cut 1.3'!N126</f>
        <v>0</v>
      </c>
      <c r="T131" s="2">
        <f t="shared" si="4"/>
        <v>0</v>
      </c>
      <c r="U131" s="9" t="str">
        <f>IF($S131=0, "", IF(COUNTIF(Table1[Amino Acid Change], $S131)=0, "Missing", "Y"))</f>
        <v/>
      </c>
      <c r="V131" s="9">
        <f t="shared" si="5"/>
        <v>0</v>
      </c>
    </row>
    <row r="132" spans="9:22" x14ac:dyDescent="0.25">
      <c r="I132" s="2">
        <f>'Raw Data Cut 1.3'!A127</f>
        <v>0</v>
      </c>
      <c r="J132" s="2">
        <f>'Raw Data Cut 1.3'!B127</f>
        <v>0</v>
      </c>
      <c r="K132" s="2">
        <f>'Raw Data Cut 1.3'!C127</f>
        <v>0</v>
      </c>
      <c r="L132" s="2">
        <f>'Raw Data Cut 1.3'!D127</f>
        <v>0</v>
      </c>
      <c r="M132" s="2">
        <f>'Raw Data Cut 1.3'!E127</f>
        <v>0</v>
      </c>
      <c r="N132" s="2">
        <f>'Raw Data Cut 1.3'!G127</f>
        <v>0</v>
      </c>
      <c r="O132" s="2">
        <f>'Raw Data Cut 1.3'!H127</f>
        <v>0</v>
      </c>
      <c r="P132" s="2">
        <f>'Raw Data Cut 1.3'!I127</f>
        <v>0</v>
      </c>
      <c r="Q132" s="2">
        <f>'Raw Data Cut 1.3'!J127</f>
        <v>0</v>
      </c>
      <c r="R132" s="2">
        <f>'Raw Data Cut 1.3'!K127</f>
        <v>0</v>
      </c>
      <c r="S132" s="2">
        <f>'Raw Data Cut 1.3'!N127</f>
        <v>0</v>
      </c>
      <c r="T132" s="2">
        <f t="shared" si="4"/>
        <v>0</v>
      </c>
      <c r="U132" s="9" t="str">
        <f>IF($S132=0, "", IF(COUNTIF(Table1[Amino Acid Change], $S132)=0, "Missing", "Y"))</f>
        <v/>
      </c>
      <c r="V132" s="9">
        <f t="shared" si="5"/>
        <v>0</v>
      </c>
    </row>
    <row r="133" spans="9:22" x14ac:dyDescent="0.25">
      <c r="I133" s="2">
        <f>'Raw Data Cut 1.3'!A128</f>
        <v>0</v>
      </c>
      <c r="J133" s="2">
        <f>'Raw Data Cut 1.3'!B128</f>
        <v>0</v>
      </c>
      <c r="K133" s="2">
        <f>'Raw Data Cut 1.3'!C128</f>
        <v>0</v>
      </c>
      <c r="L133" s="2">
        <f>'Raw Data Cut 1.3'!D128</f>
        <v>0</v>
      </c>
      <c r="M133" s="2">
        <f>'Raw Data Cut 1.3'!E128</f>
        <v>0</v>
      </c>
      <c r="N133" s="2">
        <f>'Raw Data Cut 1.3'!G128</f>
        <v>0</v>
      </c>
      <c r="O133" s="2">
        <f>'Raw Data Cut 1.3'!H128</f>
        <v>0</v>
      </c>
      <c r="P133" s="2">
        <f>'Raw Data Cut 1.3'!I128</f>
        <v>0</v>
      </c>
      <c r="Q133" s="2">
        <f>'Raw Data Cut 1.3'!J128</f>
        <v>0</v>
      </c>
      <c r="R133" s="2">
        <f>'Raw Data Cut 1.3'!K128</f>
        <v>0</v>
      </c>
      <c r="S133" s="2">
        <f>'Raw Data Cut 1.3'!N128</f>
        <v>0</v>
      </c>
      <c r="T133" s="2">
        <f t="shared" si="4"/>
        <v>0</v>
      </c>
      <c r="U133" s="9" t="str">
        <f>IF($S133=0, "", IF(COUNTIF(Table1[Amino Acid Change], $S133)=0, "Missing", "Y"))</f>
        <v/>
      </c>
      <c r="V133" s="9">
        <f t="shared" si="5"/>
        <v>0</v>
      </c>
    </row>
    <row r="134" spans="9:22" x14ac:dyDescent="0.25">
      <c r="I134" s="2">
        <f>'Raw Data Cut 1.3'!A129</f>
        <v>0</v>
      </c>
      <c r="J134" s="2">
        <f>'Raw Data Cut 1.3'!B129</f>
        <v>0</v>
      </c>
      <c r="K134" s="2">
        <f>'Raw Data Cut 1.3'!C129</f>
        <v>0</v>
      </c>
      <c r="L134" s="2">
        <f>'Raw Data Cut 1.3'!D129</f>
        <v>0</v>
      </c>
      <c r="M134" s="2">
        <f>'Raw Data Cut 1.3'!E129</f>
        <v>0</v>
      </c>
      <c r="N134" s="2">
        <f>'Raw Data Cut 1.3'!G129</f>
        <v>0</v>
      </c>
      <c r="O134" s="2">
        <f>'Raw Data Cut 1.3'!H129</f>
        <v>0</v>
      </c>
      <c r="P134" s="2">
        <f>'Raw Data Cut 1.3'!I129</f>
        <v>0</v>
      </c>
      <c r="Q134" s="2">
        <f>'Raw Data Cut 1.3'!J129</f>
        <v>0</v>
      </c>
      <c r="R134" s="2">
        <f>'Raw Data Cut 1.3'!K129</f>
        <v>0</v>
      </c>
      <c r="S134" s="2">
        <f>'Raw Data Cut 1.3'!N129</f>
        <v>0</v>
      </c>
      <c r="T134" s="2">
        <f t="shared" si="4"/>
        <v>0</v>
      </c>
      <c r="U134" s="9" t="str">
        <f>IF($S134=0, "", IF(COUNTIF(Table1[Amino Acid Change], $S134)=0, "Missing", "Y"))</f>
        <v/>
      </c>
      <c r="V134" s="9">
        <f t="shared" si="5"/>
        <v>0</v>
      </c>
    </row>
    <row r="135" spans="9:22" x14ac:dyDescent="0.25">
      <c r="I135" s="2">
        <f>'Raw Data Cut 1.3'!A130</f>
        <v>0</v>
      </c>
      <c r="J135" s="2">
        <f>'Raw Data Cut 1.3'!B130</f>
        <v>0</v>
      </c>
      <c r="K135" s="2">
        <f>'Raw Data Cut 1.3'!C130</f>
        <v>0</v>
      </c>
      <c r="L135" s="2">
        <f>'Raw Data Cut 1.3'!D130</f>
        <v>0</v>
      </c>
      <c r="M135" s="2">
        <f>'Raw Data Cut 1.3'!E130</f>
        <v>0</v>
      </c>
      <c r="N135" s="2">
        <f>'Raw Data Cut 1.3'!G130</f>
        <v>0</v>
      </c>
      <c r="O135" s="2">
        <f>'Raw Data Cut 1.3'!H130</f>
        <v>0</v>
      </c>
      <c r="P135" s="2">
        <f>'Raw Data Cut 1.3'!I130</f>
        <v>0</v>
      </c>
      <c r="Q135" s="2">
        <f>'Raw Data Cut 1.3'!J130</f>
        <v>0</v>
      </c>
      <c r="R135" s="2">
        <f>'Raw Data Cut 1.3'!K130</f>
        <v>0</v>
      </c>
      <c r="S135" s="2">
        <f>'Raw Data Cut 1.3'!N130</f>
        <v>0</v>
      </c>
      <c r="T135" s="2">
        <f t="shared" si="4"/>
        <v>0</v>
      </c>
      <c r="U135" s="9" t="str">
        <f>IF($S135=0, "", IF(COUNTIF(Table1[Amino Acid Change], $S135)=0, "Missing", "Y"))</f>
        <v/>
      </c>
      <c r="V135" s="9">
        <f t="shared" si="5"/>
        <v>0</v>
      </c>
    </row>
    <row r="136" spans="9:22" x14ac:dyDescent="0.25">
      <c r="I136" s="2">
        <f>'Raw Data Cut 1.3'!A131</f>
        <v>0</v>
      </c>
      <c r="J136" s="2">
        <f>'Raw Data Cut 1.3'!B131</f>
        <v>0</v>
      </c>
      <c r="K136" s="2">
        <f>'Raw Data Cut 1.3'!C131</f>
        <v>0</v>
      </c>
      <c r="L136" s="2">
        <f>'Raw Data Cut 1.3'!D131</f>
        <v>0</v>
      </c>
      <c r="M136" s="2">
        <f>'Raw Data Cut 1.3'!E131</f>
        <v>0</v>
      </c>
      <c r="N136" s="2">
        <f>'Raw Data Cut 1.3'!G131</f>
        <v>0</v>
      </c>
      <c r="O136" s="2">
        <f>'Raw Data Cut 1.3'!H131</f>
        <v>0</v>
      </c>
      <c r="P136" s="2">
        <f>'Raw Data Cut 1.3'!I131</f>
        <v>0</v>
      </c>
      <c r="Q136" s="2">
        <f>'Raw Data Cut 1.3'!J131</f>
        <v>0</v>
      </c>
      <c r="R136" s="2">
        <f>'Raw Data Cut 1.3'!K131</f>
        <v>0</v>
      </c>
      <c r="S136" s="2">
        <f>'Raw Data Cut 1.3'!N131</f>
        <v>0</v>
      </c>
      <c r="T136" s="2">
        <f t="shared" si="4"/>
        <v>0</v>
      </c>
      <c r="U136" s="9" t="str">
        <f>IF($S136=0, "", IF(COUNTIF(Table1[Amino Acid Change], $S136)=0, "Missing", "Y"))</f>
        <v/>
      </c>
      <c r="V136" s="9">
        <f t="shared" si="5"/>
        <v>0</v>
      </c>
    </row>
    <row r="137" spans="9:22" x14ac:dyDescent="0.25">
      <c r="I137" s="2">
        <f>'Raw Data Cut 1.3'!A132</f>
        <v>0</v>
      </c>
      <c r="J137" s="2">
        <f>'Raw Data Cut 1.3'!B132</f>
        <v>0</v>
      </c>
      <c r="K137" s="2">
        <f>'Raw Data Cut 1.3'!C132</f>
        <v>0</v>
      </c>
      <c r="L137" s="2">
        <f>'Raw Data Cut 1.3'!D132</f>
        <v>0</v>
      </c>
      <c r="M137" s="2">
        <f>'Raw Data Cut 1.3'!E132</f>
        <v>0</v>
      </c>
      <c r="N137" s="2">
        <f>'Raw Data Cut 1.3'!G132</f>
        <v>0</v>
      </c>
      <c r="O137" s="2">
        <f>'Raw Data Cut 1.3'!H132</f>
        <v>0</v>
      </c>
      <c r="P137" s="2">
        <f>'Raw Data Cut 1.3'!I132</f>
        <v>0</v>
      </c>
      <c r="Q137" s="2">
        <f>'Raw Data Cut 1.3'!J132</f>
        <v>0</v>
      </c>
      <c r="R137" s="2">
        <f>'Raw Data Cut 1.3'!K132</f>
        <v>0</v>
      </c>
      <c r="S137" s="2">
        <f>'Raw Data Cut 1.3'!N132</f>
        <v>0</v>
      </c>
      <c r="T137" s="2">
        <f t="shared" si="4"/>
        <v>0</v>
      </c>
      <c r="U137" s="9" t="str">
        <f>IF($S137=0, "", IF(COUNTIF(Table1[Amino Acid Change], $S137)=0, "Missing", "Y"))</f>
        <v/>
      </c>
      <c r="V137" s="9">
        <f t="shared" si="5"/>
        <v>0</v>
      </c>
    </row>
    <row r="138" spans="9:22" x14ac:dyDescent="0.25">
      <c r="I138" s="2">
        <f>'Raw Data Cut 1.3'!A133</f>
        <v>0</v>
      </c>
      <c r="J138" s="2">
        <f>'Raw Data Cut 1.3'!B133</f>
        <v>0</v>
      </c>
      <c r="K138" s="2">
        <f>'Raw Data Cut 1.3'!C133</f>
        <v>0</v>
      </c>
      <c r="L138" s="2">
        <f>'Raw Data Cut 1.3'!D133</f>
        <v>0</v>
      </c>
      <c r="M138" s="2">
        <f>'Raw Data Cut 1.3'!E133</f>
        <v>0</v>
      </c>
      <c r="N138" s="2">
        <f>'Raw Data Cut 1.3'!G133</f>
        <v>0</v>
      </c>
      <c r="O138" s="2">
        <f>'Raw Data Cut 1.3'!H133</f>
        <v>0</v>
      </c>
      <c r="P138" s="2">
        <f>'Raw Data Cut 1.3'!I133</f>
        <v>0</v>
      </c>
      <c r="Q138" s="2">
        <f>'Raw Data Cut 1.3'!J133</f>
        <v>0</v>
      </c>
      <c r="R138" s="2">
        <f>'Raw Data Cut 1.3'!K133</f>
        <v>0</v>
      </c>
      <c r="S138" s="2">
        <f>'Raw Data Cut 1.3'!N133</f>
        <v>0</v>
      </c>
      <c r="T138" s="2">
        <f t="shared" si="4"/>
        <v>0</v>
      </c>
      <c r="U138" s="9" t="str">
        <f>IF($S138=0, "", IF(COUNTIF(Table1[Amino Acid Change], $S138)=0, "Missing", "Y"))</f>
        <v/>
      </c>
      <c r="V138" s="9">
        <f t="shared" si="5"/>
        <v>0</v>
      </c>
    </row>
    <row r="139" spans="9:22" x14ac:dyDescent="0.25">
      <c r="I139" s="2">
        <f>'Raw Data Cut 1.3'!A134</f>
        <v>0</v>
      </c>
      <c r="J139" s="2">
        <f>'Raw Data Cut 1.3'!B134</f>
        <v>0</v>
      </c>
      <c r="K139" s="2">
        <f>'Raw Data Cut 1.3'!C134</f>
        <v>0</v>
      </c>
      <c r="L139" s="2">
        <f>'Raw Data Cut 1.3'!D134</f>
        <v>0</v>
      </c>
      <c r="M139" s="2">
        <f>'Raw Data Cut 1.3'!E134</f>
        <v>0</v>
      </c>
      <c r="N139" s="2">
        <f>'Raw Data Cut 1.3'!G134</f>
        <v>0</v>
      </c>
      <c r="O139" s="2">
        <f>'Raw Data Cut 1.3'!H134</f>
        <v>0</v>
      </c>
      <c r="P139" s="2">
        <f>'Raw Data Cut 1.3'!I134</f>
        <v>0</v>
      </c>
      <c r="Q139" s="2">
        <f>'Raw Data Cut 1.3'!J134</f>
        <v>0</v>
      </c>
      <c r="R139" s="2">
        <f>'Raw Data Cut 1.3'!K134</f>
        <v>0</v>
      </c>
      <c r="S139" s="2">
        <f>'Raw Data Cut 1.3'!N134</f>
        <v>0</v>
      </c>
      <c r="T139" s="2">
        <f t="shared" si="4"/>
        <v>0</v>
      </c>
      <c r="U139" s="9" t="str">
        <f>IF($S139=0, "", IF(COUNTIF(Table1[Amino Acid Change], $S139)=0, "Missing", "Y"))</f>
        <v/>
      </c>
      <c r="V139" s="9">
        <f t="shared" si="5"/>
        <v>0</v>
      </c>
    </row>
    <row r="140" spans="9:22" x14ac:dyDescent="0.25">
      <c r="I140" s="2">
        <f>'Raw Data Cut 1.3'!A135</f>
        <v>0</v>
      </c>
      <c r="J140" s="2">
        <f>'Raw Data Cut 1.3'!B135</f>
        <v>0</v>
      </c>
      <c r="K140" s="2">
        <f>'Raw Data Cut 1.3'!C135</f>
        <v>0</v>
      </c>
      <c r="L140" s="2">
        <f>'Raw Data Cut 1.3'!D135</f>
        <v>0</v>
      </c>
      <c r="M140" s="2">
        <f>'Raw Data Cut 1.3'!E135</f>
        <v>0</v>
      </c>
      <c r="N140" s="2">
        <f>'Raw Data Cut 1.3'!G135</f>
        <v>0</v>
      </c>
      <c r="O140" s="2">
        <f>'Raw Data Cut 1.3'!H135</f>
        <v>0</v>
      </c>
      <c r="P140" s="2">
        <f>'Raw Data Cut 1.3'!I135</f>
        <v>0</v>
      </c>
      <c r="Q140" s="2">
        <f>'Raw Data Cut 1.3'!J135</f>
        <v>0</v>
      </c>
      <c r="R140" s="2">
        <f>'Raw Data Cut 1.3'!K135</f>
        <v>0</v>
      </c>
      <c r="S140" s="2">
        <f>'Raw Data Cut 1.3'!N135</f>
        <v>0</v>
      </c>
      <c r="T140" s="2">
        <f t="shared" si="4"/>
        <v>0</v>
      </c>
      <c r="U140" s="9" t="str">
        <f>IF($S140=0, "", IF(COUNTIF(Table1[Amino Acid Change], $S140)=0, "Missing", "Y"))</f>
        <v/>
      </c>
      <c r="V140" s="9">
        <f t="shared" si="5"/>
        <v>0</v>
      </c>
    </row>
    <row r="141" spans="9:22" x14ac:dyDescent="0.25">
      <c r="I141" s="2">
        <f>'Raw Data Cut 1.3'!A136</f>
        <v>0</v>
      </c>
      <c r="J141" s="2">
        <f>'Raw Data Cut 1.3'!B136</f>
        <v>0</v>
      </c>
      <c r="K141" s="2">
        <f>'Raw Data Cut 1.3'!C136</f>
        <v>0</v>
      </c>
      <c r="L141" s="2">
        <f>'Raw Data Cut 1.3'!D136</f>
        <v>0</v>
      </c>
      <c r="M141" s="2">
        <f>'Raw Data Cut 1.3'!E136</f>
        <v>0</v>
      </c>
      <c r="N141" s="2">
        <f>'Raw Data Cut 1.3'!G136</f>
        <v>0</v>
      </c>
      <c r="O141" s="2">
        <f>'Raw Data Cut 1.3'!H136</f>
        <v>0</v>
      </c>
      <c r="P141" s="2">
        <f>'Raw Data Cut 1.3'!I136</f>
        <v>0</v>
      </c>
      <c r="Q141" s="2">
        <f>'Raw Data Cut 1.3'!J136</f>
        <v>0</v>
      </c>
      <c r="R141" s="2">
        <f>'Raw Data Cut 1.3'!K136</f>
        <v>0</v>
      </c>
      <c r="S141" s="2">
        <f>'Raw Data Cut 1.3'!N136</f>
        <v>0</v>
      </c>
      <c r="T141" s="2">
        <f t="shared" si="4"/>
        <v>0</v>
      </c>
      <c r="U141" s="9" t="str">
        <f>IF($S141=0, "", IF(COUNTIF(Table1[Amino Acid Change], $S141)=0, "Missing", "Y"))</f>
        <v/>
      </c>
      <c r="V141" s="9">
        <f t="shared" si="5"/>
        <v>0</v>
      </c>
    </row>
    <row r="142" spans="9:22" x14ac:dyDescent="0.25">
      <c r="I142" s="2">
        <f>'Raw Data Cut 1.3'!A137</f>
        <v>0</v>
      </c>
      <c r="J142" s="2">
        <f>'Raw Data Cut 1.3'!B137</f>
        <v>0</v>
      </c>
      <c r="K142" s="2">
        <f>'Raw Data Cut 1.3'!C137</f>
        <v>0</v>
      </c>
      <c r="L142" s="2">
        <f>'Raw Data Cut 1.3'!D137</f>
        <v>0</v>
      </c>
      <c r="M142" s="2">
        <f>'Raw Data Cut 1.3'!E137</f>
        <v>0</v>
      </c>
      <c r="N142" s="2">
        <f>'Raw Data Cut 1.3'!G137</f>
        <v>0</v>
      </c>
      <c r="O142" s="2">
        <f>'Raw Data Cut 1.3'!H137</f>
        <v>0</v>
      </c>
      <c r="P142" s="2">
        <f>'Raw Data Cut 1.3'!I137</f>
        <v>0</v>
      </c>
      <c r="Q142" s="2">
        <f>'Raw Data Cut 1.3'!J137</f>
        <v>0</v>
      </c>
      <c r="R142" s="2">
        <f>'Raw Data Cut 1.3'!K137</f>
        <v>0</v>
      </c>
      <c r="S142" s="2">
        <f>'Raw Data Cut 1.3'!N137</f>
        <v>0</v>
      </c>
      <c r="T142" s="2">
        <f t="shared" si="4"/>
        <v>0</v>
      </c>
      <c r="U142" s="9" t="str">
        <f>IF($S142=0, "", IF(COUNTIF(Table1[Amino Acid Change], $S142)=0, "Missing", "Y"))</f>
        <v/>
      </c>
      <c r="V142" s="9">
        <f t="shared" si="5"/>
        <v>0</v>
      </c>
    </row>
    <row r="143" spans="9:22" x14ac:dyDescent="0.25">
      <c r="I143" s="2">
        <f>'Raw Data Cut 1.3'!A138</f>
        <v>0</v>
      </c>
      <c r="J143" s="2">
        <f>'Raw Data Cut 1.3'!B138</f>
        <v>0</v>
      </c>
      <c r="K143" s="2">
        <f>'Raw Data Cut 1.3'!C138</f>
        <v>0</v>
      </c>
      <c r="L143" s="2">
        <f>'Raw Data Cut 1.3'!D138</f>
        <v>0</v>
      </c>
      <c r="M143" s="2">
        <f>'Raw Data Cut 1.3'!E138</f>
        <v>0</v>
      </c>
      <c r="N143" s="2">
        <f>'Raw Data Cut 1.3'!G138</f>
        <v>0</v>
      </c>
      <c r="O143" s="2">
        <f>'Raw Data Cut 1.3'!H138</f>
        <v>0</v>
      </c>
      <c r="P143" s="2">
        <f>'Raw Data Cut 1.3'!I138</f>
        <v>0</v>
      </c>
      <c r="Q143" s="2">
        <f>'Raw Data Cut 1.3'!J138</f>
        <v>0</v>
      </c>
      <c r="R143" s="2">
        <f>'Raw Data Cut 1.3'!K138</f>
        <v>0</v>
      </c>
      <c r="S143" s="2">
        <f>'Raw Data Cut 1.3'!N138</f>
        <v>0</v>
      </c>
      <c r="T143" s="2">
        <f t="shared" si="4"/>
        <v>0</v>
      </c>
      <c r="U143" s="9" t="str">
        <f>IF($S143=0, "", IF(COUNTIF(Table1[Amino Acid Change], $S143)=0, "Missing", "Y"))</f>
        <v/>
      </c>
      <c r="V143" s="9">
        <f t="shared" si="5"/>
        <v>0</v>
      </c>
    </row>
    <row r="144" spans="9:22" x14ac:dyDescent="0.25">
      <c r="I144" s="2">
        <f>'Raw Data Cut 1.3'!A139</f>
        <v>0</v>
      </c>
      <c r="J144" s="2">
        <f>'Raw Data Cut 1.3'!B139</f>
        <v>0</v>
      </c>
      <c r="K144" s="2">
        <f>'Raw Data Cut 1.3'!C139</f>
        <v>0</v>
      </c>
      <c r="L144" s="2">
        <f>'Raw Data Cut 1.3'!D139</f>
        <v>0</v>
      </c>
      <c r="M144" s="2">
        <f>'Raw Data Cut 1.3'!E139</f>
        <v>0</v>
      </c>
      <c r="N144" s="2">
        <f>'Raw Data Cut 1.3'!G139</f>
        <v>0</v>
      </c>
      <c r="O144" s="2">
        <f>'Raw Data Cut 1.3'!H139</f>
        <v>0</v>
      </c>
      <c r="P144" s="2">
        <f>'Raw Data Cut 1.3'!I139</f>
        <v>0</v>
      </c>
      <c r="Q144" s="2">
        <f>'Raw Data Cut 1.3'!J139</f>
        <v>0</v>
      </c>
      <c r="R144" s="2">
        <f>'Raw Data Cut 1.3'!K139</f>
        <v>0</v>
      </c>
      <c r="S144" s="2">
        <f>'Raw Data Cut 1.3'!N139</f>
        <v>0</v>
      </c>
      <c r="T144" s="2">
        <f t="shared" si="4"/>
        <v>0</v>
      </c>
      <c r="U144" s="9" t="str">
        <f>IF($S144=0, "", IF(COUNTIF(Table1[Amino Acid Change], $S144)=0, "Missing", "Y"))</f>
        <v/>
      </c>
      <c r="V144" s="9">
        <f t="shared" si="5"/>
        <v>0</v>
      </c>
    </row>
    <row r="145" spans="9:22" x14ac:dyDescent="0.25">
      <c r="I145" s="2">
        <f>'Raw Data Cut 1.3'!A140</f>
        <v>0</v>
      </c>
      <c r="J145" s="2">
        <f>'Raw Data Cut 1.3'!B140</f>
        <v>0</v>
      </c>
      <c r="K145" s="2">
        <f>'Raw Data Cut 1.3'!C140</f>
        <v>0</v>
      </c>
      <c r="L145" s="2">
        <f>'Raw Data Cut 1.3'!D140</f>
        <v>0</v>
      </c>
      <c r="M145" s="2">
        <f>'Raw Data Cut 1.3'!E140</f>
        <v>0</v>
      </c>
      <c r="N145" s="2">
        <f>'Raw Data Cut 1.3'!G140</f>
        <v>0</v>
      </c>
      <c r="O145" s="2">
        <f>'Raw Data Cut 1.3'!H140</f>
        <v>0</v>
      </c>
      <c r="P145" s="2">
        <f>'Raw Data Cut 1.3'!I140</f>
        <v>0</v>
      </c>
      <c r="Q145" s="2">
        <f>'Raw Data Cut 1.3'!J140</f>
        <v>0</v>
      </c>
      <c r="R145" s="2">
        <f>'Raw Data Cut 1.3'!K140</f>
        <v>0</v>
      </c>
      <c r="S145" s="2">
        <f>'Raw Data Cut 1.3'!N140</f>
        <v>0</v>
      </c>
      <c r="T145" s="2">
        <f t="shared" si="4"/>
        <v>0</v>
      </c>
      <c r="U145" s="9" t="str">
        <f>IF($S145=0, "", IF(COUNTIF(Table1[Amino Acid Change], $S145)=0, "Missing", "Y"))</f>
        <v/>
      </c>
      <c r="V145" s="9">
        <f t="shared" si="5"/>
        <v>0</v>
      </c>
    </row>
    <row r="146" spans="9:22" x14ac:dyDescent="0.25">
      <c r="I146" s="2">
        <f>'Raw Data Cut 1.3'!A141</f>
        <v>0</v>
      </c>
      <c r="J146" s="2">
        <f>'Raw Data Cut 1.3'!B141</f>
        <v>0</v>
      </c>
      <c r="K146" s="2">
        <f>'Raw Data Cut 1.3'!C141</f>
        <v>0</v>
      </c>
      <c r="L146" s="2">
        <f>'Raw Data Cut 1.3'!D141</f>
        <v>0</v>
      </c>
      <c r="M146" s="2">
        <f>'Raw Data Cut 1.3'!E141</f>
        <v>0</v>
      </c>
      <c r="N146" s="2">
        <f>'Raw Data Cut 1.3'!G141</f>
        <v>0</v>
      </c>
      <c r="O146" s="2">
        <f>'Raw Data Cut 1.3'!H141</f>
        <v>0</v>
      </c>
      <c r="P146" s="2">
        <f>'Raw Data Cut 1.3'!I141</f>
        <v>0</v>
      </c>
      <c r="Q146" s="2">
        <f>'Raw Data Cut 1.3'!J141</f>
        <v>0</v>
      </c>
      <c r="R146" s="2">
        <f>'Raw Data Cut 1.3'!K141</f>
        <v>0</v>
      </c>
      <c r="S146" s="2">
        <f>'Raw Data Cut 1.3'!N141</f>
        <v>0</v>
      </c>
      <c r="T146" s="2">
        <f t="shared" si="4"/>
        <v>0</v>
      </c>
      <c r="U146" s="9" t="str">
        <f>IF($S146=0, "", IF(COUNTIF(Table1[Amino Acid Change], $S146)=0, "Missing", "Y"))</f>
        <v/>
      </c>
      <c r="V146" s="9">
        <f t="shared" si="5"/>
        <v>0</v>
      </c>
    </row>
    <row r="147" spans="9:22" x14ac:dyDescent="0.25">
      <c r="I147" s="2">
        <f>'Raw Data Cut 1.3'!A143</f>
        <v>0</v>
      </c>
      <c r="J147" s="2">
        <f>'Raw Data Cut 1.3'!B143</f>
        <v>0</v>
      </c>
      <c r="K147" s="2">
        <f>'Raw Data Cut 1.3'!C143</f>
        <v>0</v>
      </c>
      <c r="L147" s="2">
        <f>'Raw Data Cut 1.3'!D143</f>
        <v>0</v>
      </c>
      <c r="M147" s="2">
        <f>'Raw Data Cut 1.3'!E143</f>
        <v>0</v>
      </c>
      <c r="N147" s="2">
        <f>'Raw Data Cut 1.3'!G143</f>
        <v>0</v>
      </c>
      <c r="O147" s="2">
        <f>'Raw Data Cut 1.3'!H143</f>
        <v>0</v>
      </c>
      <c r="P147" s="2">
        <f>'Raw Data Cut 1.3'!I143</f>
        <v>0</v>
      </c>
      <c r="Q147" s="2">
        <f>'Raw Data Cut 1.3'!J143</f>
        <v>0</v>
      </c>
      <c r="R147" s="2">
        <f>'Raw Data Cut 1.3'!K143</f>
        <v>0</v>
      </c>
      <c r="S147" s="2">
        <f>'Raw Data Cut 1.3'!N143</f>
        <v>0</v>
      </c>
      <c r="T147" s="2">
        <f t="shared" si="4"/>
        <v>0</v>
      </c>
      <c r="U147" s="9" t="str">
        <f>IF($S147=0, "", IF(COUNTIF(Table1[Amino Acid Change], $S147)=0, "Missing", "Y"))</f>
        <v/>
      </c>
      <c r="V147" s="9">
        <f t="shared" si="5"/>
        <v>0</v>
      </c>
    </row>
    <row r="148" spans="9:22" x14ac:dyDescent="0.25">
      <c r="I148" s="2">
        <f>'Raw Data Cut 1.3'!A144</f>
        <v>0</v>
      </c>
      <c r="J148" s="2">
        <f>'Raw Data Cut 1.3'!B144</f>
        <v>0</v>
      </c>
      <c r="K148" s="2">
        <f>'Raw Data Cut 1.3'!C144</f>
        <v>0</v>
      </c>
      <c r="L148" s="2">
        <f>'Raw Data Cut 1.3'!D144</f>
        <v>0</v>
      </c>
      <c r="M148" s="2">
        <f>'Raw Data Cut 1.3'!E144</f>
        <v>0</v>
      </c>
      <c r="N148" s="2">
        <f>'Raw Data Cut 1.3'!G144</f>
        <v>0</v>
      </c>
      <c r="O148" s="2">
        <f>'Raw Data Cut 1.3'!H144</f>
        <v>0</v>
      </c>
      <c r="P148" s="2">
        <f>'Raw Data Cut 1.3'!I144</f>
        <v>0</v>
      </c>
      <c r="Q148" s="2">
        <f>'Raw Data Cut 1.3'!J144</f>
        <v>0</v>
      </c>
      <c r="R148" s="2">
        <f>'Raw Data Cut 1.3'!K144</f>
        <v>0</v>
      </c>
      <c r="S148" s="2">
        <f>'Raw Data Cut 1.3'!N144</f>
        <v>0</v>
      </c>
      <c r="T148" s="2">
        <f t="shared" si="4"/>
        <v>0</v>
      </c>
      <c r="U148" s="9" t="str">
        <f>IF($S148=0, "", IF(COUNTIF(Table1[Amino Acid Change], $S148)=0, "Missing", "Y"))</f>
        <v/>
      </c>
      <c r="V148" s="9">
        <f t="shared" si="5"/>
        <v>0</v>
      </c>
    </row>
    <row r="149" spans="9:22" x14ac:dyDescent="0.25">
      <c r="I149" s="2">
        <f>'Raw Data Cut 1.3'!A145</f>
        <v>0</v>
      </c>
      <c r="J149" s="2">
        <f>'Raw Data Cut 1.3'!B145</f>
        <v>0</v>
      </c>
      <c r="K149" s="2">
        <f>'Raw Data Cut 1.3'!C145</f>
        <v>0</v>
      </c>
      <c r="L149" s="2">
        <f>'Raw Data Cut 1.3'!D145</f>
        <v>0</v>
      </c>
      <c r="M149" s="2">
        <f>'Raw Data Cut 1.3'!E145</f>
        <v>0</v>
      </c>
      <c r="N149" s="2">
        <f>'Raw Data Cut 1.3'!G145</f>
        <v>0</v>
      </c>
      <c r="O149" s="2">
        <f>'Raw Data Cut 1.3'!H145</f>
        <v>0</v>
      </c>
      <c r="P149" s="2">
        <f>'Raw Data Cut 1.3'!I145</f>
        <v>0</v>
      </c>
      <c r="Q149" s="2">
        <f>'Raw Data Cut 1.3'!J145</f>
        <v>0</v>
      </c>
      <c r="R149" s="2">
        <f>'Raw Data Cut 1.3'!K145</f>
        <v>0</v>
      </c>
      <c r="S149" s="2">
        <f>'Raw Data Cut 1.3'!N145</f>
        <v>0</v>
      </c>
      <c r="T149" s="2">
        <f t="shared" si="4"/>
        <v>0</v>
      </c>
      <c r="U149" s="9" t="str">
        <f>IF($S149=0, "", IF(COUNTIF(Table1[Amino Acid Change], $S149)=0, "Missing", "Y"))</f>
        <v/>
      </c>
      <c r="V149" s="9">
        <f t="shared" si="5"/>
        <v>0</v>
      </c>
    </row>
    <row r="150" spans="9:22" x14ac:dyDescent="0.25">
      <c r="I150" s="2">
        <f>'Raw Data Cut 1.3'!A146</f>
        <v>0</v>
      </c>
      <c r="J150" s="2">
        <f>'Raw Data Cut 1.3'!B146</f>
        <v>0</v>
      </c>
      <c r="K150" s="2">
        <f>'Raw Data Cut 1.3'!C146</f>
        <v>0</v>
      </c>
      <c r="L150" s="2">
        <f>'Raw Data Cut 1.3'!D146</f>
        <v>0</v>
      </c>
      <c r="M150" s="2">
        <f>'Raw Data Cut 1.3'!E146</f>
        <v>0</v>
      </c>
      <c r="N150" s="2">
        <f>'Raw Data Cut 1.3'!G146</f>
        <v>0</v>
      </c>
      <c r="O150" s="2">
        <f>'Raw Data Cut 1.3'!H146</f>
        <v>0</v>
      </c>
      <c r="P150" s="2">
        <f>'Raw Data Cut 1.3'!I146</f>
        <v>0</v>
      </c>
      <c r="Q150" s="2">
        <f>'Raw Data Cut 1.3'!J146</f>
        <v>0</v>
      </c>
      <c r="R150" s="2">
        <f>'Raw Data Cut 1.3'!K146</f>
        <v>0</v>
      </c>
      <c r="S150" s="2">
        <f>'Raw Data Cut 1.3'!N146</f>
        <v>0</v>
      </c>
      <c r="T150" s="2">
        <f t="shared" si="4"/>
        <v>0</v>
      </c>
      <c r="U150" s="9" t="str">
        <f>IF($S150=0, "", IF(COUNTIF(Table1[Amino Acid Change], $S150)=0, "Missing", "Y"))</f>
        <v/>
      </c>
      <c r="V150" s="9">
        <f t="shared" si="5"/>
        <v>0</v>
      </c>
    </row>
    <row r="151" spans="9:22" x14ac:dyDescent="0.25">
      <c r="I151" s="2">
        <f>'Raw Data Cut 1.3'!A147</f>
        <v>0</v>
      </c>
      <c r="J151" s="2">
        <f>'Raw Data Cut 1.3'!B147</f>
        <v>0</v>
      </c>
      <c r="K151" s="2">
        <f>'Raw Data Cut 1.3'!C147</f>
        <v>0</v>
      </c>
      <c r="L151" s="2">
        <f>'Raw Data Cut 1.3'!D147</f>
        <v>0</v>
      </c>
      <c r="M151" s="2">
        <f>'Raw Data Cut 1.3'!E147</f>
        <v>0</v>
      </c>
      <c r="N151" s="2">
        <f>'Raw Data Cut 1.3'!G147</f>
        <v>0</v>
      </c>
      <c r="O151" s="2">
        <f>'Raw Data Cut 1.3'!H147</f>
        <v>0</v>
      </c>
      <c r="P151" s="2">
        <f>'Raw Data Cut 1.3'!I147</f>
        <v>0</v>
      </c>
      <c r="Q151" s="2">
        <f>'Raw Data Cut 1.3'!J147</f>
        <v>0</v>
      </c>
      <c r="R151" s="2">
        <f>'Raw Data Cut 1.3'!K147</f>
        <v>0</v>
      </c>
      <c r="S151" s="2">
        <f>'Raw Data Cut 1.3'!N147</f>
        <v>0</v>
      </c>
      <c r="T151" s="2">
        <f t="shared" si="4"/>
        <v>0</v>
      </c>
      <c r="U151" s="9" t="str">
        <f>IF($S151=0, "", IF(COUNTIF(Table1[Amino Acid Change], $S151)=0, "Missing", "Y"))</f>
        <v/>
      </c>
      <c r="V151" s="9">
        <f t="shared" si="5"/>
        <v>0</v>
      </c>
    </row>
    <row r="152" spans="9:22" x14ac:dyDescent="0.25">
      <c r="I152" s="2">
        <f>'Raw Data Cut 1.3'!A148</f>
        <v>0</v>
      </c>
      <c r="J152" s="2">
        <f>'Raw Data Cut 1.3'!B148</f>
        <v>0</v>
      </c>
      <c r="K152" s="2">
        <f>'Raw Data Cut 1.3'!C148</f>
        <v>0</v>
      </c>
      <c r="L152" s="2">
        <f>'Raw Data Cut 1.3'!D148</f>
        <v>0</v>
      </c>
      <c r="M152" s="2">
        <f>'Raw Data Cut 1.3'!E148</f>
        <v>0</v>
      </c>
      <c r="N152" s="2">
        <f>'Raw Data Cut 1.3'!G148</f>
        <v>0</v>
      </c>
      <c r="O152" s="2">
        <f>'Raw Data Cut 1.3'!H148</f>
        <v>0</v>
      </c>
      <c r="P152" s="2">
        <f>'Raw Data Cut 1.3'!I148</f>
        <v>0</v>
      </c>
      <c r="Q152" s="2">
        <f>'Raw Data Cut 1.3'!J148</f>
        <v>0</v>
      </c>
      <c r="R152" s="2">
        <f>'Raw Data Cut 1.3'!K148</f>
        <v>0</v>
      </c>
      <c r="S152" s="2">
        <f>'Raw Data Cut 1.3'!N148</f>
        <v>0</v>
      </c>
      <c r="T152" s="2">
        <f t="shared" si="4"/>
        <v>0</v>
      </c>
      <c r="U152" s="9" t="str">
        <f>IF($S152=0, "", IF(COUNTIF(Table1[Amino Acid Change], $S152)=0, "Missing", "Y"))</f>
        <v/>
      </c>
      <c r="V152" s="9">
        <f t="shared" si="5"/>
        <v>0</v>
      </c>
    </row>
    <row r="153" spans="9:22" x14ac:dyDescent="0.25">
      <c r="I153" s="2">
        <f>'Raw Data Cut 1.3'!A149</f>
        <v>0</v>
      </c>
      <c r="J153" s="2">
        <f>'Raw Data Cut 1.3'!B149</f>
        <v>0</v>
      </c>
      <c r="K153" s="2">
        <f>'Raw Data Cut 1.3'!C149</f>
        <v>0</v>
      </c>
      <c r="L153" s="2">
        <f>'Raw Data Cut 1.3'!D149</f>
        <v>0</v>
      </c>
      <c r="M153" s="2">
        <f>'Raw Data Cut 1.3'!E149</f>
        <v>0</v>
      </c>
      <c r="N153" s="2">
        <f>'Raw Data Cut 1.3'!G149</f>
        <v>0</v>
      </c>
      <c r="O153" s="2">
        <f>'Raw Data Cut 1.3'!H149</f>
        <v>0</v>
      </c>
      <c r="P153" s="2">
        <f>'Raw Data Cut 1.3'!I149</f>
        <v>0</v>
      </c>
      <c r="Q153" s="2">
        <f>'Raw Data Cut 1.3'!J149</f>
        <v>0</v>
      </c>
      <c r="R153" s="2">
        <f>'Raw Data Cut 1.3'!K149</f>
        <v>0</v>
      </c>
      <c r="S153" s="2">
        <f>'Raw Data Cut 1.3'!N149</f>
        <v>0</v>
      </c>
      <c r="T153" s="2">
        <f t="shared" si="4"/>
        <v>0</v>
      </c>
      <c r="U153" s="9" t="str">
        <f>IF($S153=0, "", IF(COUNTIF(Table1[Amino Acid Change], $S153)=0, "Missing", "Y"))</f>
        <v/>
      </c>
      <c r="V153" s="9">
        <f t="shared" si="5"/>
        <v>0</v>
      </c>
    </row>
    <row r="154" spans="9:22" x14ac:dyDescent="0.25">
      <c r="I154" s="2">
        <f>'Raw Data Cut 1.3'!A150</f>
        <v>0</v>
      </c>
      <c r="J154" s="2">
        <f>'Raw Data Cut 1.3'!B150</f>
        <v>0</v>
      </c>
      <c r="K154" s="2">
        <f>'Raw Data Cut 1.3'!C150</f>
        <v>0</v>
      </c>
      <c r="L154" s="2">
        <f>'Raw Data Cut 1.3'!D150</f>
        <v>0</v>
      </c>
      <c r="M154" s="2">
        <f>'Raw Data Cut 1.3'!E150</f>
        <v>0</v>
      </c>
      <c r="N154" s="2">
        <f>'Raw Data Cut 1.3'!G150</f>
        <v>0</v>
      </c>
      <c r="O154" s="2">
        <f>'Raw Data Cut 1.3'!H150</f>
        <v>0</v>
      </c>
      <c r="P154" s="2">
        <f>'Raw Data Cut 1.3'!I150</f>
        <v>0</v>
      </c>
      <c r="Q154" s="2">
        <f>'Raw Data Cut 1.3'!J150</f>
        <v>0</v>
      </c>
      <c r="R154" s="2">
        <f>'Raw Data Cut 1.3'!K150</f>
        <v>0</v>
      </c>
      <c r="S154" s="2">
        <f>'Raw Data Cut 1.3'!N150</f>
        <v>0</v>
      </c>
      <c r="T154" s="2">
        <f t="shared" si="4"/>
        <v>0</v>
      </c>
      <c r="U154" s="9" t="str">
        <f>IF($S154=0, "", IF(COUNTIF(Table1[Amino Acid Change], $S154)=0, "Missing", "Y"))</f>
        <v/>
      </c>
      <c r="V154" s="9">
        <f t="shared" si="5"/>
        <v>0</v>
      </c>
    </row>
    <row r="155" spans="9:22" x14ac:dyDescent="0.25">
      <c r="I155" s="2">
        <f>'Raw Data Cut 1.3'!A151</f>
        <v>0</v>
      </c>
      <c r="J155" s="2">
        <f>'Raw Data Cut 1.3'!B151</f>
        <v>0</v>
      </c>
      <c r="K155" s="2">
        <f>'Raw Data Cut 1.3'!C151</f>
        <v>0</v>
      </c>
      <c r="L155" s="2">
        <f>'Raw Data Cut 1.3'!D151</f>
        <v>0</v>
      </c>
      <c r="M155" s="2">
        <f>'Raw Data Cut 1.3'!E151</f>
        <v>0</v>
      </c>
      <c r="N155" s="2">
        <f>'Raw Data Cut 1.3'!G151</f>
        <v>0</v>
      </c>
      <c r="O155" s="2">
        <f>'Raw Data Cut 1.3'!H151</f>
        <v>0</v>
      </c>
      <c r="P155" s="2">
        <f>'Raw Data Cut 1.3'!I151</f>
        <v>0</v>
      </c>
      <c r="Q155" s="2">
        <f>'Raw Data Cut 1.3'!J151</f>
        <v>0</v>
      </c>
      <c r="R155" s="2">
        <f>'Raw Data Cut 1.3'!K151</f>
        <v>0</v>
      </c>
      <c r="S155" s="2">
        <f>'Raw Data Cut 1.3'!N151</f>
        <v>0</v>
      </c>
      <c r="T155" s="2">
        <f t="shared" si="4"/>
        <v>0</v>
      </c>
      <c r="U155" s="9" t="str">
        <f>IF($S155=0, "", IF(COUNTIF(Table1[Amino Acid Change], $S155)=0, "Missing", "Y"))</f>
        <v/>
      </c>
      <c r="V155" s="9">
        <f t="shared" si="5"/>
        <v>0</v>
      </c>
    </row>
    <row r="156" spans="9:22" x14ac:dyDescent="0.25">
      <c r="I156" s="2">
        <f>'Raw Data Cut 1.3'!A152</f>
        <v>0</v>
      </c>
      <c r="J156" s="2">
        <f>'Raw Data Cut 1.3'!B152</f>
        <v>0</v>
      </c>
      <c r="K156" s="2">
        <f>'Raw Data Cut 1.3'!C152</f>
        <v>0</v>
      </c>
      <c r="L156" s="2">
        <f>'Raw Data Cut 1.3'!D152</f>
        <v>0</v>
      </c>
      <c r="M156" s="2">
        <f>'Raw Data Cut 1.3'!E152</f>
        <v>0</v>
      </c>
      <c r="N156" s="2">
        <f>'Raw Data Cut 1.3'!G152</f>
        <v>0</v>
      </c>
      <c r="O156" s="2">
        <f>'Raw Data Cut 1.3'!H152</f>
        <v>0</v>
      </c>
      <c r="P156" s="2">
        <f>'Raw Data Cut 1.3'!I152</f>
        <v>0</v>
      </c>
      <c r="Q156" s="2">
        <f>'Raw Data Cut 1.3'!J152</f>
        <v>0</v>
      </c>
      <c r="R156" s="2">
        <f>'Raw Data Cut 1.3'!K152</f>
        <v>0</v>
      </c>
      <c r="S156" s="2">
        <f>'Raw Data Cut 1.3'!N152</f>
        <v>0</v>
      </c>
      <c r="T156" s="2">
        <f t="shared" si="4"/>
        <v>0</v>
      </c>
      <c r="U156" s="9" t="str">
        <f>IF($S156=0, "", IF(COUNTIF(Table1[Amino Acid Change], $S156)=0, "Missing", "Y"))</f>
        <v/>
      </c>
      <c r="V156" s="9">
        <f t="shared" si="5"/>
        <v>0</v>
      </c>
    </row>
    <row r="157" spans="9:22" x14ac:dyDescent="0.25">
      <c r="I157" s="2">
        <f>'Raw Data Cut 1.3'!A153</f>
        <v>0</v>
      </c>
      <c r="J157" s="2">
        <f>'Raw Data Cut 1.3'!B153</f>
        <v>0</v>
      </c>
      <c r="K157" s="2">
        <f>'Raw Data Cut 1.3'!C153</f>
        <v>0</v>
      </c>
      <c r="L157" s="2">
        <f>'Raw Data Cut 1.3'!D153</f>
        <v>0</v>
      </c>
      <c r="M157" s="2">
        <f>'Raw Data Cut 1.3'!E153</f>
        <v>0</v>
      </c>
      <c r="N157" s="2">
        <f>'Raw Data Cut 1.3'!G153</f>
        <v>0</v>
      </c>
      <c r="O157" s="2">
        <f>'Raw Data Cut 1.3'!H153</f>
        <v>0</v>
      </c>
      <c r="P157" s="2">
        <f>'Raw Data Cut 1.3'!I153</f>
        <v>0</v>
      </c>
      <c r="Q157" s="2">
        <f>'Raw Data Cut 1.3'!J153</f>
        <v>0</v>
      </c>
      <c r="R157" s="2">
        <f>'Raw Data Cut 1.3'!K153</f>
        <v>0</v>
      </c>
      <c r="S157" s="2">
        <f>'Raw Data Cut 1.3'!N153</f>
        <v>0</v>
      </c>
      <c r="T157" s="2">
        <f t="shared" si="4"/>
        <v>0</v>
      </c>
      <c r="U157" s="9" t="str">
        <f>IF($S157=0, "", IF(COUNTIF(Table1[Amino Acid Change], $S157)=0, "Missing", "Y"))</f>
        <v/>
      </c>
      <c r="V157" s="9">
        <f t="shared" si="5"/>
        <v>0</v>
      </c>
    </row>
    <row r="158" spans="9:22" x14ac:dyDescent="0.25">
      <c r="I158" s="2">
        <f>'Raw Data Cut 1.3'!A154</f>
        <v>0</v>
      </c>
      <c r="J158" s="2">
        <f>'Raw Data Cut 1.3'!B154</f>
        <v>0</v>
      </c>
      <c r="K158" s="2">
        <f>'Raw Data Cut 1.3'!C154</f>
        <v>0</v>
      </c>
      <c r="L158" s="2">
        <f>'Raw Data Cut 1.3'!D154</f>
        <v>0</v>
      </c>
      <c r="M158" s="2">
        <f>'Raw Data Cut 1.3'!E154</f>
        <v>0</v>
      </c>
      <c r="N158" s="2">
        <f>'Raw Data Cut 1.3'!G154</f>
        <v>0</v>
      </c>
      <c r="O158" s="2">
        <f>'Raw Data Cut 1.3'!H154</f>
        <v>0</v>
      </c>
      <c r="P158" s="2">
        <f>'Raw Data Cut 1.3'!I154</f>
        <v>0</v>
      </c>
      <c r="Q158" s="2">
        <f>'Raw Data Cut 1.3'!J154</f>
        <v>0</v>
      </c>
      <c r="R158" s="2">
        <f>'Raw Data Cut 1.3'!K154</f>
        <v>0</v>
      </c>
      <c r="S158" s="2">
        <f>'Raw Data Cut 1.3'!N154</f>
        <v>0</v>
      </c>
      <c r="T158" s="2">
        <f t="shared" si="4"/>
        <v>0</v>
      </c>
      <c r="U158" s="9" t="str">
        <f>IF($S158=0, "", IF(COUNTIF(Table1[Amino Acid Change], $S158)=0, "Missing", "Y"))</f>
        <v/>
      </c>
      <c r="V158" s="9">
        <f t="shared" si="5"/>
        <v>0</v>
      </c>
    </row>
    <row r="159" spans="9:22" x14ac:dyDescent="0.25">
      <c r="I159" s="2">
        <f>'Raw Data Cut 1.3'!A155</f>
        <v>0</v>
      </c>
      <c r="J159" s="2">
        <f>'Raw Data Cut 1.3'!B155</f>
        <v>0</v>
      </c>
      <c r="K159" s="2">
        <f>'Raw Data Cut 1.3'!C155</f>
        <v>0</v>
      </c>
      <c r="L159" s="2">
        <f>'Raw Data Cut 1.3'!D155</f>
        <v>0</v>
      </c>
      <c r="M159" s="2">
        <f>'Raw Data Cut 1.3'!E155</f>
        <v>0</v>
      </c>
      <c r="N159" s="2">
        <f>'Raw Data Cut 1.3'!G155</f>
        <v>0</v>
      </c>
      <c r="O159" s="2">
        <f>'Raw Data Cut 1.3'!H155</f>
        <v>0</v>
      </c>
      <c r="P159" s="2">
        <f>'Raw Data Cut 1.3'!I155</f>
        <v>0</v>
      </c>
      <c r="Q159" s="2">
        <f>'Raw Data Cut 1.3'!J155</f>
        <v>0</v>
      </c>
      <c r="R159" s="2">
        <f>'Raw Data Cut 1.3'!K155</f>
        <v>0</v>
      </c>
      <c r="S159" s="2">
        <f>'Raw Data Cut 1.3'!N155</f>
        <v>0</v>
      </c>
      <c r="T159" s="2">
        <f t="shared" si="4"/>
        <v>0</v>
      </c>
      <c r="U159" s="9" t="str">
        <f>IF($S159=0, "", IF(COUNTIF(Table1[Amino Acid Change], $S159)=0, "Missing", "Y"))</f>
        <v/>
      </c>
      <c r="V159" s="9">
        <f t="shared" si="5"/>
        <v>0</v>
      </c>
    </row>
    <row r="160" spans="9:22" x14ac:dyDescent="0.25">
      <c r="I160" s="2">
        <f>'Raw Data Cut 1.3'!A156</f>
        <v>0</v>
      </c>
      <c r="J160" s="2">
        <f>'Raw Data Cut 1.3'!B156</f>
        <v>0</v>
      </c>
      <c r="K160" s="2">
        <f>'Raw Data Cut 1.3'!C156</f>
        <v>0</v>
      </c>
      <c r="L160" s="2">
        <f>'Raw Data Cut 1.3'!D156</f>
        <v>0</v>
      </c>
      <c r="M160" s="2">
        <f>'Raw Data Cut 1.3'!E156</f>
        <v>0</v>
      </c>
      <c r="N160" s="2">
        <f>'Raw Data Cut 1.3'!G156</f>
        <v>0</v>
      </c>
      <c r="O160" s="2">
        <f>'Raw Data Cut 1.3'!H156</f>
        <v>0</v>
      </c>
      <c r="P160" s="2">
        <f>'Raw Data Cut 1.3'!I156</f>
        <v>0</v>
      </c>
      <c r="Q160" s="2">
        <f>'Raw Data Cut 1.3'!J156</f>
        <v>0</v>
      </c>
      <c r="R160" s="2">
        <f>'Raw Data Cut 1.3'!K156</f>
        <v>0</v>
      </c>
      <c r="S160" s="2">
        <f>'Raw Data Cut 1.3'!N156</f>
        <v>0</v>
      </c>
      <c r="T160" s="2">
        <f t="shared" si="4"/>
        <v>0</v>
      </c>
      <c r="U160" s="9" t="str">
        <f>IF($S160=0, "", IF(COUNTIF(Table1[Amino Acid Change], $S160)=0, "Missing", "Y"))</f>
        <v/>
      </c>
      <c r="V160" s="9">
        <f t="shared" si="5"/>
        <v>0</v>
      </c>
    </row>
    <row r="161" spans="9:22" x14ac:dyDescent="0.25">
      <c r="I161" s="2">
        <f>'Raw Data Cut 1.3'!A157</f>
        <v>0</v>
      </c>
      <c r="J161" s="2">
        <f>'Raw Data Cut 1.3'!B157</f>
        <v>0</v>
      </c>
      <c r="K161" s="2">
        <f>'Raw Data Cut 1.3'!C157</f>
        <v>0</v>
      </c>
      <c r="L161" s="2">
        <f>'Raw Data Cut 1.3'!D157</f>
        <v>0</v>
      </c>
      <c r="M161" s="2">
        <f>'Raw Data Cut 1.3'!E157</f>
        <v>0</v>
      </c>
      <c r="N161" s="2">
        <f>'Raw Data Cut 1.3'!G157</f>
        <v>0</v>
      </c>
      <c r="O161" s="2">
        <f>'Raw Data Cut 1.3'!H157</f>
        <v>0</v>
      </c>
      <c r="P161" s="2">
        <f>'Raw Data Cut 1.3'!I157</f>
        <v>0</v>
      </c>
      <c r="Q161" s="2">
        <f>'Raw Data Cut 1.3'!J157</f>
        <v>0</v>
      </c>
      <c r="R161" s="2">
        <f>'Raw Data Cut 1.3'!K157</f>
        <v>0</v>
      </c>
      <c r="S161" s="2">
        <f>'Raw Data Cut 1.3'!N157</f>
        <v>0</v>
      </c>
      <c r="T161" s="2">
        <f t="shared" si="4"/>
        <v>0</v>
      </c>
      <c r="U161" s="9" t="str">
        <f>IF($S161=0, "", IF(COUNTIF(Table1[Amino Acid Change], $S161)=0, "Missing", "Y"))</f>
        <v/>
      </c>
      <c r="V161" s="9">
        <f t="shared" si="5"/>
        <v>0</v>
      </c>
    </row>
    <row r="162" spans="9:22" x14ac:dyDescent="0.25">
      <c r="I162" s="2">
        <f>'Raw Data Cut 1.3'!A158</f>
        <v>0</v>
      </c>
      <c r="J162" s="2">
        <f>'Raw Data Cut 1.3'!B158</f>
        <v>0</v>
      </c>
      <c r="K162" s="2">
        <f>'Raw Data Cut 1.3'!C158</f>
        <v>0</v>
      </c>
      <c r="L162" s="2">
        <f>'Raw Data Cut 1.3'!D158</f>
        <v>0</v>
      </c>
      <c r="M162" s="2">
        <f>'Raw Data Cut 1.3'!E158</f>
        <v>0</v>
      </c>
      <c r="N162" s="2">
        <f>'Raw Data Cut 1.3'!G158</f>
        <v>0</v>
      </c>
      <c r="O162" s="2">
        <f>'Raw Data Cut 1.3'!H158</f>
        <v>0</v>
      </c>
      <c r="P162" s="2">
        <f>'Raw Data Cut 1.3'!I158</f>
        <v>0</v>
      </c>
      <c r="Q162" s="2">
        <f>'Raw Data Cut 1.3'!J158</f>
        <v>0</v>
      </c>
      <c r="R162" s="2">
        <f>'Raw Data Cut 1.3'!K158</f>
        <v>0</v>
      </c>
      <c r="S162" s="2">
        <f>'Raw Data Cut 1.3'!N158</f>
        <v>0</v>
      </c>
      <c r="T162" s="2">
        <f t="shared" si="4"/>
        <v>0</v>
      </c>
      <c r="U162" s="9" t="str">
        <f>IF($S162=0, "", IF(COUNTIF(Table1[Amino Acid Change], $S162)=0, "Missing", "Y"))</f>
        <v/>
      </c>
      <c r="V162" s="9">
        <f t="shared" si="5"/>
        <v>0</v>
      </c>
    </row>
    <row r="163" spans="9:22" x14ac:dyDescent="0.25">
      <c r="I163" s="2">
        <f>'Raw Data Cut 1.3'!A159</f>
        <v>0</v>
      </c>
      <c r="J163" s="2">
        <f>'Raw Data Cut 1.3'!B159</f>
        <v>0</v>
      </c>
      <c r="K163" s="2">
        <f>'Raw Data Cut 1.3'!C159</f>
        <v>0</v>
      </c>
      <c r="L163" s="2">
        <f>'Raw Data Cut 1.3'!D159</f>
        <v>0</v>
      </c>
      <c r="M163" s="2">
        <f>'Raw Data Cut 1.3'!E159</f>
        <v>0</v>
      </c>
      <c r="N163" s="2">
        <f>'Raw Data Cut 1.3'!G159</f>
        <v>0</v>
      </c>
      <c r="O163" s="2">
        <f>'Raw Data Cut 1.3'!H159</f>
        <v>0</v>
      </c>
      <c r="P163" s="2">
        <f>'Raw Data Cut 1.3'!I159</f>
        <v>0</v>
      </c>
      <c r="Q163" s="2">
        <f>'Raw Data Cut 1.3'!J159</f>
        <v>0</v>
      </c>
      <c r="R163" s="2">
        <f>'Raw Data Cut 1.3'!K159</f>
        <v>0</v>
      </c>
      <c r="S163" s="2">
        <f>'Raw Data Cut 1.3'!N159</f>
        <v>0</v>
      </c>
      <c r="T163" s="2">
        <f t="shared" si="4"/>
        <v>0</v>
      </c>
      <c r="U163" s="9" t="str">
        <f>IF($S163=0, "", IF(COUNTIF(Table1[Amino Acid Change], $S163)=0, "Missing", "Y"))</f>
        <v/>
      </c>
      <c r="V163" s="9">
        <f t="shared" si="5"/>
        <v>0</v>
      </c>
    </row>
    <row r="164" spans="9:22" x14ac:dyDescent="0.25">
      <c r="I164" s="2">
        <f>'Raw Data Cut 1.3'!A160</f>
        <v>0</v>
      </c>
      <c r="J164" s="2">
        <f>'Raw Data Cut 1.3'!B160</f>
        <v>0</v>
      </c>
      <c r="K164" s="2">
        <f>'Raw Data Cut 1.3'!C160</f>
        <v>0</v>
      </c>
      <c r="L164" s="2">
        <f>'Raw Data Cut 1.3'!D160</f>
        <v>0</v>
      </c>
      <c r="M164" s="2">
        <f>'Raw Data Cut 1.3'!E160</f>
        <v>0</v>
      </c>
      <c r="N164" s="2">
        <f>'Raw Data Cut 1.3'!G160</f>
        <v>0</v>
      </c>
      <c r="O164" s="2">
        <f>'Raw Data Cut 1.3'!H160</f>
        <v>0</v>
      </c>
      <c r="P164" s="2">
        <f>'Raw Data Cut 1.3'!I160</f>
        <v>0</v>
      </c>
      <c r="Q164" s="2">
        <f>'Raw Data Cut 1.3'!J160</f>
        <v>0</v>
      </c>
      <c r="R164" s="2">
        <f>'Raw Data Cut 1.3'!K160</f>
        <v>0</v>
      </c>
      <c r="S164" s="2">
        <f>'Raw Data Cut 1.3'!N160</f>
        <v>0</v>
      </c>
      <c r="T164" s="2">
        <f t="shared" si="4"/>
        <v>0</v>
      </c>
      <c r="U164" s="9" t="str">
        <f>IF($S164=0, "", IF(COUNTIF(Table1[Amino Acid Change], $S164)=0, "Missing", "Y"))</f>
        <v/>
      </c>
      <c r="V164" s="9">
        <f t="shared" si="5"/>
        <v>0</v>
      </c>
    </row>
    <row r="165" spans="9:22" x14ac:dyDescent="0.25">
      <c r="I165" s="2">
        <f>'Raw Data Cut 1.3'!A161</f>
        <v>0</v>
      </c>
      <c r="J165" s="2">
        <f>'Raw Data Cut 1.3'!B161</f>
        <v>0</v>
      </c>
      <c r="K165" s="2">
        <f>'Raw Data Cut 1.3'!C161</f>
        <v>0</v>
      </c>
      <c r="L165" s="2">
        <f>'Raw Data Cut 1.3'!D161</f>
        <v>0</v>
      </c>
      <c r="M165" s="2">
        <f>'Raw Data Cut 1.3'!E161</f>
        <v>0</v>
      </c>
      <c r="N165" s="2">
        <f>'Raw Data Cut 1.3'!G161</f>
        <v>0</v>
      </c>
      <c r="O165" s="2">
        <f>'Raw Data Cut 1.3'!H161</f>
        <v>0</v>
      </c>
      <c r="P165" s="2">
        <f>'Raw Data Cut 1.3'!I161</f>
        <v>0</v>
      </c>
      <c r="Q165" s="2">
        <f>'Raw Data Cut 1.3'!J161</f>
        <v>0</v>
      </c>
      <c r="R165" s="2">
        <f>'Raw Data Cut 1.3'!K161</f>
        <v>0</v>
      </c>
      <c r="S165" s="2">
        <f>'Raw Data Cut 1.3'!N161</f>
        <v>0</v>
      </c>
      <c r="T165" s="2">
        <f t="shared" si="4"/>
        <v>0</v>
      </c>
      <c r="U165" s="9" t="str">
        <f>IF($S165=0, "", IF(COUNTIF(Table1[Amino Acid Change], $S165)=0, "Missing", "Y"))</f>
        <v/>
      </c>
      <c r="V165" s="9">
        <f t="shared" si="5"/>
        <v>0</v>
      </c>
    </row>
    <row r="166" spans="9:22" x14ac:dyDescent="0.25">
      <c r="I166" s="2">
        <f>'Raw Data Cut 1.3'!A162</f>
        <v>0</v>
      </c>
      <c r="J166" s="2">
        <f>'Raw Data Cut 1.3'!B162</f>
        <v>0</v>
      </c>
      <c r="K166" s="2">
        <f>'Raw Data Cut 1.3'!C162</f>
        <v>0</v>
      </c>
      <c r="L166" s="2">
        <f>'Raw Data Cut 1.3'!D162</f>
        <v>0</v>
      </c>
      <c r="M166" s="2">
        <f>'Raw Data Cut 1.3'!E162</f>
        <v>0</v>
      </c>
      <c r="N166" s="2">
        <f>'Raw Data Cut 1.3'!G162</f>
        <v>0</v>
      </c>
      <c r="O166" s="2">
        <f>'Raw Data Cut 1.3'!H162</f>
        <v>0</v>
      </c>
      <c r="P166" s="2">
        <f>'Raw Data Cut 1.3'!I162</f>
        <v>0</v>
      </c>
      <c r="Q166" s="2">
        <f>'Raw Data Cut 1.3'!J162</f>
        <v>0</v>
      </c>
      <c r="R166" s="2">
        <f>'Raw Data Cut 1.3'!K162</f>
        <v>0</v>
      </c>
      <c r="S166" s="2">
        <f>'Raw Data Cut 1.3'!N162</f>
        <v>0</v>
      </c>
      <c r="T166" s="2">
        <f t="shared" si="4"/>
        <v>0</v>
      </c>
      <c r="U166" s="9" t="str">
        <f>IF($S166=0, "", IF(COUNTIF(Table1[Amino Acid Change], $S166)=0, "Missing", "Y"))</f>
        <v/>
      </c>
      <c r="V166" s="9">
        <f t="shared" si="5"/>
        <v>0</v>
      </c>
    </row>
    <row r="167" spans="9:22" x14ac:dyDescent="0.25">
      <c r="I167" s="2">
        <f>'Raw Data Cut 1.3'!A163</f>
        <v>0</v>
      </c>
      <c r="J167" s="2">
        <f>'Raw Data Cut 1.3'!B163</f>
        <v>0</v>
      </c>
      <c r="K167" s="2">
        <f>'Raw Data Cut 1.3'!C163</f>
        <v>0</v>
      </c>
      <c r="L167" s="2">
        <f>'Raw Data Cut 1.3'!D163</f>
        <v>0</v>
      </c>
      <c r="M167" s="2">
        <f>'Raw Data Cut 1.3'!E163</f>
        <v>0</v>
      </c>
      <c r="N167" s="2">
        <f>'Raw Data Cut 1.3'!G163</f>
        <v>0</v>
      </c>
      <c r="O167" s="2">
        <f>'Raw Data Cut 1.3'!H163</f>
        <v>0</v>
      </c>
      <c r="P167" s="2">
        <f>'Raw Data Cut 1.3'!I163</f>
        <v>0</v>
      </c>
      <c r="Q167" s="2">
        <f>'Raw Data Cut 1.3'!J163</f>
        <v>0</v>
      </c>
      <c r="R167" s="2">
        <f>'Raw Data Cut 1.3'!K163</f>
        <v>0</v>
      </c>
      <c r="S167" s="2">
        <f>'Raw Data Cut 1.3'!N163</f>
        <v>0</v>
      </c>
      <c r="T167" s="2">
        <f t="shared" si="4"/>
        <v>0</v>
      </c>
      <c r="U167" s="9" t="str">
        <f>IF($S167=0, "", IF(COUNTIF(Table1[Amino Acid Change], $S167)=0, "Missing", "Y"))</f>
        <v/>
      </c>
      <c r="V167" s="9">
        <f t="shared" si="5"/>
        <v>0</v>
      </c>
    </row>
    <row r="168" spans="9:22" x14ac:dyDescent="0.25">
      <c r="I168" s="2">
        <f>'Raw Data Cut 1.3'!A164</f>
        <v>0</v>
      </c>
      <c r="J168" s="2">
        <f>'Raw Data Cut 1.3'!B164</f>
        <v>0</v>
      </c>
      <c r="K168" s="2">
        <f>'Raw Data Cut 1.3'!C164</f>
        <v>0</v>
      </c>
      <c r="L168" s="2">
        <f>'Raw Data Cut 1.3'!D164</f>
        <v>0</v>
      </c>
      <c r="M168" s="2">
        <f>'Raw Data Cut 1.3'!E164</f>
        <v>0</v>
      </c>
      <c r="N168" s="2">
        <f>'Raw Data Cut 1.3'!G164</f>
        <v>0</v>
      </c>
      <c r="O168" s="2">
        <f>'Raw Data Cut 1.3'!H164</f>
        <v>0</v>
      </c>
      <c r="P168" s="2">
        <f>'Raw Data Cut 1.3'!I164</f>
        <v>0</v>
      </c>
      <c r="Q168" s="2">
        <f>'Raw Data Cut 1.3'!J164</f>
        <v>0</v>
      </c>
      <c r="R168" s="2">
        <f>'Raw Data Cut 1.3'!K164</f>
        <v>0</v>
      </c>
      <c r="S168" s="2">
        <f>'Raw Data Cut 1.3'!N164</f>
        <v>0</v>
      </c>
      <c r="T168" s="2">
        <f t="shared" si="4"/>
        <v>0</v>
      </c>
      <c r="U168" s="9" t="str">
        <f>IF($S168=0, "", IF(COUNTIF(Table1[Amino Acid Change], $S168)=0, "Missing", "Y"))</f>
        <v/>
      </c>
      <c r="V168" s="9">
        <f t="shared" si="5"/>
        <v>0</v>
      </c>
    </row>
    <row r="169" spans="9:22" x14ac:dyDescent="0.25">
      <c r="I169" s="2">
        <f>'Raw Data Cut 1.3'!A165</f>
        <v>0</v>
      </c>
      <c r="J169" s="2">
        <f>'Raw Data Cut 1.3'!B165</f>
        <v>0</v>
      </c>
      <c r="K169" s="2">
        <f>'Raw Data Cut 1.3'!C165</f>
        <v>0</v>
      </c>
      <c r="L169" s="2">
        <f>'Raw Data Cut 1.3'!D165</f>
        <v>0</v>
      </c>
      <c r="M169" s="2">
        <f>'Raw Data Cut 1.3'!E165</f>
        <v>0</v>
      </c>
      <c r="N169" s="2">
        <f>'Raw Data Cut 1.3'!G165</f>
        <v>0</v>
      </c>
      <c r="O169" s="2">
        <f>'Raw Data Cut 1.3'!H165</f>
        <v>0</v>
      </c>
      <c r="P169" s="2">
        <f>'Raw Data Cut 1.3'!I165</f>
        <v>0</v>
      </c>
      <c r="Q169" s="2">
        <f>'Raw Data Cut 1.3'!J165</f>
        <v>0</v>
      </c>
      <c r="R169" s="2">
        <f>'Raw Data Cut 1.3'!K165</f>
        <v>0</v>
      </c>
      <c r="S169" s="2">
        <f>'Raw Data Cut 1.3'!N165</f>
        <v>0</v>
      </c>
      <c r="T169" s="2">
        <f t="shared" si="4"/>
        <v>0</v>
      </c>
      <c r="U169" s="9" t="str">
        <f>IF($S169=0, "", IF(COUNTIF(Table1[Amino Acid Change], $S169)=0, "Missing", "Y"))</f>
        <v/>
      </c>
      <c r="V169" s="9">
        <f t="shared" si="5"/>
        <v>0</v>
      </c>
    </row>
    <row r="170" spans="9:22" x14ac:dyDescent="0.25">
      <c r="I170" s="2">
        <f>'Raw Data Cut 1.3'!A166</f>
        <v>0</v>
      </c>
      <c r="J170" s="2">
        <f>'Raw Data Cut 1.3'!B166</f>
        <v>0</v>
      </c>
      <c r="K170" s="2">
        <f>'Raw Data Cut 1.3'!C166</f>
        <v>0</v>
      </c>
      <c r="L170" s="2">
        <f>'Raw Data Cut 1.3'!D166</f>
        <v>0</v>
      </c>
      <c r="M170" s="2">
        <f>'Raw Data Cut 1.3'!E166</f>
        <v>0</v>
      </c>
      <c r="N170" s="2">
        <f>'Raw Data Cut 1.3'!G166</f>
        <v>0</v>
      </c>
      <c r="O170" s="2">
        <f>'Raw Data Cut 1.3'!H166</f>
        <v>0</v>
      </c>
      <c r="P170" s="2">
        <f>'Raw Data Cut 1.3'!I166</f>
        <v>0</v>
      </c>
      <c r="Q170" s="2">
        <f>'Raw Data Cut 1.3'!J166</f>
        <v>0</v>
      </c>
      <c r="R170" s="2">
        <f>'Raw Data Cut 1.3'!K166</f>
        <v>0</v>
      </c>
      <c r="S170" s="2">
        <f>'Raw Data Cut 1.3'!N166</f>
        <v>0</v>
      </c>
      <c r="T170" s="2">
        <f t="shared" si="4"/>
        <v>0</v>
      </c>
      <c r="U170" s="9" t="str">
        <f>IF($S170=0, "", IF(COUNTIF(Table1[Amino Acid Change], $S170)=0, "Missing", "Y"))</f>
        <v/>
      </c>
      <c r="V170" s="9">
        <f t="shared" si="5"/>
        <v>0</v>
      </c>
    </row>
    <row r="171" spans="9:22" x14ac:dyDescent="0.25">
      <c r="I171" s="2">
        <f>'Raw Data Cut 1.3'!A167</f>
        <v>0</v>
      </c>
      <c r="J171" s="2">
        <f>'Raw Data Cut 1.3'!B167</f>
        <v>0</v>
      </c>
      <c r="K171" s="2">
        <f>'Raw Data Cut 1.3'!C167</f>
        <v>0</v>
      </c>
      <c r="L171" s="2">
        <f>'Raw Data Cut 1.3'!D167</f>
        <v>0</v>
      </c>
      <c r="M171" s="2">
        <f>'Raw Data Cut 1.3'!E167</f>
        <v>0</v>
      </c>
      <c r="N171" s="2">
        <f>'Raw Data Cut 1.3'!G167</f>
        <v>0</v>
      </c>
      <c r="O171" s="2">
        <f>'Raw Data Cut 1.3'!H167</f>
        <v>0</v>
      </c>
      <c r="P171" s="2">
        <f>'Raw Data Cut 1.3'!I167</f>
        <v>0</v>
      </c>
      <c r="Q171" s="2">
        <f>'Raw Data Cut 1.3'!J167</f>
        <v>0</v>
      </c>
      <c r="R171" s="2">
        <f>'Raw Data Cut 1.3'!K167</f>
        <v>0</v>
      </c>
      <c r="S171" s="2">
        <f>'Raw Data Cut 1.3'!N167</f>
        <v>0</v>
      </c>
      <c r="T171" s="2">
        <f t="shared" si="4"/>
        <v>0</v>
      </c>
      <c r="U171" s="9" t="str">
        <f>IF($S171=0, "", IF(COUNTIF(Table1[Amino Acid Change], $S171)=0, "Missing", "Y"))</f>
        <v/>
      </c>
      <c r="V171" s="9">
        <f t="shared" si="5"/>
        <v>0</v>
      </c>
    </row>
    <row r="172" spans="9:22" x14ac:dyDescent="0.25">
      <c r="I172" s="2">
        <f>'Raw Data Cut 1.3'!A167</f>
        <v>0</v>
      </c>
      <c r="J172" s="2">
        <f>'Raw Data Cut 1.3'!B167</f>
        <v>0</v>
      </c>
      <c r="K172" s="2">
        <f>'Raw Data Cut 1.3'!C167</f>
        <v>0</v>
      </c>
      <c r="L172" s="2">
        <f>'Raw Data Cut 1.3'!D167</f>
        <v>0</v>
      </c>
      <c r="M172" s="2">
        <f>'Raw Data Cut 1.3'!E167</f>
        <v>0</v>
      </c>
      <c r="N172" s="2">
        <f>'Raw Data Cut 1.3'!G167</f>
        <v>0</v>
      </c>
      <c r="O172" s="2">
        <f>'Raw Data Cut 1.3'!H167</f>
        <v>0</v>
      </c>
      <c r="P172" s="2">
        <f>'Raw Data Cut 1.3'!I167</f>
        <v>0</v>
      </c>
      <c r="Q172" s="2">
        <f>'Raw Data Cut 1.3'!J167</f>
        <v>0</v>
      </c>
      <c r="R172" s="2">
        <f>'Raw Data Cut 1.3'!K167</f>
        <v>0</v>
      </c>
      <c r="S172" s="2">
        <f>'Raw Data Cut 1.3'!N167</f>
        <v>0</v>
      </c>
      <c r="T172" s="2">
        <f t="shared" si="4"/>
        <v>0</v>
      </c>
      <c r="U172" s="9" t="str">
        <f>IF($S172=0, "", IF(COUNTIF(Table1[Amino Acid Change], $S172)=0, "Missing", "Y"))</f>
        <v/>
      </c>
      <c r="V172" s="9">
        <f t="shared" si="5"/>
        <v>0</v>
      </c>
    </row>
    <row r="173" spans="9:22" x14ac:dyDescent="0.25">
      <c r="I173" s="2">
        <f>'Raw Data Cut 1.3'!A168</f>
        <v>0</v>
      </c>
      <c r="J173" s="2">
        <f>'Raw Data Cut 1.3'!B168</f>
        <v>0</v>
      </c>
      <c r="K173" s="2">
        <f>'Raw Data Cut 1.3'!C168</f>
        <v>0</v>
      </c>
      <c r="L173" s="2">
        <f>'Raw Data Cut 1.3'!D168</f>
        <v>0</v>
      </c>
      <c r="M173" s="2">
        <f>'Raw Data Cut 1.3'!E168</f>
        <v>0</v>
      </c>
      <c r="N173" s="2">
        <f>'Raw Data Cut 1.3'!G168</f>
        <v>0</v>
      </c>
      <c r="O173" s="2">
        <f>'Raw Data Cut 1.3'!H168</f>
        <v>0</v>
      </c>
      <c r="P173" s="2">
        <f>'Raw Data Cut 1.3'!I168</f>
        <v>0</v>
      </c>
      <c r="Q173" s="2">
        <f>'Raw Data Cut 1.3'!J168</f>
        <v>0</v>
      </c>
      <c r="R173" s="2">
        <f>'Raw Data Cut 1.3'!K168</f>
        <v>0</v>
      </c>
      <c r="S173" s="2">
        <f>'Raw Data Cut 1.3'!N168</f>
        <v>0</v>
      </c>
      <c r="T173" s="2">
        <f t="shared" si="4"/>
        <v>0</v>
      </c>
      <c r="U173" s="9" t="str">
        <f>IF($S173=0, "", IF(COUNTIF(Table1[Amino Acid Change], $S173)=0, "Missing", "Y"))</f>
        <v/>
      </c>
      <c r="V173" s="9">
        <f t="shared" si="5"/>
        <v>0</v>
      </c>
    </row>
    <row r="174" spans="9:22" x14ac:dyDescent="0.25">
      <c r="I174" s="2">
        <f>'Raw Data Cut 1.3'!A169</f>
        <v>0</v>
      </c>
      <c r="J174" s="2">
        <f>'Raw Data Cut 1.3'!B169</f>
        <v>0</v>
      </c>
      <c r="K174" s="2">
        <f>'Raw Data Cut 1.3'!C169</f>
        <v>0</v>
      </c>
      <c r="L174" s="2">
        <f>'Raw Data Cut 1.3'!D169</f>
        <v>0</v>
      </c>
      <c r="M174" s="2">
        <f>'Raw Data Cut 1.3'!E169</f>
        <v>0</v>
      </c>
      <c r="N174" s="2">
        <f>'Raw Data Cut 1.3'!G169</f>
        <v>0</v>
      </c>
      <c r="O174" s="2">
        <f>'Raw Data Cut 1.3'!H169</f>
        <v>0</v>
      </c>
      <c r="P174" s="2">
        <f>'Raw Data Cut 1.3'!I169</f>
        <v>0</v>
      </c>
      <c r="Q174" s="2">
        <f>'Raw Data Cut 1.3'!J169</f>
        <v>0</v>
      </c>
      <c r="R174" s="2">
        <f>'Raw Data Cut 1.3'!K169</f>
        <v>0</v>
      </c>
      <c r="S174" s="2">
        <f>'Raw Data Cut 1.3'!N169</f>
        <v>0</v>
      </c>
      <c r="T174" s="2">
        <f t="shared" si="4"/>
        <v>0</v>
      </c>
      <c r="U174" s="9" t="str">
        <f>IF($S174=0, "", IF(COUNTIF(Table1[Amino Acid Change], $S174)=0, "Missing", "Y"))</f>
        <v/>
      </c>
      <c r="V174" s="9">
        <f t="shared" si="5"/>
        <v>0</v>
      </c>
    </row>
    <row r="175" spans="9:22" x14ac:dyDescent="0.25">
      <c r="I175" s="2">
        <f>'Raw Data Cut 1.3'!A170</f>
        <v>0</v>
      </c>
      <c r="J175" s="2">
        <f>'Raw Data Cut 1.3'!B170</f>
        <v>0</v>
      </c>
      <c r="K175" s="2">
        <f>'Raw Data Cut 1.3'!C170</f>
        <v>0</v>
      </c>
      <c r="L175" s="2">
        <f>'Raw Data Cut 1.3'!D170</f>
        <v>0</v>
      </c>
      <c r="M175" s="2">
        <f>'Raw Data Cut 1.3'!E170</f>
        <v>0</v>
      </c>
      <c r="N175" s="2">
        <f>'Raw Data Cut 1.3'!G170</f>
        <v>0</v>
      </c>
      <c r="O175" s="2">
        <f>'Raw Data Cut 1.3'!H170</f>
        <v>0</v>
      </c>
      <c r="P175" s="2">
        <f>'Raw Data Cut 1.3'!I170</f>
        <v>0</v>
      </c>
      <c r="Q175" s="2">
        <f>'Raw Data Cut 1.3'!J170</f>
        <v>0</v>
      </c>
      <c r="R175" s="2">
        <f>'Raw Data Cut 1.3'!K170</f>
        <v>0</v>
      </c>
      <c r="S175" s="2">
        <f>'Raw Data Cut 1.3'!N170</f>
        <v>0</v>
      </c>
      <c r="T175" s="2">
        <f t="shared" si="4"/>
        <v>0</v>
      </c>
      <c r="U175" s="9" t="str">
        <f>IF($S175=0, "", IF(COUNTIF(Table1[Amino Acid Change], $S175)=0, "Missing", "Y"))</f>
        <v/>
      </c>
      <c r="V175" s="9">
        <f t="shared" si="5"/>
        <v>0</v>
      </c>
    </row>
    <row r="176" spans="9:22" x14ac:dyDescent="0.25">
      <c r="I176" s="2">
        <f>'Raw Data Cut 1.3'!A171</f>
        <v>0</v>
      </c>
      <c r="J176" s="2">
        <f>'Raw Data Cut 1.3'!B171</f>
        <v>0</v>
      </c>
      <c r="K176" s="2">
        <f>'Raw Data Cut 1.3'!C171</f>
        <v>0</v>
      </c>
      <c r="L176" s="2">
        <f>'Raw Data Cut 1.3'!D171</f>
        <v>0</v>
      </c>
      <c r="M176" s="2">
        <f>'Raw Data Cut 1.3'!E171</f>
        <v>0</v>
      </c>
      <c r="N176" s="2">
        <f>'Raw Data Cut 1.3'!G171</f>
        <v>0</v>
      </c>
      <c r="O176" s="2">
        <f>'Raw Data Cut 1.3'!H171</f>
        <v>0</v>
      </c>
      <c r="P176" s="2">
        <f>'Raw Data Cut 1.3'!I171</f>
        <v>0</v>
      </c>
      <c r="Q176" s="2">
        <f>'Raw Data Cut 1.3'!J171</f>
        <v>0</v>
      </c>
      <c r="R176" s="2">
        <f>'Raw Data Cut 1.3'!K171</f>
        <v>0</v>
      </c>
      <c r="S176" s="2">
        <f>'Raw Data Cut 1.3'!N171</f>
        <v>0</v>
      </c>
      <c r="T176" s="2">
        <f t="shared" si="4"/>
        <v>0</v>
      </c>
      <c r="U176" s="9" t="str">
        <f>IF($S176=0, "", IF(COUNTIF(Table1[Amino Acid Change], $S176)=0, "Missing", "Y"))</f>
        <v/>
      </c>
      <c r="V176" s="9">
        <f t="shared" si="5"/>
        <v>0</v>
      </c>
    </row>
    <row r="177" spans="9:22" x14ac:dyDescent="0.25">
      <c r="I177" s="2">
        <f>'Raw Data Cut 1.3'!A172</f>
        <v>0</v>
      </c>
      <c r="J177" s="2">
        <f>'Raw Data Cut 1.3'!B172</f>
        <v>0</v>
      </c>
      <c r="K177" s="2">
        <f>'Raw Data Cut 1.3'!C172</f>
        <v>0</v>
      </c>
      <c r="L177" s="2">
        <f>'Raw Data Cut 1.3'!D172</f>
        <v>0</v>
      </c>
      <c r="M177" s="2">
        <f>'Raw Data Cut 1.3'!E172</f>
        <v>0</v>
      </c>
      <c r="N177" s="2">
        <f>'Raw Data Cut 1.3'!G172</f>
        <v>0</v>
      </c>
      <c r="O177" s="2">
        <f>'Raw Data Cut 1.3'!H172</f>
        <v>0</v>
      </c>
      <c r="P177" s="2">
        <f>'Raw Data Cut 1.3'!I172</f>
        <v>0</v>
      </c>
      <c r="Q177" s="2">
        <f>'Raw Data Cut 1.3'!J172</f>
        <v>0</v>
      </c>
      <c r="R177" s="2">
        <f>'Raw Data Cut 1.3'!K172</f>
        <v>0</v>
      </c>
      <c r="S177" s="2">
        <f>'Raw Data Cut 1.3'!N172</f>
        <v>0</v>
      </c>
      <c r="T177" s="2">
        <f t="shared" si="4"/>
        <v>0</v>
      </c>
      <c r="U177" s="9" t="str">
        <f>IF($S177=0, "", IF(COUNTIF(Table1[Amino Acid Change], $S177)=0, "Missing", "Y"))</f>
        <v/>
      </c>
      <c r="V177" s="9">
        <f t="shared" si="5"/>
        <v>0</v>
      </c>
    </row>
    <row r="178" spans="9:22" x14ac:dyDescent="0.25">
      <c r="I178" s="2">
        <f>'Raw Data Cut 1.3'!A173</f>
        <v>0</v>
      </c>
      <c r="J178" s="2">
        <f>'Raw Data Cut 1.3'!B173</f>
        <v>0</v>
      </c>
      <c r="K178" s="2">
        <f>'Raw Data Cut 1.3'!C173</f>
        <v>0</v>
      </c>
      <c r="L178" s="2">
        <f>'Raw Data Cut 1.3'!D173</f>
        <v>0</v>
      </c>
      <c r="M178" s="2">
        <f>'Raw Data Cut 1.3'!E173</f>
        <v>0</v>
      </c>
      <c r="N178" s="2">
        <f>'Raw Data Cut 1.3'!G173</f>
        <v>0</v>
      </c>
      <c r="O178" s="2">
        <f>'Raw Data Cut 1.3'!H173</f>
        <v>0</v>
      </c>
      <c r="P178" s="2">
        <f>'Raw Data Cut 1.3'!I173</f>
        <v>0</v>
      </c>
      <c r="Q178" s="2">
        <f>'Raw Data Cut 1.3'!J173</f>
        <v>0</v>
      </c>
      <c r="R178" s="2">
        <f>'Raw Data Cut 1.3'!K173</f>
        <v>0</v>
      </c>
      <c r="S178" s="2">
        <f>'Raw Data Cut 1.3'!N173</f>
        <v>0</v>
      </c>
      <c r="T178" s="2">
        <f t="shared" si="4"/>
        <v>0</v>
      </c>
      <c r="U178" s="9" t="str">
        <f>IF($S178=0, "", IF(COUNTIF(Table1[Amino Acid Change], $S178)=0, "Missing", "Y"))</f>
        <v/>
      </c>
      <c r="V178" s="9">
        <f t="shared" si="5"/>
        <v>0</v>
      </c>
    </row>
    <row r="179" spans="9:22" x14ac:dyDescent="0.25">
      <c r="I179" s="2">
        <f>'Raw Data Cut 1.3'!A174</f>
        <v>0</v>
      </c>
      <c r="J179" s="2">
        <f>'Raw Data Cut 1.3'!B174</f>
        <v>0</v>
      </c>
      <c r="K179" s="2">
        <f>'Raw Data Cut 1.3'!C174</f>
        <v>0</v>
      </c>
      <c r="L179" s="2">
        <f>'Raw Data Cut 1.3'!D174</f>
        <v>0</v>
      </c>
      <c r="M179" s="2">
        <f>'Raw Data Cut 1.3'!E174</f>
        <v>0</v>
      </c>
      <c r="N179" s="2">
        <f>'Raw Data Cut 1.3'!G174</f>
        <v>0</v>
      </c>
      <c r="O179" s="2">
        <f>'Raw Data Cut 1.3'!H174</f>
        <v>0</v>
      </c>
      <c r="P179" s="2">
        <f>'Raw Data Cut 1.3'!I174</f>
        <v>0</v>
      </c>
      <c r="Q179" s="2">
        <f>'Raw Data Cut 1.3'!J174</f>
        <v>0</v>
      </c>
      <c r="R179" s="2">
        <f>'Raw Data Cut 1.3'!K174</f>
        <v>0</v>
      </c>
      <c r="S179" s="2">
        <f>'Raw Data Cut 1.3'!N174</f>
        <v>0</v>
      </c>
      <c r="T179" s="2">
        <f t="shared" si="4"/>
        <v>0</v>
      </c>
      <c r="U179" s="9" t="str">
        <f>IF($S179=0, "", IF(COUNTIF(Table1[Amino Acid Change], $S179)=0, "Missing", "Y"))</f>
        <v/>
      </c>
      <c r="V179" s="9">
        <f t="shared" si="5"/>
        <v>0</v>
      </c>
    </row>
    <row r="180" spans="9:22" x14ac:dyDescent="0.25">
      <c r="I180" s="2">
        <f>'Raw Data Cut 1.3'!A175</f>
        <v>0</v>
      </c>
      <c r="J180" s="2">
        <f>'Raw Data Cut 1.3'!B175</f>
        <v>0</v>
      </c>
      <c r="K180" s="2">
        <f>'Raw Data Cut 1.3'!C175</f>
        <v>0</v>
      </c>
      <c r="L180" s="2">
        <f>'Raw Data Cut 1.3'!D175</f>
        <v>0</v>
      </c>
      <c r="M180" s="2">
        <f>'Raw Data Cut 1.3'!E175</f>
        <v>0</v>
      </c>
      <c r="N180" s="2">
        <f>'Raw Data Cut 1.3'!G175</f>
        <v>0</v>
      </c>
      <c r="O180" s="2">
        <f>'Raw Data Cut 1.3'!H175</f>
        <v>0</v>
      </c>
      <c r="P180" s="2">
        <f>'Raw Data Cut 1.3'!I175</f>
        <v>0</v>
      </c>
      <c r="Q180" s="2">
        <f>'Raw Data Cut 1.3'!J175</f>
        <v>0</v>
      </c>
      <c r="R180" s="2">
        <f>'Raw Data Cut 1.3'!K175</f>
        <v>0</v>
      </c>
      <c r="S180" s="2">
        <f>'Raw Data Cut 1.3'!N175</f>
        <v>0</v>
      </c>
      <c r="T180" s="2">
        <f t="shared" si="4"/>
        <v>0</v>
      </c>
      <c r="U180" s="9" t="str">
        <f>IF($S180=0, "", IF(COUNTIF(Table1[Amino Acid Change], $S180)=0, "Missing", "Y"))</f>
        <v/>
      </c>
      <c r="V180" s="9">
        <f t="shared" si="5"/>
        <v>0</v>
      </c>
    </row>
    <row r="181" spans="9:22" x14ac:dyDescent="0.25">
      <c r="I181" s="2">
        <f>'Raw Data Cut 1.3'!A176</f>
        <v>0</v>
      </c>
      <c r="J181" s="2">
        <f>'Raw Data Cut 1.3'!B176</f>
        <v>0</v>
      </c>
      <c r="K181" s="2">
        <f>'Raw Data Cut 1.3'!C176</f>
        <v>0</v>
      </c>
      <c r="L181" s="2">
        <f>'Raw Data Cut 1.3'!D176</f>
        <v>0</v>
      </c>
      <c r="M181" s="2">
        <f>'Raw Data Cut 1.3'!E176</f>
        <v>0</v>
      </c>
      <c r="N181" s="2">
        <f>'Raw Data Cut 1.3'!G176</f>
        <v>0</v>
      </c>
      <c r="O181" s="2">
        <f>'Raw Data Cut 1.3'!H176</f>
        <v>0</v>
      </c>
      <c r="P181" s="2">
        <f>'Raw Data Cut 1.3'!I176</f>
        <v>0</v>
      </c>
      <c r="Q181" s="2">
        <f>'Raw Data Cut 1.3'!J176</f>
        <v>0</v>
      </c>
      <c r="R181" s="2">
        <f>'Raw Data Cut 1.3'!K176</f>
        <v>0</v>
      </c>
      <c r="S181" s="2">
        <f>'Raw Data Cut 1.3'!N176</f>
        <v>0</v>
      </c>
      <c r="T181" s="2">
        <f t="shared" si="4"/>
        <v>0</v>
      </c>
      <c r="U181" s="9" t="str">
        <f>IF($S181=0, "", IF(COUNTIF(Table1[Amino Acid Change], $S181)=0, "Missing", "Y"))</f>
        <v/>
      </c>
      <c r="V181" s="9">
        <f t="shared" si="5"/>
        <v>0</v>
      </c>
    </row>
    <row r="182" spans="9:22" x14ac:dyDescent="0.25">
      <c r="I182" s="2">
        <f>'Raw Data Cut 1.3'!A177</f>
        <v>0</v>
      </c>
      <c r="J182" s="2">
        <f>'Raw Data Cut 1.3'!B177</f>
        <v>0</v>
      </c>
      <c r="K182" s="2">
        <f>'Raw Data Cut 1.3'!C177</f>
        <v>0</v>
      </c>
      <c r="L182" s="2">
        <f>'Raw Data Cut 1.3'!D177</f>
        <v>0</v>
      </c>
      <c r="M182" s="2">
        <f>'Raw Data Cut 1.3'!E177</f>
        <v>0</v>
      </c>
      <c r="N182" s="2">
        <f>'Raw Data Cut 1.3'!G177</f>
        <v>0</v>
      </c>
      <c r="O182" s="2">
        <f>'Raw Data Cut 1.3'!H177</f>
        <v>0</v>
      </c>
      <c r="P182" s="2">
        <f>'Raw Data Cut 1.3'!I177</f>
        <v>0</v>
      </c>
      <c r="Q182" s="2">
        <f>'Raw Data Cut 1.3'!J177</f>
        <v>0</v>
      </c>
      <c r="R182" s="2">
        <f>'Raw Data Cut 1.3'!K177</f>
        <v>0</v>
      </c>
      <c r="S182" s="2">
        <f>'Raw Data Cut 1.3'!N177</f>
        <v>0</v>
      </c>
      <c r="T182" s="2">
        <f t="shared" si="4"/>
        <v>0</v>
      </c>
      <c r="U182" s="9" t="str">
        <f>IF($S182=0, "", IF(COUNTIF(Table1[Amino Acid Change], $S182)=0, "Missing", "Y"))</f>
        <v/>
      </c>
      <c r="V182" s="9">
        <f t="shared" si="5"/>
        <v>0</v>
      </c>
    </row>
    <row r="183" spans="9:22" x14ac:dyDescent="0.25">
      <c r="I183" s="2">
        <f>'Raw Data Cut 1.3'!A178</f>
        <v>0</v>
      </c>
      <c r="J183" s="2">
        <f>'Raw Data Cut 1.3'!B178</f>
        <v>0</v>
      </c>
      <c r="K183" s="2">
        <f>'Raw Data Cut 1.3'!C178</f>
        <v>0</v>
      </c>
      <c r="L183" s="2">
        <f>'Raw Data Cut 1.3'!D178</f>
        <v>0</v>
      </c>
      <c r="M183" s="2">
        <f>'Raw Data Cut 1.3'!E178</f>
        <v>0</v>
      </c>
      <c r="N183" s="2">
        <f>'Raw Data Cut 1.3'!G178</f>
        <v>0</v>
      </c>
      <c r="O183" s="2">
        <f>'Raw Data Cut 1.3'!H178</f>
        <v>0</v>
      </c>
      <c r="P183" s="2">
        <f>'Raw Data Cut 1.3'!I178</f>
        <v>0</v>
      </c>
      <c r="Q183" s="2">
        <f>'Raw Data Cut 1.3'!J178</f>
        <v>0</v>
      </c>
      <c r="R183" s="2">
        <f>'Raw Data Cut 1.3'!K178</f>
        <v>0</v>
      </c>
      <c r="S183" s="2">
        <f>'Raw Data Cut 1.3'!N178</f>
        <v>0</v>
      </c>
      <c r="T183" s="2">
        <f t="shared" si="4"/>
        <v>0</v>
      </c>
      <c r="U183" s="9" t="str">
        <f>IF($S183=0, "", IF(COUNTIF(Table1[Amino Acid Change], $S183)=0, "Missing", "Y"))</f>
        <v/>
      </c>
      <c r="V183" s="9">
        <f t="shared" si="5"/>
        <v>0</v>
      </c>
    </row>
    <row r="184" spans="9:22" x14ac:dyDescent="0.25">
      <c r="I184" s="2">
        <f>'Raw Data Cut 1.3'!A179</f>
        <v>0</v>
      </c>
      <c r="J184" s="2">
        <f>'Raw Data Cut 1.3'!B179</f>
        <v>0</v>
      </c>
      <c r="K184" s="2">
        <f>'Raw Data Cut 1.3'!C179</f>
        <v>0</v>
      </c>
      <c r="L184" s="2">
        <f>'Raw Data Cut 1.3'!D179</f>
        <v>0</v>
      </c>
      <c r="M184" s="2">
        <f>'Raw Data Cut 1.3'!E179</f>
        <v>0</v>
      </c>
      <c r="N184" s="2">
        <f>'Raw Data Cut 1.3'!G179</f>
        <v>0</v>
      </c>
      <c r="O184" s="2">
        <f>'Raw Data Cut 1.3'!H179</f>
        <v>0</v>
      </c>
      <c r="P184" s="2">
        <f>'Raw Data Cut 1.3'!I179</f>
        <v>0</v>
      </c>
      <c r="Q184" s="2">
        <f>'Raw Data Cut 1.3'!J179</f>
        <v>0</v>
      </c>
      <c r="R184" s="2">
        <f>'Raw Data Cut 1.3'!K179</f>
        <v>0</v>
      </c>
      <c r="S184" s="2">
        <f>'Raw Data Cut 1.3'!N179</f>
        <v>0</v>
      </c>
      <c r="T184" s="2">
        <f t="shared" si="4"/>
        <v>0</v>
      </c>
      <c r="U184" s="9" t="str">
        <f>IF($S184=0, "", IF(COUNTIF(Table1[Amino Acid Change], $S184)=0, "Missing", "Y"))</f>
        <v/>
      </c>
      <c r="V184" s="9">
        <f t="shared" si="5"/>
        <v>0</v>
      </c>
    </row>
    <row r="185" spans="9:22" x14ac:dyDescent="0.25">
      <c r="I185" s="2">
        <f>'Raw Data Cut 1.3'!A180</f>
        <v>0</v>
      </c>
      <c r="J185" s="2">
        <f>'Raw Data Cut 1.3'!B180</f>
        <v>0</v>
      </c>
      <c r="K185" s="2">
        <f>'Raw Data Cut 1.3'!C180</f>
        <v>0</v>
      </c>
      <c r="L185" s="2">
        <f>'Raw Data Cut 1.3'!D180</f>
        <v>0</v>
      </c>
      <c r="M185" s="2">
        <f>'Raw Data Cut 1.3'!E180</f>
        <v>0</v>
      </c>
      <c r="N185" s="2">
        <f>'Raw Data Cut 1.3'!G180</f>
        <v>0</v>
      </c>
      <c r="O185" s="2">
        <f>'Raw Data Cut 1.3'!H180</f>
        <v>0</v>
      </c>
      <c r="P185" s="2">
        <f>'Raw Data Cut 1.3'!I180</f>
        <v>0</v>
      </c>
      <c r="Q185" s="2">
        <f>'Raw Data Cut 1.3'!J180</f>
        <v>0</v>
      </c>
      <c r="R185" s="2">
        <f>'Raw Data Cut 1.3'!K180</f>
        <v>0</v>
      </c>
      <c r="S185" s="2">
        <f>'Raw Data Cut 1.3'!N180</f>
        <v>0</v>
      </c>
      <c r="T185" s="2">
        <f t="shared" si="4"/>
        <v>0</v>
      </c>
      <c r="U185" s="9" t="str">
        <f>IF($S185=0, "", IF(COUNTIF(Table1[Amino Acid Change], $S185)=0, "Missing", "Y"))</f>
        <v/>
      </c>
      <c r="V185" s="9">
        <f t="shared" si="5"/>
        <v>0</v>
      </c>
    </row>
    <row r="186" spans="9:22" x14ac:dyDescent="0.25">
      <c r="I186" s="2">
        <f>'Raw Data Cut 1.3'!A181</f>
        <v>0</v>
      </c>
      <c r="J186" s="2">
        <f>'Raw Data Cut 1.3'!B181</f>
        <v>0</v>
      </c>
      <c r="K186" s="2">
        <f>'Raw Data Cut 1.3'!C181</f>
        <v>0</v>
      </c>
      <c r="L186" s="2">
        <f>'Raw Data Cut 1.3'!D181</f>
        <v>0</v>
      </c>
      <c r="M186" s="2">
        <f>'Raw Data Cut 1.3'!E181</f>
        <v>0</v>
      </c>
      <c r="N186" s="2">
        <f>'Raw Data Cut 1.3'!G181</f>
        <v>0</v>
      </c>
      <c r="O186" s="2">
        <f>'Raw Data Cut 1.3'!H181</f>
        <v>0</v>
      </c>
      <c r="P186" s="2">
        <f>'Raw Data Cut 1.3'!I181</f>
        <v>0</v>
      </c>
      <c r="Q186" s="2">
        <f>'Raw Data Cut 1.3'!J181</f>
        <v>0</v>
      </c>
      <c r="R186" s="2">
        <f>'Raw Data Cut 1.3'!K181</f>
        <v>0</v>
      </c>
      <c r="S186" s="2">
        <f>'Raw Data Cut 1.3'!N181</f>
        <v>0</v>
      </c>
      <c r="T186" s="2">
        <f t="shared" si="4"/>
        <v>0</v>
      </c>
      <c r="U186" s="9" t="str">
        <f>IF($S186=0, "", IF(COUNTIF(Table1[Amino Acid Change], $S186)=0, "Missing", "Y"))</f>
        <v/>
      </c>
      <c r="V186" s="9">
        <f t="shared" si="5"/>
        <v>0</v>
      </c>
    </row>
    <row r="187" spans="9:22" x14ac:dyDescent="0.25">
      <c r="I187" s="2">
        <f>'Raw Data Cut 1.3'!A182</f>
        <v>0</v>
      </c>
      <c r="J187" s="2">
        <f>'Raw Data Cut 1.3'!B182</f>
        <v>0</v>
      </c>
      <c r="K187" s="2">
        <f>'Raw Data Cut 1.3'!C182</f>
        <v>0</v>
      </c>
      <c r="L187" s="2">
        <f>'Raw Data Cut 1.3'!D182</f>
        <v>0</v>
      </c>
      <c r="M187" s="2">
        <f>'Raw Data Cut 1.3'!E182</f>
        <v>0</v>
      </c>
      <c r="N187" s="2">
        <f>'Raw Data Cut 1.3'!G182</f>
        <v>0</v>
      </c>
      <c r="O187" s="2">
        <f>'Raw Data Cut 1.3'!H182</f>
        <v>0</v>
      </c>
      <c r="P187" s="2">
        <f>'Raw Data Cut 1.3'!I182</f>
        <v>0</v>
      </c>
      <c r="Q187" s="2">
        <f>'Raw Data Cut 1.3'!J182</f>
        <v>0</v>
      </c>
      <c r="R187" s="2">
        <f>'Raw Data Cut 1.3'!K182</f>
        <v>0</v>
      </c>
      <c r="S187" s="2">
        <f>'Raw Data Cut 1.3'!N182</f>
        <v>0</v>
      </c>
      <c r="T187" s="2">
        <f t="shared" si="4"/>
        <v>0</v>
      </c>
      <c r="U187" s="9" t="str">
        <f>IF($S187=0, "", IF(COUNTIF(Table1[Amino Acid Change], $S187)=0, "Missing", "Y"))</f>
        <v/>
      </c>
      <c r="V187" s="9">
        <f t="shared" si="5"/>
        <v>0</v>
      </c>
    </row>
    <row r="188" spans="9:22" x14ac:dyDescent="0.25">
      <c r="I188" s="2">
        <f>'Raw Data Cut 1.3'!A183</f>
        <v>0</v>
      </c>
      <c r="J188" s="2">
        <f>'Raw Data Cut 1.3'!B183</f>
        <v>0</v>
      </c>
      <c r="K188" s="2">
        <f>'Raw Data Cut 1.3'!C183</f>
        <v>0</v>
      </c>
      <c r="L188" s="2">
        <f>'Raw Data Cut 1.3'!D183</f>
        <v>0</v>
      </c>
      <c r="M188" s="2">
        <f>'Raw Data Cut 1.3'!E183</f>
        <v>0</v>
      </c>
      <c r="N188" s="2">
        <f>'Raw Data Cut 1.3'!G183</f>
        <v>0</v>
      </c>
      <c r="O188" s="2">
        <f>'Raw Data Cut 1.3'!H183</f>
        <v>0</v>
      </c>
      <c r="P188" s="2">
        <f>'Raw Data Cut 1.3'!I183</f>
        <v>0</v>
      </c>
      <c r="Q188" s="2">
        <f>'Raw Data Cut 1.3'!J183</f>
        <v>0</v>
      </c>
      <c r="R188" s="2">
        <f>'Raw Data Cut 1.3'!K183</f>
        <v>0</v>
      </c>
      <c r="S188" s="2">
        <f>'Raw Data Cut 1.3'!N183</f>
        <v>0</v>
      </c>
      <c r="T188" s="2">
        <f t="shared" si="4"/>
        <v>0</v>
      </c>
      <c r="U188" s="9" t="str">
        <f>IF($S188=0, "", IF(COUNTIF(Table1[Amino Acid Change], $S188)=0, "Missing", "Y"))</f>
        <v/>
      </c>
      <c r="V188" s="9">
        <f t="shared" si="5"/>
        <v>0</v>
      </c>
    </row>
    <row r="189" spans="9:22" x14ac:dyDescent="0.25">
      <c r="I189" s="2">
        <f>'Raw Data Cut 1.3'!A184</f>
        <v>0</v>
      </c>
      <c r="J189" s="2">
        <f>'Raw Data Cut 1.3'!B184</f>
        <v>0</v>
      </c>
      <c r="K189" s="2">
        <f>'Raw Data Cut 1.3'!C184</f>
        <v>0</v>
      </c>
      <c r="L189" s="2">
        <f>'Raw Data Cut 1.3'!D184</f>
        <v>0</v>
      </c>
      <c r="M189" s="2">
        <f>'Raw Data Cut 1.3'!E184</f>
        <v>0</v>
      </c>
      <c r="N189" s="2">
        <f>'Raw Data Cut 1.3'!G184</f>
        <v>0</v>
      </c>
      <c r="O189" s="2">
        <f>'Raw Data Cut 1.3'!H184</f>
        <v>0</v>
      </c>
      <c r="P189" s="2">
        <f>'Raw Data Cut 1.3'!I184</f>
        <v>0</v>
      </c>
      <c r="Q189" s="2">
        <f>'Raw Data Cut 1.3'!J184</f>
        <v>0</v>
      </c>
      <c r="R189" s="2">
        <f>'Raw Data Cut 1.3'!K184</f>
        <v>0</v>
      </c>
      <c r="S189" s="2">
        <f>'Raw Data Cut 1.3'!N184</f>
        <v>0</v>
      </c>
      <c r="T189" s="2">
        <f t="shared" si="4"/>
        <v>0</v>
      </c>
      <c r="U189" s="9" t="str">
        <f>IF($S189=0, "", IF(COUNTIF(Table1[Amino Acid Change], $S189)=0, "Missing", "Y"))</f>
        <v/>
      </c>
      <c r="V189" s="9">
        <f t="shared" si="5"/>
        <v>0</v>
      </c>
    </row>
    <row r="190" spans="9:22" x14ac:dyDescent="0.25">
      <c r="I190" s="2">
        <f>'Raw Data Cut 1.3'!A185</f>
        <v>0</v>
      </c>
      <c r="J190" s="2">
        <f>'Raw Data Cut 1.3'!B185</f>
        <v>0</v>
      </c>
      <c r="K190" s="2">
        <f>'Raw Data Cut 1.3'!C185</f>
        <v>0</v>
      </c>
      <c r="L190" s="2">
        <f>'Raw Data Cut 1.3'!D185</f>
        <v>0</v>
      </c>
      <c r="M190" s="2">
        <f>'Raw Data Cut 1.3'!E185</f>
        <v>0</v>
      </c>
      <c r="N190" s="2">
        <f>'Raw Data Cut 1.3'!G185</f>
        <v>0</v>
      </c>
      <c r="O190" s="2">
        <f>'Raw Data Cut 1.3'!H185</f>
        <v>0</v>
      </c>
      <c r="P190" s="2">
        <f>'Raw Data Cut 1.3'!I185</f>
        <v>0</v>
      </c>
      <c r="Q190" s="2">
        <f>'Raw Data Cut 1.3'!J185</f>
        <v>0</v>
      </c>
      <c r="R190" s="2">
        <f>'Raw Data Cut 1.3'!K185</f>
        <v>0</v>
      </c>
      <c r="S190" s="2">
        <f>'Raw Data Cut 1.3'!N185</f>
        <v>0</v>
      </c>
      <c r="T190" s="2">
        <f t="shared" ref="T190:T253" si="6">P190</f>
        <v>0</v>
      </c>
      <c r="U190" s="9" t="str">
        <f>IF($S190=0, "", IF(COUNTIF(Table1[Amino Acid Change], $S190)=0, "Missing", "Y"))</f>
        <v/>
      </c>
      <c r="V190" s="9">
        <f t="shared" si="5"/>
        <v>0</v>
      </c>
    </row>
    <row r="191" spans="9:22" x14ac:dyDescent="0.25">
      <c r="I191" s="2">
        <f>'Raw Data Cut 1.3'!A186</f>
        <v>0</v>
      </c>
      <c r="J191" s="2">
        <f>'Raw Data Cut 1.3'!B186</f>
        <v>0</v>
      </c>
      <c r="K191" s="2">
        <f>'Raw Data Cut 1.3'!C186</f>
        <v>0</v>
      </c>
      <c r="L191" s="2">
        <f>'Raw Data Cut 1.3'!D186</f>
        <v>0</v>
      </c>
      <c r="M191" s="2">
        <f>'Raw Data Cut 1.3'!E186</f>
        <v>0</v>
      </c>
      <c r="N191" s="2">
        <f>'Raw Data Cut 1.3'!G186</f>
        <v>0</v>
      </c>
      <c r="O191" s="2">
        <f>'Raw Data Cut 1.3'!H186</f>
        <v>0</v>
      </c>
      <c r="P191" s="2">
        <f>'Raw Data Cut 1.3'!I186</f>
        <v>0</v>
      </c>
      <c r="Q191" s="2">
        <f>'Raw Data Cut 1.3'!J186</f>
        <v>0</v>
      </c>
      <c r="R191" s="2">
        <f>'Raw Data Cut 1.3'!K186</f>
        <v>0</v>
      </c>
      <c r="S191" s="2">
        <f>'Raw Data Cut 1.3'!N186</f>
        <v>0</v>
      </c>
      <c r="T191" s="2">
        <f t="shared" si="6"/>
        <v>0</v>
      </c>
      <c r="U191" s="9" t="str">
        <f>IF($S191=0, "", IF(COUNTIF(Table1[Amino Acid Change], $S191)=0, "Missing", "Y"))</f>
        <v/>
      </c>
      <c r="V191" s="9">
        <f t="shared" ref="V191:V254" si="7">J191</f>
        <v>0</v>
      </c>
    </row>
    <row r="192" spans="9:22" x14ac:dyDescent="0.25">
      <c r="I192" s="2">
        <f>'Raw Data Cut 1.3'!A187</f>
        <v>0</v>
      </c>
      <c r="J192" s="2">
        <f>'Raw Data Cut 1.3'!B187</f>
        <v>0</v>
      </c>
      <c r="K192" s="2">
        <f>'Raw Data Cut 1.3'!C187</f>
        <v>0</v>
      </c>
      <c r="L192" s="2">
        <f>'Raw Data Cut 1.3'!D187</f>
        <v>0</v>
      </c>
      <c r="M192" s="2">
        <f>'Raw Data Cut 1.3'!E187</f>
        <v>0</v>
      </c>
      <c r="N192" s="2">
        <f>'Raw Data Cut 1.3'!G187</f>
        <v>0</v>
      </c>
      <c r="O192" s="2">
        <f>'Raw Data Cut 1.3'!H187</f>
        <v>0</v>
      </c>
      <c r="P192" s="2">
        <f>'Raw Data Cut 1.3'!I187</f>
        <v>0</v>
      </c>
      <c r="Q192" s="2">
        <f>'Raw Data Cut 1.3'!J187</f>
        <v>0</v>
      </c>
      <c r="R192" s="2">
        <f>'Raw Data Cut 1.3'!K187</f>
        <v>0</v>
      </c>
      <c r="S192" s="2">
        <f>'Raw Data Cut 1.3'!N187</f>
        <v>0</v>
      </c>
      <c r="T192" s="2">
        <f t="shared" si="6"/>
        <v>0</v>
      </c>
      <c r="U192" s="9" t="str">
        <f>IF($S192=0, "", IF(COUNTIF(Table1[Amino Acid Change], $S192)=0, "Missing", "Y"))</f>
        <v/>
      </c>
      <c r="V192" s="9">
        <f t="shared" si="7"/>
        <v>0</v>
      </c>
    </row>
    <row r="193" spans="9:22" x14ac:dyDescent="0.25">
      <c r="I193" s="2">
        <f>'Raw Data Cut 1.3'!A188</f>
        <v>0</v>
      </c>
      <c r="J193" s="2">
        <f>'Raw Data Cut 1.3'!B188</f>
        <v>0</v>
      </c>
      <c r="K193" s="2">
        <f>'Raw Data Cut 1.3'!C188</f>
        <v>0</v>
      </c>
      <c r="L193" s="2">
        <f>'Raw Data Cut 1.3'!D188</f>
        <v>0</v>
      </c>
      <c r="M193" s="2">
        <f>'Raw Data Cut 1.3'!E188</f>
        <v>0</v>
      </c>
      <c r="N193" s="2">
        <f>'Raw Data Cut 1.3'!G188</f>
        <v>0</v>
      </c>
      <c r="O193" s="2">
        <f>'Raw Data Cut 1.3'!H188</f>
        <v>0</v>
      </c>
      <c r="P193" s="2">
        <f>'Raw Data Cut 1.3'!I188</f>
        <v>0</v>
      </c>
      <c r="Q193" s="2">
        <f>'Raw Data Cut 1.3'!J188</f>
        <v>0</v>
      </c>
      <c r="R193" s="2">
        <f>'Raw Data Cut 1.3'!K188</f>
        <v>0</v>
      </c>
      <c r="S193" s="2">
        <f>'Raw Data Cut 1.3'!N188</f>
        <v>0</v>
      </c>
      <c r="T193" s="2">
        <f t="shared" si="6"/>
        <v>0</v>
      </c>
      <c r="U193" s="9" t="str">
        <f>IF($S193=0, "", IF(COUNTIF(Table1[Amino Acid Change], $S193)=0, "Missing", "Y"))</f>
        <v/>
      </c>
      <c r="V193" s="9">
        <f t="shared" si="7"/>
        <v>0</v>
      </c>
    </row>
    <row r="194" spans="9:22" x14ac:dyDescent="0.25">
      <c r="I194" s="2">
        <f>'Raw Data Cut 1.3'!A189</f>
        <v>0</v>
      </c>
      <c r="J194" s="2">
        <f>'Raw Data Cut 1.3'!B189</f>
        <v>0</v>
      </c>
      <c r="K194" s="2">
        <f>'Raw Data Cut 1.3'!C189</f>
        <v>0</v>
      </c>
      <c r="L194" s="2">
        <f>'Raw Data Cut 1.3'!D189</f>
        <v>0</v>
      </c>
      <c r="M194" s="2">
        <f>'Raw Data Cut 1.3'!E189</f>
        <v>0</v>
      </c>
      <c r="N194" s="2">
        <f>'Raw Data Cut 1.3'!G189</f>
        <v>0</v>
      </c>
      <c r="O194" s="2">
        <f>'Raw Data Cut 1.3'!H189</f>
        <v>0</v>
      </c>
      <c r="P194" s="2">
        <f>'Raw Data Cut 1.3'!I189</f>
        <v>0</v>
      </c>
      <c r="Q194" s="2">
        <f>'Raw Data Cut 1.3'!J189</f>
        <v>0</v>
      </c>
      <c r="R194" s="2">
        <f>'Raw Data Cut 1.3'!K189</f>
        <v>0</v>
      </c>
      <c r="S194" s="2">
        <f>'Raw Data Cut 1.3'!N189</f>
        <v>0</v>
      </c>
      <c r="T194" s="2">
        <f t="shared" si="6"/>
        <v>0</v>
      </c>
      <c r="U194" s="9" t="str">
        <f>IF($S194=0, "", IF(COUNTIF(Table1[Amino Acid Change], $S194)=0, "Missing", "Y"))</f>
        <v/>
      </c>
      <c r="V194" s="9">
        <f t="shared" si="7"/>
        <v>0</v>
      </c>
    </row>
    <row r="195" spans="9:22" x14ac:dyDescent="0.25">
      <c r="I195" s="2">
        <f>'Raw Data Cut 1.3'!A190</f>
        <v>0</v>
      </c>
      <c r="J195" s="2">
        <f>'Raw Data Cut 1.3'!B190</f>
        <v>0</v>
      </c>
      <c r="K195" s="2">
        <f>'Raw Data Cut 1.3'!C190</f>
        <v>0</v>
      </c>
      <c r="L195" s="2">
        <f>'Raw Data Cut 1.3'!D190</f>
        <v>0</v>
      </c>
      <c r="M195" s="2">
        <f>'Raw Data Cut 1.3'!E190</f>
        <v>0</v>
      </c>
      <c r="N195" s="2">
        <f>'Raw Data Cut 1.3'!G190</f>
        <v>0</v>
      </c>
      <c r="O195" s="2">
        <f>'Raw Data Cut 1.3'!H190</f>
        <v>0</v>
      </c>
      <c r="P195" s="2">
        <f>'Raw Data Cut 1.3'!I190</f>
        <v>0</v>
      </c>
      <c r="Q195" s="2">
        <f>'Raw Data Cut 1.3'!J190</f>
        <v>0</v>
      </c>
      <c r="R195" s="2">
        <f>'Raw Data Cut 1.3'!K190</f>
        <v>0</v>
      </c>
      <c r="S195" s="2">
        <f>'Raw Data Cut 1.3'!N190</f>
        <v>0</v>
      </c>
      <c r="T195" s="2">
        <f t="shared" si="6"/>
        <v>0</v>
      </c>
      <c r="U195" s="9" t="str">
        <f>IF($S195=0, "", IF(COUNTIF(Table1[Amino Acid Change], $S195)=0, "Missing", "Y"))</f>
        <v/>
      </c>
      <c r="V195" s="9">
        <f t="shared" si="7"/>
        <v>0</v>
      </c>
    </row>
    <row r="196" spans="9:22" x14ac:dyDescent="0.25">
      <c r="I196" s="2">
        <f>'Raw Data Cut 1.3'!A191</f>
        <v>0</v>
      </c>
      <c r="J196" s="2">
        <f>'Raw Data Cut 1.3'!B191</f>
        <v>0</v>
      </c>
      <c r="K196" s="2">
        <f>'Raw Data Cut 1.3'!C191</f>
        <v>0</v>
      </c>
      <c r="L196" s="2">
        <f>'Raw Data Cut 1.3'!D191</f>
        <v>0</v>
      </c>
      <c r="M196" s="2">
        <f>'Raw Data Cut 1.3'!E191</f>
        <v>0</v>
      </c>
      <c r="N196" s="2">
        <f>'Raw Data Cut 1.3'!G191</f>
        <v>0</v>
      </c>
      <c r="O196" s="2">
        <f>'Raw Data Cut 1.3'!H191</f>
        <v>0</v>
      </c>
      <c r="P196" s="2">
        <f>'Raw Data Cut 1.3'!I191</f>
        <v>0</v>
      </c>
      <c r="Q196" s="2">
        <f>'Raw Data Cut 1.3'!J191</f>
        <v>0</v>
      </c>
      <c r="R196" s="2">
        <f>'Raw Data Cut 1.3'!K191</f>
        <v>0</v>
      </c>
      <c r="S196" s="2">
        <f>'Raw Data Cut 1.3'!N191</f>
        <v>0</v>
      </c>
      <c r="T196" s="2">
        <f t="shared" si="6"/>
        <v>0</v>
      </c>
      <c r="U196" s="9" t="str">
        <f>IF($S196=0, "", IF(COUNTIF(Table1[Amino Acid Change], $S196)=0, "Missing", "Y"))</f>
        <v/>
      </c>
      <c r="V196" s="9">
        <f t="shared" si="7"/>
        <v>0</v>
      </c>
    </row>
    <row r="197" spans="9:22" x14ac:dyDescent="0.25">
      <c r="I197" s="2">
        <f>'Raw Data Cut 1.3'!A192</f>
        <v>0</v>
      </c>
      <c r="J197" s="2">
        <f>'Raw Data Cut 1.3'!B192</f>
        <v>0</v>
      </c>
      <c r="K197" s="2">
        <f>'Raw Data Cut 1.3'!C192</f>
        <v>0</v>
      </c>
      <c r="L197" s="2">
        <f>'Raw Data Cut 1.3'!D192</f>
        <v>0</v>
      </c>
      <c r="M197" s="2">
        <f>'Raw Data Cut 1.3'!E192</f>
        <v>0</v>
      </c>
      <c r="N197" s="2">
        <f>'Raw Data Cut 1.3'!G192</f>
        <v>0</v>
      </c>
      <c r="O197" s="2">
        <f>'Raw Data Cut 1.3'!H192</f>
        <v>0</v>
      </c>
      <c r="P197" s="2">
        <f>'Raw Data Cut 1.3'!I192</f>
        <v>0</v>
      </c>
      <c r="Q197" s="2">
        <f>'Raw Data Cut 1.3'!J192</f>
        <v>0</v>
      </c>
      <c r="R197" s="2">
        <f>'Raw Data Cut 1.3'!K192</f>
        <v>0</v>
      </c>
      <c r="S197" s="2">
        <f>'Raw Data Cut 1.3'!N192</f>
        <v>0</v>
      </c>
      <c r="T197" s="2">
        <f t="shared" si="6"/>
        <v>0</v>
      </c>
      <c r="U197" s="9" t="str">
        <f>IF($S197=0, "", IF(COUNTIF(Table1[Amino Acid Change], $S197)=0, "Missing", "Y"))</f>
        <v/>
      </c>
      <c r="V197" s="9">
        <f t="shared" si="7"/>
        <v>0</v>
      </c>
    </row>
    <row r="198" spans="9:22" x14ac:dyDescent="0.25">
      <c r="I198" s="2">
        <f>'Raw Data Cut 1.3'!A193</f>
        <v>0</v>
      </c>
      <c r="J198" s="2">
        <f>'Raw Data Cut 1.3'!B193</f>
        <v>0</v>
      </c>
      <c r="K198" s="2">
        <f>'Raw Data Cut 1.3'!C193</f>
        <v>0</v>
      </c>
      <c r="L198" s="2">
        <f>'Raw Data Cut 1.3'!D193</f>
        <v>0</v>
      </c>
      <c r="M198" s="2">
        <f>'Raw Data Cut 1.3'!E193</f>
        <v>0</v>
      </c>
      <c r="N198" s="2">
        <f>'Raw Data Cut 1.3'!G193</f>
        <v>0</v>
      </c>
      <c r="O198" s="2">
        <f>'Raw Data Cut 1.3'!H193</f>
        <v>0</v>
      </c>
      <c r="P198" s="2">
        <f>'Raw Data Cut 1.3'!I193</f>
        <v>0</v>
      </c>
      <c r="Q198" s="2">
        <f>'Raw Data Cut 1.3'!J193</f>
        <v>0</v>
      </c>
      <c r="R198" s="2">
        <f>'Raw Data Cut 1.3'!K193</f>
        <v>0</v>
      </c>
      <c r="S198" s="2">
        <f>'Raw Data Cut 1.3'!N193</f>
        <v>0</v>
      </c>
      <c r="T198" s="2">
        <f t="shared" si="6"/>
        <v>0</v>
      </c>
      <c r="U198" s="9" t="str">
        <f>IF($S198=0, "", IF(COUNTIF(Table1[Amino Acid Change], $S198)=0, "Missing", "Y"))</f>
        <v/>
      </c>
      <c r="V198" s="9">
        <f t="shared" si="7"/>
        <v>0</v>
      </c>
    </row>
    <row r="199" spans="9:22" x14ac:dyDescent="0.25">
      <c r="I199" s="2">
        <f>'Raw Data Cut 1.3'!A194</f>
        <v>0</v>
      </c>
      <c r="J199" s="2">
        <f>'Raw Data Cut 1.3'!B194</f>
        <v>0</v>
      </c>
      <c r="K199" s="2">
        <f>'Raw Data Cut 1.3'!C194</f>
        <v>0</v>
      </c>
      <c r="L199" s="2">
        <f>'Raw Data Cut 1.3'!D194</f>
        <v>0</v>
      </c>
      <c r="M199" s="2">
        <f>'Raw Data Cut 1.3'!E194</f>
        <v>0</v>
      </c>
      <c r="N199" s="2">
        <f>'Raw Data Cut 1.3'!G194</f>
        <v>0</v>
      </c>
      <c r="O199" s="2">
        <f>'Raw Data Cut 1.3'!H194</f>
        <v>0</v>
      </c>
      <c r="P199" s="2">
        <f>'Raw Data Cut 1.3'!I194</f>
        <v>0</v>
      </c>
      <c r="Q199" s="2">
        <f>'Raw Data Cut 1.3'!J194</f>
        <v>0</v>
      </c>
      <c r="R199" s="2">
        <f>'Raw Data Cut 1.3'!K194</f>
        <v>0</v>
      </c>
      <c r="S199" s="2">
        <f>'Raw Data Cut 1.3'!N194</f>
        <v>0</v>
      </c>
      <c r="T199" s="2">
        <f t="shared" si="6"/>
        <v>0</v>
      </c>
      <c r="U199" s="9" t="str">
        <f>IF($S199=0, "", IF(COUNTIF(Table1[Amino Acid Change], $S199)=0, "Missing", "Y"))</f>
        <v/>
      </c>
      <c r="V199" s="9">
        <f t="shared" si="7"/>
        <v>0</v>
      </c>
    </row>
    <row r="200" spans="9:22" x14ac:dyDescent="0.25">
      <c r="I200" s="2">
        <f>'Raw Data Cut 1.3'!A195</f>
        <v>0</v>
      </c>
      <c r="J200" s="2">
        <f>'Raw Data Cut 1.3'!B195</f>
        <v>0</v>
      </c>
      <c r="K200" s="2">
        <f>'Raw Data Cut 1.3'!C195</f>
        <v>0</v>
      </c>
      <c r="L200" s="2">
        <f>'Raw Data Cut 1.3'!D195</f>
        <v>0</v>
      </c>
      <c r="M200" s="2">
        <f>'Raw Data Cut 1.3'!E195</f>
        <v>0</v>
      </c>
      <c r="N200" s="2">
        <f>'Raw Data Cut 1.3'!G195</f>
        <v>0</v>
      </c>
      <c r="O200" s="2">
        <f>'Raw Data Cut 1.3'!H195</f>
        <v>0</v>
      </c>
      <c r="P200" s="2">
        <f>'Raw Data Cut 1.3'!I195</f>
        <v>0</v>
      </c>
      <c r="Q200" s="2">
        <f>'Raw Data Cut 1.3'!J195</f>
        <v>0</v>
      </c>
      <c r="R200" s="2">
        <f>'Raw Data Cut 1.3'!K195</f>
        <v>0</v>
      </c>
      <c r="S200" s="2">
        <f>'Raw Data Cut 1.3'!N195</f>
        <v>0</v>
      </c>
      <c r="T200" s="2">
        <f t="shared" si="6"/>
        <v>0</v>
      </c>
      <c r="U200" s="9" t="str">
        <f>IF($S200=0, "", IF(COUNTIF(Table1[Amino Acid Change], $S200)=0, "Missing", "Y"))</f>
        <v/>
      </c>
      <c r="V200" s="9">
        <f t="shared" si="7"/>
        <v>0</v>
      </c>
    </row>
    <row r="201" spans="9:22" x14ac:dyDescent="0.25">
      <c r="I201" s="2">
        <f>'Raw Data Cut 1.3'!A196</f>
        <v>0</v>
      </c>
      <c r="J201" s="2">
        <f>'Raw Data Cut 1.3'!B196</f>
        <v>0</v>
      </c>
      <c r="K201" s="2">
        <f>'Raw Data Cut 1.3'!C196</f>
        <v>0</v>
      </c>
      <c r="L201" s="2">
        <f>'Raw Data Cut 1.3'!D196</f>
        <v>0</v>
      </c>
      <c r="M201" s="2">
        <f>'Raw Data Cut 1.3'!E196</f>
        <v>0</v>
      </c>
      <c r="N201" s="2">
        <f>'Raw Data Cut 1.3'!G196</f>
        <v>0</v>
      </c>
      <c r="O201" s="2">
        <f>'Raw Data Cut 1.3'!H196</f>
        <v>0</v>
      </c>
      <c r="P201" s="2">
        <f>'Raw Data Cut 1.3'!I196</f>
        <v>0</v>
      </c>
      <c r="Q201" s="2">
        <f>'Raw Data Cut 1.3'!J196</f>
        <v>0</v>
      </c>
      <c r="R201" s="2">
        <f>'Raw Data Cut 1.3'!K196</f>
        <v>0</v>
      </c>
      <c r="S201" s="2">
        <f>'Raw Data Cut 1.3'!N196</f>
        <v>0</v>
      </c>
      <c r="T201" s="2">
        <f t="shared" si="6"/>
        <v>0</v>
      </c>
      <c r="U201" s="9" t="str">
        <f>IF($S201=0, "", IF(COUNTIF(Table1[Amino Acid Change], $S201)=0, "Missing", "Y"))</f>
        <v/>
      </c>
      <c r="V201" s="9">
        <f t="shared" si="7"/>
        <v>0</v>
      </c>
    </row>
    <row r="202" spans="9:22" x14ac:dyDescent="0.25">
      <c r="I202" s="2">
        <f>'Raw Data Cut 1.3'!A198</f>
        <v>0</v>
      </c>
      <c r="J202" s="2">
        <f>'Raw Data Cut 1.3'!B198</f>
        <v>0</v>
      </c>
      <c r="K202" s="2">
        <f>'Raw Data Cut 1.3'!C198</f>
        <v>0</v>
      </c>
      <c r="L202" s="2">
        <f>'Raw Data Cut 1.3'!D198</f>
        <v>0</v>
      </c>
      <c r="M202" s="2">
        <f>'Raw Data Cut 1.3'!E198</f>
        <v>0</v>
      </c>
      <c r="N202" s="2">
        <f>'Raw Data Cut 1.3'!G198</f>
        <v>0</v>
      </c>
      <c r="O202" s="2">
        <f>'Raw Data Cut 1.3'!H198</f>
        <v>0</v>
      </c>
      <c r="P202" s="2">
        <f>'Raw Data Cut 1.3'!I198</f>
        <v>0</v>
      </c>
      <c r="Q202" s="2">
        <f>'Raw Data Cut 1.3'!J198</f>
        <v>0</v>
      </c>
      <c r="R202" s="2">
        <f>'Raw Data Cut 1.3'!K198</f>
        <v>0</v>
      </c>
      <c r="S202" s="2">
        <f>'Raw Data Cut 1.3'!N198</f>
        <v>0</v>
      </c>
      <c r="T202" s="2">
        <f t="shared" si="6"/>
        <v>0</v>
      </c>
      <c r="U202" s="9" t="str">
        <f>IF($S202=0, "", IF(COUNTIF(Table1[Amino Acid Change], $S202)=0, "Missing", "Y"))</f>
        <v/>
      </c>
      <c r="V202" s="9">
        <f t="shared" si="7"/>
        <v>0</v>
      </c>
    </row>
    <row r="203" spans="9:22" x14ac:dyDescent="0.25">
      <c r="I203" s="2">
        <f>'Raw Data Cut 1.3'!A199</f>
        <v>0</v>
      </c>
      <c r="J203" s="2">
        <f>'Raw Data Cut 1.3'!B199</f>
        <v>0</v>
      </c>
      <c r="K203" s="2">
        <f>'Raw Data Cut 1.3'!C199</f>
        <v>0</v>
      </c>
      <c r="L203" s="2">
        <f>'Raw Data Cut 1.3'!D199</f>
        <v>0</v>
      </c>
      <c r="M203" s="2">
        <f>'Raw Data Cut 1.3'!E199</f>
        <v>0</v>
      </c>
      <c r="N203" s="2">
        <f>'Raw Data Cut 1.3'!G199</f>
        <v>0</v>
      </c>
      <c r="O203" s="2">
        <f>'Raw Data Cut 1.3'!H199</f>
        <v>0</v>
      </c>
      <c r="P203" s="2">
        <f>'Raw Data Cut 1.3'!I199</f>
        <v>0</v>
      </c>
      <c r="Q203" s="2">
        <f>'Raw Data Cut 1.3'!J199</f>
        <v>0</v>
      </c>
      <c r="R203" s="2">
        <f>'Raw Data Cut 1.3'!K199</f>
        <v>0</v>
      </c>
      <c r="S203" s="2">
        <f>'Raw Data Cut 1.3'!N199</f>
        <v>0</v>
      </c>
      <c r="T203" s="2">
        <f t="shared" si="6"/>
        <v>0</v>
      </c>
      <c r="U203" s="9" t="str">
        <f>IF($S203=0, "", IF(COUNTIF(Table1[Amino Acid Change], $S203)=0, "Missing", "Y"))</f>
        <v/>
      </c>
      <c r="V203" s="9">
        <f t="shared" si="7"/>
        <v>0</v>
      </c>
    </row>
    <row r="204" spans="9:22" x14ac:dyDescent="0.25">
      <c r="I204" s="2">
        <f>'Raw Data Cut 1.3'!A200</f>
        <v>0</v>
      </c>
      <c r="J204" s="2">
        <f>'Raw Data Cut 1.3'!B200</f>
        <v>0</v>
      </c>
      <c r="K204" s="2">
        <f>'Raw Data Cut 1.3'!C200</f>
        <v>0</v>
      </c>
      <c r="L204" s="2">
        <f>'Raw Data Cut 1.3'!D200</f>
        <v>0</v>
      </c>
      <c r="M204" s="2">
        <f>'Raw Data Cut 1.3'!E200</f>
        <v>0</v>
      </c>
      <c r="N204" s="2">
        <f>'Raw Data Cut 1.3'!G200</f>
        <v>0</v>
      </c>
      <c r="O204" s="2">
        <f>'Raw Data Cut 1.3'!H200</f>
        <v>0</v>
      </c>
      <c r="P204" s="2">
        <f>'Raw Data Cut 1.3'!I200</f>
        <v>0</v>
      </c>
      <c r="Q204" s="2">
        <f>'Raw Data Cut 1.3'!J200</f>
        <v>0</v>
      </c>
      <c r="R204" s="2">
        <f>'Raw Data Cut 1.3'!K200</f>
        <v>0</v>
      </c>
      <c r="S204" s="2">
        <f>'Raw Data Cut 1.3'!N200</f>
        <v>0</v>
      </c>
      <c r="T204" s="2">
        <f t="shared" si="6"/>
        <v>0</v>
      </c>
      <c r="U204" s="9" t="str">
        <f>IF($S204=0, "", IF(COUNTIF(Table1[Amino Acid Change], $S204)=0, "Missing", "Y"))</f>
        <v/>
      </c>
      <c r="V204" s="9">
        <f t="shared" si="7"/>
        <v>0</v>
      </c>
    </row>
    <row r="205" spans="9:22" x14ac:dyDescent="0.25">
      <c r="I205" s="2">
        <f>'Raw Data Cut 1.3'!A201</f>
        <v>0</v>
      </c>
      <c r="J205" s="2">
        <f>'Raw Data Cut 1.3'!B201</f>
        <v>0</v>
      </c>
      <c r="K205" s="2">
        <f>'Raw Data Cut 1.3'!C201</f>
        <v>0</v>
      </c>
      <c r="L205" s="2">
        <f>'Raw Data Cut 1.3'!D201</f>
        <v>0</v>
      </c>
      <c r="M205" s="2">
        <f>'Raw Data Cut 1.3'!E201</f>
        <v>0</v>
      </c>
      <c r="N205" s="2">
        <f>'Raw Data Cut 1.3'!G201</f>
        <v>0</v>
      </c>
      <c r="O205" s="2">
        <f>'Raw Data Cut 1.3'!H201</f>
        <v>0</v>
      </c>
      <c r="P205" s="2">
        <f>'Raw Data Cut 1.3'!I201</f>
        <v>0</v>
      </c>
      <c r="Q205" s="2">
        <f>'Raw Data Cut 1.3'!J201</f>
        <v>0</v>
      </c>
      <c r="R205" s="2">
        <f>'Raw Data Cut 1.3'!K201</f>
        <v>0</v>
      </c>
      <c r="S205" s="2">
        <f>'Raw Data Cut 1.3'!N201</f>
        <v>0</v>
      </c>
      <c r="T205" s="2">
        <f t="shared" si="6"/>
        <v>0</v>
      </c>
      <c r="U205" s="9" t="str">
        <f>IF($S205=0, "", IF(COUNTIF(Table1[Amino Acid Change], $S205)=0, "Missing", "Y"))</f>
        <v/>
      </c>
      <c r="V205" s="9">
        <f t="shared" si="7"/>
        <v>0</v>
      </c>
    </row>
    <row r="206" spans="9:22" x14ac:dyDescent="0.25">
      <c r="I206" s="2">
        <f>'Raw Data Cut 1.3'!A202</f>
        <v>0</v>
      </c>
      <c r="J206" s="2">
        <f>'Raw Data Cut 1.3'!B202</f>
        <v>0</v>
      </c>
      <c r="K206" s="2">
        <f>'Raw Data Cut 1.3'!C202</f>
        <v>0</v>
      </c>
      <c r="L206" s="2">
        <f>'Raw Data Cut 1.3'!D202</f>
        <v>0</v>
      </c>
      <c r="M206" s="2">
        <f>'Raw Data Cut 1.3'!E202</f>
        <v>0</v>
      </c>
      <c r="N206" s="2">
        <f>'Raw Data Cut 1.3'!G202</f>
        <v>0</v>
      </c>
      <c r="O206" s="2">
        <f>'Raw Data Cut 1.3'!H202</f>
        <v>0</v>
      </c>
      <c r="P206" s="2">
        <f>'Raw Data Cut 1.3'!I202</f>
        <v>0</v>
      </c>
      <c r="Q206" s="2">
        <f>'Raw Data Cut 1.3'!J202</f>
        <v>0</v>
      </c>
      <c r="R206" s="2">
        <f>'Raw Data Cut 1.3'!K202</f>
        <v>0</v>
      </c>
      <c r="S206" s="2">
        <f>'Raw Data Cut 1.3'!N202</f>
        <v>0</v>
      </c>
      <c r="T206" s="2">
        <f t="shared" si="6"/>
        <v>0</v>
      </c>
      <c r="U206" s="9" t="str">
        <f>IF($S206=0, "", IF(COUNTIF(Table1[Amino Acid Change], $S206)=0, "Missing", "Y"))</f>
        <v/>
      </c>
      <c r="V206" s="9">
        <f t="shared" si="7"/>
        <v>0</v>
      </c>
    </row>
    <row r="207" spans="9:22" x14ac:dyDescent="0.25">
      <c r="I207" s="2">
        <f>'Raw Data Cut 1.3'!A203</f>
        <v>0</v>
      </c>
      <c r="J207" s="2">
        <f>'Raw Data Cut 1.3'!B203</f>
        <v>0</v>
      </c>
      <c r="K207" s="2">
        <f>'Raw Data Cut 1.3'!C203</f>
        <v>0</v>
      </c>
      <c r="L207" s="2">
        <f>'Raw Data Cut 1.3'!D203</f>
        <v>0</v>
      </c>
      <c r="M207" s="2">
        <f>'Raw Data Cut 1.3'!E203</f>
        <v>0</v>
      </c>
      <c r="N207" s="2">
        <f>'Raw Data Cut 1.3'!G203</f>
        <v>0</v>
      </c>
      <c r="O207" s="2">
        <f>'Raw Data Cut 1.3'!H203</f>
        <v>0</v>
      </c>
      <c r="P207" s="2">
        <f>'Raw Data Cut 1.3'!I203</f>
        <v>0</v>
      </c>
      <c r="Q207" s="2">
        <f>'Raw Data Cut 1.3'!J203</f>
        <v>0</v>
      </c>
      <c r="R207" s="2">
        <f>'Raw Data Cut 1.3'!K203</f>
        <v>0</v>
      </c>
      <c r="S207" s="2">
        <f>'Raw Data Cut 1.3'!N203</f>
        <v>0</v>
      </c>
      <c r="T207" s="2">
        <f t="shared" si="6"/>
        <v>0</v>
      </c>
      <c r="U207" s="9" t="str">
        <f>IF($S207=0, "", IF(COUNTIF(Table1[Amino Acid Change], $S207)=0, "Missing", "Y"))</f>
        <v/>
      </c>
      <c r="V207" s="9">
        <f t="shared" si="7"/>
        <v>0</v>
      </c>
    </row>
    <row r="208" spans="9:22" x14ac:dyDescent="0.25">
      <c r="I208" s="2">
        <f>'Raw Data Cut 1.3'!A204</f>
        <v>0</v>
      </c>
      <c r="J208" s="2">
        <f>'Raw Data Cut 1.3'!B204</f>
        <v>0</v>
      </c>
      <c r="K208" s="2">
        <f>'Raw Data Cut 1.3'!C204</f>
        <v>0</v>
      </c>
      <c r="L208" s="2">
        <f>'Raw Data Cut 1.3'!D204</f>
        <v>0</v>
      </c>
      <c r="M208" s="2">
        <f>'Raw Data Cut 1.3'!E204</f>
        <v>0</v>
      </c>
      <c r="N208" s="2">
        <f>'Raw Data Cut 1.3'!G204</f>
        <v>0</v>
      </c>
      <c r="O208" s="2">
        <f>'Raw Data Cut 1.3'!H204</f>
        <v>0</v>
      </c>
      <c r="P208" s="2">
        <f>'Raw Data Cut 1.3'!I204</f>
        <v>0</v>
      </c>
      <c r="Q208" s="2">
        <f>'Raw Data Cut 1.3'!J204</f>
        <v>0</v>
      </c>
      <c r="R208" s="2">
        <f>'Raw Data Cut 1.3'!K204</f>
        <v>0</v>
      </c>
      <c r="S208" s="2">
        <f>'Raw Data Cut 1.3'!N204</f>
        <v>0</v>
      </c>
      <c r="T208" s="2">
        <f t="shared" si="6"/>
        <v>0</v>
      </c>
      <c r="U208" s="9" t="str">
        <f>IF($S208=0, "", IF(COUNTIF(Table1[Amino Acid Change], $S208)=0, "Missing", "Y"))</f>
        <v/>
      </c>
      <c r="V208" s="9">
        <f t="shared" si="7"/>
        <v>0</v>
      </c>
    </row>
    <row r="209" spans="9:22" x14ac:dyDescent="0.25">
      <c r="I209" s="2">
        <f>'Raw Data Cut 1.3'!A205</f>
        <v>0</v>
      </c>
      <c r="J209" s="2">
        <f>'Raw Data Cut 1.3'!B205</f>
        <v>0</v>
      </c>
      <c r="K209" s="2">
        <f>'Raw Data Cut 1.3'!C205</f>
        <v>0</v>
      </c>
      <c r="L209" s="2">
        <f>'Raw Data Cut 1.3'!D205</f>
        <v>0</v>
      </c>
      <c r="M209" s="2">
        <f>'Raw Data Cut 1.3'!E205</f>
        <v>0</v>
      </c>
      <c r="N209" s="2">
        <f>'Raw Data Cut 1.3'!G205</f>
        <v>0</v>
      </c>
      <c r="O209" s="2">
        <f>'Raw Data Cut 1.3'!H205</f>
        <v>0</v>
      </c>
      <c r="P209" s="2">
        <f>'Raw Data Cut 1.3'!I205</f>
        <v>0</v>
      </c>
      <c r="Q209" s="2">
        <f>'Raw Data Cut 1.3'!J205</f>
        <v>0</v>
      </c>
      <c r="R209" s="2">
        <f>'Raw Data Cut 1.3'!K205</f>
        <v>0</v>
      </c>
      <c r="S209" s="2">
        <f>'Raw Data Cut 1.3'!N205</f>
        <v>0</v>
      </c>
      <c r="T209" s="2">
        <f t="shared" si="6"/>
        <v>0</v>
      </c>
      <c r="U209" s="9" t="str">
        <f>IF($S209=0, "", IF(COUNTIF(Table1[Amino Acid Change], $S209)=0, "Missing", "Y"))</f>
        <v/>
      </c>
      <c r="V209" s="9">
        <f t="shared" si="7"/>
        <v>0</v>
      </c>
    </row>
    <row r="210" spans="9:22" x14ac:dyDescent="0.25">
      <c r="I210" s="2">
        <f>'Raw Data Cut 1.3'!A206</f>
        <v>0</v>
      </c>
      <c r="J210" s="2">
        <f>'Raw Data Cut 1.3'!B206</f>
        <v>0</v>
      </c>
      <c r="K210" s="2">
        <f>'Raw Data Cut 1.3'!C206</f>
        <v>0</v>
      </c>
      <c r="L210" s="2">
        <f>'Raw Data Cut 1.3'!D206</f>
        <v>0</v>
      </c>
      <c r="M210" s="2">
        <f>'Raw Data Cut 1.3'!E206</f>
        <v>0</v>
      </c>
      <c r="N210" s="2">
        <f>'Raw Data Cut 1.3'!G206</f>
        <v>0</v>
      </c>
      <c r="O210" s="2">
        <f>'Raw Data Cut 1.3'!H206</f>
        <v>0</v>
      </c>
      <c r="P210" s="2">
        <f>'Raw Data Cut 1.3'!I206</f>
        <v>0</v>
      </c>
      <c r="Q210" s="2">
        <f>'Raw Data Cut 1.3'!J206</f>
        <v>0</v>
      </c>
      <c r="R210" s="2">
        <f>'Raw Data Cut 1.3'!K206</f>
        <v>0</v>
      </c>
      <c r="S210" s="2">
        <f>'Raw Data Cut 1.3'!N206</f>
        <v>0</v>
      </c>
      <c r="T210" s="2">
        <f t="shared" si="6"/>
        <v>0</v>
      </c>
      <c r="U210" s="9" t="str">
        <f>IF($S210=0, "", IF(COUNTIF(Table1[Amino Acid Change], $S210)=0, "Missing", "Y"))</f>
        <v/>
      </c>
      <c r="V210" s="9">
        <f t="shared" si="7"/>
        <v>0</v>
      </c>
    </row>
    <row r="211" spans="9:22" x14ac:dyDescent="0.25">
      <c r="I211" s="2">
        <f>'Raw Data Cut 1.3'!A207</f>
        <v>0</v>
      </c>
      <c r="J211" s="2">
        <f>'Raw Data Cut 1.3'!B207</f>
        <v>0</v>
      </c>
      <c r="K211" s="2">
        <f>'Raw Data Cut 1.3'!C207</f>
        <v>0</v>
      </c>
      <c r="L211" s="2">
        <f>'Raw Data Cut 1.3'!D207</f>
        <v>0</v>
      </c>
      <c r="M211" s="2">
        <f>'Raw Data Cut 1.3'!E207</f>
        <v>0</v>
      </c>
      <c r="N211" s="2">
        <f>'Raw Data Cut 1.3'!G207</f>
        <v>0</v>
      </c>
      <c r="O211" s="2">
        <f>'Raw Data Cut 1.3'!H207</f>
        <v>0</v>
      </c>
      <c r="P211" s="2">
        <f>'Raw Data Cut 1.3'!I207</f>
        <v>0</v>
      </c>
      <c r="Q211" s="2">
        <f>'Raw Data Cut 1.3'!J207</f>
        <v>0</v>
      </c>
      <c r="R211" s="2">
        <f>'Raw Data Cut 1.3'!K207</f>
        <v>0</v>
      </c>
      <c r="S211" s="2">
        <f>'Raw Data Cut 1.3'!N207</f>
        <v>0</v>
      </c>
      <c r="T211" s="2">
        <f t="shared" si="6"/>
        <v>0</v>
      </c>
      <c r="U211" s="9" t="str">
        <f>IF($S211=0, "", IF(COUNTIF(Table1[Amino Acid Change], $S211)=0, "Missing", "Y"))</f>
        <v/>
      </c>
      <c r="V211" s="9">
        <f t="shared" si="7"/>
        <v>0</v>
      </c>
    </row>
    <row r="212" spans="9:22" x14ac:dyDescent="0.25">
      <c r="I212" s="2">
        <f>'Raw Data Cut 1.3'!A208</f>
        <v>0</v>
      </c>
      <c r="J212" s="2">
        <f>'Raw Data Cut 1.3'!B208</f>
        <v>0</v>
      </c>
      <c r="K212" s="2">
        <f>'Raw Data Cut 1.3'!C208</f>
        <v>0</v>
      </c>
      <c r="L212" s="2">
        <f>'Raw Data Cut 1.3'!D208</f>
        <v>0</v>
      </c>
      <c r="M212" s="2">
        <f>'Raw Data Cut 1.3'!E208</f>
        <v>0</v>
      </c>
      <c r="N212" s="2">
        <f>'Raw Data Cut 1.3'!G208</f>
        <v>0</v>
      </c>
      <c r="O212" s="2">
        <f>'Raw Data Cut 1.3'!H208</f>
        <v>0</v>
      </c>
      <c r="P212" s="2">
        <f>'Raw Data Cut 1.3'!I208</f>
        <v>0</v>
      </c>
      <c r="Q212" s="2">
        <f>'Raw Data Cut 1.3'!J208</f>
        <v>0</v>
      </c>
      <c r="R212" s="2">
        <f>'Raw Data Cut 1.3'!K208</f>
        <v>0</v>
      </c>
      <c r="S212" s="2">
        <f>'Raw Data Cut 1.3'!N208</f>
        <v>0</v>
      </c>
      <c r="T212" s="2">
        <f t="shared" si="6"/>
        <v>0</v>
      </c>
      <c r="U212" s="9" t="str">
        <f>IF($S212=0, "", IF(COUNTIF(Table1[Amino Acid Change], $S212)=0, "Missing", "Y"))</f>
        <v/>
      </c>
      <c r="V212" s="9">
        <f t="shared" si="7"/>
        <v>0</v>
      </c>
    </row>
    <row r="213" spans="9:22" x14ac:dyDescent="0.25">
      <c r="I213" s="2">
        <f>'Raw Data Cut 1.3'!A209</f>
        <v>0</v>
      </c>
      <c r="J213" s="2">
        <f>'Raw Data Cut 1.3'!B209</f>
        <v>0</v>
      </c>
      <c r="K213" s="2">
        <f>'Raw Data Cut 1.3'!C209</f>
        <v>0</v>
      </c>
      <c r="L213" s="2">
        <f>'Raw Data Cut 1.3'!D209</f>
        <v>0</v>
      </c>
      <c r="M213" s="2">
        <f>'Raw Data Cut 1.3'!E209</f>
        <v>0</v>
      </c>
      <c r="N213" s="2">
        <f>'Raw Data Cut 1.3'!G209</f>
        <v>0</v>
      </c>
      <c r="O213" s="2">
        <f>'Raw Data Cut 1.3'!H209</f>
        <v>0</v>
      </c>
      <c r="P213" s="2">
        <f>'Raw Data Cut 1.3'!I209</f>
        <v>0</v>
      </c>
      <c r="Q213" s="2">
        <f>'Raw Data Cut 1.3'!J209</f>
        <v>0</v>
      </c>
      <c r="R213" s="2">
        <f>'Raw Data Cut 1.3'!K209</f>
        <v>0</v>
      </c>
      <c r="S213" s="2">
        <f>'Raw Data Cut 1.3'!N209</f>
        <v>0</v>
      </c>
      <c r="T213" s="2">
        <f t="shared" si="6"/>
        <v>0</v>
      </c>
      <c r="U213" s="9" t="str">
        <f>IF($S213=0, "", IF(COUNTIF(Table1[Amino Acid Change], $S213)=0, "Missing", "Y"))</f>
        <v/>
      </c>
      <c r="V213" s="9">
        <f t="shared" si="7"/>
        <v>0</v>
      </c>
    </row>
    <row r="214" spans="9:22" x14ac:dyDescent="0.25">
      <c r="I214" s="2">
        <f>'Raw Data Cut 1.3'!A210</f>
        <v>0</v>
      </c>
      <c r="J214" s="2">
        <f>'Raw Data Cut 1.3'!B210</f>
        <v>0</v>
      </c>
      <c r="K214" s="2">
        <f>'Raw Data Cut 1.3'!C210</f>
        <v>0</v>
      </c>
      <c r="L214" s="2">
        <f>'Raw Data Cut 1.3'!D210</f>
        <v>0</v>
      </c>
      <c r="M214" s="2">
        <f>'Raw Data Cut 1.3'!E210</f>
        <v>0</v>
      </c>
      <c r="N214" s="2">
        <f>'Raw Data Cut 1.3'!G210</f>
        <v>0</v>
      </c>
      <c r="O214" s="2">
        <f>'Raw Data Cut 1.3'!H210</f>
        <v>0</v>
      </c>
      <c r="P214" s="2">
        <f>'Raw Data Cut 1.3'!I210</f>
        <v>0</v>
      </c>
      <c r="Q214" s="2">
        <f>'Raw Data Cut 1.3'!J210</f>
        <v>0</v>
      </c>
      <c r="R214" s="2">
        <f>'Raw Data Cut 1.3'!K210</f>
        <v>0</v>
      </c>
      <c r="S214" s="2">
        <f>'Raw Data Cut 1.3'!N210</f>
        <v>0</v>
      </c>
      <c r="T214" s="2">
        <f t="shared" si="6"/>
        <v>0</v>
      </c>
      <c r="U214" s="9" t="str">
        <f>IF($S214=0, "", IF(COUNTIF(Table1[Amino Acid Change], $S214)=0, "Missing", "Y"))</f>
        <v/>
      </c>
      <c r="V214" s="9">
        <f t="shared" si="7"/>
        <v>0</v>
      </c>
    </row>
    <row r="215" spans="9:22" x14ac:dyDescent="0.25">
      <c r="I215" s="2">
        <f>'Raw Data Cut 1.3'!A211</f>
        <v>0</v>
      </c>
      <c r="J215" s="2">
        <f>'Raw Data Cut 1.3'!B211</f>
        <v>0</v>
      </c>
      <c r="K215" s="2">
        <f>'Raw Data Cut 1.3'!C211</f>
        <v>0</v>
      </c>
      <c r="L215" s="2">
        <f>'Raw Data Cut 1.3'!D211</f>
        <v>0</v>
      </c>
      <c r="M215" s="2">
        <f>'Raw Data Cut 1.3'!E211</f>
        <v>0</v>
      </c>
      <c r="N215" s="2">
        <f>'Raw Data Cut 1.3'!G211</f>
        <v>0</v>
      </c>
      <c r="O215" s="2">
        <f>'Raw Data Cut 1.3'!H211</f>
        <v>0</v>
      </c>
      <c r="P215" s="2">
        <f>'Raw Data Cut 1.3'!I211</f>
        <v>0</v>
      </c>
      <c r="Q215" s="2">
        <f>'Raw Data Cut 1.3'!J211</f>
        <v>0</v>
      </c>
      <c r="R215" s="2">
        <f>'Raw Data Cut 1.3'!K211</f>
        <v>0</v>
      </c>
      <c r="S215" s="2">
        <f>'Raw Data Cut 1.3'!N211</f>
        <v>0</v>
      </c>
      <c r="T215" s="2">
        <f t="shared" si="6"/>
        <v>0</v>
      </c>
      <c r="U215" s="9" t="str">
        <f>IF($S215=0, "", IF(COUNTIF(Table1[Amino Acid Change], $S215)=0, "Missing", "Y"))</f>
        <v/>
      </c>
      <c r="V215" s="9">
        <f t="shared" si="7"/>
        <v>0</v>
      </c>
    </row>
    <row r="216" spans="9:22" x14ac:dyDescent="0.25">
      <c r="I216" s="2">
        <f>'Raw Data Cut 1.3'!A212</f>
        <v>0</v>
      </c>
      <c r="J216" s="2">
        <f>'Raw Data Cut 1.3'!B212</f>
        <v>0</v>
      </c>
      <c r="K216" s="2">
        <f>'Raw Data Cut 1.3'!C212</f>
        <v>0</v>
      </c>
      <c r="L216" s="2">
        <f>'Raw Data Cut 1.3'!D212</f>
        <v>0</v>
      </c>
      <c r="M216" s="2">
        <f>'Raw Data Cut 1.3'!E212</f>
        <v>0</v>
      </c>
      <c r="N216" s="2">
        <f>'Raw Data Cut 1.3'!G212</f>
        <v>0</v>
      </c>
      <c r="O216" s="2">
        <f>'Raw Data Cut 1.3'!H212</f>
        <v>0</v>
      </c>
      <c r="P216" s="2">
        <f>'Raw Data Cut 1.3'!I212</f>
        <v>0</v>
      </c>
      <c r="Q216" s="2">
        <f>'Raw Data Cut 1.3'!J212</f>
        <v>0</v>
      </c>
      <c r="R216" s="2">
        <f>'Raw Data Cut 1.3'!K212</f>
        <v>0</v>
      </c>
      <c r="S216" s="2">
        <f>'Raw Data Cut 1.3'!N212</f>
        <v>0</v>
      </c>
      <c r="T216" s="2">
        <f t="shared" si="6"/>
        <v>0</v>
      </c>
      <c r="U216" s="9" t="str">
        <f>IF($S216=0, "", IF(COUNTIF(Table1[Amino Acid Change], $S216)=0, "Missing", "Y"))</f>
        <v/>
      </c>
      <c r="V216" s="9">
        <f t="shared" si="7"/>
        <v>0</v>
      </c>
    </row>
    <row r="217" spans="9:22" x14ac:dyDescent="0.25">
      <c r="I217" s="2">
        <f>'Raw Data Cut 1.3'!A213</f>
        <v>0</v>
      </c>
      <c r="J217" s="2">
        <f>'Raw Data Cut 1.3'!B213</f>
        <v>0</v>
      </c>
      <c r="K217" s="2">
        <f>'Raw Data Cut 1.3'!C213</f>
        <v>0</v>
      </c>
      <c r="L217" s="2">
        <f>'Raw Data Cut 1.3'!D213</f>
        <v>0</v>
      </c>
      <c r="M217" s="2">
        <f>'Raw Data Cut 1.3'!E213</f>
        <v>0</v>
      </c>
      <c r="N217" s="2">
        <f>'Raw Data Cut 1.3'!G213</f>
        <v>0</v>
      </c>
      <c r="O217" s="2">
        <f>'Raw Data Cut 1.3'!H213</f>
        <v>0</v>
      </c>
      <c r="P217" s="2">
        <f>'Raw Data Cut 1.3'!I213</f>
        <v>0</v>
      </c>
      <c r="Q217" s="2">
        <f>'Raw Data Cut 1.3'!J213</f>
        <v>0</v>
      </c>
      <c r="R217" s="2">
        <f>'Raw Data Cut 1.3'!K213</f>
        <v>0</v>
      </c>
      <c r="S217" s="2">
        <f>'Raw Data Cut 1.3'!N213</f>
        <v>0</v>
      </c>
      <c r="T217" s="2">
        <f t="shared" si="6"/>
        <v>0</v>
      </c>
      <c r="U217" s="9" t="str">
        <f>IF($S217=0, "", IF(COUNTIF(Table1[Amino Acid Change], $S217)=0, "Missing", "Y"))</f>
        <v/>
      </c>
      <c r="V217" s="9">
        <f t="shared" si="7"/>
        <v>0</v>
      </c>
    </row>
    <row r="218" spans="9:22" x14ac:dyDescent="0.25">
      <c r="I218" s="2">
        <f>'Raw Data Cut 1.3'!A214</f>
        <v>0</v>
      </c>
      <c r="J218" s="2">
        <f>'Raw Data Cut 1.3'!B214</f>
        <v>0</v>
      </c>
      <c r="K218" s="2">
        <f>'Raw Data Cut 1.3'!C214</f>
        <v>0</v>
      </c>
      <c r="L218" s="2">
        <f>'Raw Data Cut 1.3'!D214</f>
        <v>0</v>
      </c>
      <c r="M218" s="2">
        <f>'Raw Data Cut 1.3'!E214</f>
        <v>0</v>
      </c>
      <c r="N218" s="2">
        <f>'Raw Data Cut 1.3'!G214</f>
        <v>0</v>
      </c>
      <c r="O218" s="2">
        <f>'Raw Data Cut 1.3'!H214</f>
        <v>0</v>
      </c>
      <c r="P218" s="2">
        <f>'Raw Data Cut 1.3'!I214</f>
        <v>0</v>
      </c>
      <c r="Q218" s="2">
        <f>'Raw Data Cut 1.3'!J214</f>
        <v>0</v>
      </c>
      <c r="R218" s="2">
        <f>'Raw Data Cut 1.3'!K214</f>
        <v>0</v>
      </c>
      <c r="S218" s="2">
        <f>'Raw Data Cut 1.3'!N214</f>
        <v>0</v>
      </c>
      <c r="T218" s="2">
        <f t="shared" si="6"/>
        <v>0</v>
      </c>
      <c r="U218" s="9" t="str">
        <f>IF($S218=0, "", IF(COUNTIF(Table1[Amino Acid Change], $S218)=0, "Missing", "Y"))</f>
        <v/>
      </c>
      <c r="V218" s="9">
        <f t="shared" si="7"/>
        <v>0</v>
      </c>
    </row>
    <row r="219" spans="9:22" x14ac:dyDescent="0.25">
      <c r="I219" s="2">
        <f>'Raw Data Cut 1.3'!A215</f>
        <v>0</v>
      </c>
      <c r="J219" s="2">
        <f>'Raw Data Cut 1.3'!B215</f>
        <v>0</v>
      </c>
      <c r="K219" s="2">
        <f>'Raw Data Cut 1.3'!C215</f>
        <v>0</v>
      </c>
      <c r="L219" s="2">
        <f>'Raw Data Cut 1.3'!D215</f>
        <v>0</v>
      </c>
      <c r="M219" s="2">
        <f>'Raw Data Cut 1.3'!E215</f>
        <v>0</v>
      </c>
      <c r="N219" s="2">
        <f>'Raw Data Cut 1.3'!G215</f>
        <v>0</v>
      </c>
      <c r="O219" s="2">
        <f>'Raw Data Cut 1.3'!H215</f>
        <v>0</v>
      </c>
      <c r="P219" s="2">
        <f>'Raw Data Cut 1.3'!I215</f>
        <v>0</v>
      </c>
      <c r="Q219" s="2">
        <f>'Raw Data Cut 1.3'!J215</f>
        <v>0</v>
      </c>
      <c r="R219" s="2">
        <f>'Raw Data Cut 1.3'!K215</f>
        <v>0</v>
      </c>
      <c r="S219" s="2">
        <f>'Raw Data Cut 1.3'!N215</f>
        <v>0</v>
      </c>
      <c r="T219" s="2">
        <f t="shared" si="6"/>
        <v>0</v>
      </c>
      <c r="U219" s="9" t="str">
        <f>IF($S219=0, "", IF(COUNTIF(Table1[Amino Acid Change], $S219)=0, "Missing", "Y"))</f>
        <v/>
      </c>
      <c r="V219" s="9">
        <f t="shared" si="7"/>
        <v>0</v>
      </c>
    </row>
    <row r="220" spans="9:22" x14ac:dyDescent="0.25">
      <c r="I220" s="2">
        <f>'Raw Data Cut 1.3'!A216</f>
        <v>0</v>
      </c>
      <c r="J220" s="2">
        <f>'Raw Data Cut 1.3'!B216</f>
        <v>0</v>
      </c>
      <c r="K220" s="2">
        <f>'Raw Data Cut 1.3'!C216</f>
        <v>0</v>
      </c>
      <c r="L220" s="2">
        <f>'Raw Data Cut 1.3'!D216</f>
        <v>0</v>
      </c>
      <c r="M220" s="2">
        <f>'Raw Data Cut 1.3'!E216</f>
        <v>0</v>
      </c>
      <c r="N220" s="2">
        <f>'Raw Data Cut 1.3'!G216</f>
        <v>0</v>
      </c>
      <c r="O220" s="2">
        <f>'Raw Data Cut 1.3'!H216</f>
        <v>0</v>
      </c>
      <c r="P220" s="2">
        <f>'Raw Data Cut 1.3'!I216</f>
        <v>0</v>
      </c>
      <c r="Q220" s="2">
        <f>'Raw Data Cut 1.3'!J216</f>
        <v>0</v>
      </c>
      <c r="R220" s="2">
        <f>'Raw Data Cut 1.3'!K216</f>
        <v>0</v>
      </c>
      <c r="S220" s="2">
        <f>'Raw Data Cut 1.3'!N216</f>
        <v>0</v>
      </c>
      <c r="T220" s="2">
        <f t="shared" si="6"/>
        <v>0</v>
      </c>
      <c r="U220" s="9" t="str">
        <f>IF($S220=0, "", IF(COUNTIF(Table1[Amino Acid Change], $S220)=0, "Missing", "Y"))</f>
        <v/>
      </c>
      <c r="V220" s="9">
        <f t="shared" si="7"/>
        <v>0</v>
      </c>
    </row>
    <row r="221" spans="9:22" x14ac:dyDescent="0.25">
      <c r="I221" s="2">
        <f>'Raw Data Cut 1.3'!A217</f>
        <v>0</v>
      </c>
      <c r="J221" s="2">
        <f>'Raw Data Cut 1.3'!B217</f>
        <v>0</v>
      </c>
      <c r="K221" s="2">
        <f>'Raw Data Cut 1.3'!C217</f>
        <v>0</v>
      </c>
      <c r="L221" s="2">
        <f>'Raw Data Cut 1.3'!D217</f>
        <v>0</v>
      </c>
      <c r="M221" s="2">
        <f>'Raw Data Cut 1.3'!E217</f>
        <v>0</v>
      </c>
      <c r="N221" s="2">
        <f>'Raw Data Cut 1.3'!G217</f>
        <v>0</v>
      </c>
      <c r="O221" s="2">
        <f>'Raw Data Cut 1.3'!H217</f>
        <v>0</v>
      </c>
      <c r="P221" s="2">
        <f>'Raw Data Cut 1.3'!I217</f>
        <v>0</v>
      </c>
      <c r="Q221" s="2">
        <f>'Raw Data Cut 1.3'!J217</f>
        <v>0</v>
      </c>
      <c r="R221" s="2">
        <f>'Raw Data Cut 1.3'!K217</f>
        <v>0</v>
      </c>
      <c r="S221" s="2">
        <f>'Raw Data Cut 1.3'!N217</f>
        <v>0</v>
      </c>
      <c r="T221" s="2">
        <f t="shared" si="6"/>
        <v>0</v>
      </c>
      <c r="U221" s="9" t="str">
        <f>IF($S221=0, "", IF(COUNTIF(Table1[Amino Acid Change], $S221)=0, "Missing", "Y"))</f>
        <v/>
      </c>
      <c r="V221" s="9">
        <f t="shared" si="7"/>
        <v>0</v>
      </c>
    </row>
    <row r="222" spans="9:22" x14ac:dyDescent="0.25">
      <c r="I222" s="2">
        <f>'Raw Data Cut 1.3'!A218</f>
        <v>0</v>
      </c>
      <c r="J222" s="2">
        <f>'Raw Data Cut 1.3'!B218</f>
        <v>0</v>
      </c>
      <c r="K222" s="2">
        <f>'Raw Data Cut 1.3'!C218</f>
        <v>0</v>
      </c>
      <c r="L222" s="2">
        <f>'Raw Data Cut 1.3'!D218</f>
        <v>0</v>
      </c>
      <c r="M222" s="2">
        <f>'Raw Data Cut 1.3'!E218</f>
        <v>0</v>
      </c>
      <c r="N222" s="2">
        <f>'Raw Data Cut 1.3'!G218</f>
        <v>0</v>
      </c>
      <c r="O222" s="2">
        <f>'Raw Data Cut 1.3'!H218</f>
        <v>0</v>
      </c>
      <c r="P222" s="2">
        <f>'Raw Data Cut 1.3'!I218</f>
        <v>0</v>
      </c>
      <c r="Q222" s="2">
        <f>'Raw Data Cut 1.3'!J218</f>
        <v>0</v>
      </c>
      <c r="R222" s="2">
        <f>'Raw Data Cut 1.3'!K218</f>
        <v>0</v>
      </c>
      <c r="S222" s="2">
        <f>'Raw Data Cut 1.3'!N218</f>
        <v>0</v>
      </c>
      <c r="T222" s="2">
        <f t="shared" si="6"/>
        <v>0</v>
      </c>
      <c r="U222" s="9" t="str">
        <f>IF($S222=0, "", IF(COUNTIF(Table1[Amino Acid Change], $S222)=0, "Missing", "Y"))</f>
        <v/>
      </c>
      <c r="V222" s="9">
        <f t="shared" si="7"/>
        <v>0</v>
      </c>
    </row>
    <row r="223" spans="9:22" x14ac:dyDescent="0.25">
      <c r="I223" s="2">
        <f>'Raw Data Cut 1.3'!A219</f>
        <v>0</v>
      </c>
      <c r="J223" s="2">
        <f>'Raw Data Cut 1.3'!B219</f>
        <v>0</v>
      </c>
      <c r="K223" s="2">
        <f>'Raw Data Cut 1.3'!C219</f>
        <v>0</v>
      </c>
      <c r="L223" s="2">
        <f>'Raw Data Cut 1.3'!D219</f>
        <v>0</v>
      </c>
      <c r="M223" s="2">
        <f>'Raw Data Cut 1.3'!E219</f>
        <v>0</v>
      </c>
      <c r="N223" s="2">
        <f>'Raw Data Cut 1.3'!G219</f>
        <v>0</v>
      </c>
      <c r="O223" s="2">
        <f>'Raw Data Cut 1.3'!H219</f>
        <v>0</v>
      </c>
      <c r="P223" s="2">
        <f>'Raw Data Cut 1.3'!I219</f>
        <v>0</v>
      </c>
      <c r="Q223" s="2">
        <f>'Raw Data Cut 1.3'!J219</f>
        <v>0</v>
      </c>
      <c r="R223" s="2">
        <f>'Raw Data Cut 1.3'!K219</f>
        <v>0</v>
      </c>
      <c r="S223" s="2">
        <f>'Raw Data Cut 1.3'!N219</f>
        <v>0</v>
      </c>
      <c r="T223" s="2">
        <f t="shared" si="6"/>
        <v>0</v>
      </c>
      <c r="U223" s="9" t="str">
        <f>IF($S223=0, "", IF(COUNTIF(Table1[Amino Acid Change], $S223)=0, "Missing", "Y"))</f>
        <v/>
      </c>
      <c r="V223" s="9">
        <f t="shared" si="7"/>
        <v>0</v>
      </c>
    </row>
    <row r="224" spans="9:22" x14ac:dyDescent="0.25">
      <c r="I224" s="2">
        <f>'Raw Data Cut 1.3'!A220</f>
        <v>0</v>
      </c>
      <c r="J224" s="2">
        <f>'Raw Data Cut 1.3'!B220</f>
        <v>0</v>
      </c>
      <c r="K224" s="2">
        <f>'Raw Data Cut 1.3'!C220</f>
        <v>0</v>
      </c>
      <c r="L224" s="2">
        <f>'Raw Data Cut 1.3'!D220</f>
        <v>0</v>
      </c>
      <c r="M224" s="2">
        <f>'Raw Data Cut 1.3'!E220</f>
        <v>0</v>
      </c>
      <c r="N224" s="2">
        <f>'Raw Data Cut 1.3'!G220</f>
        <v>0</v>
      </c>
      <c r="O224" s="2">
        <f>'Raw Data Cut 1.3'!H220</f>
        <v>0</v>
      </c>
      <c r="P224" s="2">
        <f>'Raw Data Cut 1.3'!I220</f>
        <v>0</v>
      </c>
      <c r="Q224" s="2">
        <f>'Raw Data Cut 1.3'!J220</f>
        <v>0</v>
      </c>
      <c r="R224" s="2">
        <f>'Raw Data Cut 1.3'!K220</f>
        <v>0</v>
      </c>
      <c r="S224" s="2">
        <f>'Raw Data Cut 1.3'!N220</f>
        <v>0</v>
      </c>
      <c r="T224" s="2">
        <f t="shared" si="6"/>
        <v>0</v>
      </c>
      <c r="U224" s="9" t="str">
        <f>IF($S224=0, "", IF(COUNTIF(Table1[Amino Acid Change], $S224)=0, "Missing", "Y"))</f>
        <v/>
      </c>
      <c r="V224" s="9">
        <f t="shared" si="7"/>
        <v>0</v>
      </c>
    </row>
    <row r="225" spans="9:22" x14ac:dyDescent="0.25">
      <c r="I225" s="2">
        <f>'Raw Data Cut 1.3'!A221</f>
        <v>0</v>
      </c>
      <c r="J225" s="2">
        <f>'Raw Data Cut 1.3'!B221</f>
        <v>0</v>
      </c>
      <c r="K225" s="2">
        <f>'Raw Data Cut 1.3'!C221</f>
        <v>0</v>
      </c>
      <c r="L225" s="2">
        <f>'Raw Data Cut 1.3'!D221</f>
        <v>0</v>
      </c>
      <c r="M225" s="2">
        <f>'Raw Data Cut 1.3'!E221</f>
        <v>0</v>
      </c>
      <c r="N225" s="2">
        <f>'Raw Data Cut 1.3'!G221</f>
        <v>0</v>
      </c>
      <c r="O225" s="2">
        <f>'Raw Data Cut 1.3'!H221</f>
        <v>0</v>
      </c>
      <c r="P225" s="2">
        <f>'Raw Data Cut 1.3'!I221</f>
        <v>0</v>
      </c>
      <c r="Q225" s="2">
        <f>'Raw Data Cut 1.3'!J221</f>
        <v>0</v>
      </c>
      <c r="R225" s="2">
        <f>'Raw Data Cut 1.3'!K221</f>
        <v>0</v>
      </c>
      <c r="S225" s="2">
        <f>'Raw Data Cut 1.3'!N221</f>
        <v>0</v>
      </c>
      <c r="T225" s="2">
        <f t="shared" si="6"/>
        <v>0</v>
      </c>
      <c r="U225" s="9" t="str">
        <f>IF($S225=0, "", IF(COUNTIF(Table1[Amino Acid Change], $S225)=0, "Missing", "Y"))</f>
        <v/>
      </c>
      <c r="V225" s="9">
        <f t="shared" si="7"/>
        <v>0</v>
      </c>
    </row>
    <row r="226" spans="9:22" x14ac:dyDescent="0.25">
      <c r="I226" s="2">
        <f>'Raw Data Cut 1.3'!A222</f>
        <v>0</v>
      </c>
      <c r="J226" s="2">
        <f>'Raw Data Cut 1.3'!B222</f>
        <v>0</v>
      </c>
      <c r="K226" s="2">
        <f>'Raw Data Cut 1.3'!C222</f>
        <v>0</v>
      </c>
      <c r="L226" s="2">
        <f>'Raw Data Cut 1.3'!D222</f>
        <v>0</v>
      </c>
      <c r="M226" s="2">
        <f>'Raw Data Cut 1.3'!E222</f>
        <v>0</v>
      </c>
      <c r="N226" s="2">
        <f>'Raw Data Cut 1.3'!G222</f>
        <v>0</v>
      </c>
      <c r="O226" s="2">
        <f>'Raw Data Cut 1.3'!H222</f>
        <v>0</v>
      </c>
      <c r="P226" s="2">
        <f>'Raw Data Cut 1.3'!I222</f>
        <v>0</v>
      </c>
      <c r="Q226" s="2">
        <f>'Raw Data Cut 1.3'!J222</f>
        <v>0</v>
      </c>
      <c r="R226" s="2">
        <f>'Raw Data Cut 1.3'!K222</f>
        <v>0</v>
      </c>
      <c r="S226" s="2">
        <f>'Raw Data Cut 1.3'!N222</f>
        <v>0</v>
      </c>
      <c r="T226" s="2">
        <f t="shared" si="6"/>
        <v>0</v>
      </c>
      <c r="U226" s="9" t="str">
        <f>IF($S226=0, "", IF(COUNTIF(Table1[Amino Acid Change], $S226)=0, "Missing", "Y"))</f>
        <v/>
      </c>
      <c r="V226" s="9">
        <f t="shared" si="7"/>
        <v>0</v>
      </c>
    </row>
    <row r="227" spans="9:22" x14ac:dyDescent="0.25">
      <c r="I227" s="2">
        <f>'Raw Data Cut 1.3'!A222</f>
        <v>0</v>
      </c>
      <c r="J227" s="2">
        <f>'Raw Data Cut 1.3'!B222</f>
        <v>0</v>
      </c>
      <c r="K227" s="2">
        <f>'Raw Data Cut 1.3'!C222</f>
        <v>0</v>
      </c>
      <c r="L227" s="2">
        <f>'Raw Data Cut 1.3'!D222</f>
        <v>0</v>
      </c>
      <c r="M227" s="2">
        <f>'Raw Data Cut 1.3'!E222</f>
        <v>0</v>
      </c>
      <c r="N227" s="2">
        <f>'Raw Data Cut 1.3'!G222</f>
        <v>0</v>
      </c>
      <c r="O227" s="2">
        <f>'Raw Data Cut 1.3'!H222</f>
        <v>0</v>
      </c>
      <c r="P227" s="2">
        <f>'Raw Data Cut 1.3'!I222</f>
        <v>0</v>
      </c>
      <c r="Q227" s="2">
        <f>'Raw Data Cut 1.3'!J222</f>
        <v>0</v>
      </c>
      <c r="R227" s="2">
        <f>'Raw Data Cut 1.3'!K222</f>
        <v>0</v>
      </c>
      <c r="S227" s="2">
        <f>'Raw Data Cut 1.3'!N222</f>
        <v>0</v>
      </c>
      <c r="T227" s="2">
        <f t="shared" si="6"/>
        <v>0</v>
      </c>
      <c r="U227" s="9" t="str">
        <f>IF($S227=0, "", IF(COUNTIF(Table1[Amino Acid Change], $S227)=0, "Missing", "Y"))</f>
        <v/>
      </c>
      <c r="V227" s="9">
        <f t="shared" si="7"/>
        <v>0</v>
      </c>
    </row>
    <row r="228" spans="9:22" x14ac:dyDescent="0.25">
      <c r="I228" s="2">
        <f>'Raw Data Cut 1.3'!A223</f>
        <v>0</v>
      </c>
      <c r="J228" s="2">
        <f>'Raw Data Cut 1.3'!B223</f>
        <v>0</v>
      </c>
      <c r="K228" s="2">
        <f>'Raw Data Cut 1.3'!C223</f>
        <v>0</v>
      </c>
      <c r="L228" s="2">
        <f>'Raw Data Cut 1.3'!D223</f>
        <v>0</v>
      </c>
      <c r="M228" s="2">
        <f>'Raw Data Cut 1.3'!E223</f>
        <v>0</v>
      </c>
      <c r="N228" s="2">
        <f>'Raw Data Cut 1.3'!G223</f>
        <v>0</v>
      </c>
      <c r="O228" s="2">
        <f>'Raw Data Cut 1.3'!H223</f>
        <v>0</v>
      </c>
      <c r="P228" s="2">
        <f>'Raw Data Cut 1.3'!I223</f>
        <v>0</v>
      </c>
      <c r="Q228" s="2">
        <f>'Raw Data Cut 1.3'!J223</f>
        <v>0</v>
      </c>
      <c r="R228" s="2">
        <f>'Raw Data Cut 1.3'!K223</f>
        <v>0</v>
      </c>
      <c r="S228" s="2">
        <f>'Raw Data Cut 1.3'!N223</f>
        <v>0</v>
      </c>
      <c r="T228" s="2">
        <f t="shared" si="6"/>
        <v>0</v>
      </c>
      <c r="U228" s="9" t="str">
        <f>IF($S228=0, "", IF(COUNTIF(Table1[Amino Acid Change], $S228)=0, "Missing", "Y"))</f>
        <v/>
      </c>
      <c r="V228" s="9">
        <f t="shared" si="7"/>
        <v>0</v>
      </c>
    </row>
    <row r="229" spans="9:22" x14ac:dyDescent="0.25">
      <c r="I229" s="2">
        <f>'Raw Data Cut 1.3'!A224</f>
        <v>0</v>
      </c>
      <c r="J229" s="2">
        <f>'Raw Data Cut 1.3'!B224</f>
        <v>0</v>
      </c>
      <c r="K229" s="2">
        <f>'Raw Data Cut 1.3'!C224</f>
        <v>0</v>
      </c>
      <c r="L229" s="2">
        <f>'Raw Data Cut 1.3'!D224</f>
        <v>0</v>
      </c>
      <c r="M229" s="2">
        <f>'Raw Data Cut 1.3'!E224</f>
        <v>0</v>
      </c>
      <c r="N229" s="2">
        <f>'Raw Data Cut 1.3'!G224</f>
        <v>0</v>
      </c>
      <c r="O229" s="2">
        <f>'Raw Data Cut 1.3'!H224</f>
        <v>0</v>
      </c>
      <c r="P229" s="2">
        <f>'Raw Data Cut 1.3'!I224</f>
        <v>0</v>
      </c>
      <c r="Q229" s="2">
        <f>'Raw Data Cut 1.3'!J224</f>
        <v>0</v>
      </c>
      <c r="R229" s="2">
        <f>'Raw Data Cut 1.3'!K224</f>
        <v>0</v>
      </c>
      <c r="S229" s="2">
        <f>'Raw Data Cut 1.3'!N224</f>
        <v>0</v>
      </c>
      <c r="T229" s="2">
        <f t="shared" si="6"/>
        <v>0</v>
      </c>
      <c r="U229" s="9" t="str">
        <f>IF($S229=0, "", IF(COUNTIF(Table1[Amino Acid Change], $S229)=0, "Missing", "Y"))</f>
        <v/>
      </c>
      <c r="V229" s="9">
        <f t="shared" si="7"/>
        <v>0</v>
      </c>
    </row>
    <row r="230" spans="9:22" x14ac:dyDescent="0.25">
      <c r="I230" s="2">
        <f>'Raw Data Cut 1.3'!A225</f>
        <v>0</v>
      </c>
      <c r="J230" s="2">
        <f>'Raw Data Cut 1.3'!B225</f>
        <v>0</v>
      </c>
      <c r="K230" s="2">
        <f>'Raw Data Cut 1.3'!C225</f>
        <v>0</v>
      </c>
      <c r="L230" s="2">
        <f>'Raw Data Cut 1.3'!D225</f>
        <v>0</v>
      </c>
      <c r="M230" s="2">
        <f>'Raw Data Cut 1.3'!E225</f>
        <v>0</v>
      </c>
      <c r="N230" s="2">
        <f>'Raw Data Cut 1.3'!G225</f>
        <v>0</v>
      </c>
      <c r="O230" s="2">
        <f>'Raw Data Cut 1.3'!H225</f>
        <v>0</v>
      </c>
      <c r="P230" s="2">
        <f>'Raw Data Cut 1.3'!I225</f>
        <v>0</v>
      </c>
      <c r="Q230" s="2">
        <f>'Raw Data Cut 1.3'!J225</f>
        <v>0</v>
      </c>
      <c r="R230" s="2">
        <f>'Raw Data Cut 1.3'!K225</f>
        <v>0</v>
      </c>
      <c r="S230" s="2">
        <f>'Raw Data Cut 1.3'!N225</f>
        <v>0</v>
      </c>
      <c r="T230" s="2">
        <f t="shared" si="6"/>
        <v>0</v>
      </c>
      <c r="U230" s="9" t="str">
        <f>IF($S230=0, "", IF(COUNTIF(Table1[Amino Acid Change], $S230)=0, "Missing", "Y"))</f>
        <v/>
      </c>
      <c r="V230" s="9">
        <f t="shared" si="7"/>
        <v>0</v>
      </c>
    </row>
    <row r="231" spans="9:22" x14ac:dyDescent="0.25">
      <c r="I231" s="2">
        <f>'Raw Data Cut 1.3'!A226</f>
        <v>0</v>
      </c>
      <c r="J231" s="2">
        <f>'Raw Data Cut 1.3'!B226</f>
        <v>0</v>
      </c>
      <c r="K231" s="2">
        <f>'Raw Data Cut 1.3'!C226</f>
        <v>0</v>
      </c>
      <c r="L231" s="2">
        <f>'Raw Data Cut 1.3'!D226</f>
        <v>0</v>
      </c>
      <c r="M231" s="2">
        <f>'Raw Data Cut 1.3'!E226</f>
        <v>0</v>
      </c>
      <c r="N231" s="2">
        <f>'Raw Data Cut 1.3'!G226</f>
        <v>0</v>
      </c>
      <c r="O231" s="2">
        <f>'Raw Data Cut 1.3'!H226</f>
        <v>0</v>
      </c>
      <c r="P231" s="2">
        <f>'Raw Data Cut 1.3'!I226</f>
        <v>0</v>
      </c>
      <c r="Q231" s="2">
        <f>'Raw Data Cut 1.3'!J226</f>
        <v>0</v>
      </c>
      <c r="R231" s="2">
        <f>'Raw Data Cut 1.3'!K226</f>
        <v>0</v>
      </c>
      <c r="S231" s="2">
        <f>'Raw Data Cut 1.3'!N226</f>
        <v>0</v>
      </c>
      <c r="T231" s="2">
        <f t="shared" si="6"/>
        <v>0</v>
      </c>
      <c r="U231" s="9" t="str">
        <f>IF($S231=0, "", IF(COUNTIF(Table1[Amino Acid Change], $S231)=0, "Missing", "Y"))</f>
        <v/>
      </c>
      <c r="V231" s="9">
        <f t="shared" si="7"/>
        <v>0</v>
      </c>
    </row>
    <row r="232" spans="9:22" x14ac:dyDescent="0.25">
      <c r="I232" s="2">
        <f>'Raw Data Cut 1.3'!A227</f>
        <v>0</v>
      </c>
      <c r="J232" s="2">
        <f>'Raw Data Cut 1.3'!B227</f>
        <v>0</v>
      </c>
      <c r="K232" s="2">
        <f>'Raw Data Cut 1.3'!C227</f>
        <v>0</v>
      </c>
      <c r="L232" s="2">
        <f>'Raw Data Cut 1.3'!D227</f>
        <v>0</v>
      </c>
      <c r="M232" s="2">
        <f>'Raw Data Cut 1.3'!E227</f>
        <v>0</v>
      </c>
      <c r="N232" s="2">
        <f>'Raw Data Cut 1.3'!G227</f>
        <v>0</v>
      </c>
      <c r="O232" s="2">
        <f>'Raw Data Cut 1.3'!H227</f>
        <v>0</v>
      </c>
      <c r="P232" s="2">
        <f>'Raw Data Cut 1.3'!I227</f>
        <v>0</v>
      </c>
      <c r="Q232" s="2">
        <f>'Raw Data Cut 1.3'!J227</f>
        <v>0</v>
      </c>
      <c r="R232" s="2">
        <f>'Raw Data Cut 1.3'!K227</f>
        <v>0</v>
      </c>
      <c r="S232" s="2">
        <f>'Raw Data Cut 1.3'!N227</f>
        <v>0</v>
      </c>
      <c r="T232" s="2">
        <f t="shared" si="6"/>
        <v>0</v>
      </c>
      <c r="U232" s="9" t="str">
        <f>IF($S232=0, "", IF(COUNTIF(Table1[Amino Acid Change], $S232)=0, "Missing", "Y"))</f>
        <v/>
      </c>
      <c r="V232" s="9">
        <f t="shared" si="7"/>
        <v>0</v>
      </c>
    </row>
    <row r="233" spans="9:22" x14ac:dyDescent="0.25">
      <c r="I233" s="2">
        <f>'Raw Data Cut 1.3'!A228</f>
        <v>0</v>
      </c>
      <c r="J233" s="2">
        <f>'Raw Data Cut 1.3'!B228</f>
        <v>0</v>
      </c>
      <c r="K233" s="2">
        <f>'Raw Data Cut 1.3'!C228</f>
        <v>0</v>
      </c>
      <c r="L233" s="2">
        <f>'Raw Data Cut 1.3'!D228</f>
        <v>0</v>
      </c>
      <c r="M233" s="2">
        <f>'Raw Data Cut 1.3'!E228</f>
        <v>0</v>
      </c>
      <c r="N233" s="2">
        <f>'Raw Data Cut 1.3'!G228</f>
        <v>0</v>
      </c>
      <c r="O233" s="2">
        <f>'Raw Data Cut 1.3'!H228</f>
        <v>0</v>
      </c>
      <c r="P233" s="2">
        <f>'Raw Data Cut 1.3'!I228</f>
        <v>0</v>
      </c>
      <c r="Q233" s="2">
        <f>'Raw Data Cut 1.3'!J228</f>
        <v>0</v>
      </c>
      <c r="R233" s="2">
        <f>'Raw Data Cut 1.3'!K228</f>
        <v>0</v>
      </c>
      <c r="S233" s="2">
        <f>'Raw Data Cut 1.3'!N228</f>
        <v>0</v>
      </c>
      <c r="T233" s="2">
        <f t="shared" si="6"/>
        <v>0</v>
      </c>
      <c r="U233" s="9" t="str">
        <f>IF($S233=0, "", IF(COUNTIF(Table1[Amino Acid Change], $S233)=0, "Missing", "Y"))</f>
        <v/>
      </c>
      <c r="V233" s="9">
        <f t="shared" si="7"/>
        <v>0</v>
      </c>
    </row>
    <row r="234" spans="9:22" x14ac:dyDescent="0.25">
      <c r="I234" s="2">
        <f>'Raw Data Cut 1.3'!A229</f>
        <v>0</v>
      </c>
      <c r="J234" s="2">
        <f>'Raw Data Cut 1.3'!B229</f>
        <v>0</v>
      </c>
      <c r="K234" s="2">
        <f>'Raw Data Cut 1.3'!C229</f>
        <v>0</v>
      </c>
      <c r="L234" s="2">
        <f>'Raw Data Cut 1.3'!D229</f>
        <v>0</v>
      </c>
      <c r="M234" s="2">
        <f>'Raw Data Cut 1.3'!E229</f>
        <v>0</v>
      </c>
      <c r="N234" s="2">
        <f>'Raw Data Cut 1.3'!G229</f>
        <v>0</v>
      </c>
      <c r="O234" s="2">
        <f>'Raw Data Cut 1.3'!H229</f>
        <v>0</v>
      </c>
      <c r="P234" s="2">
        <f>'Raw Data Cut 1.3'!I229</f>
        <v>0</v>
      </c>
      <c r="Q234" s="2">
        <f>'Raw Data Cut 1.3'!J229</f>
        <v>0</v>
      </c>
      <c r="R234" s="2">
        <f>'Raw Data Cut 1.3'!K229</f>
        <v>0</v>
      </c>
      <c r="S234" s="2">
        <f>'Raw Data Cut 1.3'!N229</f>
        <v>0</v>
      </c>
      <c r="T234" s="2">
        <f t="shared" si="6"/>
        <v>0</v>
      </c>
      <c r="U234" s="9" t="str">
        <f>IF($S234=0, "", IF(COUNTIF(Table1[Amino Acid Change], $S234)=0, "Missing", "Y"))</f>
        <v/>
      </c>
      <c r="V234" s="9">
        <f t="shared" si="7"/>
        <v>0</v>
      </c>
    </row>
    <row r="235" spans="9:22" x14ac:dyDescent="0.25">
      <c r="I235" s="2">
        <f>'Raw Data Cut 1.3'!A230</f>
        <v>0</v>
      </c>
      <c r="J235" s="2">
        <f>'Raw Data Cut 1.3'!B230</f>
        <v>0</v>
      </c>
      <c r="K235" s="2">
        <f>'Raw Data Cut 1.3'!C230</f>
        <v>0</v>
      </c>
      <c r="L235" s="2">
        <f>'Raw Data Cut 1.3'!D230</f>
        <v>0</v>
      </c>
      <c r="M235" s="2">
        <f>'Raw Data Cut 1.3'!E230</f>
        <v>0</v>
      </c>
      <c r="N235" s="2">
        <f>'Raw Data Cut 1.3'!G230</f>
        <v>0</v>
      </c>
      <c r="O235" s="2">
        <f>'Raw Data Cut 1.3'!H230</f>
        <v>0</v>
      </c>
      <c r="P235" s="2">
        <f>'Raw Data Cut 1.3'!I230</f>
        <v>0</v>
      </c>
      <c r="Q235" s="2">
        <f>'Raw Data Cut 1.3'!J230</f>
        <v>0</v>
      </c>
      <c r="R235" s="2">
        <f>'Raw Data Cut 1.3'!K230</f>
        <v>0</v>
      </c>
      <c r="S235" s="2">
        <f>'Raw Data Cut 1.3'!N230</f>
        <v>0</v>
      </c>
      <c r="T235" s="2">
        <f t="shared" si="6"/>
        <v>0</v>
      </c>
      <c r="U235" s="9" t="str">
        <f>IF($S235=0, "", IF(COUNTIF(Table1[Amino Acid Change], $S235)=0, "Missing", "Y"))</f>
        <v/>
      </c>
      <c r="V235" s="9">
        <f t="shared" si="7"/>
        <v>0</v>
      </c>
    </row>
    <row r="236" spans="9:22" x14ac:dyDescent="0.25">
      <c r="I236" s="2">
        <f>'Raw Data Cut 1.3'!A231</f>
        <v>0</v>
      </c>
      <c r="J236" s="2">
        <f>'Raw Data Cut 1.3'!B231</f>
        <v>0</v>
      </c>
      <c r="K236" s="2">
        <f>'Raw Data Cut 1.3'!C231</f>
        <v>0</v>
      </c>
      <c r="L236" s="2">
        <f>'Raw Data Cut 1.3'!D231</f>
        <v>0</v>
      </c>
      <c r="M236" s="2">
        <f>'Raw Data Cut 1.3'!E231</f>
        <v>0</v>
      </c>
      <c r="N236" s="2">
        <f>'Raw Data Cut 1.3'!G231</f>
        <v>0</v>
      </c>
      <c r="O236" s="2">
        <f>'Raw Data Cut 1.3'!H231</f>
        <v>0</v>
      </c>
      <c r="P236" s="2">
        <f>'Raw Data Cut 1.3'!I231</f>
        <v>0</v>
      </c>
      <c r="Q236" s="2">
        <f>'Raw Data Cut 1.3'!J231</f>
        <v>0</v>
      </c>
      <c r="R236" s="2">
        <f>'Raw Data Cut 1.3'!K231</f>
        <v>0</v>
      </c>
      <c r="S236" s="2">
        <f>'Raw Data Cut 1.3'!N231</f>
        <v>0</v>
      </c>
      <c r="T236" s="2">
        <f t="shared" si="6"/>
        <v>0</v>
      </c>
      <c r="U236" s="9" t="str">
        <f>IF($S236=0, "", IF(COUNTIF(Table1[Amino Acid Change], $S236)=0, "Missing", "Y"))</f>
        <v/>
      </c>
      <c r="V236" s="9">
        <f t="shared" si="7"/>
        <v>0</v>
      </c>
    </row>
    <row r="237" spans="9:22" x14ac:dyDescent="0.25">
      <c r="I237" s="2">
        <f>'Raw Data Cut 1.3'!A232</f>
        <v>0</v>
      </c>
      <c r="J237" s="2">
        <f>'Raw Data Cut 1.3'!B232</f>
        <v>0</v>
      </c>
      <c r="K237" s="2">
        <f>'Raw Data Cut 1.3'!C232</f>
        <v>0</v>
      </c>
      <c r="L237" s="2">
        <f>'Raw Data Cut 1.3'!D232</f>
        <v>0</v>
      </c>
      <c r="M237" s="2">
        <f>'Raw Data Cut 1.3'!E232</f>
        <v>0</v>
      </c>
      <c r="N237" s="2">
        <f>'Raw Data Cut 1.3'!G232</f>
        <v>0</v>
      </c>
      <c r="O237" s="2">
        <f>'Raw Data Cut 1.3'!H232</f>
        <v>0</v>
      </c>
      <c r="P237" s="2">
        <f>'Raw Data Cut 1.3'!I232</f>
        <v>0</v>
      </c>
      <c r="Q237" s="2">
        <f>'Raw Data Cut 1.3'!J232</f>
        <v>0</v>
      </c>
      <c r="R237" s="2">
        <f>'Raw Data Cut 1.3'!K232</f>
        <v>0</v>
      </c>
      <c r="S237" s="2">
        <f>'Raw Data Cut 1.3'!N232</f>
        <v>0</v>
      </c>
      <c r="T237" s="2">
        <f t="shared" si="6"/>
        <v>0</v>
      </c>
      <c r="U237" s="9" t="str">
        <f>IF($S237=0, "", IF(COUNTIF(Table1[Amino Acid Change], $S237)=0, "Missing", "Y"))</f>
        <v/>
      </c>
      <c r="V237" s="9">
        <f t="shared" si="7"/>
        <v>0</v>
      </c>
    </row>
    <row r="238" spans="9:22" x14ac:dyDescent="0.25">
      <c r="I238" s="2">
        <f>'Raw Data Cut 1.3'!A233</f>
        <v>0</v>
      </c>
      <c r="J238" s="2">
        <f>'Raw Data Cut 1.3'!B233</f>
        <v>0</v>
      </c>
      <c r="K238" s="2">
        <f>'Raw Data Cut 1.3'!C233</f>
        <v>0</v>
      </c>
      <c r="L238" s="2">
        <f>'Raw Data Cut 1.3'!D233</f>
        <v>0</v>
      </c>
      <c r="M238" s="2">
        <f>'Raw Data Cut 1.3'!E233</f>
        <v>0</v>
      </c>
      <c r="N238" s="2">
        <f>'Raw Data Cut 1.3'!G233</f>
        <v>0</v>
      </c>
      <c r="O238" s="2">
        <f>'Raw Data Cut 1.3'!H233</f>
        <v>0</v>
      </c>
      <c r="P238" s="2">
        <f>'Raw Data Cut 1.3'!I233</f>
        <v>0</v>
      </c>
      <c r="Q238" s="2">
        <f>'Raw Data Cut 1.3'!J233</f>
        <v>0</v>
      </c>
      <c r="R238" s="2">
        <f>'Raw Data Cut 1.3'!K233</f>
        <v>0</v>
      </c>
      <c r="S238" s="2">
        <f>'Raw Data Cut 1.3'!N233</f>
        <v>0</v>
      </c>
      <c r="T238" s="2">
        <f t="shared" si="6"/>
        <v>0</v>
      </c>
      <c r="U238" s="9" t="str">
        <f>IF($S238=0, "", IF(COUNTIF(Table1[Amino Acid Change], $S238)=0, "Missing", "Y"))</f>
        <v/>
      </c>
      <c r="V238" s="9">
        <f t="shared" si="7"/>
        <v>0</v>
      </c>
    </row>
    <row r="239" spans="9:22" x14ac:dyDescent="0.25">
      <c r="I239" s="2">
        <f>'Raw Data Cut 1.3'!A234</f>
        <v>0</v>
      </c>
      <c r="J239" s="2">
        <f>'Raw Data Cut 1.3'!B234</f>
        <v>0</v>
      </c>
      <c r="K239" s="2">
        <f>'Raw Data Cut 1.3'!C234</f>
        <v>0</v>
      </c>
      <c r="L239" s="2">
        <f>'Raw Data Cut 1.3'!D234</f>
        <v>0</v>
      </c>
      <c r="M239" s="2">
        <f>'Raw Data Cut 1.3'!E234</f>
        <v>0</v>
      </c>
      <c r="N239" s="2">
        <f>'Raw Data Cut 1.3'!G234</f>
        <v>0</v>
      </c>
      <c r="O239" s="2">
        <f>'Raw Data Cut 1.3'!H234</f>
        <v>0</v>
      </c>
      <c r="P239" s="2">
        <f>'Raw Data Cut 1.3'!I234</f>
        <v>0</v>
      </c>
      <c r="Q239" s="2">
        <f>'Raw Data Cut 1.3'!J234</f>
        <v>0</v>
      </c>
      <c r="R239" s="2">
        <f>'Raw Data Cut 1.3'!K234</f>
        <v>0</v>
      </c>
      <c r="S239" s="2">
        <f>'Raw Data Cut 1.3'!N234</f>
        <v>0</v>
      </c>
      <c r="T239" s="2">
        <f t="shared" si="6"/>
        <v>0</v>
      </c>
      <c r="U239" s="9" t="str">
        <f>IF($S239=0, "", IF(COUNTIF(Table1[Amino Acid Change], $S239)=0, "Missing", "Y"))</f>
        <v/>
      </c>
      <c r="V239" s="9">
        <f t="shared" si="7"/>
        <v>0</v>
      </c>
    </row>
    <row r="240" spans="9:22" x14ac:dyDescent="0.25">
      <c r="I240" s="2">
        <f>'Raw Data Cut 1.3'!A235</f>
        <v>0</v>
      </c>
      <c r="J240" s="2">
        <f>'Raw Data Cut 1.3'!B235</f>
        <v>0</v>
      </c>
      <c r="K240" s="2">
        <f>'Raw Data Cut 1.3'!C235</f>
        <v>0</v>
      </c>
      <c r="L240" s="2">
        <f>'Raw Data Cut 1.3'!D235</f>
        <v>0</v>
      </c>
      <c r="M240" s="2">
        <f>'Raw Data Cut 1.3'!E235</f>
        <v>0</v>
      </c>
      <c r="N240" s="2">
        <f>'Raw Data Cut 1.3'!G235</f>
        <v>0</v>
      </c>
      <c r="O240" s="2">
        <f>'Raw Data Cut 1.3'!H235</f>
        <v>0</v>
      </c>
      <c r="P240" s="2">
        <f>'Raw Data Cut 1.3'!I235</f>
        <v>0</v>
      </c>
      <c r="Q240" s="2">
        <f>'Raw Data Cut 1.3'!J235</f>
        <v>0</v>
      </c>
      <c r="R240" s="2">
        <f>'Raw Data Cut 1.3'!K235</f>
        <v>0</v>
      </c>
      <c r="S240" s="2">
        <f>'Raw Data Cut 1.3'!N235</f>
        <v>0</v>
      </c>
      <c r="T240" s="2">
        <f t="shared" si="6"/>
        <v>0</v>
      </c>
      <c r="U240" s="9" t="str">
        <f>IF($S240=0, "", IF(COUNTIF(Table1[Amino Acid Change], $S240)=0, "Missing", "Y"))</f>
        <v/>
      </c>
      <c r="V240" s="9">
        <f t="shared" si="7"/>
        <v>0</v>
      </c>
    </row>
    <row r="241" spans="9:22" x14ac:dyDescent="0.25">
      <c r="I241" s="2">
        <f>'Raw Data Cut 1.3'!A236</f>
        <v>0</v>
      </c>
      <c r="J241" s="2">
        <f>'Raw Data Cut 1.3'!B236</f>
        <v>0</v>
      </c>
      <c r="K241" s="2">
        <f>'Raw Data Cut 1.3'!C236</f>
        <v>0</v>
      </c>
      <c r="L241" s="2">
        <f>'Raw Data Cut 1.3'!D236</f>
        <v>0</v>
      </c>
      <c r="M241" s="2">
        <f>'Raw Data Cut 1.3'!E236</f>
        <v>0</v>
      </c>
      <c r="N241" s="2">
        <f>'Raw Data Cut 1.3'!G236</f>
        <v>0</v>
      </c>
      <c r="O241" s="2">
        <f>'Raw Data Cut 1.3'!H236</f>
        <v>0</v>
      </c>
      <c r="P241" s="2">
        <f>'Raw Data Cut 1.3'!I236</f>
        <v>0</v>
      </c>
      <c r="Q241" s="2">
        <f>'Raw Data Cut 1.3'!J236</f>
        <v>0</v>
      </c>
      <c r="R241" s="2">
        <f>'Raw Data Cut 1.3'!K236</f>
        <v>0</v>
      </c>
      <c r="S241" s="2">
        <f>'Raw Data Cut 1.3'!N236</f>
        <v>0</v>
      </c>
      <c r="T241" s="2">
        <f t="shared" si="6"/>
        <v>0</v>
      </c>
      <c r="U241" s="9" t="str">
        <f>IF($S241=0, "", IF(COUNTIF(Table1[Amino Acid Change], $S241)=0, "Missing", "Y"))</f>
        <v/>
      </c>
      <c r="V241" s="9">
        <f t="shared" si="7"/>
        <v>0</v>
      </c>
    </row>
    <row r="242" spans="9:22" x14ac:dyDescent="0.25">
      <c r="I242" s="2">
        <f>'Raw Data Cut 1.3'!A237</f>
        <v>0</v>
      </c>
      <c r="J242" s="2">
        <f>'Raw Data Cut 1.3'!B237</f>
        <v>0</v>
      </c>
      <c r="K242" s="2">
        <f>'Raw Data Cut 1.3'!C237</f>
        <v>0</v>
      </c>
      <c r="L242" s="2">
        <f>'Raw Data Cut 1.3'!D237</f>
        <v>0</v>
      </c>
      <c r="M242" s="2">
        <f>'Raw Data Cut 1.3'!E237</f>
        <v>0</v>
      </c>
      <c r="N242" s="2">
        <f>'Raw Data Cut 1.3'!G237</f>
        <v>0</v>
      </c>
      <c r="O242" s="2">
        <f>'Raw Data Cut 1.3'!H237</f>
        <v>0</v>
      </c>
      <c r="P242" s="2">
        <f>'Raw Data Cut 1.3'!I237</f>
        <v>0</v>
      </c>
      <c r="Q242" s="2">
        <f>'Raw Data Cut 1.3'!J237</f>
        <v>0</v>
      </c>
      <c r="R242" s="2">
        <f>'Raw Data Cut 1.3'!K237</f>
        <v>0</v>
      </c>
      <c r="S242" s="2">
        <f>'Raw Data Cut 1.3'!N237</f>
        <v>0</v>
      </c>
      <c r="T242" s="2">
        <f t="shared" si="6"/>
        <v>0</v>
      </c>
      <c r="U242" s="9" t="str">
        <f>IF($S242=0, "", IF(COUNTIF(Table1[Amino Acid Change], $S242)=0, "Missing", "Y"))</f>
        <v/>
      </c>
      <c r="V242" s="9">
        <f t="shared" si="7"/>
        <v>0</v>
      </c>
    </row>
    <row r="243" spans="9:22" x14ac:dyDescent="0.25">
      <c r="I243" s="2">
        <f>'Raw Data Cut 1.3'!A238</f>
        <v>0</v>
      </c>
      <c r="J243" s="2">
        <f>'Raw Data Cut 1.3'!B238</f>
        <v>0</v>
      </c>
      <c r="K243" s="2">
        <f>'Raw Data Cut 1.3'!C238</f>
        <v>0</v>
      </c>
      <c r="L243" s="2">
        <f>'Raw Data Cut 1.3'!D238</f>
        <v>0</v>
      </c>
      <c r="M243" s="2">
        <f>'Raw Data Cut 1.3'!E238</f>
        <v>0</v>
      </c>
      <c r="N243" s="2">
        <f>'Raw Data Cut 1.3'!G238</f>
        <v>0</v>
      </c>
      <c r="O243" s="2">
        <f>'Raw Data Cut 1.3'!H238</f>
        <v>0</v>
      </c>
      <c r="P243" s="2">
        <f>'Raw Data Cut 1.3'!I238</f>
        <v>0</v>
      </c>
      <c r="Q243" s="2">
        <f>'Raw Data Cut 1.3'!J238</f>
        <v>0</v>
      </c>
      <c r="R243" s="2">
        <f>'Raw Data Cut 1.3'!K238</f>
        <v>0</v>
      </c>
      <c r="S243" s="2">
        <f>'Raw Data Cut 1.3'!N238</f>
        <v>0</v>
      </c>
      <c r="T243" s="2">
        <f t="shared" si="6"/>
        <v>0</v>
      </c>
      <c r="U243" s="9" t="str">
        <f>IF($S243=0, "", IF(COUNTIF(Table1[Amino Acid Change], $S243)=0, "Missing", "Y"))</f>
        <v/>
      </c>
      <c r="V243" s="9">
        <f t="shared" si="7"/>
        <v>0</v>
      </c>
    </row>
    <row r="244" spans="9:22" x14ac:dyDescent="0.25">
      <c r="I244" s="2">
        <f>'Raw Data Cut 1.3'!A239</f>
        <v>0</v>
      </c>
      <c r="J244" s="2">
        <f>'Raw Data Cut 1.3'!B239</f>
        <v>0</v>
      </c>
      <c r="K244" s="2">
        <f>'Raw Data Cut 1.3'!C239</f>
        <v>0</v>
      </c>
      <c r="L244" s="2">
        <f>'Raw Data Cut 1.3'!D239</f>
        <v>0</v>
      </c>
      <c r="M244" s="2">
        <f>'Raw Data Cut 1.3'!E239</f>
        <v>0</v>
      </c>
      <c r="N244" s="2">
        <f>'Raw Data Cut 1.3'!G239</f>
        <v>0</v>
      </c>
      <c r="O244" s="2">
        <f>'Raw Data Cut 1.3'!H239</f>
        <v>0</v>
      </c>
      <c r="P244" s="2">
        <f>'Raw Data Cut 1.3'!I239</f>
        <v>0</v>
      </c>
      <c r="Q244" s="2">
        <f>'Raw Data Cut 1.3'!J239</f>
        <v>0</v>
      </c>
      <c r="R244" s="2">
        <f>'Raw Data Cut 1.3'!K239</f>
        <v>0</v>
      </c>
      <c r="S244" s="2">
        <f>'Raw Data Cut 1.3'!N239</f>
        <v>0</v>
      </c>
      <c r="T244" s="2">
        <f t="shared" si="6"/>
        <v>0</v>
      </c>
      <c r="U244" s="9" t="str">
        <f>IF($S244=0, "", IF(COUNTIF(Table1[Amino Acid Change], $S244)=0, "Missing", "Y"))</f>
        <v/>
      </c>
      <c r="V244" s="9">
        <f t="shared" si="7"/>
        <v>0</v>
      </c>
    </row>
    <row r="245" spans="9:22" x14ac:dyDescent="0.25">
      <c r="I245" s="2">
        <f>'Raw Data Cut 1.3'!A240</f>
        <v>0</v>
      </c>
      <c r="J245" s="2">
        <f>'Raw Data Cut 1.3'!B240</f>
        <v>0</v>
      </c>
      <c r="K245" s="2">
        <f>'Raw Data Cut 1.3'!C240</f>
        <v>0</v>
      </c>
      <c r="L245" s="2">
        <f>'Raw Data Cut 1.3'!D240</f>
        <v>0</v>
      </c>
      <c r="M245" s="2">
        <f>'Raw Data Cut 1.3'!E240</f>
        <v>0</v>
      </c>
      <c r="N245" s="2">
        <f>'Raw Data Cut 1.3'!G240</f>
        <v>0</v>
      </c>
      <c r="O245" s="2">
        <f>'Raw Data Cut 1.3'!H240</f>
        <v>0</v>
      </c>
      <c r="P245" s="2">
        <f>'Raw Data Cut 1.3'!I240</f>
        <v>0</v>
      </c>
      <c r="Q245" s="2">
        <f>'Raw Data Cut 1.3'!J240</f>
        <v>0</v>
      </c>
      <c r="R245" s="2">
        <f>'Raw Data Cut 1.3'!K240</f>
        <v>0</v>
      </c>
      <c r="S245" s="2">
        <f>'Raw Data Cut 1.3'!N240</f>
        <v>0</v>
      </c>
      <c r="T245" s="2">
        <f t="shared" si="6"/>
        <v>0</v>
      </c>
      <c r="U245" s="9" t="str">
        <f>IF($S245=0, "", IF(COUNTIF(Table1[Amino Acid Change], $S245)=0, "Missing", "Y"))</f>
        <v/>
      </c>
      <c r="V245" s="9">
        <f t="shared" si="7"/>
        <v>0</v>
      </c>
    </row>
    <row r="246" spans="9:22" x14ac:dyDescent="0.25">
      <c r="I246" s="2">
        <f>'Raw Data Cut 1.3'!A241</f>
        <v>0</v>
      </c>
      <c r="J246" s="2">
        <f>'Raw Data Cut 1.3'!B241</f>
        <v>0</v>
      </c>
      <c r="K246" s="2">
        <f>'Raw Data Cut 1.3'!C241</f>
        <v>0</v>
      </c>
      <c r="L246" s="2">
        <f>'Raw Data Cut 1.3'!D241</f>
        <v>0</v>
      </c>
      <c r="M246" s="2">
        <f>'Raw Data Cut 1.3'!E241</f>
        <v>0</v>
      </c>
      <c r="N246" s="2">
        <f>'Raw Data Cut 1.3'!G241</f>
        <v>0</v>
      </c>
      <c r="O246" s="2">
        <f>'Raw Data Cut 1.3'!H241</f>
        <v>0</v>
      </c>
      <c r="P246" s="2">
        <f>'Raw Data Cut 1.3'!I241</f>
        <v>0</v>
      </c>
      <c r="Q246" s="2">
        <f>'Raw Data Cut 1.3'!J241</f>
        <v>0</v>
      </c>
      <c r="R246" s="2">
        <f>'Raw Data Cut 1.3'!K241</f>
        <v>0</v>
      </c>
      <c r="S246" s="2">
        <f>'Raw Data Cut 1.3'!N241</f>
        <v>0</v>
      </c>
      <c r="T246" s="2">
        <f t="shared" si="6"/>
        <v>0</v>
      </c>
      <c r="U246" s="9" t="str">
        <f>IF($S246=0, "", IF(COUNTIF(Table1[Amino Acid Change], $S246)=0, "Missing", "Y"))</f>
        <v/>
      </c>
      <c r="V246" s="9">
        <f t="shared" si="7"/>
        <v>0</v>
      </c>
    </row>
    <row r="247" spans="9:22" x14ac:dyDescent="0.25">
      <c r="I247" s="2">
        <f>'Raw Data Cut 1.3'!A242</f>
        <v>0</v>
      </c>
      <c r="J247" s="2">
        <f>'Raw Data Cut 1.3'!B242</f>
        <v>0</v>
      </c>
      <c r="K247" s="2">
        <f>'Raw Data Cut 1.3'!C242</f>
        <v>0</v>
      </c>
      <c r="L247" s="2">
        <f>'Raw Data Cut 1.3'!D242</f>
        <v>0</v>
      </c>
      <c r="M247" s="2">
        <f>'Raw Data Cut 1.3'!E242</f>
        <v>0</v>
      </c>
      <c r="N247" s="2">
        <f>'Raw Data Cut 1.3'!G242</f>
        <v>0</v>
      </c>
      <c r="O247" s="2">
        <f>'Raw Data Cut 1.3'!H242</f>
        <v>0</v>
      </c>
      <c r="P247" s="2">
        <f>'Raw Data Cut 1.3'!I242</f>
        <v>0</v>
      </c>
      <c r="Q247" s="2">
        <f>'Raw Data Cut 1.3'!J242</f>
        <v>0</v>
      </c>
      <c r="R247" s="2">
        <f>'Raw Data Cut 1.3'!K242</f>
        <v>0</v>
      </c>
      <c r="S247" s="2">
        <f>'Raw Data Cut 1.3'!N242</f>
        <v>0</v>
      </c>
      <c r="T247" s="2">
        <f t="shared" si="6"/>
        <v>0</v>
      </c>
      <c r="U247" s="9" t="str">
        <f>IF($S247=0, "", IF(COUNTIF(Table1[Amino Acid Change], $S247)=0, "Missing", "Y"))</f>
        <v/>
      </c>
      <c r="V247" s="9">
        <f t="shared" si="7"/>
        <v>0</v>
      </c>
    </row>
    <row r="248" spans="9:22" x14ac:dyDescent="0.25">
      <c r="I248" s="2">
        <f>'Raw Data Cut 1.3'!A243</f>
        <v>0</v>
      </c>
      <c r="J248" s="2">
        <f>'Raw Data Cut 1.3'!B243</f>
        <v>0</v>
      </c>
      <c r="K248" s="2">
        <f>'Raw Data Cut 1.3'!C243</f>
        <v>0</v>
      </c>
      <c r="L248" s="2">
        <f>'Raw Data Cut 1.3'!D243</f>
        <v>0</v>
      </c>
      <c r="M248" s="2">
        <f>'Raw Data Cut 1.3'!E243</f>
        <v>0</v>
      </c>
      <c r="N248" s="2">
        <f>'Raw Data Cut 1.3'!G243</f>
        <v>0</v>
      </c>
      <c r="O248" s="2">
        <f>'Raw Data Cut 1.3'!H243</f>
        <v>0</v>
      </c>
      <c r="P248" s="2">
        <f>'Raw Data Cut 1.3'!I243</f>
        <v>0</v>
      </c>
      <c r="Q248" s="2">
        <f>'Raw Data Cut 1.3'!J243</f>
        <v>0</v>
      </c>
      <c r="R248" s="2">
        <f>'Raw Data Cut 1.3'!K243</f>
        <v>0</v>
      </c>
      <c r="S248" s="2">
        <f>'Raw Data Cut 1.3'!N243</f>
        <v>0</v>
      </c>
      <c r="T248" s="2">
        <f t="shared" si="6"/>
        <v>0</v>
      </c>
      <c r="U248" s="9" t="str">
        <f>IF($S248=0, "", IF(COUNTIF(Table1[Amino Acid Change], $S248)=0, "Missing", "Y"))</f>
        <v/>
      </c>
      <c r="V248" s="9">
        <f t="shared" si="7"/>
        <v>0</v>
      </c>
    </row>
    <row r="249" spans="9:22" x14ac:dyDescent="0.25">
      <c r="I249" s="2">
        <f>'Raw Data Cut 1.3'!A244</f>
        <v>0</v>
      </c>
      <c r="J249" s="2">
        <f>'Raw Data Cut 1.3'!B244</f>
        <v>0</v>
      </c>
      <c r="K249" s="2">
        <f>'Raw Data Cut 1.3'!C244</f>
        <v>0</v>
      </c>
      <c r="L249" s="2">
        <f>'Raw Data Cut 1.3'!D244</f>
        <v>0</v>
      </c>
      <c r="M249" s="2">
        <f>'Raw Data Cut 1.3'!E244</f>
        <v>0</v>
      </c>
      <c r="N249" s="2">
        <f>'Raw Data Cut 1.3'!G244</f>
        <v>0</v>
      </c>
      <c r="O249" s="2">
        <f>'Raw Data Cut 1.3'!H244</f>
        <v>0</v>
      </c>
      <c r="P249" s="2">
        <f>'Raw Data Cut 1.3'!I244</f>
        <v>0</v>
      </c>
      <c r="Q249" s="2">
        <f>'Raw Data Cut 1.3'!J244</f>
        <v>0</v>
      </c>
      <c r="R249" s="2">
        <f>'Raw Data Cut 1.3'!K244</f>
        <v>0</v>
      </c>
      <c r="S249" s="2">
        <f>'Raw Data Cut 1.3'!N244</f>
        <v>0</v>
      </c>
      <c r="T249" s="2">
        <f t="shared" si="6"/>
        <v>0</v>
      </c>
      <c r="U249" s="9" t="str">
        <f>IF($S249=0, "", IF(COUNTIF(Table1[Amino Acid Change], $S249)=0, "Missing", "Y"))</f>
        <v/>
      </c>
      <c r="V249" s="9">
        <f t="shared" si="7"/>
        <v>0</v>
      </c>
    </row>
    <row r="250" spans="9:22" x14ac:dyDescent="0.25">
      <c r="I250" s="2">
        <f>'Raw Data Cut 1.3'!A245</f>
        <v>0</v>
      </c>
      <c r="J250" s="2">
        <f>'Raw Data Cut 1.3'!B245</f>
        <v>0</v>
      </c>
      <c r="K250" s="2">
        <f>'Raw Data Cut 1.3'!C245</f>
        <v>0</v>
      </c>
      <c r="L250" s="2">
        <f>'Raw Data Cut 1.3'!D245</f>
        <v>0</v>
      </c>
      <c r="M250" s="2">
        <f>'Raw Data Cut 1.3'!E245</f>
        <v>0</v>
      </c>
      <c r="N250" s="2">
        <f>'Raw Data Cut 1.3'!G245</f>
        <v>0</v>
      </c>
      <c r="O250" s="2">
        <f>'Raw Data Cut 1.3'!H245</f>
        <v>0</v>
      </c>
      <c r="P250" s="2">
        <f>'Raw Data Cut 1.3'!I245</f>
        <v>0</v>
      </c>
      <c r="Q250" s="2">
        <f>'Raw Data Cut 1.3'!J245</f>
        <v>0</v>
      </c>
      <c r="R250" s="2">
        <f>'Raw Data Cut 1.3'!K245</f>
        <v>0</v>
      </c>
      <c r="S250" s="2">
        <f>'Raw Data Cut 1.3'!N245</f>
        <v>0</v>
      </c>
      <c r="T250" s="2">
        <f t="shared" si="6"/>
        <v>0</v>
      </c>
      <c r="U250" s="9" t="str">
        <f>IF($S250=0, "", IF(COUNTIF(Table1[Amino Acid Change], $S250)=0, "Missing", "Y"))</f>
        <v/>
      </c>
      <c r="V250" s="9">
        <f t="shared" si="7"/>
        <v>0</v>
      </c>
    </row>
    <row r="251" spans="9:22" x14ac:dyDescent="0.25">
      <c r="I251" s="2">
        <f>'Raw Data Cut 1.3'!A246</f>
        <v>0</v>
      </c>
      <c r="J251" s="2">
        <f>'Raw Data Cut 1.3'!B246</f>
        <v>0</v>
      </c>
      <c r="K251" s="2">
        <f>'Raw Data Cut 1.3'!C246</f>
        <v>0</v>
      </c>
      <c r="L251" s="2">
        <f>'Raw Data Cut 1.3'!D246</f>
        <v>0</v>
      </c>
      <c r="M251" s="2">
        <f>'Raw Data Cut 1.3'!E246</f>
        <v>0</v>
      </c>
      <c r="N251" s="2">
        <f>'Raw Data Cut 1.3'!G246</f>
        <v>0</v>
      </c>
      <c r="O251" s="2">
        <f>'Raw Data Cut 1.3'!H246</f>
        <v>0</v>
      </c>
      <c r="P251" s="2">
        <f>'Raw Data Cut 1.3'!I246</f>
        <v>0</v>
      </c>
      <c r="Q251" s="2">
        <f>'Raw Data Cut 1.3'!J246</f>
        <v>0</v>
      </c>
      <c r="R251" s="2">
        <f>'Raw Data Cut 1.3'!K246</f>
        <v>0</v>
      </c>
      <c r="S251" s="2">
        <f>'Raw Data Cut 1.3'!N246</f>
        <v>0</v>
      </c>
      <c r="T251" s="2">
        <f t="shared" si="6"/>
        <v>0</v>
      </c>
      <c r="U251" s="9" t="str">
        <f>IF($S251=0, "", IF(COUNTIF(Table1[Amino Acid Change], $S251)=0, "Missing", "Y"))</f>
        <v/>
      </c>
      <c r="V251" s="9">
        <f t="shared" si="7"/>
        <v>0</v>
      </c>
    </row>
    <row r="252" spans="9:22" x14ac:dyDescent="0.25">
      <c r="I252" s="2">
        <f>'Raw Data Cut 1.3'!A247</f>
        <v>0</v>
      </c>
      <c r="J252" s="2">
        <f>'Raw Data Cut 1.3'!B247</f>
        <v>0</v>
      </c>
      <c r="K252" s="2">
        <f>'Raw Data Cut 1.3'!C247</f>
        <v>0</v>
      </c>
      <c r="L252" s="2">
        <f>'Raw Data Cut 1.3'!D247</f>
        <v>0</v>
      </c>
      <c r="M252" s="2">
        <f>'Raw Data Cut 1.3'!E247</f>
        <v>0</v>
      </c>
      <c r="N252" s="2">
        <f>'Raw Data Cut 1.3'!G247</f>
        <v>0</v>
      </c>
      <c r="O252" s="2">
        <f>'Raw Data Cut 1.3'!H247</f>
        <v>0</v>
      </c>
      <c r="P252" s="2">
        <f>'Raw Data Cut 1.3'!I247</f>
        <v>0</v>
      </c>
      <c r="Q252" s="2">
        <f>'Raw Data Cut 1.3'!J247</f>
        <v>0</v>
      </c>
      <c r="R252" s="2">
        <f>'Raw Data Cut 1.3'!K247</f>
        <v>0</v>
      </c>
      <c r="S252" s="2">
        <f>'Raw Data Cut 1.3'!N247</f>
        <v>0</v>
      </c>
      <c r="T252" s="2">
        <f t="shared" si="6"/>
        <v>0</v>
      </c>
      <c r="U252" s="9" t="str">
        <f>IF($S252=0, "", IF(COUNTIF(Table1[Amino Acid Change], $S252)=0, "Missing", "Y"))</f>
        <v/>
      </c>
      <c r="V252" s="9">
        <f t="shared" si="7"/>
        <v>0</v>
      </c>
    </row>
    <row r="253" spans="9:22" x14ac:dyDescent="0.25">
      <c r="I253" s="2">
        <f>'Raw Data Cut 1.3'!A248</f>
        <v>0</v>
      </c>
      <c r="J253" s="2">
        <f>'Raw Data Cut 1.3'!B248</f>
        <v>0</v>
      </c>
      <c r="K253" s="2">
        <f>'Raw Data Cut 1.3'!C248</f>
        <v>0</v>
      </c>
      <c r="L253" s="2">
        <f>'Raw Data Cut 1.3'!D248</f>
        <v>0</v>
      </c>
      <c r="M253" s="2">
        <f>'Raw Data Cut 1.3'!E248</f>
        <v>0</v>
      </c>
      <c r="N253" s="2">
        <f>'Raw Data Cut 1.3'!G248</f>
        <v>0</v>
      </c>
      <c r="O253" s="2">
        <f>'Raw Data Cut 1.3'!H248</f>
        <v>0</v>
      </c>
      <c r="P253" s="2">
        <f>'Raw Data Cut 1.3'!I248</f>
        <v>0</v>
      </c>
      <c r="Q253" s="2">
        <f>'Raw Data Cut 1.3'!J248</f>
        <v>0</v>
      </c>
      <c r="R253" s="2">
        <f>'Raw Data Cut 1.3'!K248</f>
        <v>0</v>
      </c>
      <c r="S253" s="2">
        <f>'Raw Data Cut 1.3'!N248</f>
        <v>0</v>
      </c>
      <c r="T253" s="2">
        <f t="shared" si="6"/>
        <v>0</v>
      </c>
      <c r="U253" s="9" t="str">
        <f>IF($S253=0, "", IF(COUNTIF(Table1[Amino Acid Change], $S253)=0, "Missing", "Y"))</f>
        <v/>
      </c>
      <c r="V253" s="9">
        <f t="shared" si="7"/>
        <v>0</v>
      </c>
    </row>
    <row r="254" spans="9:22" x14ac:dyDescent="0.25">
      <c r="I254" s="2">
        <f>'Raw Data Cut 1.3'!A249</f>
        <v>0</v>
      </c>
      <c r="J254" s="2">
        <f>'Raw Data Cut 1.3'!B249</f>
        <v>0</v>
      </c>
      <c r="K254" s="2">
        <f>'Raw Data Cut 1.3'!C249</f>
        <v>0</v>
      </c>
      <c r="L254" s="2">
        <f>'Raw Data Cut 1.3'!D249</f>
        <v>0</v>
      </c>
      <c r="M254" s="2">
        <f>'Raw Data Cut 1.3'!E249</f>
        <v>0</v>
      </c>
      <c r="N254" s="2">
        <f>'Raw Data Cut 1.3'!G249</f>
        <v>0</v>
      </c>
      <c r="O254" s="2">
        <f>'Raw Data Cut 1.3'!H249</f>
        <v>0</v>
      </c>
      <c r="P254" s="2">
        <f>'Raw Data Cut 1.3'!I249</f>
        <v>0</v>
      </c>
      <c r="Q254" s="2">
        <f>'Raw Data Cut 1.3'!J249</f>
        <v>0</v>
      </c>
      <c r="R254" s="2">
        <f>'Raw Data Cut 1.3'!K249</f>
        <v>0</v>
      </c>
      <c r="S254" s="2">
        <f>'Raw Data Cut 1.3'!N249</f>
        <v>0</v>
      </c>
      <c r="T254" s="2">
        <f t="shared" ref="T254:T300" si="8">P254</f>
        <v>0</v>
      </c>
      <c r="U254" s="9" t="str">
        <f>IF($S254=0, "", IF(COUNTIF(Table1[Amino Acid Change], $S254)=0, "Missing", "Y"))</f>
        <v/>
      </c>
      <c r="V254" s="9">
        <f t="shared" si="7"/>
        <v>0</v>
      </c>
    </row>
    <row r="255" spans="9:22" x14ac:dyDescent="0.25">
      <c r="I255" s="2">
        <f>'Raw Data Cut 1.3'!A250</f>
        <v>0</v>
      </c>
      <c r="J255" s="2">
        <f>'Raw Data Cut 1.3'!B250</f>
        <v>0</v>
      </c>
      <c r="K255" s="2">
        <f>'Raw Data Cut 1.3'!C250</f>
        <v>0</v>
      </c>
      <c r="L255" s="2">
        <f>'Raw Data Cut 1.3'!D250</f>
        <v>0</v>
      </c>
      <c r="M255" s="2">
        <f>'Raw Data Cut 1.3'!E250</f>
        <v>0</v>
      </c>
      <c r="N255" s="2">
        <f>'Raw Data Cut 1.3'!G250</f>
        <v>0</v>
      </c>
      <c r="O255" s="2">
        <f>'Raw Data Cut 1.3'!H250</f>
        <v>0</v>
      </c>
      <c r="P255" s="2">
        <f>'Raw Data Cut 1.3'!I250</f>
        <v>0</v>
      </c>
      <c r="Q255" s="2">
        <f>'Raw Data Cut 1.3'!J250</f>
        <v>0</v>
      </c>
      <c r="R255" s="2">
        <f>'Raw Data Cut 1.3'!K250</f>
        <v>0</v>
      </c>
      <c r="S255" s="2">
        <f>'Raw Data Cut 1.3'!N250</f>
        <v>0</v>
      </c>
      <c r="T255" s="2">
        <f t="shared" si="8"/>
        <v>0</v>
      </c>
      <c r="U255" s="9" t="str">
        <f>IF($S255=0, "", IF(COUNTIF(Table1[Amino Acid Change], $S255)=0, "Missing", "Y"))</f>
        <v/>
      </c>
      <c r="V255" s="9">
        <f t="shared" ref="V255:V300" si="9">J255</f>
        <v>0</v>
      </c>
    </row>
    <row r="256" spans="9:22" x14ac:dyDescent="0.25">
      <c r="I256" s="2">
        <f>'Raw Data Cut 1.3'!A251</f>
        <v>0</v>
      </c>
      <c r="J256" s="2">
        <f>'Raw Data Cut 1.3'!B251</f>
        <v>0</v>
      </c>
      <c r="K256" s="2">
        <f>'Raw Data Cut 1.3'!C251</f>
        <v>0</v>
      </c>
      <c r="L256" s="2">
        <f>'Raw Data Cut 1.3'!D251</f>
        <v>0</v>
      </c>
      <c r="M256" s="2">
        <f>'Raw Data Cut 1.3'!E251</f>
        <v>0</v>
      </c>
      <c r="N256" s="2">
        <f>'Raw Data Cut 1.3'!G251</f>
        <v>0</v>
      </c>
      <c r="O256" s="2">
        <f>'Raw Data Cut 1.3'!H251</f>
        <v>0</v>
      </c>
      <c r="P256" s="2">
        <f>'Raw Data Cut 1.3'!I251</f>
        <v>0</v>
      </c>
      <c r="Q256" s="2">
        <f>'Raw Data Cut 1.3'!J251</f>
        <v>0</v>
      </c>
      <c r="R256" s="2">
        <f>'Raw Data Cut 1.3'!K251</f>
        <v>0</v>
      </c>
      <c r="S256" s="2">
        <f>'Raw Data Cut 1.3'!N251</f>
        <v>0</v>
      </c>
      <c r="T256" s="2">
        <f t="shared" si="8"/>
        <v>0</v>
      </c>
      <c r="U256" s="9" t="str">
        <f>IF($S256=0, "", IF(COUNTIF(Table1[Amino Acid Change], $S256)=0, "Missing", "Y"))</f>
        <v/>
      </c>
      <c r="V256" s="9">
        <f t="shared" si="9"/>
        <v>0</v>
      </c>
    </row>
    <row r="257" spans="9:22" x14ac:dyDescent="0.25">
      <c r="I257" s="2">
        <f>'Raw Data Cut 1.3'!A253</f>
        <v>0</v>
      </c>
      <c r="J257" s="2">
        <f>'Raw Data Cut 1.3'!B253</f>
        <v>0</v>
      </c>
      <c r="K257" s="2">
        <f>'Raw Data Cut 1.3'!C253</f>
        <v>0</v>
      </c>
      <c r="L257" s="2">
        <f>'Raw Data Cut 1.3'!D253</f>
        <v>0</v>
      </c>
      <c r="M257" s="2">
        <f>'Raw Data Cut 1.3'!E253</f>
        <v>0</v>
      </c>
      <c r="N257" s="2">
        <f>'Raw Data Cut 1.3'!G253</f>
        <v>0</v>
      </c>
      <c r="O257" s="2">
        <f>'Raw Data Cut 1.3'!H253</f>
        <v>0</v>
      </c>
      <c r="P257" s="2">
        <f>'Raw Data Cut 1.3'!I253</f>
        <v>0</v>
      </c>
      <c r="Q257" s="2">
        <f>'Raw Data Cut 1.3'!J253</f>
        <v>0</v>
      </c>
      <c r="R257" s="2">
        <f>'Raw Data Cut 1.3'!K253</f>
        <v>0</v>
      </c>
      <c r="S257" s="2">
        <f>'Raw Data Cut 1.3'!N253</f>
        <v>0</v>
      </c>
      <c r="T257" s="2">
        <f t="shared" si="8"/>
        <v>0</v>
      </c>
      <c r="U257" s="9" t="str">
        <f>IF($S257=0, "", IF(COUNTIF(Table1[Amino Acid Change], $S257)=0, "Missing", "Y"))</f>
        <v/>
      </c>
      <c r="V257" s="9">
        <f t="shared" si="9"/>
        <v>0</v>
      </c>
    </row>
    <row r="258" spans="9:22" x14ac:dyDescent="0.25">
      <c r="I258" s="2">
        <f>'Raw Data Cut 1.3'!A254</f>
        <v>0</v>
      </c>
      <c r="J258" s="2">
        <f>'Raw Data Cut 1.3'!B254</f>
        <v>0</v>
      </c>
      <c r="K258" s="2">
        <f>'Raw Data Cut 1.3'!C254</f>
        <v>0</v>
      </c>
      <c r="L258" s="2">
        <f>'Raw Data Cut 1.3'!D254</f>
        <v>0</v>
      </c>
      <c r="M258" s="2">
        <f>'Raw Data Cut 1.3'!E254</f>
        <v>0</v>
      </c>
      <c r="N258" s="2">
        <f>'Raw Data Cut 1.3'!G254</f>
        <v>0</v>
      </c>
      <c r="O258" s="2">
        <f>'Raw Data Cut 1.3'!H254</f>
        <v>0</v>
      </c>
      <c r="P258" s="2">
        <f>'Raw Data Cut 1.3'!I254</f>
        <v>0</v>
      </c>
      <c r="Q258" s="2">
        <f>'Raw Data Cut 1.3'!J254</f>
        <v>0</v>
      </c>
      <c r="R258" s="2">
        <f>'Raw Data Cut 1.3'!K254</f>
        <v>0</v>
      </c>
      <c r="S258" s="2">
        <f>'Raw Data Cut 1.3'!N254</f>
        <v>0</v>
      </c>
      <c r="T258" s="2">
        <f t="shared" si="8"/>
        <v>0</v>
      </c>
      <c r="U258" s="9" t="str">
        <f>IF($S258=0, "", IF(COUNTIF(Table1[Amino Acid Change], $S258)=0, "Missing", "Y"))</f>
        <v/>
      </c>
      <c r="V258" s="9">
        <f t="shared" si="9"/>
        <v>0</v>
      </c>
    </row>
    <row r="259" spans="9:22" x14ac:dyDescent="0.25">
      <c r="I259" s="2">
        <f>'Raw Data Cut 1.3'!A255</f>
        <v>0</v>
      </c>
      <c r="J259" s="2">
        <f>'Raw Data Cut 1.3'!B255</f>
        <v>0</v>
      </c>
      <c r="K259" s="2">
        <f>'Raw Data Cut 1.3'!C255</f>
        <v>0</v>
      </c>
      <c r="L259" s="2">
        <f>'Raw Data Cut 1.3'!D255</f>
        <v>0</v>
      </c>
      <c r="M259" s="2">
        <f>'Raw Data Cut 1.3'!E255</f>
        <v>0</v>
      </c>
      <c r="N259" s="2">
        <f>'Raw Data Cut 1.3'!G255</f>
        <v>0</v>
      </c>
      <c r="O259" s="2">
        <f>'Raw Data Cut 1.3'!H255</f>
        <v>0</v>
      </c>
      <c r="P259" s="2">
        <f>'Raw Data Cut 1.3'!I255</f>
        <v>0</v>
      </c>
      <c r="Q259" s="2">
        <f>'Raw Data Cut 1.3'!J255</f>
        <v>0</v>
      </c>
      <c r="R259" s="2">
        <f>'Raw Data Cut 1.3'!K255</f>
        <v>0</v>
      </c>
      <c r="S259" s="2">
        <f>'Raw Data Cut 1.3'!N255</f>
        <v>0</v>
      </c>
      <c r="T259" s="2">
        <f t="shared" si="8"/>
        <v>0</v>
      </c>
      <c r="U259" s="9" t="str">
        <f>IF($S259=0, "", IF(COUNTIF(Table1[Amino Acid Change], $S259)=0, "Missing", "Y"))</f>
        <v/>
      </c>
      <c r="V259" s="9">
        <f t="shared" si="9"/>
        <v>0</v>
      </c>
    </row>
    <row r="260" spans="9:22" x14ac:dyDescent="0.25">
      <c r="I260" s="2">
        <f>'Raw Data Cut 1.3'!A256</f>
        <v>0</v>
      </c>
      <c r="J260" s="2">
        <f>'Raw Data Cut 1.3'!B256</f>
        <v>0</v>
      </c>
      <c r="K260" s="2">
        <f>'Raw Data Cut 1.3'!C256</f>
        <v>0</v>
      </c>
      <c r="L260" s="2">
        <f>'Raw Data Cut 1.3'!D256</f>
        <v>0</v>
      </c>
      <c r="M260" s="2">
        <f>'Raw Data Cut 1.3'!E256</f>
        <v>0</v>
      </c>
      <c r="N260" s="2">
        <f>'Raw Data Cut 1.3'!G256</f>
        <v>0</v>
      </c>
      <c r="O260" s="2">
        <f>'Raw Data Cut 1.3'!H256</f>
        <v>0</v>
      </c>
      <c r="P260" s="2">
        <f>'Raw Data Cut 1.3'!I256</f>
        <v>0</v>
      </c>
      <c r="Q260" s="2">
        <f>'Raw Data Cut 1.3'!J256</f>
        <v>0</v>
      </c>
      <c r="R260" s="2">
        <f>'Raw Data Cut 1.3'!K256</f>
        <v>0</v>
      </c>
      <c r="S260" s="2">
        <f>'Raw Data Cut 1.3'!N256</f>
        <v>0</v>
      </c>
      <c r="T260" s="2">
        <f t="shared" si="8"/>
        <v>0</v>
      </c>
      <c r="U260" s="9" t="str">
        <f>IF($S260=0, "", IF(COUNTIF(Table1[Amino Acid Change], $S260)=0, "Missing", "Y"))</f>
        <v/>
      </c>
      <c r="V260" s="9">
        <f t="shared" si="9"/>
        <v>0</v>
      </c>
    </row>
    <row r="261" spans="9:22" x14ac:dyDescent="0.25">
      <c r="I261" s="2">
        <f>'Raw Data Cut 1.3'!A257</f>
        <v>0</v>
      </c>
      <c r="J261" s="2">
        <f>'Raw Data Cut 1.3'!B257</f>
        <v>0</v>
      </c>
      <c r="K261" s="2">
        <f>'Raw Data Cut 1.3'!C257</f>
        <v>0</v>
      </c>
      <c r="L261" s="2">
        <f>'Raw Data Cut 1.3'!D257</f>
        <v>0</v>
      </c>
      <c r="M261" s="2">
        <f>'Raw Data Cut 1.3'!E257</f>
        <v>0</v>
      </c>
      <c r="N261" s="2">
        <f>'Raw Data Cut 1.3'!G257</f>
        <v>0</v>
      </c>
      <c r="O261" s="2">
        <f>'Raw Data Cut 1.3'!H257</f>
        <v>0</v>
      </c>
      <c r="P261" s="2">
        <f>'Raw Data Cut 1.3'!I257</f>
        <v>0</v>
      </c>
      <c r="Q261" s="2">
        <f>'Raw Data Cut 1.3'!J257</f>
        <v>0</v>
      </c>
      <c r="R261" s="2">
        <f>'Raw Data Cut 1.3'!K257</f>
        <v>0</v>
      </c>
      <c r="S261" s="2">
        <f>'Raw Data Cut 1.3'!N257</f>
        <v>0</v>
      </c>
      <c r="T261" s="2">
        <f t="shared" si="8"/>
        <v>0</v>
      </c>
      <c r="U261" s="9" t="str">
        <f>IF($S261=0, "", IF(COUNTIF(Table1[Amino Acid Change], $S261)=0, "Missing", "Y"))</f>
        <v/>
      </c>
      <c r="V261" s="9">
        <f t="shared" si="9"/>
        <v>0</v>
      </c>
    </row>
    <row r="262" spans="9:22" x14ac:dyDescent="0.25">
      <c r="I262" s="2">
        <f>'Raw Data Cut 1.3'!A258</f>
        <v>0</v>
      </c>
      <c r="J262" s="2">
        <f>'Raw Data Cut 1.3'!B258</f>
        <v>0</v>
      </c>
      <c r="K262" s="2">
        <f>'Raw Data Cut 1.3'!C258</f>
        <v>0</v>
      </c>
      <c r="L262" s="2">
        <f>'Raw Data Cut 1.3'!D258</f>
        <v>0</v>
      </c>
      <c r="M262" s="2">
        <f>'Raw Data Cut 1.3'!E258</f>
        <v>0</v>
      </c>
      <c r="N262" s="2">
        <f>'Raw Data Cut 1.3'!G258</f>
        <v>0</v>
      </c>
      <c r="O262" s="2">
        <f>'Raw Data Cut 1.3'!H258</f>
        <v>0</v>
      </c>
      <c r="P262" s="2">
        <f>'Raw Data Cut 1.3'!I258</f>
        <v>0</v>
      </c>
      <c r="Q262" s="2">
        <f>'Raw Data Cut 1.3'!J258</f>
        <v>0</v>
      </c>
      <c r="R262" s="2">
        <f>'Raw Data Cut 1.3'!K258</f>
        <v>0</v>
      </c>
      <c r="S262" s="2">
        <f>'Raw Data Cut 1.3'!N258</f>
        <v>0</v>
      </c>
      <c r="T262" s="2">
        <f t="shared" si="8"/>
        <v>0</v>
      </c>
      <c r="U262" s="9" t="str">
        <f>IF($S262=0, "", IF(COUNTIF(Table1[Amino Acid Change], $S262)=0, "Missing", "Y"))</f>
        <v/>
      </c>
      <c r="V262" s="9">
        <f t="shared" si="9"/>
        <v>0</v>
      </c>
    </row>
    <row r="263" spans="9:22" x14ac:dyDescent="0.25">
      <c r="I263" s="2">
        <f>'Raw Data Cut 1.3'!A259</f>
        <v>0</v>
      </c>
      <c r="J263" s="2">
        <f>'Raw Data Cut 1.3'!B259</f>
        <v>0</v>
      </c>
      <c r="K263" s="2">
        <f>'Raw Data Cut 1.3'!C259</f>
        <v>0</v>
      </c>
      <c r="L263" s="2">
        <f>'Raw Data Cut 1.3'!D259</f>
        <v>0</v>
      </c>
      <c r="M263" s="2">
        <f>'Raw Data Cut 1.3'!E259</f>
        <v>0</v>
      </c>
      <c r="N263" s="2">
        <f>'Raw Data Cut 1.3'!G259</f>
        <v>0</v>
      </c>
      <c r="O263" s="2">
        <f>'Raw Data Cut 1.3'!H259</f>
        <v>0</v>
      </c>
      <c r="P263" s="2">
        <f>'Raw Data Cut 1.3'!I259</f>
        <v>0</v>
      </c>
      <c r="Q263" s="2">
        <f>'Raw Data Cut 1.3'!J259</f>
        <v>0</v>
      </c>
      <c r="R263" s="2">
        <f>'Raw Data Cut 1.3'!K259</f>
        <v>0</v>
      </c>
      <c r="S263" s="2">
        <f>'Raw Data Cut 1.3'!N259</f>
        <v>0</v>
      </c>
      <c r="T263" s="2">
        <f t="shared" si="8"/>
        <v>0</v>
      </c>
      <c r="U263" s="9" t="str">
        <f>IF($S263=0, "", IF(COUNTIF(Table1[Amino Acid Change], $S263)=0, "Missing", "Y"))</f>
        <v/>
      </c>
      <c r="V263" s="9">
        <f t="shared" si="9"/>
        <v>0</v>
      </c>
    </row>
    <row r="264" spans="9:22" x14ac:dyDescent="0.25">
      <c r="I264" s="2">
        <f>'Raw Data Cut 1.3'!A260</f>
        <v>0</v>
      </c>
      <c r="J264" s="2">
        <f>'Raw Data Cut 1.3'!B260</f>
        <v>0</v>
      </c>
      <c r="K264" s="2">
        <f>'Raw Data Cut 1.3'!C260</f>
        <v>0</v>
      </c>
      <c r="L264" s="2">
        <f>'Raw Data Cut 1.3'!D260</f>
        <v>0</v>
      </c>
      <c r="M264" s="2">
        <f>'Raw Data Cut 1.3'!E260</f>
        <v>0</v>
      </c>
      <c r="N264" s="2">
        <f>'Raw Data Cut 1.3'!G260</f>
        <v>0</v>
      </c>
      <c r="O264" s="2">
        <f>'Raw Data Cut 1.3'!H260</f>
        <v>0</v>
      </c>
      <c r="P264" s="2">
        <f>'Raw Data Cut 1.3'!I260</f>
        <v>0</v>
      </c>
      <c r="Q264" s="2">
        <f>'Raw Data Cut 1.3'!J260</f>
        <v>0</v>
      </c>
      <c r="R264" s="2">
        <f>'Raw Data Cut 1.3'!K260</f>
        <v>0</v>
      </c>
      <c r="S264" s="2">
        <f>'Raw Data Cut 1.3'!N260</f>
        <v>0</v>
      </c>
      <c r="T264" s="2">
        <f t="shared" si="8"/>
        <v>0</v>
      </c>
      <c r="U264" s="9" t="str">
        <f>IF($S264=0, "", IF(COUNTIF(Table1[Amino Acid Change], $S264)=0, "Missing", "Y"))</f>
        <v/>
      </c>
      <c r="V264" s="9">
        <f t="shared" si="9"/>
        <v>0</v>
      </c>
    </row>
    <row r="265" spans="9:22" x14ac:dyDescent="0.25">
      <c r="I265" s="2">
        <f>'Raw Data Cut 1.3'!A261</f>
        <v>0</v>
      </c>
      <c r="J265" s="2">
        <f>'Raw Data Cut 1.3'!B261</f>
        <v>0</v>
      </c>
      <c r="K265" s="2">
        <f>'Raw Data Cut 1.3'!C261</f>
        <v>0</v>
      </c>
      <c r="L265" s="2">
        <f>'Raw Data Cut 1.3'!D261</f>
        <v>0</v>
      </c>
      <c r="M265" s="2">
        <f>'Raw Data Cut 1.3'!E261</f>
        <v>0</v>
      </c>
      <c r="N265" s="2">
        <f>'Raw Data Cut 1.3'!G261</f>
        <v>0</v>
      </c>
      <c r="O265" s="2">
        <f>'Raw Data Cut 1.3'!H261</f>
        <v>0</v>
      </c>
      <c r="P265" s="2">
        <f>'Raw Data Cut 1.3'!I261</f>
        <v>0</v>
      </c>
      <c r="Q265" s="2">
        <f>'Raw Data Cut 1.3'!J261</f>
        <v>0</v>
      </c>
      <c r="R265" s="2">
        <f>'Raw Data Cut 1.3'!K261</f>
        <v>0</v>
      </c>
      <c r="S265" s="2">
        <f>'Raw Data Cut 1.3'!N261</f>
        <v>0</v>
      </c>
      <c r="T265" s="2">
        <f t="shared" si="8"/>
        <v>0</v>
      </c>
      <c r="U265" s="9" t="str">
        <f>IF($S265=0, "", IF(COUNTIF(Table1[Amino Acid Change], $S265)=0, "Missing", "Y"))</f>
        <v/>
      </c>
      <c r="V265" s="9">
        <f t="shared" si="9"/>
        <v>0</v>
      </c>
    </row>
    <row r="266" spans="9:22" x14ac:dyDescent="0.25">
      <c r="I266" s="2">
        <f>'Raw Data Cut 1.3'!A262</f>
        <v>0</v>
      </c>
      <c r="J266" s="2">
        <f>'Raw Data Cut 1.3'!B262</f>
        <v>0</v>
      </c>
      <c r="K266" s="2">
        <f>'Raw Data Cut 1.3'!C262</f>
        <v>0</v>
      </c>
      <c r="L266" s="2">
        <f>'Raw Data Cut 1.3'!D262</f>
        <v>0</v>
      </c>
      <c r="M266" s="2">
        <f>'Raw Data Cut 1.3'!E262</f>
        <v>0</v>
      </c>
      <c r="N266" s="2">
        <f>'Raw Data Cut 1.3'!G262</f>
        <v>0</v>
      </c>
      <c r="O266" s="2">
        <f>'Raw Data Cut 1.3'!H262</f>
        <v>0</v>
      </c>
      <c r="P266" s="2">
        <f>'Raw Data Cut 1.3'!I262</f>
        <v>0</v>
      </c>
      <c r="Q266" s="2">
        <f>'Raw Data Cut 1.3'!J262</f>
        <v>0</v>
      </c>
      <c r="R266" s="2">
        <f>'Raw Data Cut 1.3'!K262</f>
        <v>0</v>
      </c>
      <c r="S266" s="2">
        <f>'Raw Data Cut 1.3'!N262</f>
        <v>0</v>
      </c>
      <c r="T266" s="2">
        <f t="shared" si="8"/>
        <v>0</v>
      </c>
      <c r="U266" s="9" t="str">
        <f>IF($S266=0, "", IF(COUNTIF(Table1[Amino Acid Change], $S266)=0, "Missing", "Y"))</f>
        <v/>
      </c>
      <c r="V266" s="9">
        <f t="shared" si="9"/>
        <v>0</v>
      </c>
    </row>
    <row r="267" spans="9:22" x14ac:dyDescent="0.25">
      <c r="I267" s="2">
        <f>'Raw Data Cut 1.3'!A263</f>
        <v>0</v>
      </c>
      <c r="J267" s="2">
        <f>'Raw Data Cut 1.3'!B263</f>
        <v>0</v>
      </c>
      <c r="K267" s="2">
        <f>'Raw Data Cut 1.3'!C263</f>
        <v>0</v>
      </c>
      <c r="L267" s="2">
        <f>'Raw Data Cut 1.3'!D263</f>
        <v>0</v>
      </c>
      <c r="M267" s="2">
        <f>'Raw Data Cut 1.3'!E263</f>
        <v>0</v>
      </c>
      <c r="N267" s="2">
        <f>'Raw Data Cut 1.3'!G263</f>
        <v>0</v>
      </c>
      <c r="O267" s="2">
        <f>'Raw Data Cut 1.3'!H263</f>
        <v>0</v>
      </c>
      <c r="P267" s="2">
        <f>'Raw Data Cut 1.3'!I263</f>
        <v>0</v>
      </c>
      <c r="Q267" s="2">
        <f>'Raw Data Cut 1.3'!J263</f>
        <v>0</v>
      </c>
      <c r="R267" s="2">
        <f>'Raw Data Cut 1.3'!K263</f>
        <v>0</v>
      </c>
      <c r="S267" s="2">
        <f>'Raw Data Cut 1.3'!N263</f>
        <v>0</v>
      </c>
      <c r="T267" s="2">
        <f t="shared" si="8"/>
        <v>0</v>
      </c>
      <c r="U267" s="9" t="str">
        <f>IF($S267=0, "", IF(COUNTIF(Table1[Amino Acid Change], $S267)=0, "Missing", "Y"))</f>
        <v/>
      </c>
      <c r="V267" s="9">
        <f t="shared" si="9"/>
        <v>0</v>
      </c>
    </row>
    <row r="268" spans="9:22" x14ac:dyDescent="0.25">
      <c r="I268" s="2">
        <f>'Raw Data Cut 1.3'!A264</f>
        <v>0</v>
      </c>
      <c r="J268" s="2">
        <f>'Raw Data Cut 1.3'!B264</f>
        <v>0</v>
      </c>
      <c r="K268" s="2">
        <f>'Raw Data Cut 1.3'!C264</f>
        <v>0</v>
      </c>
      <c r="L268" s="2">
        <f>'Raw Data Cut 1.3'!D264</f>
        <v>0</v>
      </c>
      <c r="M268" s="2">
        <f>'Raw Data Cut 1.3'!E264</f>
        <v>0</v>
      </c>
      <c r="N268" s="2">
        <f>'Raw Data Cut 1.3'!G264</f>
        <v>0</v>
      </c>
      <c r="O268" s="2">
        <f>'Raw Data Cut 1.3'!H264</f>
        <v>0</v>
      </c>
      <c r="P268" s="2">
        <f>'Raw Data Cut 1.3'!I264</f>
        <v>0</v>
      </c>
      <c r="Q268" s="2">
        <f>'Raw Data Cut 1.3'!J264</f>
        <v>0</v>
      </c>
      <c r="R268" s="2">
        <f>'Raw Data Cut 1.3'!K264</f>
        <v>0</v>
      </c>
      <c r="S268" s="2">
        <f>'Raw Data Cut 1.3'!N264</f>
        <v>0</v>
      </c>
      <c r="T268" s="2">
        <f t="shared" si="8"/>
        <v>0</v>
      </c>
      <c r="U268" s="9" t="str">
        <f>IF($S268=0, "", IF(COUNTIF(Table1[Amino Acid Change], $S268)=0, "Missing", "Y"))</f>
        <v/>
      </c>
      <c r="V268" s="9">
        <f t="shared" si="9"/>
        <v>0</v>
      </c>
    </row>
    <row r="269" spans="9:22" x14ac:dyDescent="0.25">
      <c r="I269" s="2">
        <f>'Raw Data Cut 1.3'!A265</f>
        <v>0</v>
      </c>
      <c r="J269" s="2">
        <f>'Raw Data Cut 1.3'!B265</f>
        <v>0</v>
      </c>
      <c r="K269" s="2">
        <f>'Raw Data Cut 1.3'!C265</f>
        <v>0</v>
      </c>
      <c r="L269" s="2">
        <f>'Raw Data Cut 1.3'!D265</f>
        <v>0</v>
      </c>
      <c r="M269" s="2">
        <f>'Raw Data Cut 1.3'!E265</f>
        <v>0</v>
      </c>
      <c r="N269" s="2">
        <f>'Raw Data Cut 1.3'!G265</f>
        <v>0</v>
      </c>
      <c r="O269" s="2">
        <f>'Raw Data Cut 1.3'!H265</f>
        <v>0</v>
      </c>
      <c r="P269" s="2">
        <f>'Raw Data Cut 1.3'!I265</f>
        <v>0</v>
      </c>
      <c r="Q269" s="2">
        <f>'Raw Data Cut 1.3'!J265</f>
        <v>0</v>
      </c>
      <c r="R269" s="2">
        <f>'Raw Data Cut 1.3'!K265</f>
        <v>0</v>
      </c>
      <c r="S269" s="2">
        <f>'Raw Data Cut 1.3'!N265</f>
        <v>0</v>
      </c>
      <c r="T269" s="2">
        <f t="shared" si="8"/>
        <v>0</v>
      </c>
      <c r="U269" s="9" t="str">
        <f>IF($S269=0, "", IF(COUNTIF(Table1[Amino Acid Change], $S269)=0, "Missing", "Y"))</f>
        <v/>
      </c>
      <c r="V269" s="9">
        <f t="shared" si="9"/>
        <v>0</v>
      </c>
    </row>
    <row r="270" spans="9:22" x14ac:dyDescent="0.25">
      <c r="I270" s="2">
        <f>'Raw Data Cut 1.3'!A266</f>
        <v>0</v>
      </c>
      <c r="J270" s="2">
        <f>'Raw Data Cut 1.3'!B266</f>
        <v>0</v>
      </c>
      <c r="K270" s="2">
        <f>'Raw Data Cut 1.3'!C266</f>
        <v>0</v>
      </c>
      <c r="L270" s="2">
        <f>'Raw Data Cut 1.3'!D266</f>
        <v>0</v>
      </c>
      <c r="M270" s="2">
        <f>'Raw Data Cut 1.3'!E266</f>
        <v>0</v>
      </c>
      <c r="N270" s="2">
        <f>'Raw Data Cut 1.3'!G266</f>
        <v>0</v>
      </c>
      <c r="O270" s="2">
        <f>'Raw Data Cut 1.3'!H266</f>
        <v>0</v>
      </c>
      <c r="P270" s="2">
        <f>'Raw Data Cut 1.3'!I266</f>
        <v>0</v>
      </c>
      <c r="Q270" s="2">
        <f>'Raw Data Cut 1.3'!J266</f>
        <v>0</v>
      </c>
      <c r="R270" s="2">
        <f>'Raw Data Cut 1.3'!K266</f>
        <v>0</v>
      </c>
      <c r="S270" s="2">
        <f>'Raw Data Cut 1.3'!N266</f>
        <v>0</v>
      </c>
      <c r="T270" s="2">
        <f t="shared" si="8"/>
        <v>0</v>
      </c>
      <c r="U270" s="9" t="str">
        <f>IF($S270=0, "", IF(COUNTIF(Table1[Amino Acid Change], $S270)=0, "Missing", "Y"))</f>
        <v/>
      </c>
      <c r="V270" s="9">
        <f t="shared" si="9"/>
        <v>0</v>
      </c>
    </row>
    <row r="271" spans="9:22" x14ac:dyDescent="0.25">
      <c r="I271" s="2">
        <f>'Raw Data Cut 1.3'!A267</f>
        <v>0</v>
      </c>
      <c r="J271" s="2">
        <f>'Raw Data Cut 1.3'!B267</f>
        <v>0</v>
      </c>
      <c r="K271" s="2">
        <f>'Raw Data Cut 1.3'!C267</f>
        <v>0</v>
      </c>
      <c r="L271" s="2">
        <f>'Raw Data Cut 1.3'!D267</f>
        <v>0</v>
      </c>
      <c r="M271" s="2">
        <f>'Raw Data Cut 1.3'!E267</f>
        <v>0</v>
      </c>
      <c r="N271" s="2">
        <f>'Raw Data Cut 1.3'!G267</f>
        <v>0</v>
      </c>
      <c r="O271" s="2">
        <f>'Raw Data Cut 1.3'!H267</f>
        <v>0</v>
      </c>
      <c r="P271" s="2">
        <f>'Raw Data Cut 1.3'!I267</f>
        <v>0</v>
      </c>
      <c r="Q271" s="2">
        <f>'Raw Data Cut 1.3'!J267</f>
        <v>0</v>
      </c>
      <c r="R271" s="2">
        <f>'Raw Data Cut 1.3'!K267</f>
        <v>0</v>
      </c>
      <c r="S271" s="2">
        <f>'Raw Data Cut 1.3'!N267</f>
        <v>0</v>
      </c>
      <c r="T271" s="2">
        <f t="shared" si="8"/>
        <v>0</v>
      </c>
      <c r="U271" s="9" t="str">
        <f>IF($S271=0, "", IF(COUNTIF(Table1[Amino Acid Change], $S271)=0, "Missing", "Y"))</f>
        <v/>
      </c>
      <c r="V271" s="9">
        <f t="shared" si="9"/>
        <v>0</v>
      </c>
    </row>
    <row r="272" spans="9:22" x14ac:dyDescent="0.25">
      <c r="I272" s="2">
        <f>'Raw Data Cut 1.3'!A268</f>
        <v>0</v>
      </c>
      <c r="J272" s="2">
        <f>'Raw Data Cut 1.3'!B268</f>
        <v>0</v>
      </c>
      <c r="K272" s="2">
        <f>'Raw Data Cut 1.3'!C268</f>
        <v>0</v>
      </c>
      <c r="L272" s="2">
        <f>'Raw Data Cut 1.3'!D268</f>
        <v>0</v>
      </c>
      <c r="M272" s="2">
        <f>'Raw Data Cut 1.3'!E268</f>
        <v>0</v>
      </c>
      <c r="N272" s="2">
        <f>'Raw Data Cut 1.3'!G268</f>
        <v>0</v>
      </c>
      <c r="O272" s="2">
        <f>'Raw Data Cut 1.3'!H268</f>
        <v>0</v>
      </c>
      <c r="P272" s="2">
        <f>'Raw Data Cut 1.3'!I268</f>
        <v>0</v>
      </c>
      <c r="Q272" s="2">
        <f>'Raw Data Cut 1.3'!J268</f>
        <v>0</v>
      </c>
      <c r="R272" s="2">
        <f>'Raw Data Cut 1.3'!K268</f>
        <v>0</v>
      </c>
      <c r="S272" s="2">
        <f>'Raw Data Cut 1.3'!N268</f>
        <v>0</v>
      </c>
      <c r="T272" s="2">
        <f t="shared" si="8"/>
        <v>0</v>
      </c>
      <c r="U272" s="9" t="str">
        <f>IF($S272=0, "", IF(COUNTIF(Table1[Amino Acid Change], $S272)=0, "Missing", "Y"))</f>
        <v/>
      </c>
      <c r="V272" s="9">
        <f t="shared" si="9"/>
        <v>0</v>
      </c>
    </row>
    <row r="273" spans="9:22" x14ac:dyDescent="0.25">
      <c r="I273" s="2">
        <f>'Raw Data Cut 1.3'!A269</f>
        <v>0</v>
      </c>
      <c r="J273" s="2">
        <f>'Raw Data Cut 1.3'!B269</f>
        <v>0</v>
      </c>
      <c r="K273" s="2">
        <f>'Raw Data Cut 1.3'!C269</f>
        <v>0</v>
      </c>
      <c r="L273" s="2">
        <f>'Raw Data Cut 1.3'!D269</f>
        <v>0</v>
      </c>
      <c r="M273" s="2">
        <f>'Raw Data Cut 1.3'!E269</f>
        <v>0</v>
      </c>
      <c r="N273" s="2">
        <f>'Raw Data Cut 1.3'!G269</f>
        <v>0</v>
      </c>
      <c r="O273" s="2">
        <f>'Raw Data Cut 1.3'!H269</f>
        <v>0</v>
      </c>
      <c r="P273" s="2">
        <f>'Raw Data Cut 1.3'!I269</f>
        <v>0</v>
      </c>
      <c r="Q273" s="2">
        <f>'Raw Data Cut 1.3'!J269</f>
        <v>0</v>
      </c>
      <c r="R273" s="2">
        <f>'Raw Data Cut 1.3'!K269</f>
        <v>0</v>
      </c>
      <c r="S273" s="2">
        <f>'Raw Data Cut 1.3'!N269</f>
        <v>0</v>
      </c>
      <c r="T273" s="2">
        <f t="shared" si="8"/>
        <v>0</v>
      </c>
      <c r="U273" s="9" t="str">
        <f>IF($S273=0, "", IF(COUNTIF(Table1[Amino Acid Change], $S273)=0, "Missing", "Y"))</f>
        <v/>
      </c>
      <c r="V273" s="9">
        <f t="shared" si="9"/>
        <v>0</v>
      </c>
    </row>
    <row r="274" spans="9:22" x14ac:dyDescent="0.25">
      <c r="I274" s="2">
        <f>'Raw Data Cut 1.3'!A270</f>
        <v>0</v>
      </c>
      <c r="J274" s="2">
        <f>'Raw Data Cut 1.3'!B270</f>
        <v>0</v>
      </c>
      <c r="K274" s="2">
        <f>'Raw Data Cut 1.3'!C270</f>
        <v>0</v>
      </c>
      <c r="L274" s="2">
        <f>'Raw Data Cut 1.3'!D270</f>
        <v>0</v>
      </c>
      <c r="M274" s="2">
        <f>'Raw Data Cut 1.3'!E270</f>
        <v>0</v>
      </c>
      <c r="N274" s="2">
        <f>'Raw Data Cut 1.3'!G270</f>
        <v>0</v>
      </c>
      <c r="O274" s="2">
        <f>'Raw Data Cut 1.3'!H270</f>
        <v>0</v>
      </c>
      <c r="P274" s="2">
        <f>'Raw Data Cut 1.3'!I270</f>
        <v>0</v>
      </c>
      <c r="Q274" s="2">
        <f>'Raw Data Cut 1.3'!J270</f>
        <v>0</v>
      </c>
      <c r="R274" s="2">
        <f>'Raw Data Cut 1.3'!K270</f>
        <v>0</v>
      </c>
      <c r="S274" s="2">
        <f>'Raw Data Cut 1.3'!N270</f>
        <v>0</v>
      </c>
      <c r="T274" s="2">
        <f t="shared" si="8"/>
        <v>0</v>
      </c>
      <c r="U274" s="9" t="str">
        <f>IF($S274=0, "", IF(COUNTIF(Table1[Amino Acid Change], $S274)=0, "Missing", "Y"))</f>
        <v/>
      </c>
      <c r="V274" s="9">
        <f t="shared" si="9"/>
        <v>0</v>
      </c>
    </row>
    <row r="275" spans="9:22" x14ac:dyDescent="0.25">
      <c r="I275" s="2">
        <f>'Raw Data Cut 1.3'!A271</f>
        <v>0</v>
      </c>
      <c r="J275" s="2">
        <f>'Raw Data Cut 1.3'!B271</f>
        <v>0</v>
      </c>
      <c r="K275" s="2">
        <f>'Raw Data Cut 1.3'!C271</f>
        <v>0</v>
      </c>
      <c r="L275" s="2">
        <f>'Raw Data Cut 1.3'!D271</f>
        <v>0</v>
      </c>
      <c r="M275" s="2">
        <f>'Raw Data Cut 1.3'!E271</f>
        <v>0</v>
      </c>
      <c r="N275" s="2">
        <f>'Raw Data Cut 1.3'!G271</f>
        <v>0</v>
      </c>
      <c r="O275" s="2">
        <f>'Raw Data Cut 1.3'!H271</f>
        <v>0</v>
      </c>
      <c r="P275" s="2">
        <f>'Raw Data Cut 1.3'!I271</f>
        <v>0</v>
      </c>
      <c r="Q275" s="2">
        <f>'Raw Data Cut 1.3'!J271</f>
        <v>0</v>
      </c>
      <c r="R275" s="2">
        <f>'Raw Data Cut 1.3'!K271</f>
        <v>0</v>
      </c>
      <c r="S275" s="2">
        <f>'Raw Data Cut 1.3'!N271</f>
        <v>0</v>
      </c>
      <c r="T275" s="2">
        <f t="shared" si="8"/>
        <v>0</v>
      </c>
      <c r="U275" s="9" t="str">
        <f>IF($S275=0, "", IF(COUNTIF(Table1[Amino Acid Change], $S275)=0, "Missing", "Y"))</f>
        <v/>
      </c>
      <c r="V275" s="9">
        <f t="shared" si="9"/>
        <v>0</v>
      </c>
    </row>
    <row r="276" spans="9:22" x14ac:dyDescent="0.25">
      <c r="I276" s="2">
        <f>'Raw Data Cut 1.3'!A272</f>
        <v>0</v>
      </c>
      <c r="J276" s="2">
        <f>'Raw Data Cut 1.3'!B272</f>
        <v>0</v>
      </c>
      <c r="K276" s="2">
        <f>'Raw Data Cut 1.3'!C272</f>
        <v>0</v>
      </c>
      <c r="L276" s="2">
        <f>'Raw Data Cut 1.3'!D272</f>
        <v>0</v>
      </c>
      <c r="M276" s="2">
        <f>'Raw Data Cut 1.3'!E272</f>
        <v>0</v>
      </c>
      <c r="N276" s="2">
        <f>'Raw Data Cut 1.3'!G272</f>
        <v>0</v>
      </c>
      <c r="O276" s="2">
        <f>'Raw Data Cut 1.3'!H272</f>
        <v>0</v>
      </c>
      <c r="P276" s="2">
        <f>'Raw Data Cut 1.3'!I272</f>
        <v>0</v>
      </c>
      <c r="Q276" s="2">
        <f>'Raw Data Cut 1.3'!J272</f>
        <v>0</v>
      </c>
      <c r="R276" s="2">
        <f>'Raw Data Cut 1.3'!K272</f>
        <v>0</v>
      </c>
      <c r="S276" s="2">
        <f>'Raw Data Cut 1.3'!N272</f>
        <v>0</v>
      </c>
      <c r="T276" s="2">
        <f t="shared" si="8"/>
        <v>0</v>
      </c>
      <c r="U276" s="9" t="str">
        <f>IF($S276=0, "", IF(COUNTIF(Table1[Amino Acid Change], $S276)=0, "Missing", "Y"))</f>
        <v/>
      </c>
      <c r="V276" s="9">
        <f t="shared" si="9"/>
        <v>0</v>
      </c>
    </row>
    <row r="277" spans="9:22" x14ac:dyDescent="0.25">
      <c r="I277" s="2">
        <f>'Raw Data Cut 1.3'!A273</f>
        <v>0</v>
      </c>
      <c r="J277" s="2">
        <f>'Raw Data Cut 1.3'!B273</f>
        <v>0</v>
      </c>
      <c r="K277" s="2">
        <f>'Raw Data Cut 1.3'!C273</f>
        <v>0</v>
      </c>
      <c r="L277" s="2">
        <f>'Raw Data Cut 1.3'!D273</f>
        <v>0</v>
      </c>
      <c r="M277" s="2">
        <f>'Raw Data Cut 1.3'!E273</f>
        <v>0</v>
      </c>
      <c r="N277" s="2">
        <f>'Raw Data Cut 1.3'!G273</f>
        <v>0</v>
      </c>
      <c r="O277" s="2">
        <f>'Raw Data Cut 1.3'!H273</f>
        <v>0</v>
      </c>
      <c r="P277" s="2">
        <f>'Raw Data Cut 1.3'!I273</f>
        <v>0</v>
      </c>
      <c r="Q277" s="2">
        <f>'Raw Data Cut 1.3'!J273</f>
        <v>0</v>
      </c>
      <c r="R277" s="2">
        <f>'Raw Data Cut 1.3'!K273</f>
        <v>0</v>
      </c>
      <c r="S277" s="2">
        <f>'Raw Data Cut 1.3'!N273</f>
        <v>0</v>
      </c>
      <c r="T277" s="2">
        <f t="shared" si="8"/>
        <v>0</v>
      </c>
      <c r="U277" s="9" t="str">
        <f>IF($S277=0, "", IF(COUNTIF(Table1[Amino Acid Change], $S277)=0, "Missing", "Y"))</f>
        <v/>
      </c>
      <c r="V277" s="9">
        <f t="shared" si="9"/>
        <v>0</v>
      </c>
    </row>
    <row r="278" spans="9:22" x14ac:dyDescent="0.25">
      <c r="I278" s="2">
        <f>'Raw Data Cut 1.3'!A274</f>
        <v>0</v>
      </c>
      <c r="J278" s="2">
        <f>'Raw Data Cut 1.3'!B274</f>
        <v>0</v>
      </c>
      <c r="K278" s="2">
        <f>'Raw Data Cut 1.3'!C274</f>
        <v>0</v>
      </c>
      <c r="L278" s="2">
        <f>'Raw Data Cut 1.3'!D274</f>
        <v>0</v>
      </c>
      <c r="M278" s="2">
        <f>'Raw Data Cut 1.3'!E274</f>
        <v>0</v>
      </c>
      <c r="N278" s="2">
        <f>'Raw Data Cut 1.3'!G274</f>
        <v>0</v>
      </c>
      <c r="O278" s="2">
        <f>'Raw Data Cut 1.3'!H274</f>
        <v>0</v>
      </c>
      <c r="P278" s="2">
        <f>'Raw Data Cut 1.3'!I274</f>
        <v>0</v>
      </c>
      <c r="Q278" s="2">
        <f>'Raw Data Cut 1.3'!J274</f>
        <v>0</v>
      </c>
      <c r="R278" s="2">
        <f>'Raw Data Cut 1.3'!K274</f>
        <v>0</v>
      </c>
      <c r="S278" s="2">
        <f>'Raw Data Cut 1.3'!N274</f>
        <v>0</v>
      </c>
      <c r="T278" s="2">
        <f t="shared" si="8"/>
        <v>0</v>
      </c>
      <c r="U278" s="9" t="str">
        <f>IF($S278=0, "", IF(COUNTIF(Table1[Amino Acid Change], $S278)=0, "Missing", "Y"))</f>
        <v/>
      </c>
      <c r="V278" s="9">
        <f t="shared" si="9"/>
        <v>0</v>
      </c>
    </row>
    <row r="279" spans="9:22" x14ac:dyDescent="0.25">
      <c r="I279" s="2">
        <f>'Raw Data Cut 1.3'!A275</f>
        <v>0</v>
      </c>
      <c r="J279" s="2">
        <f>'Raw Data Cut 1.3'!B275</f>
        <v>0</v>
      </c>
      <c r="K279" s="2">
        <f>'Raw Data Cut 1.3'!C275</f>
        <v>0</v>
      </c>
      <c r="L279" s="2">
        <f>'Raw Data Cut 1.3'!D275</f>
        <v>0</v>
      </c>
      <c r="M279" s="2">
        <f>'Raw Data Cut 1.3'!E275</f>
        <v>0</v>
      </c>
      <c r="N279" s="2">
        <f>'Raw Data Cut 1.3'!G275</f>
        <v>0</v>
      </c>
      <c r="O279" s="2">
        <f>'Raw Data Cut 1.3'!H275</f>
        <v>0</v>
      </c>
      <c r="P279" s="2">
        <f>'Raw Data Cut 1.3'!I275</f>
        <v>0</v>
      </c>
      <c r="Q279" s="2">
        <f>'Raw Data Cut 1.3'!J275</f>
        <v>0</v>
      </c>
      <c r="R279" s="2">
        <f>'Raw Data Cut 1.3'!K275</f>
        <v>0</v>
      </c>
      <c r="S279" s="2">
        <f>'Raw Data Cut 1.3'!N275</f>
        <v>0</v>
      </c>
      <c r="T279" s="2">
        <f t="shared" si="8"/>
        <v>0</v>
      </c>
      <c r="U279" s="9" t="str">
        <f>IF($S279=0, "", IF(COUNTIF(Table1[Amino Acid Change], $S279)=0, "Missing", "Y"))</f>
        <v/>
      </c>
      <c r="V279" s="9">
        <f t="shared" si="9"/>
        <v>0</v>
      </c>
    </row>
    <row r="280" spans="9:22" x14ac:dyDescent="0.25">
      <c r="I280" s="2">
        <f>'Raw Data Cut 1.3'!A276</f>
        <v>0</v>
      </c>
      <c r="J280" s="2">
        <f>'Raw Data Cut 1.3'!B276</f>
        <v>0</v>
      </c>
      <c r="K280" s="2">
        <f>'Raw Data Cut 1.3'!C276</f>
        <v>0</v>
      </c>
      <c r="L280" s="2">
        <f>'Raw Data Cut 1.3'!D276</f>
        <v>0</v>
      </c>
      <c r="M280" s="2">
        <f>'Raw Data Cut 1.3'!E276</f>
        <v>0</v>
      </c>
      <c r="N280" s="2">
        <f>'Raw Data Cut 1.3'!G276</f>
        <v>0</v>
      </c>
      <c r="O280" s="2">
        <f>'Raw Data Cut 1.3'!H276</f>
        <v>0</v>
      </c>
      <c r="P280" s="2">
        <f>'Raw Data Cut 1.3'!I276</f>
        <v>0</v>
      </c>
      <c r="Q280" s="2">
        <f>'Raw Data Cut 1.3'!J276</f>
        <v>0</v>
      </c>
      <c r="R280" s="2">
        <f>'Raw Data Cut 1.3'!K276</f>
        <v>0</v>
      </c>
      <c r="S280" s="2">
        <f>'Raw Data Cut 1.3'!N276</f>
        <v>0</v>
      </c>
      <c r="T280" s="2">
        <f t="shared" si="8"/>
        <v>0</v>
      </c>
      <c r="U280" s="9" t="str">
        <f>IF($S280=0, "", IF(COUNTIF(Table1[Amino Acid Change], $S280)=0, "Missing", "Y"))</f>
        <v/>
      </c>
      <c r="V280" s="9">
        <f t="shared" si="9"/>
        <v>0</v>
      </c>
    </row>
    <row r="281" spans="9:22" x14ac:dyDescent="0.25">
      <c r="I281" s="2">
        <f>'Raw Data Cut 1.3'!A277</f>
        <v>0</v>
      </c>
      <c r="J281" s="2">
        <f>'Raw Data Cut 1.3'!B277</f>
        <v>0</v>
      </c>
      <c r="K281" s="2">
        <f>'Raw Data Cut 1.3'!C277</f>
        <v>0</v>
      </c>
      <c r="L281" s="2">
        <f>'Raw Data Cut 1.3'!D277</f>
        <v>0</v>
      </c>
      <c r="M281" s="2">
        <f>'Raw Data Cut 1.3'!E277</f>
        <v>0</v>
      </c>
      <c r="N281" s="2">
        <f>'Raw Data Cut 1.3'!G277</f>
        <v>0</v>
      </c>
      <c r="O281" s="2">
        <f>'Raw Data Cut 1.3'!H277</f>
        <v>0</v>
      </c>
      <c r="P281" s="2">
        <f>'Raw Data Cut 1.3'!I277</f>
        <v>0</v>
      </c>
      <c r="Q281" s="2">
        <f>'Raw Data Cut 1.3'!J277</f>
        <v>0</v>
      </c>
      <c r="R281" s="2">
        <f>'Raw Data Cut 1.3'!K277</f>
        <v>0</v>
      </c>
      <c r="S281" s="2">
        <f>'Raw Data Cut 1.3'!N277</f>
        <v>0</v>
      </c>
      <c r="T281" s="2">
        <f t="shared" si="8"/>
        <v>0</v>
      </c>
      <c r="U281" s="9" t="str">
        <f>IF($S281=0, "", IF(COUNTIF(Table1[Amino Acid Change], $S281)=0, "Missing", "Y"))</f>
        <v/>
      </c>
      <c r="V281" s="9">
        <f t="shared" si="9"/>
        <v>0</v>
      </c>
    </row>
    <row r="282" spans="9:22" x14ac:dyDescent="0.25">
      <c r="I282" s="2">
        <f>'Raw Data Cut 1.3'!A277</f>
        <v>0</v>
      </c>
      <c r="J282" s="2">
        <f>'Raw Data Cut 1.3'!B277</f>
        <v>0</v>
      </c>
      <c r="K282" s="2">
        <f>'Raw Data Cut 1.3'!C277</f>
        <v>0</v>
      </c>
      <c r="L282" s="2">
        <f>'Raw Data Cut 1.3'!D277</f>
        <v>0</v>
      </c>
      <c r="M282" s="2">
        <f>'Raw Data Cut 1.3'!E277</f>
        <v>0</v>
      </c>
      <c r="N282" s="2">
        <f>'Raw Data Cut 1.3'!G277</f>
        <v>0</v>
      </c>
      <c r="O282" s="2">
        <f>'Raw Data Cut 1.3'!H277</f>
        <v>0</v>
      </c>
      <c r="P282" s="2">
        <f>'Raw Data Cut 1.3'!I277</f>
        <v>0</v>
      </c>
      <c r="Q282" s="2">
        <f>'Raw Data Cut 1.3'!J277</f>
        <v>0</v>
      </c>
      <c r="R282" s="2">
        <f>'Raw Data Cut 1.3'!K277</f>
        <v>0</v>
      </c>
      <c r="S282" s="2">
        <f>'Raw Data Cut 1.3'!N277</f>
        <v>0</v>
      </c>
      <c r="T282" s="2">
        <f t="shared" si="8"/>
        <v>0</v>
      </c>
      <c r="U282" s="9" t="str">
        <f>IF($S282=0, "", IF(COUNTIF(Table1[Amino Acid Change], $S282)=0, "Missing", "Y"))</f>
        <v/>
      </c>
      <c r="V282" s="9">
        <f t="shared" si="9"/>
        <v>0</v>
      </c>
    </row>
    <row r="283" spans="9:22" x14ac:dyDescent="0.25">
      <c r="I283" s="2">
        <f>'Raw Data Cut 1.3'!A278</f>
        <v>0</v>
      </c>
      <c r="J283" s="2">
        <f>'Raw Data Cut 1.3'!B278</f>
        <v>0</v>
      </c>
      <c r="K283" s="2">
        <f>'Raw Data Cut 1.3'!C278</f>
        <v>0</v>
      </c>
      <c r="L283" s="2">
        <f>'Raw Data Cut 1.3'!D278</f>
        <v>0</v>
      </c>
      <c r="M283" s="2">
        <f>'Raw Data Cut 1.3'!E278</f>
        <v>0</v>
      </c>
      <c r="N283" s="2">
        <f>'Raw Data Cut 1.3'!G278</f>
        <v>0</v>
      </c>
      <c r="O283" s="2">
        <f>'Raw Data Cut 1.3'!H278</f>
        <v>0</v>
      </c>
      <c r="P283" s="2">
        <f>'Raw Data Cut 1.3'!I278</f>
        <v>0</v>
      </c>
      <c r="Q283" s="2">
        <f>'Raw Data Cut 1.3'!J278</f>
        <v>0</v>
      </c>
      <c r="R283" s="2">
        <f>'Raw Data Cut 1.3'!K278</f>
        <v>0</v>
      </c>
      <c r="S283" s="2">
        <f>'Raw Data Cut 1.3'!N278</f>
        <v>0</v>
      </c>
      <c r="T283" s="2">
        <f t="shared" si="8"/>
        <v>0</v>
      </c>
      <c r="U283" s="9" t="str">
        <f>IF($S283=0, "", IF(COUNTIF(Table1[Amino Acid Change], $S283)=0, "Missing", "Y"))</f>
        <v/>
      </c>
      <c r="V283" s="9">
        <f t="shared" si="9"/>
        <v>0</v>
      </c>
    </row>
    <row r="284" spans="9:22" x14ac:dyDescent="0.25">
      <c r="I284" s="2">
        <f>'Raw Data Cut 1.3'!A279</f>
        <v>0</v>
      </c>
      <c r="J284" s="2">
        <f>'Raw Data Cut 1.3'!B279</f>
        <v>0</v>
      </c>
      <c r="K284" s="2">
        <f>'Raw Data Cut 1.3'!C279</f>
        <v>0</v>
      </c>
      <c r="L284" s="2">
        <f>'Raw Data Cut 1.3'!D279</f>
        <v>0</v>
      </c>
      <c r="M284" s="2">
        <f>'Raw Data Cut 1.3'!E279</f>
        <v>0</v>
      </c>
      <c r="N284" s="2">
        <f>'Raw Data Cut 1.3'!G279</f>
        <v>0</v>
      </c>
      <c r="O284" s="2">
        <f>'Raw Data Cut 1.3'!H279</f>
        <v>0</v>
      </c>
      <c r="P284" s="2">
        <f>'Raw Data Cut 1.3'!I279</f>
        <v>0</v>
      </c>
      <c r="Q284" s="2">
        <f>'Raw Data Cut 1.3'!J279</f>
        <v>0</v>
      </c>
      <c r="R284" s="2">
        <f>'Raw Data Cut 1.3'!K279</f>
        <v>0</v>
      </c>
      <c r="S284" s="2">
        <f>'Raw Data Cut 1.3'!N279</f>
        <v>0</v>
      </c>
      <c r="T284" s="2">
        <f t="shared" si="8"/>
        <v>0</v>
      </c>
      <c r="U284" s="9" t="str">
        <f>IF($S284=0, "", IF(COUNTIF(Table1[Amino Acid Change], $S284)=0, "Missing", "Y"))</f>
        <v/>
      </c>
      <c r="V284" s="9">
        <f t="shared" si="9"/>
        <v>0</v>
      </c>
    </row>
    <row r="285" spans="9:22" x14ac:dyDescent="0.25">
      <c r="I285" s="2">
        <f>'Raw Data Cut 1.3'!A280</f>
        <v>0</v>
      </c>
      <c r="J285" s="2">
        <f>'Raw Data Cut 1.3'!B280</f>
        <v>0</v>
      </c>
      <c r="K285" s="2">
        <f>'Raw Data Cut 1.3'!C280</f>
        <v>0</v>
      </c>
      <c r="L285" s="2">
        <f>'Raw Data Cut 1.3'!D280</f>
        <v>0</v>
      </c>
      <c r="M285" s="2">
        <f>'Raw Data Cut 1.3'!E280</f>
        <v>0</v>
      </c>
      <c r="N285" s="2">
        <f>'Raw Data Cut 1.3'!G280</f>
        <v>0</v>
      </c>
      <c r="O285" s="2">
        <f>'Raw Data Cut 1.3'!H280</f>
        <v>0</v>
      </c>
      <c r="P285" s="2">
        <f>'Raw Data Cut 1.3'!I280</f>
        <v>0</v>
      </c>
      <c r="Q285" s="2">
        <f>'Raw Data Cut 1.3'!J280</f>
        <v>0</v>
      </c>
      <c r="R285" s="2">
        <f>'Raw Data Cut 1.3'!K280</f>
        <v>0</v>
      </c>
      <c r="S285" s="2">
        <f>'Raw Data Cut 1.3'!N280</f>
        <v>0</v>
      </c>
      <c r="T285" s="2">
        <f t="shared" si="8"/>
        <v>0</v>
      </c>
      <c r="U285" s="9" t="str">
        <f>IF($S285=0, "", IF(COUNTIF(Table1[Amino Acid Change], $S285)=0, "Missing", "Y"))</f>
        <v/>
      </c>
      <c r="V285" s="9">
        <f t="shared" si="9"/>
        <v>0</v>
      </c>
    </row>
    <row r="286" spans="9:22" x14ac:dyDescent="0.25">
      <c r="I286" s="2">
        <f>'Raw Data Cut 1.3'!A281</f>
        <v>0</v>
      </c>
      <c r="J286" s="2">
        <f>'Raw Data Cut 1.3'!B281</f>
        <v>0</v>
      </c>
      <c r="K286" s="2">
        <f>'Raw Data Cut 1.3'!C281</f>
        <v>0</v>
      </c>
      <c r="L286" s="2">
        <f>'Raw Data Cut 1.3'!D281</f>
        <v>0</v>
      </c>
      <c r="M286" s="2">
        <f>'Raw Data Cut 1.3'!E281</f>
        <v>0</v>
      </c>
      <c r="N286" s="2">
        <f>'Raw Data Cut 1.3'!G281</f>
        <v>0</v>
      </c>
      <c r="O286" s="2">
        <f>'Raw Data Cut 1.3'!H281</f>
        <v>0</v>
      </c>
      <c r="P286" s="2">
        <f>'Raw Data Cut 1.3'!I281</f>
        <v>0</v>
      </c>
      <c r="Q286" s="2">
        <f>'Raw Data Cut 1.3'!J281</f>
        <v>0</v>
      </c>
      <c r="R286" s="2">
        <f>'Raw Data Cut 1.3'!K281</f>
        <v>0</v>
      </c>
      <c r="S286" s="2">
        <f>'Raw Data Cut 1.3'!N281</f>
        <v>0</v>
      </c>
      <c r="T286" s="2">
        <f t="shared" si="8"/>
        <v>0</v>
      </c>
      <c r="U286" s="9" t="str">
        <f>IF($S286=0, "", IF(COUNTIF(Table1[Amino Acid Change], $S286)=0, "Missing", "Y"))</f>
        <v/>
      </c>
      <c r="V286" s="9">
        <f t="shared" si="9"/>
        <v>0</v>
      </c>
    </row>
    <row r="287" spans="9:22" x14ac:dyDescent="0.25">
      <c r="I287" s="2">
        <f>'Raw Data Cut 1.3'!A282</f>
        <v>0</v>
      </c>
      <c r="J287" s="2">
        <f>'Raw Data Cut 1.3'!B282</f>
        <v>0</v>
      </c>
      <c r="K287" s="2">
        <f>'Raw Data Cut 1.3'!C282</f>
        <v>0</v>
      </c>
      <c r="L287" s="2">
        <f>'Raw Data Cut 1.3'!D282</f>
        <v>0</v>
      </c>
      <c r="M287" s="2">
        <f>'Raw Data Cut 1.3'!E282</f>
        <v>0</v>
      </c>
      <c r="N287" s="2">
        <f>'Raw Data Cut 1.3'!G282</f>
        <v>0</v>
      </c>
      <c r="O287" s="2">
        <f>'Raw Data Cut 1.3'!H282</f>
        <v>0</v>
      </c>
      <c r="P287" s="2">
        <f>'Raw Data Cut 1.3'!I282</f>
        <v>0</v>
      </c>
      <c r="Q287" s="2">
        <f>'Raw Data Cut 1.3'!J282</f>
        <v>0</v>
      </c>
      <c r="R287" s="2">
        <f>'Raw Data Cut 1.3'!K282</f>
        <v>0</v>
      </c>
      <c r="S287" s="2">
        <f>'Raw Data Cut 1.3'!N282</f>
        <v>0</v>
      </c>
      <c r="T287" s="2">
        <f t="shared" si="8"/>
        <v>0</v>
      </c>
      <c r="U287" s="9" t="str">
        <f>IF($S287=0, "", IF(COUNTIF(Table1[Amino Acid Change], $S287)=0, "Missing", "Y"))</f>
        <v/>
      </c>
      <c r="V287" s="9">
        <f t="shared" si="9"/>
        <v>0</v>
      </c>
    </row>
    <row r="288" spans="9:22" x14ac:dyDescent="0.25">
      <c r="I288" s="2">
        <f>'Raw Data Cut 1.3'!A283</f>
        <v>0</v>
      </c>
      <c r="J288" s="2">
        <f>'Raw Data Cut 1.3'!B283</f>
        <v>0</v>
      </c>
      <c r="K288" s="2">
        <f>'Raw Data Cut 1.3'!C283</f>
        <v>0</v>
      </c>
      <c r="L288" s="2">
        <f>'Raw Data Cut 1.3'!D283</f>
        <v>0</v>
      </c>
      <c r="M288" s="2">
        <f>'Raw Data Cut 1.3'!E283</f>
        <v>0</v>
      </c>
      <c r="N288" s="2">
        <f>'Raw Data Cut 1.3'!G283</f>
        <v>0</v>
      </c>
      <c r="O288" s="2">
        <f>'Raw Data Cut 1.3'!H283</f>
        <v>0</v>
      </c>
      <c r="P288" s="2">
        <f>'Raw Data Cut 1.3'!I283</f>
        <v>0</v>
      </c>
      <c r="Q288" s="2">
        <f>'Raw Data Cut 1.3'!J283</f>
        <v>0</v>
      </c>
      <c r="R288" s="2">
        <f>'Raw Data Cut 1.3'!K283</f>
        <v>0</v>
      </c>
      <c r="S288" s="2">
        <f>'Raw Data Cut 1.3'!N283</f>
        <v>0</v>
      </c>
      <c r="T288" s="2">
        <f t="shared" si="8"/>
        <v>0</v>
      </c>
      <c r="U288" s="9" t="str">
        <f>IF($S288=0, "", IF(COUNTIF(Table1[Amino Acid Change], $S288)=0, "Missing", "Y"))</f>
        <v/>
      </c>
      <c r="V288" s="9">
        <f t="shared" si="9"/>
        <v>0</v>
      </c>
    </row>
    <row r="289" spans="9:22" x14ac:dyDescent="0.25">
      <c r="I289" s="2">
        <f>'Raw Data Cut 1.3'!A284</f>
        <v>0</v>
      </c>
      <c r="J289" s="2">
        <f>'Raw Data Cut 1.3'!B284</f>
        <v>0</v>
      </c>
      <c r="K289" s="2">
        <f>'Raw Data Cut 1.3'!C284</f>
        <v>0</v>
      </c>
      <c r="L289" s="2">
        <f>'Raw Data Cut 1.3'!D284</f>
        <v>0</v>
      </c>
      <c r="M289" s="2">
        <f>'Raw Data Cut 1.3'!E284</f>
        <v>0</v>
      </c>
      <c r="N289" s="2">
        <f>'Raw Data Cut 1.3'!G284</f>
        <v>0</v>
      </c>
      <c r="O289" s="2">
        <f>'Raw Data Cut 1.3'!H284</f>
        <v>0</v>
      </c>
      <c r="P289" s="2">
        <f>'Raw Data Cut 1.3'!I284</f>
        <v>0</v>
      </c>
      <c r="Q289" s="2">
        <f>'Raw Data Cut 1.3'!J284</f>
        <v>0</v>
      </c>
      <c r="R289" s="2">
        <f>'Raw Data Cut 1.3'!K284</f>
        <v>0</v>
      </c>
      <c r="S289" s="2">
        <f>'Raw Data Cut 1.3'!N284</f>
        <v>0</v>
      </c>
      <c r="T289" s="2">
        <f t="shared" si="8"/>
        <v>0</v>
      </c>
      <c r="U289" s="9" t="str">
        <f>IF($S289=0, "", IF(COUNTIF(Table1[Amino Acid Change], $S289)=0, "Missing", "Y"))</f>
        <v/>
      </c>
      <c r="V289" s="9">
        <f t="shared" si="9"/>
        <v>0</v>
      </c>
    </row>
    <row r="290" spans="9:22" x14ac:dyDescent="0.25">
      <c r="I290" s="2">
        <f>'Raw Data Cut 1.3'!A285</f>
        <v>0</v>
      </c>
      <c r="J290" s="2">
        <f>'Raw Data Cut 1.3'!B285</f>
        <v>0</v>
      </c>
      <c r="K290" s="2">
        <f>'Raw Data Cut 1.3'!C285</f>
        <v>0</v>
      </c>
      <c r="L290" s="2">
        <f>'Raw Data Cut 1.3'!D285</f>
        <v>0</v>
      </c>
      <c r="M290" s="2">
        <f>'Raw Data Cut 1.3'!E285</f>
        <v>0</v>
      </c>
      <c r="N290" s="2">
        <f>'Raw Data Cut 1.3'!G285</f>
        <v>0</v>
      </c>
      <c r="O290" s="2">
        <f>'Raw Data Cut 1.3'!H285</f>
        <v>0</v>
      </c>
      <c r="P290" s="2">
        <f>'Raw Data Cut 1.3'!I285</f>
        <v>0</v>
      </c>
      <c r="Q290" s="2">
        <f>'Raw Data Cut 1.3'!J285</f>
        <v>0</v>
      </c>
      <c r="R290" s="2">
        <f>'Raw Data Cut 1.3'!K285</f>
        <v>0</v>
      </c>
      <c r="S290" s="2">
        <f>'Raw Data Cut 1.3'!N285</f>
        <v>0</v>
      </c>
      <c r="T290" s="2">
        <f t="shared" si="8"/>
        <v>0</v>
      </c>
      <c r="U290" s="9" t="str">
        <f>IF($S290=0, "", IF(COUNTIF(Table1[Amino Acid Change], $S290)=0, "Missing", "Y"))</f>
        <v/>
      </c>
      <c r="V290" s="9">
        <f t="shared" si="9"/>
        <v>0</v>
      </c>
    </row>
    <row r="291" spans="9:22" x14ac:dyDescent="0.25">
      <c r="I291" s="2">
        <f>'Raw Data Cut 1.3'!A286</f>
        <v>0</v>
      </c>
      <c r="J291" s="2">
        <f>'Raw Data Cut 1.3'!B286</f>
        <v>0</v>
      </c>
      <c r="K291" s="2">
        <f>'Raw Data Cut 1.3'!C286</f>
        <v>0</v>
      </c>
      <c r="L291" s="2">
        <f>'Raw Data Cut 1.3'!D286</f>
        <v>0</v>
      </c>
      <c r="M291" s="2">
        <f>'Raw Data Cut 1.3'!E286</f>
        <v>0</v>
      </c>
      <c r="N291" s="2">
        <f>'Raw Data Cut 1.3'!G286</f>
        <v>0</v>
      </c>
      <c r="O291" s="2">
        <f>'Raw Data Cut 1.3'!H286</f>
        <v>0</v>
      </c>
      <c r="P291" s="2">
        <f>'Raw Data Cut 1.3'!I286</f>
        <v>0</v>
      </c>
      <c r="Q291" s="2">
        <f>'Raw Data Cut 1.3'!J286</f>
        <v>0</v>
      </c>
      <c r="R291" s="2">
        <f>'Raw Data Cut 1.3'!K286</f>
        <v>0</v>
      </c>
      <c r="S291" s="2">
        <f>'Raw Data Cut 1.3'!N286</f>
        <v>0</v>
      </c>
      <c r="T291" s="2">
        <f t="shared" si="8"/>
        <v>0</v>
      </c>
      <c r="U291" s="9" t="str">
        <f>IF($S291=0, "", IF(COUNTIF(Table1[Amino Acid Change], $S291)=0, "Missing", "Y"))</f>
        <v/>
      </c>
      <c r="V291" s="9">
        <f t="shared" si="9"/>
        <v>0</v>
      </c>
    </row>
    <row r="292" spans="9:22" x14ac:dyDescent="0.25">
      <c r="I292" s="2">
        <f>'Raw Data Cut 1.3'!A287</f>
        <v>0</v>
      </c>
      <c r="J292" s="2">
        <f>'Raw Data Cut 1.3'!B287</f>
        <v>0</v>
      </c>
      <c r="K292" s="2">
        <f>'Raw Data Cut 1.3'!C287</f>
        <v>0</v>
      </c>
      <c r="L292" s="2">
        <f>'Raw Data Cut 1.3'!D287</f>
        <v>0</v>
      </c>
      <c r="M292" s="2">
        <f>'Raw Data Cut 1.3'!E287</f>
        <v>0</v>
      </c>
      <c r="N292" s="2">
        <f>'Raw Data Cut 1.3'!G287</f>
        <v>0</v>
      </c>
      <c r="O292" s="2">
        <f>'Raw Data Cut 1.3'!H287</f>
        <v>0</v>
      </c>
      <c r="P292" s="2">
        <f>'Raw Data Cut 1.3'!I287</f>
        <v>0</v>
      </c>
      <c r="Q292" s="2">
        <f>'Raw Data Cut 1.3'!J287</f>
        <v>0</v>
      </c>
      <c r="R292" s="2">
        <f>'Raw Data Cut 1.3'!K287</f>
        <v>0</v>
      </c>
      <c r="S292" s="2">
        <f>'Raw Data Cut 1.3'!N287</f>
        <v>0</v>
      </c>
      <c r="T292" s="2">
        <f t="shared" si="8"/>
        <v>0</v>
      </c>
      <c r="U292" s="9" t="str">
        <f>IF($S292=0, "", IF(COUNTIF(Table1[Amino Acid Change], $S292)=0, "Missing", "Y"))</f>
        <v/>
      </c>
      <c r="V292" s="9">
        <f t="shared" si="9"/>
        <v>0</v>
      </c>
    </row>
    <row r="293" spans="9:22" x14ac:dyDescent="0.25">
      <c r="I293" s="2">
        <f>'Raw Data Cut 1.3'!A288</f>
        <v>0</v>
      </c>
      <c r="J293" s="2">
        <f>'Raw Data Cut 1.3'!B288</f>
        <v>0</v>
      </c>
      <c r="K293" s="2">
        <f>'Raw Data Cut 1.3'!C288</f>
        <v>0</v>
      </c>
      <c r="L293" s="2">
        <f>'Raw Data Cut 1.3'!D288</f>
        <v>0</v>
      </c>
      <c r="M293" s="2">
        <f>'Raw Data Cut 1.3'!E288</f>
        <v>0</v>
      </c>
      <c r="N293" s="2">
        <f>'Raw Data Cut 1.3'!G288</f>
        <v>0</v>
      </c>
      <c r="O293" s="2">
        <f>'Raw Data Cut 1.3'!H288</f>
        <v>0</v>
      </c>
      <c r="P293" s="2">
        <f>'Raw Data Cut 1.3'!I288</f>
        <v>0</v>
      </c>
      <c r="Q293" s="2">
        <f>'Raw Data Cut 1.3'!J288</f>
        <v>0</v>
      </c>
      <c r="R293" s="2">
        <f>'Raw Data Cut 1.3'!K288</f>
        <v>0</v>
      </c>
      <c r="S293" s="2">
        <f>'Raw Data Cut 1.3'!N288</f>
        <v>0</v>
      </c>
      <c r="T293" s="2">
        <f t="shared" si="8"/>
        <v>0</v>
      </c>
      <c r="U293" s="9" t="str">
        <f>IF($S293=0, "", IF(COUNTIF(Table1[Amino Acid Change], $S293)=0, "Missing", "Y"))</f>
        <v/>
      </c>
      <c r="V293" s="9">
        <f t="shared" si="9"/>
        <v>0</v>
      </c>
    </row>
    <row r="294" spans="9:22" x14ac:dyDescent="0.25">
      <c r="I294" s="2">
        <f>'Raw Data Cut 1.3'!A289</f>
        <v>0</v>
      </c>
      <c r="J294" s="2">
        <f>'Raw Data Cut 1.3'!B289</f>
        <v>0</v>
      </c>
      <c r="K294" s="2">
        <f>'Raw Data Cut 1.3'!C289</f>
        <v>0</v>
      </c>
      <c r="L294" s="2">
        <f>'Raw Data Cut 1.3'!D289</f>
        <v>0</v>
      </c>
      <c r="M294" s="2">
        <f>'Raw Data Cut 1.3'!E289</f>
        <v>0</v>
      </c>
      <c r="N294" s="2">
        <f>'Raw Data Cut 1.3'!G289</f>
        <v>0</v>
      </c>
      <c r="O294" s="2">
        <f>'Raw Data Cut 1.3'!H289</f>
        <v>0</v>
      </c>
      <c r="P294" s="2">
        <f>'Raw Data Cut 1.3'!I289</f>
        <v>0</v>
      </c>
      <c r="Q294" s="2">
        <f>'Raw Data Cut 1.3'!J289</f>
        <v>0</v>
      </c>
      <c r="R294" s="2">
        <f>'Raw Data Cut 1.3'!K289</f>
        <v>0</v>
      </c>
      <c r="S294" s="2">
        <f>'Raw Data Cut 1.3'!N289</f>
        <v>0</v>
      </c>
      <c r="T294" s="2">
        <f t="shared" si="8"/>
        <v>0</v>
      </c>
      <c r="U294" s="9" t="str">
        <f>IF($S294=0, "", IF(COUNTIF(Table1[Amino Acid Change], $S294)=0, "Missing", "Y"))</f>
        <v/>
      </c>
      <c r="V294" s="9">
        <f t="shared" si="9"/>
        <v>0</v>
      </c>
    </row>
    <row r="295" spans="9:22" x14ac:dyDescent="0.25">
      <c r="I295" s="2">
        <f>'Raw Data Cut 1.3'!A290</f>
        <v>0</v>
      </c>
      <c r="J295" s="2">
        <f>'Raw Data Cut 1.3'!B290</f>
        <v>0</v>
      </c>
      <c r="K295" s="2">
        <f>'Raw Data Cut 1.3'!C290</f>
        <v>0</v>
      </c>
      <c r="L295" s="2">
        <f>'Raw Data Cut 1.3'!D290</f>
        <v>0</v>
      </c>
      <c r="M295" s="2">
        <f>'Raw Data Cut 1.3'!E290</f>
        <v>0</v>
      </c>
      <c r="N295" s="2">
        <f>'Raw Data Cut 1.3'!G290</f>
        <v>0</v>
      </c>
      <c r="O295" s="2">
        <f>'Raw Data Cut 1.3'!H290</f>
        <v>0</v>
      </c>
      <c r="P295" s="2">
        <f>'Raw Data Cut 1.3'!I290</f>
        <v>0</v>
      </c>
      <c r="Q295" s="2">
        <f>'Raw Data Cut 1.3'!J290</f>
        <v>0</v>
      </c>
      <c r="R295" s="2">
        <f>'Raw Data Cut 1.3'!K290</f>
        <v>0</v>
      </c>
      <c r="S295" s="2">
        <f>'Raw Data Cut 1.3'!N290</f>
        <v>0</v>
      </c>
      <c r="T295" s="2">
        <f t="shared" si="8"/>
        <v>0</v>
      </c>
      <c r="U295" s="9" t="str">
        <f>IF($S295=0, "", IF(COUNTIF(Table1[Amino Acid Change], $S295)=0, "Missing", "Y"))</f>
        <v/>
      </c>
      <c r="V295" s="9">
        <f t="shared" si="9"/>
        <v>0</v>
      </c>
    </row>
    <row r="296" spans="9:22" x14ac:dyDescent="0.25">
      <c r="I296" s="2">
        <f>'Raw Data Cut 1.3'!A291</f>
        <v>0</v>
      </c>
      <c r="J296" s="2">
        <f>'Raw Data Cut 1.3'!B291</f>
        <v>0</v>
      </c>
      <c r="K296" s="2">
        <f>'Raw Data Cut 1.3'!C291</f>
        <v>0</v>
      </c>
      <c r="L296" s="2">
        <f>'Raw Data Cut 1.3'!D291</f>
        <v>0</v>
      </c>
      <c r="M296" s="2">
        <f>'Raw Data Cut 1.3'!E291</f>
        <v>0</v>
      </c>
      <c r="N296" s="2">
        <f>'Raw Data Cut 1.3'!G291</f>
        <v>0</v>
      </c>
      <c r="O296" s="2">
        <f>'Raw Data Cut 1.3'!H291</f>
        <v>0</v>
      </c>
      <c r="P296" s="2">
        <f>'Raw Data Cut 1.3'!I291</f>
        <v>0</v>
      </c>
      <c r="Q296" s="2">
        <f>'Raw Data Cut 1.3'!J291</f>
        <v>0</v>
      </c>
      <c r="R296" s="2">
        <f>'Raw Data Cut 1.3'!K291</f>
        <v>0</v>
      </c>
      <c r="S296" s="2">
        <f>'Raw Data Cut 1.3'!N291</f>
        <v>0</v>
      </c>
      <c r="T296" s="2">
        <f t="shared" si="8"/>
        <v>0</v>
      </c>
      <c r="U296" s="9" t="str">
        <f>IF($S296=0, "", IF(COUNTIF(Table1[Amino Acid Change], $S296)=0, "Missing", "Y"))</f>
        <v/>
      </c>
      <c r="V296" s="9">
        <f t="shared" si="9"/>
        <v>0</v>
      </c>
    </row>
    <row r="297" spans="9:22" x14ac:dyDescent="0.25">
      <c r="I297" s="2">
        <f>'Raw Data Cut 1.3'!A292</f>
        <v>0</v>
      </c>
      <c r="J297" s="2">
        <f>'Raw Data Cut 1.3'!B292</f>
        <v>0</v>
      </c>
      <c r="K297" s="2">
        <f>'Raw Data Cut 1.3'!C292</f>
        <v>0</v>
      </c>
      <c r="L297" s="2">
        <f>'Raw Data Cut 1.3'!D292</f>
        <v>0</v>
      </c>
      <c r="M297" s="2">
        <f>'Raw Data Cut 1.3'!E292</f>
        <v>0</v>
      </c>
      <c r="N297" s="2">
        <f>'Raw Data Cut 1.3'!G292</f>
        <v>0</v>
      </c>
      <c r="O297" s="2">
        <f>'Raw Data Cut 1.3'!H292</f>
        <v>0</v>
      </c>
      <c r="P297" s="2">
        <f>'Raw Data Cut 1.3'!I292</f>
        <v>0</v>
      </c>
      <c r="Q297" s="2">
        <f>'Raw Data Cut 1.3'!J292</f>
        <v>0</v>
      </c>
      <c r="R297" s="2">
        <f>'Raw Data Cut 1.3'!K292</f>
        <v>0</v>
      </c>
      <c r="S297" s="2">
        <f>'Raw Data Cut 1.3'!N292</f>
        <v>0</v>
      </c>
      <c r="T297" s="2">
        <f t="shared" si="8"/>
        <v>0</v>
      </c>
      <c r="U297" s="9" t="str">
        <f>IF($S297=0, "", IF(COUNTIF(Table1[Amino Acid Change], $S297)=0, "Missing", "Y"))</f>
        <v/>
      </c>
      <c r="V297" s="9">
        <f t="shared" si="9"/>
        <v>0</v>
      </c>
    </row>
    <row r="298" spans="9:22" x14ac:dyDescent="0.25">
      <c r="I298" s="2">
        <f>'Raw Data Cut 1.3'!A293</f>
        <v>0</v>
      </c>
      <c r="J298" s="2">
        <f>'Raw Data Cut 1.3'!B293</f>
        <v>0</v>
      </c>
      <c r="K298" s="2">
        <f>'Raw Data Cut 1.3'!C293</f>
        <v>0</v>
      </c>
      <c r="L298" s="2">
        <f>'Raw Data Cut 1.3'!D293</f>
        <v>0</v>
      </c>
      <c r="M298" s="2">
        <f>'Raw Data Cut 1.3'!E293</f>
        <v>0</v>
      </c>
      <c r="N298" s="2">
        <f>'Raw Data Cut 1.3'!G293</f>
        <v>0</v>
      </c>
      <c r="O298" s="2">
        <f>'Raw Data Cut 1.3'!H293</f>
        <v>0</v>
      </c>
      <c r="P298" s="2">
        <f>'Raw Data Cut 1.3'!I293</f>
        <v>0</v>
      </c>
      <c r="Q298" s="2">
        <f>'Raw Data Cut 1.3'!J293</f>
        <v>0</v>
      </c>
      <c r="R298" s="2">
        <f>'Raw Data Cut 1.3'!K293</f>
        <v>0</v>
      </c>
      <c r="S298" s="2">
        <f>'Raw Data Cut 1.3'!N293</f>
        <v>0</v>
      </c>
      <c r="T298" s="2">
        <f t="shared" si="8"/>
        <v>0</v>
      </c>
      <c r="U298" s="9" t="str">
        <f>IF($S298=0, "", IF(COUNTIF(Table1[Amino Acid Change], $S298)=0, "Missing", "Y"))</f>
        <v/>
      </c>
      <c r="V298" s="9">
        <f t="shared" si="9"/>
        <v>0</v>
      </c>
    </row>
    <row r="299" spans="9:22" x14ac:dyDescent="0.25">
      <c r="I299" s="2">
        <f>'Raw Data Cut 1.3'!A294</f>
        <v>0</v>
      </c>
      <c r="J299" s="2">
        <f>'Raw Data Cut 1.3'!B294</f>
        <v>0</v>
      </c>
      <c r="K299" s="2">
        <f>'Raw Data Cut 1.3'!C294</f>
        <v>0</v>
      </c>
      <c r="L299" s="2">
        <f>'Raw Data Cut 1.3'!D294</f>
        <v>0</v>
      </c>
      <c r="M299" s="2">
        <f>'Raw Data Cut 1.3'!E294</f>
        <v>0</v>
      </c>
      <c r="N299" s="2">
        <f>'Raw Data Cut 1.3'!G294</f>
        <v>0</v>
      </c>
      <c r="O299" s="2">
        <f>'Raw Data Cut 1.3'!H294</f>
        <v>0</v>
      </c>
      <c r="P299" s="2">
        <f>'Raw Data Cut 1.3'!I294</f>
        <v>0</v>
      </c>
      <c r="Q299" s="2">
        <f>'Raw Data Cut 1.3'!J294</f>
        <v>0</v>
      </c>
      <c r="R299" s="2">
        <f>'Raw Data Cut 1.3'!K294</f>
        <v>0</v>
      </c>
      <c r="S299" s="2">
        <f>'Raw Data Cut 1.3'!N294</f>
        <v>0</v>
      </c>
      <c r="T299" s="2">
        <f t="shared" si="8"/>
        <v>0</v>
      </c>
      <c r="U299" s="9" t="str">
        <f>IF($S299=0, "", IF(COUNTIF(Table1[Amino Acid Change], $S299)=0, "Missing", "Y"))</f>
        <v/>
      </c>
      <c r="V299" s="9">
        <f t="shared" si="9"/>
        <v>0</v>
      </c>
    </row>
    <row r="300" spans="9:22" x14ac:dyDescent="0.25">
      <c r="I300" s="2">
        <f>'Raw Data Cut 1.3'!A295</f>
        <v>0</v>
      </c>
      <c r="J300" s="2">
        <f>'Raw Data Cut 1.3'!B295</f>
        <v>0</v>
      </c>
      <c r="K300" s="2">
        <f>'Raw Data Cut 1.3'!C295</f>
        <v>0</v>
      </c>
      <c r="L300" s="2">
        <f>'Raw Data Cut 1.3'!D295</f>
        <v>0</v>
      </c>
      <c r="M300" s="2">
        <f>'Raw Data Cut 1.3'!E295</f>
        <v>0</v>
      </c>
      <c r="N300" s="2">
        <f>'Raw Data Cut 1.3'!G295</f>
        <v>0</v>
      </c>
      <c r="O300" s="2">
        <f>'Raw Data Cut 1.3'!H295</f>
        <v>0</v>
      </c>
      <c r="P300" s="2">
        <f>'Raw Data Cut 1.3'!I295</f>
        <v>0</v>
      </c>
      <c r="Q300" s="2">
        <f>'Raw Data Cut 1.3'!J295</f>
        <v>0</v>
      </c>
      <c r="R300" s="2">
        <f>'Raw Data Cut 1.3'!K295</f>
        <v>0</v>
      </c>
      <c r="S300" s="2">
        <f>'Raw Data Cut 1.3'!N295</f>
        <v>0</v>
      </c>
      <c r="T300" s="2">
        <f t="shared" si="8"/>
        <v>0</v>
      </c>
      <c r="U300" s="9" t="str">
        <f>IF($S300=0, "", IF(COUNTIF(Table1[Amino Acid Change], $S300)=0, "Missing", "Y"))</f>
        <v/>
      </c>
      <c r="V300" s="9">
        <f t="shared" si="9"/>
        <v>0</v>
      </c>
    </row>
  </sheetData>
  <mergeCells count="1">
    <mergeCell ref="E62:E64"/>
  </mergeCells>
  <conditionalFormatting sqref="E7:E61">
    <cfRule type="cellIs" dxfId="5" priority="5" operator="equal">
      <formula>"Inspect"</formula>
    </cfRule>
    <cfRule type="cellIs" dxfId="4" priority="6" operator="equal">
      <formula>"Fail"</formula>
    </cfRule>
  </conditionalFormatting>
  <conditionalFormatting sqref="D1:D1048576">
    <cfRule type="cellIs" dxfId="3" priority="4" operator="equal">
      <formula>#N/A</formula>
    </cfRule>
  </conditionalFormatting>
  <conditionalFormatting sqref="E7:E61">
    <cfRule type="containsText" dxfId="2" priority="3" operator="containsText" text="F">
      <formula>NOT(ISERROR(SEARCH("F",E7)))</formula>
    </cfRule>
  </conditionalFormatting>
  <pageMargins left="0.7" right="0.7" top="0.75" bottom="0.75" header="0.3" footer="0.3"/>
  <pageSetup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22</xdr:col>
                    <xdr:colOff>400050</xdr:colOff>
                    <xdr:row>4</xdr:row>
                    <xdr:rowOff>28575</xdr:rowOff>
                  </from>
                  <to>
                    <xdr:col>28</xdr:col>
                    <xdr:colOff>152400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Tabs">
                <anchor moveWithCells="1">
                  <from>
                    <xdr:col>22</xdr:col>
                    <xdr:colOff>409575</xdr:colOff>
                    <xdr:row>8</xdr:row>
                    <xdr:rowOff>66675</xdr:rowOff>
                  </from>
                  <to>
                    <xdr:col>28</xdr:col>
                    <xdr:colOff>161925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topLeftCell="A10"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  <row r="37" spans="1:15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</row>
    <row r="38" spans="1:15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</row>
    <row r="39" spans="1:15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  <row r="40" spans="1:15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</row>
    <row r="41" spans="1:15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</row>
    <row r="42" spans="1:15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</row>
    <row r="43" spans="1:15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1:15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1:15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1:15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</row>
    <row r="47" spans="1:15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6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6"/>
  <sheetViews>
    <sheetView topLeftCell="A772" workbookViewId="0">
      <selection sqref="A1:XFD1048576"/>
    </sheetView>
  </sheetViews>
  <sheetFormatPr defaultRowHeight="15" x14ac:dyDescent="0.25"/>
  <sheetData>
    <row r="1" spans="1:3" ht="23.25" x14ac:dyDescent="0.35">
      <c r="A1" s="25"/>
    </row>
    <row r="2" spans="1:3" ht="20.25" x14ac:dyDescent="0.3">
      <c r="A2" s="26"/>
    </row>
    <row r="3" spans="1:3" x14ac:dyDescent="0.25">
      <c r="A3" s="12"/>
      <c r="B3" s="12"/>
    </row>
    <row r="4" spans="1:3" x14ac:dyDescent="0.25">
      <c r="A4" s="12"/>
      <c r="B4" s="12"/>
    </row>
    <row r="5" spans="1:3" x14ac:dyDescent="0.25">
      <c r="A5" s="12"/>
      <c r="B5" s="12"/>
    </row>
    <row r="6" spans="1:3" x14ac:dyDescent="0.25">
      <c r="A6" s="12"/>
      <c r="B6" s="12"/>
    </row>
    <row r="7" spans="1:3" x14ac:dyDescent="0.25">
      <c r="A7" s="12"/>
      <c r="B7" s="12"/>
    </row>
    <row r="8" spans="1:3" x14ac:dyDescent="0.25">
      <c r="A8" s="12"/>
      <c r="B8" s="12"/>
    </row>
    <row r="9" spans="1:3" x14ac:dyDescent="0.25">
      <c r="A9" s="12"/>
      <c r="B9" s="12"/>
    </row>
    <row r="13" spans="1:3" ht="20.25" x14ac:dyDescent="0.3">
      <c r="A13" s="26"/>
    </row>
    <row r="14" spans="1:3" x14ac:dyDescent="0.25">
      <c r="A14" s="13"/>
      <c r="B14" s="13"/>
      <c r="C14" s="13"/>
    </row>
    <row r="15" spans="1:3" x14ac:dyDescent="0.25">
      <c r="A15" s="12"/>
      <c r="B15" s="12"/>
      <c r="C15" s="12"/>
    </row>
    <row r="16" spans="1:3" x14ac:dyDescent="0.25">
      <c r="A16" s="12"/>
      <c r="B16" s="12"/>
      <c r="C16" s="12"/>
    </row>
    <row r="17" spans="1:3" x14ac:dyDescent="0.25">
      <c r="A17" s="12"/>
      <c r="B17" s="12"/>
      <c r="C17" s="12"/>
    </row>
    <row r="18" spans="1:3" x14ac:dyDescent="0.25">
      <c r="A18" s="12"/>
      <c r="B18" s="12"/>
      <c r="C18" s="12"/>
    </row>
    <row r="19" spans="1:3" x14ac:dyDescent="0.25">
      <c r="A19" s="12"/>
      <c r="B19" s="12"/>
      <c r="C19" s="12"/>
    </row>
    <row r="20" spans="1:3" x14ac:dyDescent="0.25">
      <c r="A20" s="12"/>
      <c r="B20" s="12"/>
      <c r="C20" s="12"/>
    </row>
    <row r="21" spans="1:3" x14ac:dyDescent="0.25">
      <c r="A21" s="12"/>
      <c r="B21" s="12"/>
      <c r="C21" s="12"/>
    </row>
    <row r="22" spans="1:3" x14ac:dyDescent="0.25">
      <c r="A22" s="12"/>
      <c r="B22" s="12"/>
      <c r="C22" s="12"/>
    </row>
    <row r="23" spans="1:3" x14ac:dyDescent="0.25">
      <c r="A23" s="12"/>
      <c r="B23" s="12"/>
      <c r="C23" s="12"/>
    </row>
    <row r="24" spans="1:3" x14ac:dyDescent="0.25">
      <c r="A24" s="12"/>
      <c r="B24" s="12"/>
      <c r="C24" s="12"/>
    </row>
    <row r="25" spans="1:3" x14ac:dyDescent="0.25">
      <c r="A25" s="12"/>
      <c r="B25" s="12"/>
      <c r="C25" s="12"/>
    </row>
    <row r="27" spans="1:3" ht="20.25" x14ac:dyDescent="0.3">
      <c r="A27" s="26"/>
    </row>
    <row r="28" spans="1:3" x14ac:dyDescent="0.25">
      <c r="A28" s="13"/>
      <c r="B28" s="13"/>
    </row>
    <row r="29" spans="1:3" x14ac:dyDescent="0.25">
      <c r="A29" s="12"/>
      <c r="B29" s="12"/>
    </row>
    <row r="30" spans="1:3" x14ac:dyDescent="0.25">
      <c r="A30" s="12"/>
      <c r="B30" s="12"/>
    </row>
    <row r="31" spans="1:3" x14ac:dyDescent="0.25">
      <c r="A31" s="12"/>
      <c r="B31" s="12"/>
    </row>
    <row r="32" spans="1:3" x14ac:dyDescent="0.25">
      <c r="A32" s="12"/>
      <c r="B32" s="12"/>
    </row>
    <row r="33" spans="1:2" x14ac:dyDescent="0.25">
      <c r="A33" s="12"/>
      <c r="B33" s="12"/>
    </row>
    <row r="34" spans="1:2" x14ac:dyDescent="0.25">
      <c r="A34" s="12"/>
      <c r="B34" s="12"/>
    </row>
    <row r="35" spans="1:2" x14ac:dyDescent="0.25">
      <c r="A35" s="12"/>
      <c r="B35" s="12"/>
    </row>
    <row r="36" spans="1:2" x14ac:dyDescent="0.25">
      <c r="A36" s="12"/>
      <c r="B36" s="12"/>
    </row>
    <row r="37" spans="1:2" x14ac:dyDescent="0.25">
      <c r="A37" s="12"/>
      <c r="B37" s="12"/>
    </row>
    <row r="38" spans="1:2" x14ac:dyDescent="0.25">
      <c r="A38" s="12"/>
      <c r="B38" s="12"/>
    </row>
    <row r="39" spans="1:2" x14ac:dyDescent="0.25">
      <c r="A39" s="12"/>
      <c r="B39" s="12"/>
    </row>
    <row r="40" spans="1:2" x14ac:dyDescent="0.25">
      <c r="A40" s="12"/>
      <c r="B40" s="12"/>
    </row>
    <row r="41" spans="1:2" x14ac:dyDescent="0.25">
      <c r="A41" s="12"/>
      <c r="B41" s="12"/>
    </row>
    <row r="42" spans="1:2" x14ac:dyDescent="0.25">
      <c r="A42" s="12"/>
      <c r="B42" s="12"/>
    </row>
    <row r="43" spans="1:2" x14ac:dyDescent="0.25">
      <c r="A43" s="12"/>
      <c r="B43" s="12"/>
    </row>
    <row r="44" spans="1:2" x14ac:dyDescent="0.25">
      <c r="A44" s="12"/>
      <c r="B44" s="12"/>
    </row>
    <row r="45" spans="1:2" x14ac:dyDescent="0.25">
      <c r="A45" s="12"/>
      <c r="B45" s="12"/>
    </row>
    <row r="46" spans="1:2" x14ac:dyDescent="0.25">
      <c r="A46" s="12"/>
      <c r="B46" s="12"/>
    </row>
    <row r="47" spans="1:2" x14ac:dyDescent="0.25">
      <c r="A47" s="12"/>
      <c r="B47" s="12"/>
    </row>
    <row r="48" spans="1:2" x14ac:dyDescent="0.25">
      <c r="A48" s="12"/>
      <c r="B48" s="12"/>
    </row>
    <row r="49" spans="1:2" x14ac:dyDescent="0.25">
      <c r="A49" s="12"/>
      <c r="B49" s="12"/>
    </row>
    <row r="50" spans="1:2" x14ac:dyDescent="0.25">
      <c r="A50" s="12"/>
      <c r="B50" s="12"/>
    </row>
    <row r="51" spans="1:2" x14ac:dyDescent="0.25">
      <c r="A51" s="12"/>
      <c r="B51" s="12"/>
    </row>
    <row r="52" spans="1:2" x14ac:dyDescent="0.25">
      <c r="A52" s="12"/>
      <c r="B52" s="12"/>
    </row>
    <row r="53" spans="1:2" x14ac:dyDescent="0.25">
      <c r="A53" s="12"/>
      <c r="B53" s="12"/>
    </row>
    <row r="54" spans="1:2" x14ac:dyDescent="0.25">
      <c r="A54" s="12"/>
      <c r="B54" s="12"/>
    </row>
    <row r="55" spans="1:2" x14ac:dyDescent="0.25">
      <c r="A55" s="12"/>
      <c r="B55" s="12"/>
    </row>
    <row r="56" spans="1:2" x14ac:dyDescent="0.25">
      <c r="A56" s="12"/>
      <c r="B56" s="12"/>
    </row>
    <row r="57" spans="1:2" x14ac:dyDescent="0.25">
      <c r="A57" s="12"/>
      <c r="B57" s="12"/>
    </row>
    <row r="58" spans="1:2" x14ac:dyDescent="0.25">
      <c r="A58" s="12"/>
      <c r="B58" s="12"/>
    </row>
    <row r="59" spans="1:2" x14ac:dyDescent="0.25">
      <c r="A59" s="12"/>
      <c r="B59" s="12"/>
    </row>
    <row r="60" spans="1:2" x14ac:dyDescent="0.25">
      <c r="A60" s="12"/>
      <c r="B60" s="12"/>
    </row>
    <row r="61" spans="1:2" x14ac:dyDescent="0.25">
      <c r="A61" s="12"/>
      <c r="B61" s="12"/>
    </row>
    <row r="62" spans="1:2" x14ac:dyDescent="0.25">
      <c r="A62" s="12"/>
      <c r="B62" s="12"/>
    </row>
    <row r="63" spans="1:2" x14ac:dyDescent="0.25">
      <c r="A63" s="12"/>
      <c r="B63" s="12"/>
    </row>
    <row r="64" spans="1:2" x14ac:dyDescent="0.25">
      <c r="A64" s="12"/>
      <c r="B64" s="12"/>
    </row>
    <row r="65" spans="1:2" x14ac:dyDescent="0.25">
      <c r="A65" s="12"/>
      <c r="B65" s="12"/>
    </row>
    <row r="66" spans="1:2" x14ac:dyDescent="0.25">
      <c r="A66" s="12"/>
      <c r="B66" s="12"/>
    </row>
    <row r="67" spans="1:2" x14ac:dyDescent="0.25">
      <c r="A67" s="12"/>
      <c r="B67" s="12"/>
    </row>
    <row r="68" spans="1:2" x14ac:dyDescent="0.25">
      <c r="A68" s="12"/>
      <c r="B68" s="12"/>
    </row>
    <row r="69" spans="1:2" x14ac:dyDescent="0.25">
      <c r="A69" s="12"/>
      <c r="B69" s="12"/>
    </row>
    <row r="70" spans="1:2" x14ac:dyDescent="0.25">
      <c r="A70" s="12"/>
      <c r="B70" s="12"/>
    </row>
    <row r="71" spans="1:2" x14ac:dyDescent="0.25">
      <c r="A71" s="12"/>
      <c r="B71" s="12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2" spans="1:2" ht="20.25" x14ac:dyDescent="0.3">
      <c r="A82" s="26"/>
    </row>
    <row r="83" spans="1:2" x14ac:dyDescent="0.25">
      <c r="A83" s="13"/>
      <c r="B83" s="13"/>
    </row>
    <row r="84" spans="1:2" x14ac:dyDescent="0.25">
      <c r="A84" s="12"/>
      <c r="B84" s="12"/>
    </row>
    <row r="85" spans="1:2" x14ac:dyDescent="0.25">
      <c r="A85" s="12"/>
      <c r="B85" s="12"/>
    </row>
    <row r="86" spans="1:2" x14ac:dyDescent="0.25">
      <c r="A86" s="12"/>
      <c r="B86" s="12"/>
    </row>
    <row r="87" spans="1:2" x14ac:dyDescent="0.25">
      <c r="A87" s="12"/>
      <c r="B87" s="12"/>
    </row>
    <row r="88" spans="1:2" x14ac:dyDescent="0.25">
      <c r="A88" s="12"/>
      <c r="B88" s="12"/>
    </row>
    <row r="89" spans="1:2" x14ac:dyDescent="0.25">
      <c r="A89" s="12"/>
      <c r="B89" s="12"/>
    </row>
    <row r="90" spans="1:2" x14ac:dyDescent="0.25">
      <c r="A90" s="12"/>
      <c r="B90" s="12"/>
    </row>
    <row r="91" spans="1:2" x14ac:dyDescent="0.25">
      <c r="A91" s="12"/>
      <c r="B91" s="12"/>
    </row>
    <row r="92" spans="1:2" x14ac:dyDescent="0.25">
      <c r="A92" s="12"/>
      <c r="B92" s="12"/>
    </row>
    <row r="93" spans="1:2" x14ac:dyDescent="0.25">
      <c r="A93" s="12"/>
      <c r="B93" s="12"/>
    </row>
    <row r="94" spans="1:2" x14ac:dyDescent="0.25">
      <c r="A94" s="12"/>
      <c r="B94" s="12"/>
    </row>
    <row r="95" spans="1:2" x14ac:dyDescent="0.25">
      <c r="A95" s="12"/>
      <c r="B95" s="12"/>
    </row>
    <row r="96" spans="1:2" x14ac:dyDescent="0.25">
      <c r="A96" s="12"/>
      <c r="B96" s="12"/>
    </row>
    <row r="97" spans="1:2" x14ac:dyDescent="0.25">
      <c r="A97" s="12"/>
      <c r="B97" s="12"/>
    </row>
    <row r="98" spans="1:2" x14ac:dyDescent="0.25">
      <c r="A98" s="12"/>
      <c r="B98" s="12"/>
    </row>
    <row r="99" spans="1:2" x14ac:dyDescent="0.25">
      <c r="A99" s="12"/>
      <c r="B99" s="12"/>
    </row>
    <row r="100" spans="1:2" x14ac:dyDescent="0.25">
      <c r="A100" s="12"/>
      <c r="B100" s="12"/>
    </row>
    <row r="101" spans="1:2" x14ac:dyDescent="0.25">
      <c r="A101" s="12"/>
      <c r="B101" s="12"/>
    </row>
    <row r="102" spans="1:2" x14ac:dyDescent="0.25">
      <c r="A102" s="12"/>
      <c r="B102" s="12"/>
    </row>
    <row r="103" spans="1:2" x14ac:dyDescent="0.25">
      <c r="A103" s="12"/>
      <c r="B103" s="12"/>
    </row>
    <row r="104" spans="1:2" x14ac:dyDescent="0.25">
      <c r="A104" s="12"/>
      <c r="B104" s="12"/>
    </row>
    <row r="105" spans="1:2" x14ac:dyDescent="0.25">
      <c r="A105" s="12"/>
      <c r="B105" s="12"/>
    </row>
    <row r="106" spans="1:2" x14ac:dyDescent="0.25">
      <c r="A106" s="12"/>
      <c r="B106" s="12"/>
    </row>
    <row r="107" spans="1:2" x14ac:dyDescent="0.25">
      <c r="A107" s="12"/>
      <c r="B107" s="12"/>
    </row>
    <row r="108" spans="1:2" x14ac:dyDescent="0.25">
      <c r="A108" s="12"/>
      <c r="B108" s="12"/>
    </row>
    <row r="109" spans="1:2" x14ac:dyDescent="0.25">
      <c r="A109" s="12"/>
      <c r="B109" s="12"/>
    </row>
    <row r="110" spans="1:2" x14ac:dyDescent="0.25">
      <c r="A110" s="12"/>
      <c r="B110" s="12"/>
    </row>
    <row r="111" spans="1:2" x14ac:dyDescent="0.25">
      <c r="A111" s="12"/>
      <c r="B111" s="12"/>
    </row>
    <row r="112" spans="1:2" x14ac:dyDescent="0.25">
      <c r="A112" s="12"/>
      <c r="B112" s="12"/>
    </row>
    <row r="113" spans="1:2" x14ac:dyDescent="0.25">
      <c r="A113" s="12"/>
      <c r="B113" s="12"/>
    </row>
    <row r="114" spans="1:2" x14ac:dyDescent="0.25">
      <c r="A114" s="12"/>
      <c r="B114" s="12"/>
    </row>
    <row r="115" spans="1:2" x14ac:dyDescent="0.25">
      <c r="A115" s="12"/>
      <c r="B115" s="12"/>
    </row>
    <row r="116" spans="1:2" x14ac:dyDescent="0.25">
      <c r="A116" s="12"/>
      <c r="B116" s="12"/>
    </row>
    <row r="117" spans="1:2" x14ac:dyDescent="0.25">
      <c r="A117" s="12"/>
      <c r="B117" s="12"/>
    </row>
    <row r="118" spans="1:2" x14ac:dyDescent="0.25">
      <c r="A118" s="12"/>
      <c r="B118" s="12"/>
    </row>
    <row r="119" spans="1:2" x14ac:dyDescent="0.25">
      <c r="A119" s="12"/>
      <c r="B119" s="12"/>
    </row>
    <row r="120" spans="1:2" x14ac:dyDescent="0.25">
      <c r="A120" s="12"/>
      <c r="B120" s="12"/>
    </row>
    <row r="121" spans="1:2" x14ac:dyDescent="0.25">
      <c r="A121" s="12"/>
      <c r="B121" s="12"/>
    </row>
    <row r="122" spans="1:2" x14ac:dyDescent="0.25">
      <c r="A122" s="12"/>
      <c r="B122" s="12"/>
    </row>
    <row r="123" spans="1:2" x14ac:dyDescent="0.25">
      <c r="A123" s="12"/>
      <c r="B123" s="12"/>
    </row>
    <row r="124" spans="1:2" x14ac:dyDescent="0.25">
      <c r="A124" s="12"/>
      <c r="B124" s="12"/>
    </row>
    <row r="125" spans="1:2" x14ac:dyDescent="0.25">
      <c r="A125" s="12"/>
      <c r="B125" s="12"/>
    </row>
    <row r="126" spans="1:2" x14ac:dyDescent="0.25">
      <c r="A126" s="12"/>
      <c r="B126" s="12"/>
    </row>
    <row r="129" spans="1:2" x14ac:dyDescent="0.25">
      <c r="A129" s="13"/>
      <c r="B129" s="13"/>
    </row>
    <row r="130" spans="1:2" x14ac:dyDescent="0.25">
      <c r="A130" s="12"/>
      <c r="B130" s="12"/>
    </row>
    <row r="131" spans="1:2" x14ac:dyDescent="0.25">
      <c r="A131" s="12"/>
      <c r="B131" s="12"/>
    </row>
    <row r="132" spans="1:2" x14ac:dyDescent="0.25">
      <c r="A132" s="12"/>
      <c r="B132" s="12"/>
    </row>
    <row r="133" spans="1:2" x14ac:dyDescent="0.25">
      <c r="A133" s="12"/>
      <c r="B133" s="12"/>
    </row>
    <row r="134" spans="1:2" x14ac:dyDescent="0.25">
      <c r="A134" s="12"/>
      <c r="B134" s="12"/>
    </row>
    <row r="135" spans="1:2" x14ac:dyDescent="0.25">
      <c r="A135" s="12"/>
      <c r="B135" s="12"/>
    </row>
    <row r="136" spans="1:2" x14ac:dyDescent="0.25">
      <c r="A136" s="12"/>
      <c r="B136" s="12"/>
    </row>
    <row r="137" spans="1:2" x14ac:dyDescent="0.25">
      <c r="A137" s="12"/>
      <c r="B137" s="12"/>
    </row>
    <row r="138" spans="1:2" x14ac:dyDescent="0.25">
      <c r="A138" s="12"/>
      <c r="B138" s="12"/>
    </row>
    <row r="139" spans="1:2" x14ac:dyDescent="0.25">
      <c r="A139" s="12"/>
      <c r="B139" s="12"/>
    </row>
    <row r="140" spans="1:2" x14ac:dyDescent="0.25">
      <c r="A140" s="12"/>
      <c r="B140" s="12"/>
    </row>
    <row r="141" spans="1:2" x14ac:dyDescent="0.25">
      <c r="A141" s="12"/>
      <c r="B141" s="12"/>
    </row>
    <row r="142" spans="1:2" x14ac:dyDescent="0.25">
      <c r="A142" s="12"/>
      <c r="B142" s="12"/>
    </row>
    <row r="143" spans="1:2" x14ac:dyDescent="0.25">
      <c r="A143" s="12"/>
      <c r="B143" s="12"/>
    </row>
    <row r="144" spans="1:2" x14ac:dyDescent="0.25">
      <c r="A144" s="12"/>
      <c r="B144" s="12"/>
    </row>
    <row r="145" spans="1:2" x14ac:dyDescent="0.25">
      <c r="A145" s="12"/>
      <c r="B145" s="12"/>
    </row>
    <row r="146" spans="1:2" x14ac:dyDescent="0.25">
      <c r="A146" s="12"/>
      <c r="B146" s="12"/>
    </row>
    <row r="147" spans="1:2" x14ac:dyDescent="0.25">
      <c r="A147" s="12"/>
      <c r="B147" s="12"/>
    </row>
    <row r="148" spans="1:2" x14ac:dyDescent="0.25">
      <c r="A148" s="12"/>
      <c r="B148" s="12"/>
    </row>
    <row r="149" spans="1:2" x14ac:dyDescent="0.25">
      <c r="A149" s="12"/>
      <c r="B149" s="12"/>
    </row>
    <row r="150" spans="1:2" x14ac:dyDescent="0.25">
      <c r="A150" s="12"/>
      <c r="B150" s="12"/>
    </row>
    <row r="151" spans="1:2" x14ac:dyDescent="0.25">
      <c r="A151" s="12"/>
      <c r="B151" s="12"/>
    </row>
    <row r="152" spans="1:2" x14ac:dyDescent="0.25">
      <c r="A152" s="12"/>
      <c r="B152" s="12"/>
    </row>
    <row r="153" spans="1:2" x14ac:dyDescent="0.25">
      <c r="A153" s="12"/>
      <c r="B153" s="12"/>
    </row>
    <row r="154" spans="1:2" x14ac:dyDescent="0.25">
      <c r="A154" s="12"/>
      <c r="B154" s="12"/>
    </row>
    <row r="155" spans="1:2" x14ac:dyDescent="0.25">
      <c r="A155" s="12"/>
      <c r="B155" s="12"/>
    </row>
    <row r="156" spans="1:2" x14ac:dyDescent="0.25">
      <c r="A156" s="12"/>
      <c r="B156" s="12"/>
    </row>
    <row r="157" spans="1:2" x14ac:dyDescent="0.25">
      <c r="A157" s="12"/>
      <c r="B157" s="12"/>
    </row>
    <row r="158" spans="1:2" x14ac:dyDescent="0.25">
      <c r="A158" s="12"/>
      <c r="B158" s="12"/>
    </row>
    <row r="159" spans="1:2" x14ac:dyDescent="0.25">
      <c r="A159" s="12"/>
      <c r="B159" s="12"/>
    </row>
    <row r="160" spans="1:2" x14ac:dyDescent="0.25">
      <c r="A160" s="12"/>
      <c r="B160" s="12"/>
    </row>
    <row r="161" spans="1:2" x14ac:dyDescent="0.25">
      <c r="A161" s="12"/>
      <c r="B161" s="12"/>
    </row>
    <row r="162" spans="1:2" x14ac:dyDescent="0.25">
      <c r="A162" s="12"/>
      <c r="B162" s="12"/>
    </row>
    <row r="163" spans="1:2" x14ac:dyDescent="0.25">
      <c r="A163" s="12"/>
      <c r="B163" s="12"/>
    </row>
    <row r="164" spans="1:2" x14ac:dyDescent="0.25">
      <c r="A164" s="12"/>
      <c r="B164" s="12"/>
    </row>
    <row r="165" spans="1:2" x14ac:dyDescent="0.25">
      <c r="A165" s="12"/>
      <c r="B165" s="12"/>
    </row>
    <row r="166" spans="1:2" x14ac:dyDescent="0.25">
      <c r="A166" s="12"/>
      <c r="B166" s="12"/>
    </row>
    <row r="167" spans="1:2" x14ac:dyDescent="0.25">
      <c r="A167" s="12"/>
      <c r="B167" s="12"/>
    </row>
    <row r="168" spans="1:2" x14ac:dyDescent="0.25">
      <c r="A168" s="12"/>
      <c r="B168" s="12"/>
    </row>
    <row r="169" spans="1:2" x14ac:dyDescent="0.25">
      <c r="A169" s="12"/>
      <c r="B169" s="12"/>
    </row>
    <row r="170" spans="1:2" x14ac:dyDescent="0.25">
      <c r="A170" s="12"/>
      <c r="B170" s="12"/>
    </row>
    <row r="171" spans="1:2" x14ac:dyDescent="0.25">
      <c r="A171" s="12"/>
      <c r="B171" s="12"/>
    </row>
    <row r="172" spans="1:2" x14ac:dyDescent="0.25">
      <c r="A172" s="12"/>
      <c r="B172" s="12"/>
    </row>
    <row r="173" spans="1:2" x14ac:dyDescent="0.25">
      <c r="A173" s="12"/>
      <c r="B173" s="12"/>
    </row>
    <row r="174" spans="1:2" x14ac:dyDescent="0.25">
      <c r="A174" s="12"/>
      <c r="B174" s="12"/>
    </row>
    <row r="175" spans="1:2" x14ac:dyDescent="0.25">
      <c r="A175" s="12"/>
      <c r="B175" s="12"/>
    </row>
    <row r="176" spans="1:2" x14ac:dyDescent="0.25">
      <c r="A176" s="12"/>
      <c r="B176" s="12"/>
    </row>
    <row r="177" spans="1:2" x14ac:dyDescent="0.25">
      <c r="A177" s="12"/>
      <c r="B177" s="12"/>
    </row>
    <row r="178" spans="1:2" x14ac:dyDescent="0.25">
      <c r="A178" s="12"/>
      <c r="B178" s="12"/>
    </row>
    <row r="179" spans="1:2" x14ac:dyDescent="0.25">
      <c r="A179" s="12"/>
      <c r="B179" s="12"/>
    </row>
    <row r="180" spans="1:2" x14ac:dyDescent="0.25">
      <c r="A180" s="12"/>
      <c r="B180" s="12"/>
    </row>
    <row r="181" spans="1:2" x14ac:dyDescent="0.25">
      <c r="A181" s="12"/>
      <c r="B181" s="12"/>
    </row>
    <row r="182" spans="1:2" x14ac:dyDescent="0.25">
      <c r="A182" s="12"/>
      <c r="B182" s="12"/>
    </row>
    <row r="183" spans="1:2" x14ac:dyDescent="0.25">
      <c r="A183" s="12"/>
      <c r="B183" s="12"/>
    </row>
    <row r="184" spans="1:2" x14ac:dyDescent="0.25">
      <c r="A184" s="12"/>
      <c r="B184" s="12"/>
    </row>
    <row r="185" spans="1:2" x14ac:dyDescent="0.25">
      <c r="A185" s="12"/>
      <c r="B185" s="12"/>
    </row>
    <row r="186" spans="1:2" x14ac:dyDescent="0.25">
      <c r="A186" s="12"/>
      <c r="B186" s="12"/>
    </row>
    <row r="187" spans="1:2" x14ac:dyDescent="0.25">
      <c r="A187" s="12"/>
      <c r="B187" s="12"/>
    </row>
    <row r="188" spans="1:2" x14ac:dyDescent="0.25">
      <c r="A188" s="12"/>
      <c r="B188" s="12"/>
    </row>
    <row r="189" spans="1:2" x14ac:dyDescent="0.25">
      <c r="A189" s="12"/>
      <c r="B189" s="12"/>
    </row>
    <row r="190" spans="1:2" x14ac:dyDescent="0.25">
      <c r="A190" s="12"/>
      <c r="B190" s="12"/>
    </row>
    <row r="191" spans="1:2" x14ac:dyDescent="0.25">
      <c r="A191" s="12"/>
      <c r="B191" s="12"/>
    </row>
    <row r="192" spans="1:2" x14ac:dyDescent="0.25">
      <c r="A192" s="12"/>
      <c r="B192" s="12"/>
    </row>
    <row r="193" spans="1:2" x14ac:dyDescent="0.25">
      <c r="A193" s="12"/>
      <c r="B193" s="12"/>
    </row>
    <row r="194" spans="1:2" x14ac:dyDescent="0.25">
      <c r="A194" s="12"/>
      <c r="B194" s="12"/>
    </row>
    <row r="195" spans="1:2" x14ac:dyDescent="0.25">
      <c r="A195" s="12"/>
      <c r="B195" s="12"/>
    </row>
    <row r="196" spans="1:2" x14ac:dyDescent="0.25">
      <c r="A196" s="12"/>
      <c r="B196" s="12"/>
    </row>
    <row r="197" spans="1:2" x14ac:dyDescent="0.25">
      <c r="A197" s="12"/>
      <c r="B197" s="12"/>
    </row>
    <row r="198" spans="1:2" x14ac:dyDescent="0.25">
      <c r="A198" s="12"/>
      <c r="B198" s="12"/>
    </row>
    <row r="199" spans="1:2" x14ac:dyDescent="0.25">
      <c r="A199" s="12"/>
      <c r="B199" s="12"/>
    </row>
    <row r="200" spans="1:2" x14ac:dyDescent="0.25">
      <c r="A200" s="12"/>
      <c r="B200" s="12"/>
    </row>
    <row r="201" spans="1:2" x14ac:dyDescent="0.25">
      <c r="A201" s="12"/>
      <c r="B201" s="12"/>
    </row>
    <row r="202" spans="1:2" x14ac:dyDescent="0.25">
      <c r="A202" s="12"/>
      <c r="B202" s="12"/>
    </row>
    <row r="203" spans="1:2" x14ac:dyDescent="0.25">
      <c r="A203" s="12"/>
      <c r="B203" s="12"/>
    </row>
    <row r="204" spans="1:2" x14ac:dyDescent="0.25">
      <c r="A204" s="12"/>
      <c r="B204" s="12"/>
    </row>
    <row r="205" spans="1:2" x14ac:dyDescent="0.25">
      <c r="A205" s="12"/>
      <c r="B205" s="12"/>
    </row>
    <row r="206" spans="1:2" x14ac:dyDescent="0.25">
      <c r="A206" s="12"/>
      <c r="B206" s="12"/>
    </row>
    <row r="207" spans="1:2" x14ac:dyDescent="0.25">
      <c r="A207" s="12"/>
      <c r="B207" s="12"/>
    </row>
    <row r="208" spans="1:2" x14ac:dyDescent="0.25">
      <c r="A208" s="12"/>
      <c r="B208" s="12"/>
    </row>
    <row r="209" spans="1:2" x14ac:dyDescent="0.25">
      <c r="A209" s="12"/>
      <c r="B209" s="12"/>
    </row>
    <row r="210" spans="1:2" x14ac:dyDescent="0.25">
      <c r="A210" s="12"/>
      <c r="B210" s="12"/>
    </row>
    <row r="211" spans="1:2" x14ac:dyDescent="0.25">
      <c r="A211" s="12"/>
      <c r="B211" s="12"/>
    </row>
    <row r="212" spans="1:2" x14ac:dyDescent="0.25">
      <c r="A212" s="12"/>
      <c r="B212" s="12"/>
    </row>
    <row r="213" spans="1:2" x14ac:dyDescent="0.25">
      <c r="A213" s="12"/>
      <c r="B213" s="12"/>
    </row>
    <row r="214" spans="1:2" x14ac:dyDescent="0.25">
      <c r="A214" s="12"/>
      <c r="B214" s="12"/>
    </row>
    <row r="215" spans="1:2" x14ac:dyDescent="0.25">
      <c r="A215" s="12"/>
      <c r="B215" s="12"/>
    </row>
    <row r="216" spans="1:2" x14ac:dyDescent="0.25">
      <c r="A216" s="12"/>
      <c r="B216" s="12"/>
    </row>
    <row r="219" spans="1:2" ht="20.25" x14ac:dyDescent="0.3">
      <c r="A219" s="26"/>
    </row>
    <row r="220" spans="1:2" x14ac:dyDescent="0.25">
      <c r="A220" s="13"/>
      <c r="B220" s="13"/>
    </row>
    <row r="221" spans="1:2" x14ac:dyDescent="0.25">
      <c r="A221" s="12"/>
      <c r="B221" s="12"/>
    </row>
    <row r="222" spans="1:2" x14ac:dyDescent="0.25">
      <c r="A222" s="12"/>
      <c r="B222" s="12"/>
    </row>
    <row r="223" spans="1:2" x14ac:dyDescent="0.25">
      <c r="A223" s="12"/>
      <c r="B223" s="12"/>
    </row>
    <row r="224" spans="1:2" x14ac:dyDescent="0.25">
      <c r="A224" s="12"/>
      <c r="B224" s="12"/>
    </row>
    <row r="225" spans="1:7" x14ac:dyDescent="0.25">
      <c r="A225" s="12"/>
      <c r="B225" s="12"/>
    </row>
    <row r="226" spans="1:7" x14ac:dyDescent="0.25">
      <c r="A226" s="12"/>
      <c r="B226" s="12"/>
    </row>
    <row r="228" spans="1:7" ht="23.25" x14ac:dyDescent="0.35">
      <c r="A228" s="25"/>
    </row>
    <row r="229" spans="1:7" x14ac:dyDescent="0.25">
      <c r="A229" s="13"/>
      <c r="B229" s="13"/>
      <c r="C229" s="13"/>
      <c r="D229" s="13"/>
      <c r="E229" s="13"/>
      <c r="F229" s="13"/>
      <c r="G229" s="13"/>
    </row>
    <row r="230" spans="1:7" x14ac:dyDescent="0.25">
      <c r="A230" s="12"/>
      <c r="B230" s="12"/>
      <c r="C230" s="12"/>
      <c r="D230" s="12"/>
      <c r="E230" s="12"/>
      <c r="F230" s="12"/>
      <c r="G230" s="12"/>
    </row>
    <row r="231" spans="1:7" x14ac:dyDescent="0.25">
      <c r="A231" s="12"/>
      <c r="B231" s="12"/>
      <c r="C231" s="12"/>
      <c r="D231" s="12"/>
      <c r="E231" s="12"/>
      <c r="F231" s="12"/>
      <c r="G231" s="12"/>
    </row>
    <row r="232" spans="1:7" x14ac:dyDescent="0.25">
      <c r="A232" s="12"/>
      <c r="B232" s="12"/>
      <c r="C232" s="12"/>
      <c r="D232" s="12"/>
      <c r="E232" s="12"/>
      <c r="F232" s="12"/>
      <c r="G232" s="12"/>
    </row>
    <row r="233" spans="1:7" x14ac:dyDescent="0.25">
      <c r="A233" s="12"/>
      <c r="B233" s="12"/>
      <c r="C233" s="12"/>
      <c r="D233" s="12"/>
      <c r="E233" s="12"/>
      <c r="F233" s="12"/>
      <c r="G233" s="12"/>
    </row>
    <row r="234" spans="1:7" x14ac:dyDescent="0.25">
      <c r="A234" s="12"/>
      <c r="B234" s="12"/>
      <c r="C234" s="12"/>
      <c r="D234" s="12"/>
      <c r="E234" s="12"/>
      <c r="F234" s="12"/>
      <c r="G234" s="12"/>
    </row>
    <row r="235" spans="1:7" x14ac:dyDescent="0.25">
      <c r="A235" s="12"/>
      <c r="B235" s="12"/>
      <c r="C235" s="12"/>
      <c r="D235" s="12"/>
      <c r="E235" s="12"/>
      <c r="F235" s="12"/>
      <c r="G235" s="12"/>
    </row>
    <row r="236" spans="1:7" x14ac:dyDescent="0.25">
      <c r="A236" s="12"/>
      <c r="B236" s="12"/>
      <c r="C236" s="12"/>
      <c r="D236" s="12"/>
      <c r="E236" s="12"/>
      <c r="F236" s="12"/>
      <c r="G236" s="12"/>
    </row>
    <row r="237" spans="1:7" x14ac:dyDescent="0.25">
      <c r="A237" s="12"/>
      <c r="B237" s="12"/>
      <c r="C237" s="12"/>
      <c r="D237" s="12"/>
      <c r="E237" s="12"/>
      <c r="F237" s="12"/>
      <c r="G237" s="12"/>
    </row>
    <row r="238" spans="1:7" x14ac:dyDescent="0.25">
      <c r="A238" s="12"/>
      <c r="B238" s="12"/>
      <c r="C238" s="12"/>
      <c r="D238" s="12"/>
      <c r="E238" s="12"/>
      <c r="F238" s="12"/>
      <c r="G238" s="12"/>
    </row>
    <row r="239" spans="1:7" x14ac:dyDescent="0.25">
      <c r="A239" s="12"/>
      <c r="B239" s="12"/>
      <c r="C239" s="12"/>
      <c r="D239" s="12"/>
      <c r="E239" s="12"/>
      <c r="F239" s="12"/>
      <c r="G239" s="12"/>
    </row>
    <row r="240" spans="1:7" x14ac:dyDescent="0.25">
      <c r="A240" s="12"/>
      <c r="B240" s="12"/>
      <c r="C240" s="12"/>
      <c r="D240" s="12"/>
      <c r="E240" s="12"/>
      <c r="F240" s="12"/>
      <c r="G240" s="12"/>
    </row>
    <row r="241" spans="1:7" x14ac:dyDescent="0.25">
      <c r="A241" s="12"/>
      <c r="B241" s="12"/>
      <c r="C241" s="12"/>
      <c r="D241" s="12"/>
      <c r="E241" s="12"/>
      <c r="F241" s="12"/>
      <c r="G241" s="12"/>
    </row>
    <row r="242" spans="1:7" x14ac:dyDescent="0.25">
      <c r="A242" s="12"/>
      <c r="B242" s="12"/>
      <c r="C242" s="12"/>
      <c r="D242" s="12"/>
      <c r="E242" s="12"/>
      <c r="F242" s="12"/>
      <c r="G242" s="12"/>
    </row>
    <row r="243" spans="1:7" x14ac:dyDescent="0.25">
      <c r="A243" s="12"/>
      <c r="B243" s="12"/>
      <c r="C243" s="12"/>
      <c r="D243" s="12"/>
      <c r="E243" s="12"/>
      <c r="F243" s="12"/>
      <c r="G243" s="12"/>
    </row>
    <row r="244" spans="1:7" x14ac:dyDescent="0.25">
      <c r="A244" s="12"/>
      <c r="B244" s="12"/>
      <c r="C244" s="12"/>
      <c r="D244" s="12"/>
      <c r="E244" s="12"/>
      <c r="F244" s="12"/>
      <c r="G244" s="12"/>
    </row>
    <row r="245" spans="1:7" x14ac:dyDescent="0.25">
      <c r="A245" s="12"/>
      <c r="B245" s="12"/>
      <c r="C245" s="12"/>
      <c r="D245" s="12"/>
      <c r="E245" s="12"/>
      <c r="F245" s="12"/>
      <c r="G245" s="12"/>
    </row>
    <row r="246" spans="1:7" x14ac:dyDescent="0.25">
      <c r="A246" s="12"/>
      <c r="B246" s="12"/>
      <c r="C246" s="12"/>
      <c r="D246" s="12"/>
      <c r="E246" s="12"/>
      <c r="F246" s="12"/>
      <c r="G246" s="12"/>
    </row>
    <row r="247" spans="1:7" x14ac:dyDescent="0.25">
      <c r="A247" s="12"/>
      <c r="B247" s="12"/>
      <c r="C247" s="12"/>
      <c r="D247" s="12"/>
      <c r="E247" s="12"/>
      <c r="F247" s="12"/>
      <c r="G247" s="12"/>
    </row>
    <row r="248" spans="1:7" x14ac:dyDescent="0.25">
      <c r="A248" s="12"/>
      <c r="B248" s="12"/>
      <c r="C248" s="12"/>
      <c r="D248" s="12"/>
      <c r="E248" s="12"/>
      <c r="F248" s="12"/>
      <c r="G248" s="12"/>
    </row>
    <row r="249" spans="1:7" x14ac:dyDescent="0.25">
      <c r="A249" s="12"/>
      <c r="B249" s="12"/>
      <c r="C249" s="12"/>
      <c r="D249" s="12"/>
      <c r="E249" s="12"/>
      <c r="F249" s="12"/>
      <c r="G249" s="12"/>
    </row>
    <row r="250" spans="1:7" x14ac:dyDescent="0.25">
      <c r="A250" s="12"/>
      <c r="B250" s="12"/>
      <c r="C250" s="12"/>
      <c r="D250" s="12"/>
      <c r="E250" s="12"/>
      <c r="F250" s="12"/>
      <c r="G250" s="12"/>
    </row>
    <row r="251" spans="1:7" x14ac:dyDescent="0.25">
      <c r="A251" s="12"/>
      <c r="B251" s="12"/>
      <c r="C251" s="12"/>
      <c r="D251" s="12"/>
      <c r="E251" s="12"/>
      <c r="F251" s="12"/>
      <c r="G251" s="12"/>
    </row>
    <row r="252" spans="1:7" x14ac:dyDescent="0.25">
      <c r="A252" s="12"/>
      <c r="B252" s="12"/>
      <c r="C252" s="12"/>
      <c r="D252" s="12"/>
      <c r="E252" s="12"/>
      <c r="F252" s="12"/>
      <c r="G252" s="12"/>
    </row>
    <row r="253" spans="1:7" x14ac:dyDescent="0.25">
      <c r="A253" s="12"/>
      <c r="B253" s="12"/>
      <c r="C253" s="12"/>
      <c r="D253" s="12"/>
      <c r="E253" s="12"/>
      <c r="F253" s="12"/>
      <c r="G253" s="12"/>
    </row>
    <row r="254" spans="1:7" x14ac:dyDescent="0.25">
      <c r="A254" s="12"/>
      <c r="B254" s="12"/>
      <c r="C254" s="12"/>
      <c r="D254" s="12"/>
      <c r="E254" s="12"/>
      <c r="F254" s="12"/>
      <c r="G254" s="12"/>
    </row>
    <row r="255" spans="1:7" x14ac:dyDescent="0.25">
      <c r="A255" s="12"/>
      <c r="B255" s="12"/>
      <c r="C255" s="12"/>
      <c r="D255" s="12"/>
      <c r="E255" s="12"/>
      <c r="F255" s="12"/>
      <c r="G255" s="12"/>
    </row>
    <row r="257" spans="1:7" x14ac:dyDescent="0.25">
      <c r="A257" s="13"/>
      <c r="B257" s="13"/>
      <c r="C257" s="13"/>
      <c r="D257" s="13"/>
      <c r="E257" s="13"/>
      <c r="F257" s="13"/>
      <c r="G257" s="13"/>
    </row>
    <row r="258" spans="1:7" x14ac:dyDescent="0.25">
      <c r="A258" s="12"/>
      <c r="B258" s="12"/>
      <c r="C258" s="12"/>
      <c r="D258" s="12"/>
      <c r="E258" s="12"/>
      <c r="F258" s="12"/>
      <c r="G258" s="12"/>
    </row>
    <row r="259" spans="1:7" x14ac:dyDescent="0.25">
      <c r="A259" s="12"/>
      <c r="B259" s="12"/>
      <c r="C259" s="12"/>
      <c r="D259" s="12"/>
      <c r="E259" s="12"/>
      <c r="F259" s="12"/>
      <c r="G259" s="12"/>
    </row>
    <row r="260" spans="1:7" x14ac:dyDescent="0.25">
      <c r="A260" s="12"/>
      <c r="B260" s="12"/>
      <c r="C260" s="12"/>
      <c r="D260" s="12"/>
      <c r="E260" s="12"/>
      <c r="F260" s="12"/>
      <c r="G260" s="12"/>
    </row>
    <row r="261" spans="1:7" x14ac:dyDescent="0.25">
      <c r="A261" s="12"/>
      <c r="B261" s="12"/>
      <c r="C261" s="12"/>
      <c r="D261" s="12"/>
      <c r="E261" s="12"/>
      <c r="F261" s="12"/>
      <c r="G261" s="12"/>
    </row>
    <row r="262" spans="1:7" x14ac:dyDescent="0.25">
      <c r="A262" s="12"/>
      <c r="B262" s="12"/>
      <c r="C262" s="12"/>
      <c r="D262" s="12"/>
      <c r="E262" s="12"/>
      <c r="F262" s="12"/>
      <c r="G262" s="12"/>
    </row>
    <row r="263" spans="1:7" x14ac:dyDescent="0.25">
      <c r="A263" s="12"/>
      <c r="B263" s="12"/>
      <c r="C263" s="12"/>
      <c r="D263" s="12"/>
      <c r="E263" s="12"/>
      <c r="F263" s="12"/>
      <c r="G263" s="12"/>
    </row>
    <row r="264" spans="1:7" x14ac:dyDescent="0.25">
      <c r="A264" s="12"/>
      <c r="B264" s="12"/>
      <c r="C264" s="12"/>
      <c r="D264" s="12"/>
      <c r="E264" s="12"/>
      <c r="F264" s="12"/>
      <c r="G264" s="12"/>
    </row>
    <row r="265" spans="1:7" x14ac:dyDescent="0.25">
      <c r="A265" s="12"/>
      <c r="B265" s="12"/>
      <c r="C265" s="12"/>
      <c r="D265" s="12"/>
      <c r="E265" s="12"/>
      <c r="F265" s="12"/>
      <c r="G265" s="12"/>
    </row>
    <row r="266" spans="1:7" x14ac:dyDescent="0.25">
      <c r="A266" s="12"/>
      <c r="B266" s="12"/>
      <c r="C266" s="12"/>
      <c r="D266" s="12"/>
      <c r="E266" s="12"/>
      <c r="F266" s="12"/>
      <c r="G266" s="12"/>
    </row>
    <row r="267" spans="1:7" x14ac:dyDescent="0.25">
      <c r="A267" s="12"/>
      <c r="B267" s="12"/>
      <c r="C267" s="12"/>
      <c r="D267" s="12"/>
      <c r="E267" s="12"/>
      <c r="F267" s="12"/>
      <c r="G267" s="12"/>
    </row>
    <row r="268" spans="1:7" x14ac:dyDescent="0.25">
      <c r="A268" s="12"/>
      <c r="B268" s="12"/>
      <c r="C268" s="12"/>
      <c r="D268" s="12"/>
      <c r="E268" s="12"/>
      <c r="F268" s="12"/>
      <c r="G268" s="12"/>
    </row>
    <row r="269" spans="1:7" x14ac:dyDescent="0.25">
      <c r="A269" s="12"/>
      <c r="B269" s="12"/>
      <c r="C269" s="12"/>
      <c r="D269" s="12"/>
      <c r="E269" s="12"/>
      <c r="F269" s="12"/>
      <c r="G269" s="12"/>
    </row>
    <row r="270" spans="1:7" x14ac:dyDescent="0.25">
      <c r="A270" s="12"/>
      <c r="B270" s="12"/>
      <c r="C270" s="12"/>
      <c r="D270" s="12"/>
      <c r="E270" s="12"/>
      <c r="F270" s="12"/>
      <c r="G270" s="12"/>
    </row>
    <row r="271" spans="1:7" x14ac:dyDescent="0.25">
      <c r="A271" s="12"/>
      <c r="B271" s="12"/>
      <c r="C271" s="12"/>
      <c r="D271" s="12"/>
      <c r="E271" s="12"/>
      <c r="F271" s="12"/>
      <c r="G271" s="12"/>
    </row>
    <row r="272" spans="1:7" x14ac:dyDescent="0.25">
      <c r="A272" s="12"/>
      <c r="B272" s="12"/>
      <c r="C272" s="12"/>
      <c r="D272" s="12"/>
      <c r="E272" s="12"/>
      <c r="F272" s="12"/>
      <c r="G272" s="12"/>
    </row>
    <row r="273" spans="1:7" x14ac:dyDescent="0.25">
      <c r="A273" s="12"/>
      <c r="B273" s="12"/>
      <c r="C273" s="12"/>
      <c r="D273" s="12"/>
      <c r="E273" s="12"/>
      <c r="F273" s="12"/>
      <c r="G273" s="12"/>
    </row>
    <row r="274" spans="1:7" x14ac:dyDescent="0.25">
      <c r="A274" s="12"/>
      <c r="B274" s="12"/>
      <c r="C274" s="12"/>
      <c r="D274" s="12"/>
      <c r="E274" s="12"/>
      <c r="F274" s="12"/>
      <c r="G274" s="12"/>
    </row>
    <row r="275" spans="1:7" x14ac:dyDescent="0.25">
      <c r="A275" s="12"/>
      <c r="B275" s="12"/>
      <c r="C275" s="12"/>
      <c r="D275" s="12"/>
      <c r="E275" s="12"/>
      <c r="F275" s="12"/>
      <c r="G275" s="12"/>
    </row>
    <row r="276" spans="1:7" x14ac:dyDescent="0.25">
      <c r="A276" s="12"/>
      <c r="B276" s="12"/>
      <c r="C276" s="12"/>
      <c r="D276" s="12"/>
      <c r="E276" s="12"/>
      <c r="F276" s="12"/>
      <c r="G276" s="12"/>
    </row>
    <row r="277" spans="1:7" x14ac:dyDescent="0.25">
      <c r="A277" s="12"/>
      <c r="B277" s="12"/>
      <c r="C277" s="12"/>
      <c r="D277" s="12"/>
      <c r="E277" s="12"/>
      <c r="F277" s="12"/>
      <c r="G277" s="12"/>
    </row>
    <row r="278" spans="1:7" x14ac:dyDescent="0.25">
      <c r="A278" s="12"/>
      <c r="B278" s="12"/>
      <c r="C278" s="12"/>
      <c r="D278" s="12"/>
      <c r="E278" s="12"/>
      <c r="F278" s="12"/>
      <c r="G278" s="12"/>
    </row>
    <row r="279" spans="1:7" x14ac:dyDescent="0.25">
      <c r="A279" s="12"/>
      <c r="B279" s="12"/>
      <c r="C279" s="12"/>
      <c r="D279" s="12"/>
      <c r="E279" s="12"/>
      <c r="F279" s="12"/>
      <c r="G279" s="12"/>
    </row>
    <row r="280" spans="1:7" x14ac:dyDescent="0.25">
      <c r="A280" s="12"/>
      <c r="B280" s="12"/>
      <c r="C280" s="12"/>
      <c r="D280" s="12"/>
      <c r="E280" s="12"/>
      <c r="F280" s="12"/>
      <c r="G280" s="12"/>
    </row>
    <row r="281" spans="1:7" x14ac:dyDescent="0.25">
      <c r="A281" s="12"/>
      <c r="B281" s="12"/>
      <c r="C281" s="12"/>
      <c r="D281" s="12"/>
      <c r="E281" s="12"/>
      <c r="F281" s="12"/>
      <c r="G281" s="12"/>
    </row>
    <row r="282" spans="1:7" x14ac:dyDescent="0.25">
      <c r="A282" s="12"/>
      <c r="B282" s="12"/>
      <c r="C282" s="12"/>
      <c r="D282" s="12"/>
      <c r="E282" s="12"/>
      <c r="F282" s="12"/>
      <c r="G282" s="12"/>
    </row>
    <row r="283" spans="1:7" x14ac:dyDescent="0.25">
      <c r="A283" s="12"/>
      <c r="B283" s="12"/>
      <c r="C283" s="12"/>
      <c r="D283" s="12"/>
      <c r="E283" s="12"/>
      <c r="F283" s="12"/>
      <c r="G283" s="12"/>
    </row>
    <row r="285" spans="1:7" ht="20.25" x14ac:dyDescent="0.3">
      <c r="A285" s="26"/>
    </row>
    <row r="286" spans="1:7" x14ac:dyDescent="0.25">
      <c r="A286" s="13"/>
      <c r="B286" s="13"/>
    </row>
    <row r="287" spans="1:7" x14ac:dyDescent="0.25">
      <c r="A287" s="12"/>
      <c r="B287" s="12"/>
    </row>
    <row r="288" spans="1:7" x14ac:dyDescent="0.25">
      <c r="A288" s="12"/>
      <c r="B288" s="12"/>
    </row>
    <row r="289" spans="1:2" x14ac:dyDescent="0.25">
      <c r="A289" s="12"/>
      <c r="B289" s="12"/>
    </row>
    <row r="290" spans="1:2" x14ac:dyDescent="0.25">
      <c r="A290" s="12"/>
      <c r="B290" s="12"/>
    </row>
    <row r="291" spans="1:2" x14ac:dyDescent="0.25">
      <c r="A291" s="12"/>
      <c r="B291" s="12"/>
    </row>
    <row r="292" spans="1:2" x14ac:dyDescent="0.25">
      <c r="A292" s="12"/>
      <c r="B292" s="12"/>
    </row>
    <row r="293" spans="1:2" x14ac:dyDescent="0.25">
      <c r="A293" s="12"/>
      <c r="B293" s="12"/>
    </row>
    <row r="294" spans="1:2" x14ac:dyDescent="0.25">
      <c r="A294" s="12"/>
      <c r="B294" s="12"/>
    </row>
    <row r="295" spans="1:2" x14ac:dyDescent="0.25">
      <c r="A295" s="12"/>
      <c r="B295" s="12"/>
    </row>
    <row r="296" spans="1:2" x14ac:dyDescent="0.25">
      <c r="A296" s="12"/>
      <c r="B296" s="12"/>
    </row>
    <row r="297" spans="1:2" x14ac:dyDescent="0.25">
      <c r="A297" s="12"/>
      <c r="B297" s="12"/>
    </row>
    <row r="298" spans="1:2" x14ac:dyDescent="0.25">
      <c r="A298" s="12"/>
      <c r="B298" s="12"/>
    </row>
    <row r="299" spans="1:2" x14ac:dyDescent="0.25">
      <c r="A299" s="12"/>
      <c r="B299" s="12"/>
    </row>
    <row r="300" spans="1:2" x14ac:dyDescent="0.25">
      <c r="A300" s="12"/>
      <c r="B300" s="12"/>
    </row>
    <row r="301" spans="1:2" x14ac:dyDescent="0.25">
      <c r="A301" s="12"/>
      <c r="B301" s="12"/>
    </row>
    <row r="302" spans="1:2" x14ac:dyDescent="0.25">
      <c r="A302" s="12"/>
      <c r="B302" s="12"/>
    </row>
    <row r="303" spans="1:2" x14ac:dyDescent="0.25">
      <c r="A303" s="12"/>
      <c r="B303" s="12"/>
    </row>
    <row r="304" spans="1:2" x14ac:dyDescent="0.25">
      <c r="A304" s="12"/>
      <c r="B304" s="12"/>
    </row>
    <row r="305" spans="1:2" x14ac:dyDescent="0.25">
      <c r="A305" s="12"/>
      <c r="B305" s="12"/>
    </row>
    <row r="306" spans="1:2" x14ac:dyDescent="0.25">
      <c r="A306" s="12"/>
      <c r="B306" s="12"/>
    </row>
    <row r="307" spans="1:2" x14ac:dyDescent="0.25">
      <c r="A307" s="12"/>
      <c r="B307" s="12"/>
    </row>
    <row r="308" spans="1:2" x14ac:dyDescent="0.25">
      <c r="A308" s="12"/>
      <c r="B308" s="12"/>
    </row>
    <row r="309" spans="1:2" x14ac:dyDescent="0.25">
      <c r="A309" s="12"/>
      <c r="B309" s="12"/>
    </row>
    <row r="310" spans="1:2" x14ac:dyDescent="0.25">
      <c r="A310" s="12"/>
      <c r="B310" s="12"/>
    </row>
    <row r="311" spans="1:2" x14ac:dyDescent="0.25">
      <c r="A311" s="12"/>
      <c r="B311" s="12"/>
    </row>
    <row r="312" spans="1:2" x14ac:dyDescent="0.25">
      <c r="A312" s="12"/>
      <c r="B312" s="12"/>
    </row>
    <row r="313" spans="1:2" x14ac:dyDescent="0.25">
      <c r="A313" s="12"/>
      <c r="B313" s="12"/>
    </row>
    <row r="314" spans="1:2" x14ac:dyDescent="0.25">
      <c r="A314" s="12"/>
      <c r="B314" s="12"/>
    </row>
    <row r="315" spans="1:2" x14ac:dyDescent="0.25">
      <c r="A315" s="12"/>
      <c r="B315" s="12"/>
    </row>
    <row r="316" spans="1:2" x14ac:dyDescent="0.25">
      <c r="A316" s="12"/>
      <c r="B316" s="12"/>
    </row>
    <row r="317" spans="1:2" x14ac:dyDescent="0.25">
      <c r="A317" s="12"/>
      <c r="B317" s="12"/>
    </row>
    <row r="318" spans="1:2" x14ac:dyDescent="0.25">
      <c r="A318" s="12"/>
      <c r="B318" s="12"/>
    </row>
    <row r="319" spans="1:2" x14ac:dyDescent="0.25">
      <c r="A319" s="12"/>
      <c r="B319" s="12"/>
    </row>
    <row r="320" spans="1:2" x14ac:dyDescent="0.25">
      <c r="A320" s="12"/>
      <c r="B320" s="12"/>
    </row>
    <row r="321" spans="1:2" x14ac:dyDescent="0.25">
      <c r="A321" s="12"/>
      <c r="B321" s="12"/>
    </row>
    <row r="322" spans="1:2" x14ac:dyDescent="0.25">
      <c r="A322" s="12"/>
      <c r="B322" s="12"/>
    </row>
    <row r="323" spans="1:2" x14ac:dyDescent="0.25">
      <c r="A323" s="12"/>
      <c r="B323" s="12"/>
    </row>
    <row r="324" spans="1:2" x14ac:dyDescent="0.25">
      <c r="A324" s="12"/>
      <c r="B324" s="12"/>
    </row>
    <row r="325" spans="1:2" x14ac:dyDescent="0.25">
      <c r="A325" s="12"/>
      <c r="B325" s="12"/>
    </row>
    <row r="326" spans="1:2" x14ac:dyDescent="0.25">
      <c r="A326" s="12"/>
      <c r="B326" s="12"/>
    </row>
    <row r="327" spans="1:2" x14ac:dyDescent="0.25">
      <c r="A327" s="12"/>
      <c r="B327" s="12"/>
    </row>
    <row r="328" spans="1:2" x14ac:dyDescent="0.25">
      <c r="A328" s="12"/>
      <c r="B328" s="12"/>
    </row>
    <row r="329" spans="1:2" x14ac:dyDescent="0.25">
      <c r="A329" s="12"/>
      <c r="B329" s="12"/>
    </row>
    <row r="330" spans="1:2" x14ac:dyDescent="0.25">
      <c r="A330" s="12"/>
      <c r="B330" s="12"/>
    </row>
    <row r="331" spans="1:2" x14ac:dyDescent="0.25">
      <c r="A331" s="12"/>
      <c r="B331" s="12"/>
    </row>
    <row r="332" spans="1:2" x14ac:dyDescent="0.25">
      <c r="A332" s="12"/>
      <c r="B332" s="12"/>
    </row>
    <row r="333" spans="1:2" x14ac:dyDescent="0.25">
      <c r="A333" s="12"/>
      <c r="B333" s="12"/>
    </row>
    <row r="334" spans="1:2" x14ac:dyDescent="0.25">
      <c r="A334" s="12"/>
      <c r="B334" s="12"/>
    </row>
    <row r="335" spans="1:2" x14ac:dyDescent="0.25">
      <c r="A335" s="12"/>
      <c r="B335" s="12"/>
    </row>
    <row r="336" spans="1:2" x14ac:dyDescent="0.25">
      <c r="A336" s="12"/>
      <c r="B336" s="12"/>
    </row>
    <row r="337" spans="1:2" x14ac:dyDescent="0.25">
      <c r="A337" s="12"/>
      <c r="B337" s="12"/>
    </row>
    <row r="338" spans="1:2" x14ac:dyDescent="0.25">
      <c r="A338" s="12"/>
      <c r="B338" s="12"/>
    </row>
    <row r="339" spans="1:2" x14ac:dyDescent="0.25">
      <c r="A339" s="12"/>
      <c r="B339" s="12"/>
    </row>
    <row r="340" spans="1:2" x14ac:dyDescent="0.25">
      <c r="A340" s="12"/>
      <c r="B340" s="12"/>
    </row>
    <row r="341" spans="1:2" x14ac:dyDescent="0.25">
      <c r="A341" s="12"/>
      <c r="B341" s="12"/>
    </row>
    <row r="342" spans="1:2" x14ac:dyDescent="0.25">
      <c r="A342" s="12"/>
      <c r="B342" s="12"/>
    </row>
    <row r="343" spans="1:2" x14ac:dyDescent="0.25">
      <c r="A343" s="12"/>
      <c r="B343" s="12"/>
    </row>
    <row r="344" spans="1:2" x14ac:dyDescent="0.25">
      <c r="A344" s="12"/>
      <c r="B344" s="12"/>
    </row>
    <row r="345" spans="1:2" x14ac:dyDescent="0.25">
      <c r="A345" s="12"/>
      <c r="B345" s="12"/>
    </row>
    <row r="346" spans="1:2" x14ac:dyDescent="0.25">
      <c r="A346" s="12"/>
      <c r="B346" s="12"/>
    </row>
    <row r="347" spans="1:2" x14ac:dyDescent="0.25">
      <c r="A347" s="12"/>
      <c r="B347" s="12"/>
    </row>
    <row r="348" spans="1:2" x14ac:dyDescent="0.25">
      <c r="A348" s="12"/>
      <c r="B348" s="12"/>
    </row>
    <row r="349" spans="1:2" x14ac:dyDescent="0.25">
      <c r="A349" s="12"/>
      <c r="B349" s="12"/>
    </row>
    <row r="350" spans="1:2" x14ac:dyDescent="0.25">
      <c r="A350" s="12"/>
      <c r="B350" s="12"/>
    </row>
    <row r="351" spans="1:2" x14ac:dyDescent="0.25">
      <c r="A351" s="12"/>
      <c r="B351" s="12"/>
    </row>
    <row r="352" spans="1:2" x14ac:dyDescent="0.25">
      <c r="A352" s="12"/>
      <c r="B352" s="12"/>
    </row>
    <row r="353" spans="1:2" x14ac:dyDescent="0.25">
      <c r="A353" s="12"/>
      <c r="B353" s="12"/>
    </row>
    <row r="354" spans="1:2" x14ac:dyDescent="0.25">
      <c r="A354" s="12"/>
      <c r="B354" s="12"/>
    </row>
    <row r="355" spans="1:2" x14ac:dyDescent="0.25">
      <c r="A355" s="12"/>
      <c r="B355" s="12"/>
    </row>
    <row r="356" spans="1:2" x14ac:dyDescent="0.25">
      <c r="A356" s="12"/>
      <c r="B356" s="12"/>
    </row>
    <row r="357" spans="1:2" x14ac:dyDescent="0.25">
      <c r="A357" s="12"/>
      <c r="B357" s="12"/>
    </row>
    <row r="358" spans="1:2" x14ac:dyDescent="0.25">
      <c r="A358" s="12"/>
      <c r="B358" s="12"/>
    </row>
    <row r="359" spans="1:2" x14ac:dyDescent="0.25">
      <c r="A359" s="12"/>
      <c r="B359" s="12"/>
    </row>
    <row r="360" spans="1:2" x14ac:dyDescent="0.25">
      <c r="A360" s="12"/>
      <c r="B360" s="12"/>
    </row>
    <row r="361" spans="1:2" x14ac:dyDescent="0.25">
      <c r="A361" s="12"/>
      <c r="B361" s="12"/>
    </row>
    <row r="364" spans="1:2" x14ac:dyDescent="0.25">
      <c r="A364" s="13"/>
      <c r="B364" s="13"/>
    </row>
    <row r="365" spans="1:2" x14ac:dyDescent="0.25">
      <c r="A365" s="12"/>
      <c r="B365" s="12"/>
    </row>
    <row r="366" spans="1:2" x14ac:dyDescent="0.25">
      <c r="A366" s="12"/>
      <c r="B366" s="12"/>
    </row>
    <row r="367" spans="1:2" x14ac:dyDescent="0.25">
      <c r="A367" s="12"/>
      <c r="B367" s="12"/>
    </row>
    <row r="368" spans="1:2" x14ac:dyDescent="0.25">
      <c r="A368" s="12"/>
      <c r="B368" s="12"/>
    </row>
    <row r="369" spans="1:2" x14ac:dyDescent="0.25">
      <c r="A369" s="12"/>
      <c r="B369" s="12"/>
    </row>
    <row r="370" spans="1:2" x14ac:dyDescent="0.25">
      <c r="A370" s="12"/>
      <c r="B370" s="12"/>
    </row>
    <row r="371" spans="1:2" x14ac:dyDescent="0.25">
      <c r="A371" s="12"/>
      <c r="B371" s="12"/>
    </row>
    <row r="372" spans="1:2" x14ac:dyDescent="0.25">
      <c r="A372" s="12"/>
      <c r="B372" s="12"/>
    </row>
    <row r="373" spans="1:2" x14ac:dyDescent="0.25">
      <c r="A373" s="12"/>
      <c r="B373" s="12"/>
    </row>
    <row r="374" spans="1:2" x14ac:dyDescent="0.25">
      <c r="A374" s="12"/>
      <c r="B374" s="12"/>
    </row>
    <row r="375" spans="1:2" x14ac:dyDescent="0.25">
      <c r="A375" s="12"/>
      <c r="B375" s="12"/>
    </row>
    <row r="376" spans="1:2" x14ac:dyDescent="0.25">
      <c r="A376" s="12"/>
      <c r="B376" s="12"/>
    </row>
    <row r="377" spans="1:2" x14ac:dyDescent="0.25">
      <c r="A377" s="12"/>
      <c r="B377" s="12"/>
    </row>
    <row r="378" spans="1:2" x14ac:dyDescent="0.25">
      <c r="A378" s="12"/>
      <c r="B378" s="12"/>
    </row>
    <row r="379" spans="1:2" x14ac:dyDescent="0.25">
      <c r="A379" s="12"/>
      <c r="B379" s="12"/>
    </row>
    <row r="380" spans="1:2" x14ac:dyDescent="0.25">
      <c r="A380" s="12"/>
      <c r="B380" s="12"/>
    </row>
    <row r="381" spans="1:2" x14ac:dyDescent="0.25">
      <c r="A381" s="12"/>
      <c r="B381" s="12"/>
    </row>
    <row r="382" spans="1:2" x14ac:dyDescent="0.25">
      <c r="A382" s="12"/>
      <c r="B382" s="12"/>
    </row>
    <row r="383" spans="1:2" x14ac:dyDescent="0.25">
      <c r="A383" s="12"/>
      <c r="B383" s="12"/>
    </row>
    <row r="384" spans="1:2" x14ac:dyDescent="0.25">
      <c r="A384" s="12"/>
      <c r="B384" s="12"/>
    </row>
    <row r="385" spans="1:2" x14ac:dyDescent="0.25">
      <c r="A385" s="12"/>
      <c r="B385" s="12"/>
    </row>
    <row r="386" spans="1:2" x14ac:dyDescent="0.25">
      <c r="A386" s="12"/>
      <c r="B386" s="12"/>
    </row>
    <row r="387" spans="1:2" x14ac:dyDescent="0.25">
      <c r="A387" s="12"/>
      <c r="B387" s="12"/>
    </row>
    <row r="388" spans="1:2" x14ac:dyDescent="0.25">
      <c r="A388" s="12"/>
      <c r="B388" s="12"/>
    </row>
    <row r="389" spans="1:2" x14ac:dyDescent="0.25">
      <c r="A389" s="12"/>
      <c r="B389" s="12"/>
    </row>
    <row r="390" spans="1:2" x14ac:dyDescent="0.25">
      <c r="A390" s="12"/>
      <c r="B390" s="12"/>
    </row>
    <row r="391" spans="1:2" x14ac:dyDescent="0.25">
      <c r="A391" s="12"/>
      <c r="B391" s="12"/>
    </row>
    <row r="392" spans="1:2" x14ac:dyDescent="0.25">
      <c r="A392" s="12"/>
      <c r="B392" s="12"/>
    </row>
    <row r="393" spans="1:2" x14ac:dyDescent="0.25">
      <c r="A393" s="12"/>
      <c r="B393" s="12"/>
    </row>
    <row r="394" spans="1:2" x14ac:dyDescent="0.25">
      <c r="A394" s="12"/>
      <c r="B394" s="12"/>
    </row>
    <row r="395" spans="1:2" x14ac:dyDescent="0.25">
      <c r="A395" s="12"/>
      <c r="B395" s="12"/>
    </row>
    <row r="396" spans="1:2" x14ac:dyDescent="0.25">
      <c r="A396" s="12"/>
      <c r="B396" s="12"/>
    </row>
    <row r="397" spans="1:2" x14ac:dyDescent="0.25">
      <c r="A397" s="12"/>
      <c r="B397" s="12"/>
    </row>
    <row r="398" spans="1:2" x14ac:dyDescent="0.25">
      <c r="A398" s="12"/>
      <c r="B398" s="12"/>
    </row>
    <row r="399" spans="1:2" x14ac:dyDescent="0.25">
      <c r="A399" s="12"/>
      <c r="B399" s="12"/>
    </row>
    <row r="400" spans="1:2" x14ac:dyDescent="0.25">
      <c r="A400" s="12"/>
      <c r="B400" s="12"/>
    </row>
    <row r="401" spans="1:2" x14ac:dyDescent="0.25">
      <c r="A401" s="12"/>
      <c r="B401" s="12"/>
    </row>
    <row r="402" spans="1:2" x14ac:dyDescent="0.25">
      <c r="A402" s="12"/>
      <c r="B402" s="12"/>
    </row>
    <row r="403" spans="1:2" x14ac:dyDescent="0.25">
      <c r="A403" s="12"/>
      <c r="B403" s="12"/>
    </row>
    <row r="404" spans="1:2" x14ac:dyDescent="0.25">
      <c r="A404" s="12"/>
      <c r="B404" s="12"/>
    </row>
    <row r="405" spans="1:2" x14ac:dyDescent="0.25">
      <c r="A405" s="12"/>
      <c r="B405" s="12"/>
    </row>
    <row r="406" spans="1:2" x14ac:dyDescent="0.25">
      <c r="A406" s="12"/>
      <c r="B406" s="12"/>
    </row>
    <row r="407" spans="1:2" x14ac:dyDescent="0.25">
      <c r="A407" s="12"/>
      <c r="B407" s="12"/>
    </row>
    <row r="408" spans="1:2" x14ac:dyDescent="0.25">
      <c r="A408" s="12"/>
      <c r="B408" s="12"/>
    </row>
    <row r="409" spans="1:2" x14ac:dyDescent="0.25">
      <c r="A409" s="12"/>
      <c r="B409" s="12"/>
    </row>
    <row r="410" spans="1:2" x14ac:dyDescent="0.25">
      <c r="A410" s="12"/>
      <c r="B410" s="12"/>
    </row>
    <row r="411" spans="1:2" x14ac:dyDescent="0.25">
      <c r="A411" s="12"/>
      <c r="B411" s="12"/>
    </row>
    <row r="412" spans="1:2" x14ac:dyDescent="0.25">
      <c r="A412" s="12"/>
      <c r="B412" s="12"/>
    </row>
    <row r="413" spans="1:2" x14ac:dyDescent="0.25">
      <c r="A413" s="12"/>
      <c r="B413" s="12"/>
    </row>
    <row r="414" spans="1:2" x14ac:dyDescent="0.25">
      <c r="A414" s="12"/>
      <c r="B414" s="12"/>
    </row>
    <row r="415" spans="1:2" x14ac:dyDescent="0.25">
      <c r="A415" s="12"/>
      <c r="B415" s="12"/>
    </row>
    <row r="416" spans="1:2" x14ac:dyDescent="0.25">
      <c r="A416" s="12"/>
      <c r="B416" s="12"/>
    </row>
    <row r="417" spans="1:2" x14ac:dyDescent="0.25">
      <c r="A417" s="12"/>
      <c r="B417" s="12"/>
    </row>
    <row r="418" spans="1:2" x14ac:dyDescent="0.25">
      <c r="A418" s="12"/>
      <c r="B418" s="12"/>
    </row>
    <row r="419" spans="1:2" x14ac:dyDescent="0.25">
      <c r="A419" s="12"/>
      <c r="B419" s="12"/>
    </row>
    <row r="420" spans="1:2" x14ac:dyDescent="0.25">
      <c r="A420" s="12"/>
      <c r="B420" s="12"/>
    </row>
    <row r="421" spans="1:2" x14ac:dyDescent="0.25">
      <c r="A421" s="12"/>
      <c r="B421" s="12"/>
    </row>
    <row r="422" spans="1:2" x14ac:dyDescent="0.25">
      <c r="A422" s="12"/>
      <c r="B422" s="12"/>
    </row>
    <row r="423" spans="1:2" x14ac:dyDescent="0.25">
      <c r="A423" s="12"/>
      <c r="B423" s="12"/>
    </row>
    <row r="424" spans="1:2" x14ac:dyDescent="0.25">
      <c r="A424" s="12"/>
      <c r="B424" s="12"/>
    </row>
    <row r="425" spans="1:2" x14ac:dyDescent="0.25">
      <c r="A425" s="12"/>
      <c r="B425" s="12"/>
    </row>
    <row r="426" spans="1:2" x14ac:dyDescent="0.25">
      <c r="A426" s="12"/>
      <c r="B426" s="12"/>
    </row>
    <row r="427" spans="1:2" x14ac:dyDescent="0.25">
      <c r="A427" s="12"/>
      <c r="B427" s="12"/>
    </row>
    <row r="428" spans="1:2" x14ac:dyDescent="0.25">
      <c r="A428" s="12"/>
      <c r="B428" s="12"/>
    </row>
    <row r="429" spans="1:2" x14ac:dyDescent="0.25">
      <c r="A429" s="12"/>
      <c r="B429" s="12"/>
    </row>
    <row r="430" spans="1:2" x14ac:dyDescent="0.25">
      <c r="A430" s="12"/>
      <c r="B430" s="12"/>
    </row>
    <row r="431" spans="1:2" x14ac:dyDescent="0.25">
      <c r="A431" s="12"/>
      <c r="B431" s="12"/>
    </row>
    <row r="432" spans="1:2" x14ac:dyDescent="0.25">
      <c r="A432" s="12"/>
      <c r="B432" s="12"/>
    </row>
    <row r="433" spans="1:2" x14ac:dyDescent="0.25">
      <c r="A433" s="12"/>
      <c r="B433" s="12"/>
    </row>
    <row r="434" spans="1:2" x14ac:dyDescent="0.25">
      <c r="A434" s="12"/>
      <c r="B434" s="12"/>
    </row>
    <row r="435" spans="1:2" x14ac:dyDescent="0.25">
      <c r="A435" s="12"/>
      <c r="B435" s="12"/>
    </row>
    <row r="436" spans="1:2" x14ac:dyDescent="0.25">
      <c r="A436" s="12"/>
      <c r="B436" s="12"/>
    </row>
    <row r="437" spans="1:2" x14ac:dyDescent="0.25">
      <c r="A437" s="12"/>
      <c r="B437" s="12"/>
    </row>
    <row r="438" spans="1:2" x14ac:dyDescent="0.25">
      <c r="A438" s="12"/>
      <c r="B438" s="12"/>
    </row>
    <row r="439" spans="1:2" x14ac:dyDescent="0.25">
      <c r="A439" s="12"/>
      <c r="B439" s="12"/>
    </row>
    <row r="440" spans="1:2" x14ac:dyDescent="0.25">
      <c r="A440" s="12"/>
      <c r="B440" s="12"/>
    </row>
    <row r="441" spans="1:2" x14ac:dyDescent="0.25">
      <c r="A441" s="12"/>
      <c r="B441" s="12"/>
    </row>
    <row r="442" spans="1:2" x14ac:dyDescent="0.25">
      <c r="A442" s="12"/>
      <c r="B442" s="12"/>
    </row>
    <row r="443" spans="1:2" x14ac:dyDescent="0.25">
      <c r="A443" s="12"/>
      <c r="B443" s="12"/>
    </row>
    <row r="444" spans="1:2" x14ac:dyDescent="0.25">
      <c r="A444" s="12"/>
      <c r="B444" s="12"/>
    </row>
    <row r="445" spans="1:2" x14ac:dyDescent="0.25">
      <c r="A445" s="12"/>
      <c r="B445" s="12"/>
    </row>
    <row r="446" spans="1:2" x14ac:dyDescent="0.25">
      <c r="A446" s="12"/>
      <c r="B446" s="12"/>
    </row>
    <row r="447" spans="1:2" x14ac:dyDescent="0.25">
      <c r="A447" s="12"/>
      <c r="B447" s="12"/>
    </row>
    <row r="448" spans="1:2" x14ac:dyDescent="0.25">
      <c r="A448" s="12"/>
      <c r="B448" s="12"/>
    </row>
    <row r="449" spans="1:2" x14ac:dyDescent="0.25">
      <c r="A449" s="12"/>
      <c r="B449" s="12"/>
    </row>
    <row r="450" spans="1:2" x14ac:dyDescent="0.25">
      <c r="A450" s="12"/>
      <c r="B450" s="12"/>
    </row>
    <row r="453" spans="1:2" ht="23.25" x14ac:dyDescent="0.35">
      <c r="A453" s="25"/>
    </row>
    <row r="454" spans="1:2" ht="20.25" x14ac:dyDescent="0.3">
      <c r="A454" s="26"/>
    </row>
    <row r="455" spans="1:2" x14ac:dyDescent="0.25">
      <c r="A455" s="13"/>
      <c r="B455" s="13"/>
    </row>
    <row r="456" spans="1:2" x14ac:dyDescent="0.25">
      <c r="A456" s="12"/>
      <c r="B456" s="12"/>
    </row>
    <row r="457" spans="1:2" x14ac:dyDescent="0.25">
      <c r="A457" s="12"/>
      <c r="B457" s="12"/>
    </row>
    <row r="458" spans="1:2" x14ac:dyDescent="0.25">
      <c r="A458" s="12"/>
      <c r="B458" s="12"/>
    </row>
    <row r="459" spans="1:2" x14ac:dyDescent="0.25">
      <c r="A459" s="12"/>
      <c r="B459" s="12"/>
    </row>
    <row r="460" spans="1:2" x14ac:dyDescent="0.25">
      <c r="A460" s="12"/>
      <c r="B460" s="12"/>
    </row>
    <row r="461" spans="1:2" x14ac:dyDescent="0.25">
      <c r="A461" s="12"/>
      <c r="B461" s="12"/>
    </row>
    <row r="463" spans="1:2" ht="20.25" x14ac:dyDescent="0.3">
      <c r="A463" s="26"/>
    </row>
    <row r="464" spans="1:2" x14ac:dyDescent="0.25">
      <c r="A464" s="13"/>
      <c r="B464" s="13"/>
    </row>
    <row r="465" spans="1:2" x14ac:dyDescent="0.25">
      <c r="A465" s="12"/>
      <c r="B465" s="12"/>
    </row>
    <row r="466" spans="1:2" x14ac:dyDescent="0.25">
      <c r="A466" s="12"/>
      <c r="B466" s="12"/>
    </row>
    <row r="467" spans="1:2" x14ac:dyDescent="0.25">
      <c r="A467" s="12"/>
      <c r="B467" s="12"/>
    </row>
    <row r="468" spans="1:2" x14ac:dyDescent="0.25">
      <c r="A468" s="12"/>
      <c r="B468" s="12"/>
    </row>
    <row r="469" spans="1:2" x14ac:dyDescent="0.25">
      <c r="A469" s="12"/>
      <c r="B469" s="12"/>
    </row>
    <row r="470" spans="1:2" x14ac:dyDescent="0.25">
      <c r="A470" s="12"/>
      <c r="B470" s="12"/>
    </row>
    <row r="471" spans="1:2" x14ac:dyDescent="0.25">
      <c r="A471" s="12"/>
      <c r="B471" s="12"/>
    </row>
    <row r="472" spans="1:2" x14ac:dyDescent="0.25">
      <c r="A472" s="12"/>
      <c r="B472" s="12"/>
    </row>
    <row r="473" spans="1:2" x14ac:dyDescent="0.25">
      <c r="A473" s="12"/>
      <c r="B473" s="12"/>
    </row>
    <row r="474" spans="1:2" x14ac:dyDescent="0.25">
      <c r="A474" s="12"/>
      <c r="B474" s="12"/>
    </row>
    <row r="475" spans="1:2" x14ac:dyDescent="0.25">
      <c r="A475" s="12"/>
      <c r="B475" s="12"/>
    </row>
    <row r="476" spans="1:2" x14ac:dyDescent="0.25">
      <c r="A476" s="12"/>
      <c r="B476" s="12"/>
    </row>
    <row r="477" spans="1:2" x14ac:dyDescent="0.25">
      <c r="A477" s="12"/>
      <c r="B477" s="12"/>
    </row>
    <row r="478" spans="1:2" x14ac:dyDescent="0.25">
      <c r="A478" s="12"/>
      <c r="B478" s="12"/>
    </row>
    <row r="479" spans="1:2" x14ac:dyDescent="0.25">
      <c r="A479" s="12"/>
      <c r="B479" s="12"/>
    </row>
    <row r="480" spans="1:2" x14ac:dyDescent="0.25">
      <c r="A480" s="12"/>
      <c r="B480" s="12"/>
    </row>
    <row r="481" spans="1:4" x14ac:dyDescent="0.25">
      <c r="A481" s="12"/>
      <c r="B481" s="12"/>
    </row>
    <row r="482" spans="1:4" x14ac:dyDescent="0.25">
      <c r="A482" s="12"/>
      <c r="B482" s="12"/>
    </row>
    <row r="483" spans="1:4" x14ac:dyDescent="0.25">
      <c r="A483" s="12"/>
      <c r="B483" s="12"/>
    </row>
    <row r="484" spans="1:4" x14ac:dyDescent="0.25">
      <c r="A484" s="12"/>
      <c r="B484" s="12"/>
    </row>
    <row r="487" spans="1:4" ht="23.25" x14ac:dyDescent="0.35">
      <c r="A487" s="25"/>
    </row>
    <row r="488" spans="1:4" ht="20.25" x14ac:dyDescent="0.3">
      <c r="A488" s="26"/>
    </row>
    <row r="489" spans="1:4" x14ac:dyDescent="0.25">
      <c r="A489" s="13"/>
      <c r="B489" s="13"/>
      <c r="C489" s="13"/>
      <c r="D489" s="13"/>
    </row>
    <row r="490" spans="1:4" x14ac:dyDescent="0.25">
      <c r="A490" s="12"/>
      <c r="B490" s="12"/>
      <c r="C490" s="12"/>
      <c r="D490" s="12"/>
    </row>
    <row r="491" spans="1:4" x14ac:dyDescent="0.25">
      <c r="A491" s="12"/>
      <c r="B491" s="12"/>
      <c r="C491" s="12"/>
      <c r="D491" s="12"/>
    </row>
    <row r="492" spans="1:4" x14ac:dyDescent="0.25">
      <c r="A492" s="12"/>
      <c r="B492" s="12"/>
      <c r="C492" s="12"/>
      <c r="D492" s="12"/>
    </row>
    <row r="493" spans="1:4" x14ac:dyDescent="0.25">
      <c r="A493" s="12"/>
      <c r="B493" s="12"/>
      <c r="C493" s="12"/>
      <c r="D493" s="12"/>
    </row>
    <row r="494" spans="1:4" x14ac:dyDescent="0.25">
      <c r="A494" s="12"/>
      <c r="B494" s="12"/>
      <c r="C494" s="12"/>
      <c r="D494" s="12"/>
    </row>
    <row r="495" spans="1:4" x14ac:dyDescent="0.25">
      <c r="A495" s="12"/>
      <c r="B495" s="12"/>
      <c r="C495" s="12"/>
      <c r="D495" s="12"/>
    </row>
    <row r="496" spans="1:4" x14ac:dyDescent="0.25">
      <c r="A496" s="12"/>
      <c r="B496" s="12"/>
      <c r="C496" s="12"/>
      <c r="D496" s="12"/>
    </row>
    <row r="497" spans="1:4" x14ac:dyDescent="0.25">
      <c r="A497" s="12"/>
      <c r="B497" s="12"/>
      <c r="C497" s="12"/>
      <c r="D497" s="12"/>
    </row>
    <row r="498" spans="1:4" x14ac:dyDescent="0.25">
      <c r="A498" s="12"/>
      <c r="B498" s="12"/>
      <c r="C498" s="12"/>
      <c r="D498" s="12"/>
    </row>
    <row r="499" spans="1:4" x14ac:dyDescent="0.25">
      <c r="A499" s="12"/>
      <c r="B499" s="12"/>
      <c r="C499" s="12"/>
      <c r="D499" s="12"/>
    </row>
    <row r="500" spans="1:4" x14ac:dyDescent="0.25">
      <c r="A500" s="12"/>
      <c r="B500" s="12"/>
      <c r="C500" s="12"/>
      <c r="D500" s="12"/>
    </row>
    <row r="501" spans="1:4" x14ac:dyDescent="0.25">
      <c r="A501" s="12"/>
      <c r="B501" s="12"/>
      <c r="C501" s="12"/>
      <c r="D501" s="12"/>
    </row>
    <row r="502" spans="1:4" x14ac:dyDescent="0.25">
      <c r="A502" s="12"/>
      <c r="B502" s="12"/>
      <c r="C502" s="12"/>
      <c r="D502" s="12"/>
    </row>
    <row r="503" spans="1:4" x14ac:dyDescent="0.25">
      <c r="A503" s="12"/>
      <c r="B503" s="12"/>
      <c r="C503" s="12"/>
      <c r="D503" s="12"/>
    </row>
    <row r="504" spans="1:4" x14ac:dyDescent="0.25">
      <c r="A504" s="12"/>
      <c r="B504" s="12"/>
      <c r="C504" s="12"/>
      <c r="D504" s="12"/>
    </row>
    <row r="505" spans="1:4" x14ac:dyDescent="0.25">
      <c r="A505" s="12"/>
      <c r="B505" s="12"/>
      <c r="C505" s="12"/>
      <c r="D505" s="12"/>
    </row>
    <row r="506" spans="1:4" x14ac:dyDescent="0.25">
      <c r="A506" s="12"/>
      <c r="B506" s="12"/>
      <c r="C506" s="12"/>
      <c r="D506" s="12"/>
    </row>
    <row r="507" spans="1:4" x14ac:dyDescent="0.25">
      <c r="A507" s="12"/>
      <c r="B507" s="12"/>
      <c r="C507" s="12"/>
      <c r="D507" s="12"/>
    </row>
    <row r="508" spans="1:4" x14ac:dyDescent="0.25">
      <c r="A508" s="12"/>
      <c r="B508" s="12"/>
      <c r="C508" s="12"/>
      <c r="D508" s="12"/>
    </row>
    <row r="509" spans="1:4" x14ac:dyDescent="0.25">
      <c r="A509" s="12"/>
      <c r="B509" s="12"/>
      <c r="C509" s="12"/>
      <c r="D509" s="12"/>
    </row>
    <row r="510" spans="1:4" x14ac:dyDescent="0.25">
      <c r="A510" s="12"/>
      <c r="B510" s="12"/>
      <c r="C510" s="12"/>
      <c r="D510" s="12"/>
    </row>
    <row r="511" spans="1:4" x14ac:dyDescent="0.25">
      <c r="A511" s="12"/>
      <c r="B511" s="12"/>
      <c r="C511" s="12"/>
      <c r="D511" s="12"/>
    </row>
    <row r="512" spans="1:4" x14ac:dyDescent="0.25">
      <c r="A512" s="12"/>
      <c r="B512" s="12"/>
      <c r="C512" s="12"/>
      <c r="D512" s="12"/>
    </row>
    <row r="513" spans="1:4" x14ac:dyDescent="0.25">
      <c r="A513" s="12"/>
      <c r="B513" s="12"/>
      <c r="C513" s="12"/>
      <c r="D513" s="12"/>
    </row>
    <row r="514" spans="1:4" x14ac:dyDescent="0.25">
      <c r="A514" s="12"/>
      <c r="B514" s="12"/>
      <c r="C514" s="12"/>
      <c r="D514" s="12"/>
    </row>
    <row r="515" spans="1:4" x14ac:dyDescent="0.25">
      <c r="A515" s="12"/>
      <c r="B515" s="12"/>
      <c r="C515" s="12"/>
      <c r="D515" s="12"/>
    </row>
    <row r="516" spans="1:4" x14ac:dyDescent="0.25">
      <c r="A516" s="12"/>
      <c r="B516" s="12"/>
      <c r="C516" s="12"/>
      <c r="D516" s="12"/>
    </row>
    <row r="517" spans="1:4" x14ac:dyDescent="0.25">
      <c r="A517" s="12"/>
      <c r="B517" s="12"/>
      <c r="C517" s="12"/>
      <c r="D517" s="12"/>
    </row>
    <row r="518" spans="1:4" x14ac:dyDescent="0.25">
      <c r="A518" s="12"/>
      <c r="B518" s="12"/>
      <c r="C518" s="12"/>
      <c r="D518" s="12"/>
    </row>
    <row r="519" spans="1:4" x14ac:dyDescent="0.25">
      <c r="A519" s="12"/>
      <c r="B519" s="12"/>
      <c r="C519" s="12"/>
      <c r="D519" s="12"/>
    </row>
    <row r="520" spans="1:4" x14ac:dyDescent="0.25">
      <c r="A520" s="12"/>
      <c r="B520" s="12"/>
      <c r="C520" s="12"/>
      <c r="D520" s="12"/>
    </row>
    <row r="521" spans="1:4" x14ac:dyDescent="0.25">
      <c r="A521" s="12"/>
      <c r="B521" s="12"/>
      <c r="C521" s="12"/>
      <c r="D521" s="12"/>
    </row>
    <row r="522" spans="1:4" x14ac:dyDescent="0.25">
      <c r="A522" s="12"/>
      <c r="B522" s="12"/>
      <c r="C522" s="12"/>
      <c r="D522" s="12"/>
    </row>
    <row r="523" spans="1:4" x14ac:dyDescent="0.25">
      <c r="A523" s="12"/>
      <c r="B523" s="12"/>
      <c r="C523" s="12"/>
      <c r="D523" s="12"/>
    </row>
    <row r="524" spans="1:4" x14ac:dyDescent="0.25">
      <c r="A524" s="12"/>
      <c r="B524" s="12"/>
      <c r="C524" s="12"/>
      <c r="D524" s="12"/>
    </row>
    <row r="525" spans="1:4" x14ac:dyDescent="0.25">
      <c r="A525" s="12"/>
      <c r="B525" s="12"/>
      <c r="C525" s="12"/>
      <c r="D525" s="12"/>
    </row>
    <row r="526" spans="1:4" x14ac:dyDescent="0.25">
      <c r="A526" s="12"/>
      <c r="B526" s="12"/>
      <c r="C526" s="12"/>
      <c r="D526" s="12"/>
    </row>
    <row r="527" spans="1:4" x14ac:dyDescent="0.25">
      <c r="A527" s="12"/>
      <c r="B527" s="12"/>
      <c r="C527" s="12"/>
      <c r="D527" s="12"/>
    </row>
    <row r="528" spans="1:4" x14ac:dyDescent="0.25">
      <c r="A528" s="12"/>
      <c r="B528" s="12"/>
      <c r="C528" s="12"/>
      <c r="D528" s="12"/>
    </row>
    <row r="529" spans="1:4" x14ac:dyDescent="0.25">
      <c r="A529" s="12"/>
      <c r="B529" s="12"/>
      <c r="C529" s="12"/>
      <c r="D529" s="12"/>
    </row>
    <row r="530" spans="1:4" x14ac:dyDescent="0.25">
      <c r="A530" s="12"/>
      <c r="B530" s="12"/>
      <c r="C530" s="12"/>
      <c r="D530" s="12"/>
    </row>
    <row r="531" spans="1:4" x14ac:dyDescent="0.25">
      <c r="A531" s="12"/>
      <c r="B531" s="12"/>
      <c r="C531" s="12"/>
      <c r="D531" s="12"/>
    </row>
    <row r="532" spans="1:4" x14ac:dyDescent="0.25">
      <c r="A532" s="12"/>
      <c r="B532" s="12"/>
      <c r="C532" s="12"/>
      <c r="D532" s="12"/>
    </row>
    <row r="533" spans="1:4" x14ac:dyDescent="0.25">
      <c r="A533" s="12"/>
      <c r="B533" s="12"/>
      <c r="C533" s="12"/>
      <c r="D533" s="12"/>
    </row>
    <row r="534" spans="1:4" x14ac:dyDescent="0.25">
      <c r="A534" s="12"/>
      <c r="B534" s="12"/>
      <c r="C534" s="12"/>
      <c r="D534" s="12"/>
    </row>
    <row r="535" spans="1:4" x14ac:dyDescent="0.25">
      <c r="A535" s="12"/>
      <c r="B535" s="12"/>
      <c r="C535" s="12"/>
      <c r="D535" s="12"/>
    </row>
    <row r="536" spans="1:4" x14ac:dyDescent="0.25">
      <c r="A536" s="12"/>
      <c r="B536" s="12"/>
      <c r="C536" s="12"/>
      <c r="D536" s="12"/>
    </row>
    <row r="537" spans="1:4" x14ac:dyDescent="0.25">
      <c r="A537" s="12"/>
      <c r="B537" s="12"/>
      <c r="C537" s="12"/>
      <c r="D537" s="12"/>
    </row>
    <row r="538" spans="1:4" x14ac:dyDescent="0.25">
      <c r="A538" s="12"/>
      <c r="B538" s="12"/>
      <c r="C538" s="12"/>
      <c r="D538" s="12"/>
    </row>
    <row r="539" spans="1:4" x14ac:dyDescent="0.25">
      <c r="A539" s="12"/>
      <c r="B539" s="12"/>
      <c r="C539" s="12"/>
      <c r="D539" s="12"/>
    </row>
    <row r="540" spans="1:4" x14ac:dyDescent="0.25">
      <c r="A540" s="12"/>
      <c r="B540" s="12"/>
      <c r="C540" s="12"/>
      <c r="D540" s="12"/>
    </row>
    <row r="541" spans="1:4" x14ac:dyDescent="0.25">
      <c r="A541" s="12"/>
      <c r="B541" s="12"/>
      <c r="C541" s="12"/>
      <c r="D541" s="12"/>
    </row>
    <row r="542" spans="1:4" x14ac:dyDescent="0.25">
      <c r="A542" s="12"/>
      <c r="B542" s="12"/>
      <c r="C542" s="12"/>
      <c r="D542" s="12"/>
    </row>
    <row r="543" spans="1:4" x14ac:dyDescent="0.25">
      <c r="A543" s="12"/>
      <c r="B543" s="12"/>
      <c r="C543" s="12"/>
      <c r="D543" s="12"/>
    </row>
    <row r="544" spans="1:4" x14ac:dyDescent="0.25">
      <c r="A544" s="12"/>
      <c r="B544" s="12"/>
      <c r="C544" s="12"/>
      <c r="D544" s="12"/>
    </row>
    <row r="545" spans="1:4" x14ac:dyDescent="0.25">
      <c r="A545" s="12"/>
      <c r="B545" s="12"/>
      <c r="C545" s="12"/>
      <c r="D545" s="12"/>
    </row>
    <row r="546" spans="1:4" x14ac:dyDescent="0.25">
      <c r="A546" s="12"/>
      <c r="B546" s="12"/>
      <c r="C546" s="12"/>
      <c r="D546" s="12"/>
    </row>
    <row r="547" spans="1:4" x14ac:dyDescent="0.25">
      <c r="A547" s="12"/>
      <c r="B547" s="12"/>
      <c r="C547" s="12"/>
      <c r="D547" s="12"/>
    </row>
    <row r="548" spans="1:4" x14ac:dyDescent="0.25">
      <c r="A548" s="12"/>
      <c r="B548" s="12"/>
      <c r="C548" s="12"/>
      <c r="D548" s="12"/>
    </row>
    <row r="549" spans="1:4" x14ac:dyDescent="0.25">
      <c r="A549" s="12"/>
      <c r="B549" s="12"/>
      <c r="C549" s="12"/>
      <c r="D549" s="12"/>
    </row>
    <row r="550" spans="1:4" x14ac:dyDescent="0.25">
      <c r="A550" s="12"/>
      <c r="B550" s="12"/>
      <c r="C550" s="12"/>
      <c r="D550" s="12"/>
    </row>
    <row r="551" spans="1:4" x14ac:dyDescent="0.25">
      <c r="A551" s="12"/>
      <c r="B551" s="12"/>
      <c r="C551" s="12"/>
      <c r="D551" s="12"/>
    </row>
    <row r="552" spans="1:4" x14ac:dyDescent="0.25">
      <c r="A552" s="12"/>
      <c r="B552" s="12"/>
      <c r="C552" s="12"/>
      <c r="D552" s="12"/>
    </row>
    <row r="553" spans="1:4" x14ac:dyDescent="0.25">
      <c r="A553" s="12"/>
      <c r="B553" s="12"/>
      <c r="C553" s="12"/>
      <c r="D553" s="12"/>
    </row>
    <row r="554" spans="1:4" x14ac:dyDescent="0.25">
      <c r="A554" s="12"/>
      <c r="B554" s="12"/>
      <c r="C554" s="12"/>
      <c r="D554" s="12"/>
    </row>
    <row r="555" spans="1:4" x14ac:dyDescent="0.25">
      <c r="A555" s="12"/>
      <c r="B555" s="12"/>
      <c r="C555" s="12"/>
      <c r="D555" s="12"/>
    </row>
    <row r="556" spans="1:4" x14ac:dyDescent="0.25">
      <c r="A556" s="12"/>
      <c r="B556" s="12"/>
      <c r="C556" s="12"/>
      <c r="D556" s="12"/>
    </row>
    <row r="557" spans="1:4" x14ac:dyDescent="0.25">
      <c r="A557" s="12"/>
      <c r="B557" s="12"/>
      <c r="C557" s="12"/>
      <c r="D557" s="12"/>
    </row>
    <row r="558" spans="1:4" x14ac:dyDescent="0.25">
      <c r="A558" s="12"/>
      <c r="B558" s="12"/>
      <c r="C558" s="12"/>
      <c r="D558" s="12"/>
    </row>
    <row r="559" spans="1:4" x14ac:dyDescent="0.25">
      <c r="A559" s="12"/>
      <c r="B559" s="12"/>
      <c r="C559" s="12"/>
      <c r="D559" s="12"/>
    </row>
    <row r="560" spans="1:4" x14ac:dyDescent="0.25">
      <c r="A560" s="12"/>
      <c r="B560" s="12"/>
      <c r="C560" s="12"/>
      <c r="D560" s="12"/>
    </row>
    <row r="561" spans="1:4" x14ac:dyDescent="0.25">
      <c r="A561" s="12"/>
      <c r="B561" s="12"/>
      <c r="C561" s="12"/>
      <c r="D561" s="12"/>
    </row>
    <row r="562" spans="1:4" x14ac:dyDescent="0.25">
      <c r="A562" s="12"/>
      <c r="B562" s="12"/>
      <c r="C562" s="12"/>
      <c r="D562" s="12"/>
    </row>
    <row r="563" spans="1:4" x14ac:dyDescent="0.25">
      <c r="A563" s="12"/>
      <c r="B563" s="12"/>
      <c r="C563" s="12"/>
      <c r="D563" s="12"/>
    </row>
    <row r="564" spans="1:4" x14ac:dyDescent="0.25">
      <c r="A564" s="12"/>
      <c r="B564" s="12"/>
      <c r="C564" s="12"/>
      <c r="D564" s="12"/>
    </row>
    <row r="565" spans="1:4" x14ac:dyDescent="0.25">
      <c r="A565" s="12"/>
      <c r="B565" s="12"/>
      <c r="C565" s="12"/>
      <c r="D565" s="12"/>
    </row>
    <row r="566" spans="1:4" x14ac:dyDescent="0.25">
      <c r="A566" s="12"/>
      <c r="B566" s="12"/>
      <c r="C566" s="12"/>
      <c r="D566" s="12"/>
    </row>
    <row r="567" spans="1:4" x14ac:dyDescent="0.25">
      <c r="A567" s="12"/>
      <c r="B567" s="12"/>
      <c r="C567" s="12"/>
      <c r="D567" s="12"/>
    </row>
    <row r="568" spans="1:4" x14ac:dyDescent="0.25">
      <c r="A568" s="12"/>
      <c r="B568" s="12"/>
      <c r="C568" s="12"/>
      <c r="D568" s="12"/>
    </row>
    <row r="569" spans="1:4" x14ac:dyDescent="0.25">
      <c r="A569" s="12"/>
      <c r="B569" s="12"/>
      <c r="C569" s="12"/>
      <c r="D569" s="12"/>
    </row>
    <row r="570" spans="1:4" x14ac:dyDescent="0.25">
      <c r="A570" s="12"/>
      <c r="B570" s="12"/>
      <c r="C570" s="12"/>
      <c r="D570" s="12"/>
    </row>
    <row r="571" spans="1:4" x14ac:dyDescent="0.25">
      <c r="A571" s="12"/>
      <c r="B571" s="12"/>
      <c r="C571" s="12"/>
      <c r="D571" s="12"/>
    </row>
    <row r="572" spans="1:4" x14ac:dyDescent="0.25">
      <c r="A572" s="12"/>
      <c r="B572" s="12"/>
      <c r="C572" s="12"/>
      <c r="D572" s="12"/>
    </row>
    <row r="573" spans="1:4" x14ac:dyDescent="0.25">
      <c r="A573" s="12"/>
      <c r="B573" s="12"/>
      <c r="C573" s="12"/>
      <c r="D573" s="12"/>
    </row>
    <row r="574" spans="1:4" x14ac:dyDescent="0.25">
      <c r="A574" s="12"/>
      <c r="B574" s="12"/>
      <c r="C574" s="12"/>
      <c r="D574" s="12"/>
    </row>
    <row r="575" spans="1:4" x14ac:dyDescent="0.25">
      <c r="A575" s="12"/>
      <c r="B575" s="12"/>
      <c r="C575" s="12"/>
      <c r="D575" s="12"/>
    </row>
    <row r="576" spans="1:4" x14ac:dyDescent="0.25">
      <c r="A576" s="12"/>
      <c r="B576" s="12"/>
      <c r="C576" s="12"/>
      <c r="D576" s="12"/>
    </row>
    <row r="577" spans="1:4" x14ac:dyDescent="0.25">
      <c r="A577" s="12"/>
      <c r="B577" s="12"/>
      <c r="C577" s="12"/>
      <c r="D577" s="12"/>
    </row>
    <row r="578" spans="1:4" x14ac:dyDescent="0.25">
      <c r="A578" s="12"/>
      <c r="B578" s="12"/>
      <c r="C578" s="12"/>
      <c r="D578" s="12"/>
    </row>
    <row r="579" spans="1:4" x14ac:dyDescent="0.25">
      <c r="A579" s="12"/>
      <c r="B579" s="12"/>
      <c r="C579" s="12"/>
      <c r="D579" s="12"/>
    </row>
    <row r="580" spans="1:4" x14ac:dyDescent="0.25">
      <c r="A580" s="12"/>
      <c r="B580" s="12"/>
      <c r="C580" s="12"/>
      <c r="D580" s="12"/>
    </row>
    <row r="581" spans="1:4" x14ac:dyDescent="0.25">
      <c r="A581" s="12"/>
      <c r="B581" s="12"/>
      <c r="C581" s="12"/>
      <c r="D581" s="12"/>
    </row>
    <row r="582" spans="1:4" x14ac:dyDescent="0.25">
      <c r="A582" s="12"/>
      <c r="B582" s="12"/>
      <c r="C582" s="12"/>
      <c r="D582" s="12"/>
    </row>
    <row r="583" spans="1:4" x14ac:dyDescent="0.25">
      <c r="A583" s="12"/>
      <c r="B583" s="12"/>
      <c r="C583" s="12"/>
      <c r="D583" s="12"/>
    </row>
    <row r="584" spans="1:4" x14ac:dyDescent="0.25">
      <c r="A584" s="12"/>
      <c r="B584" s="12"/>
      <c r="C584" s="12"/>
      <c r="D584" s="12"/>
    </row>
    <row r="585" spans="1:4" x14ac:dyDescent="0.25">
      <c r="A585" s="12"/>
      <c r="B585" s="12"/>
      <c r="C585" s="12"/>
      <c r="D585" s="12"/>
    </row>
    <row r="586" spans="1:4" x14ac:dyDescent="0.25">
      <c r="A586" s="12"/>
      <c r="B586" s="12"/>
      <c r="C586" s="12"/>
      <c r="D586" s="12"/>
    </row>
    <row r="587" spans="1:4" x14ac:dyDescent="0.25">
      <c r="A587" s="12"/>
      <c r="B587" s="12"/>
      <c r="C587" s="12"/>
      <c r="D587" s="12"/>
    </row>
    <row r="588" spans="1:4" x14ac:dyDescent="0.25">
      <c r="A588" s="12"/>
      <c r="B588" s="12"/>
      <c r="C588" s="12"/>
      <c r="D588" s="12"/>
    </row>
    <row r="589" spans="1:4" x14ac:dyDescent="0.25">
      <c r="A589" s="12"/>
      <c r="B589" s="12"/>
      <c r="C589" s="12"/>
      <c r="D589" s="12"/>
    </row>
    <row r="592" spans="1:4" ht="20.25" x14ac:dyDescent="0.3">
      <c r="A592" s="26"/>
    </row>
    <row r="593" spans="1:4" x14ac:dyDescent="0.25">
      <c r="A593" s="13"/>
      <c r="B593" s="13"/>
      <c r="C593" s="13"/>
      <c r="D593" s="13"/>
    </row>
    <row r="594" spans="1:4" x14ac:dyDescent="0.25">
      <c r="A594" s="12"/>
      <c r="B594" s="12"/>
      <c r="C594" s="12"/>
      <c r="D594" s="12"/>
    </row>
    <row r="595" spans="1:4" x14ac:dyDescent="0.25">
      <c r="A595" s="12"/>
      <c r="B595" s="12"/>
      <c r="C595" s="12"/>
      <c r="D595" s="12"/>
    </row>
    <row r="596" spans="1:4" x14ac:dyDescent="0.25">
      <c r="A596" s="12"/>
      <c r="B596" s="12"/>
      <c r="C596" s="12"/>
      <c r="D596" s="12"/>
    </row>
    <row r="597" spans="1:4" x14ac:dyDescent="0.25">
      <c r="A597" s="12"/>
      <c r="B597" s="12"/>
      <c r="C597" s="12"/>
      <c r="D597" s="12"/>
    </row>
    <row r="598" spans="1:4" x14ac:dyDescent="0.25">
      <c r="A598" s="12"/>
      <c r="B598" s="12"/>
      <c r="C598" s="12"/>
      <c r="D598" s="12"/>
    </row>
    <row r="599" spans="1:4" x14ac:dyDescent="0.25">
      <c r="A599" s="12"/>
      <c r="B599" s="12"/>
      <c r="C599" s="12"/>
      <c r="D599" s="12"/>
    </row>
    <row r="600" spans="1:4" x14ac:dyDescent="0.25">
      <c r="A600" s="12"/>
      <c r="B600" s="12"/>
      <c r="C600" s="12"/>
      <c r="D600" s="12"/>
    </row>
    <row r="601" spans="1:4" x14ac:dyDescent="0.25">
      <c r="A601" s="12"/>
      <c r="B601" s="12"/>
      <c r="C601" s="12"/>
      <c r="D601" s="12"/>
    </row>
    <row r="602" spans="1:4" x14ac:dyDescent="0.25">
      <c r="A602" s="12"/>
      <c r="B602" s="12"/>
      <c r="C602" s="12"/>
      <c r="D602" s="12"/>
    </row>
    <row r="603" spans="1:4" x14ac:dyDescent="0.25">
      <c r="A603" s="12"/>
      <c r="B603" s="12"/>
      <c r="C603" s="12"/>
      <c r="D603" s="12"/>
    </row>
    <row r="604" spans="1:4" x14ac:dyDescent="0.25">
      <c r="A604" s="12"/>
      <c r="B604" s="12"/>
      <c r="C604" s="12"/>
      <c r="D604" s="12"/>
    </row>
    <row r="605" spans="1:4" x14ac:dyDescent="0.25">
      <c r="A605" s="12"/>
      <c r="B605" s="12"/>
      <c r="C605" s="12"/>
      <c r="D605" s="12"/>
    </row>
    <row r="606" spans="1:4" x14ac:dyDescent="0.25">
      <c r="A606" s="12"/>
      <c r="B606" s="12"/>
      <c r="C606" s="12"/>
      <c r="D606" s="12"/>
    </row>
    <row r="607" spans="1:4" x14ac:dyDescent="0.25">
      <c r="A607" s="12"/>
      <c r="B607" s="12"/>
      <c r="C607" s="12"/>
      <c r="D607" s="12"/>
    </row>
    <row r="608" spans="1:4" x14ac:dyDescent="0.25">
      <c r="A608" s="12"/>
      <c r="B608" s="12"/>
      <c r="C608" s="12"/>
      <c r="D608" s="12"/>
    </row>
    <row r="609" spans="1:4" x14ac:dyDescent="0.25">
      <c r="A609" s="12"/>
      <c r="B609" s="12"/>
      <c r="C609" s="12"/>
      <c r="D609" s="12"/>
    </row>
    <row r="610" spans="1:4" x14ac:dyDescent="0.25">
      <c r="A610" s="12"/>
      <c r="B610" s="12"/>
      <c r="C610" s="12"/>
      <c r="D610" s="12"/>
    </row>
    <row r="611" spans="1:4" x14ac:dyDescent="0.25">
      <c r="A611" s="12"/>
      <c r="B611" s="12"/>
      <c r="C611" s="12"/>
      <c r="D611" s="12"/>
    </row>
    <row r="612" spans="1:4" x14ac:dyDescent="0.25">
      <c r="A612" s="12"/>
      <c r="B612" s="12"/>
      <c r="C612" s="12"/>
      <c r="D612" s="12"/>
    </row>
    <row r="613" spans="1:4" x14ac:dyDescent="0.25">
      <c r="A613" s="12"/>
      <c r="B613" s="12"/>
      <c r="C613" s="12"/>
      <c r="D613" s="12"/>
    </row>
    <row r="614" spans="1:4" x14ac:dyDescent="0.25">
      <c r="A614" s="12"/>
      <c r="B614" s="12"/>
      <c r="C614" s="12"/>
      <c r="D614" s="12"/>
    </row>
    <row r="615" spans="1:4" x14ac:dyDescent="0.25">
      <c r="A615" s="12"/>
      <c r="B615" s="12"/>
      <c r="C615" s="12"/>
      <c r="D615" s="12"/>
    </row>
    <row r="616" spans="1:4" x14ac:dyDescent="0.25">
      <c r="A616" s="12"/>
      <c r="B616" s="12"/>
      <c r="C616" s="12"/>
      <c r="D616" s="12"/>
    </row>
    <row r="617" spans="1:4" x14ac:dyDescent="0.25">
      <c r="A617" s="12"/>
      <c r="B617" s="12"/>
      <c r="C617" s="12"/>
      <c r="D617" s="12"/>
    </row>
    <row r="618" spans="1:4" x14ac:dyDescent="0.25">
      <c r="A618" s="12"/>
      <c r="B618" s="12"/>
      <c r="C618" s="12"/>
      <c r="D618" s="12"/>
    </row>
    <row r="619" spans="1:4" x14ac:dyDescent="0.25">
      <c r="A619" s="12"/>
      <c r="B619" s="12"/>
      <c r="C619" s="12"/>
      <c r="D619" s="12"/>
    </row>
    <row r="620" spans="1:4" x14ac:dyDescent="0.25">
      <c r="A620" s="12"/>
      <c r="B620" s="12"/>
      <c r="C620" s="12"/>
      <c r="D620" s="12"/>
    </row>
    <row r="621" spans="1:4" x14ac:dyDescent="0.25">
      <c r="A621" s="12"/>
      <c r="B621" s="12"/>
      <c r="C621" s="12"/>
      <c r="D621" s="12"/>
    </row>
    <row r="622" spans="1:4" x14ac:dyDescent="0.25">
      <c r="A622" s="12"/>
      <c r="B622" s="12"/>
      <c r="C622" s="12"/>
      <c r="D622" s="12"/>
    </row>
    <row r="623" spans="1:4" x14ac:dyDescent="0.25">
      <c r="A623" s="12"/>
      <c r="B623" s="12"/>
      <c r="C623" s="12"/>
      <c r="D623" s="12"/>
    </row>
    <row r="624" spans="1:4" x14ac:dyDescent="0.25">
      <c r="A624" s="12"/>
      <c r="B624" s="12"/>
      <c r="C624" s="12"/>
      <c r="D624" s="12"/>
    </row>
    <row r="625" spans="1:4" x14ac:dyDescent="0.25">
      <c r="A625" s="12"/>
      <c r="B625" s="12"/>
      <c r="C625" s="12"/>
      <c r="D625" s="12"/>
    </row>
    <row r="626" spans="1:4" x14ac:dyDescent="0.25">
      <c r="A626" s="12"/>
      <c r="B626" s="12"/>
      <c r="C626" s="12"/>
      <c r="D626" s="12"/>
    </row>
    <row r="627" spans="1:4" x14ac:dyDescent="0.25">
      <c r="A627" s="12"/>
      <c r="B627" s="12"/>
      <c r="C627" s="12"/>
      <c r="D627" s="12"/>
    </row>
    <row r="628" spans="1:4" x14ac:dyDescent="0.25">
      <c r="A628" s="12"/>
      <c r="B628" s="12"/>
      <c r="C628" s="12"/>
      <c r="D628" s="12"/>
    </row>
    <row r="629" spans="1:4" x14ac:dyDescent="0.25">
      <c r="A629" s="12"/>
      <c r="B629" s="12"/>
      <c r="C629" s="12"/>
      <c r="D629" s="12"/>
    </row>
    <row r="630" spans="1:4" x14ac:dyDescent="0.25">
      <c r="A630" s="12"/>
      <c r="B630" s="12"/>
      <c r="C630" s="12"/>
      <c r="D630" s="12"/>
    </row>
    <row r="631" spans="1:4" x14ac:dyDescent="0.25">
      <c r="A631" s="12"/>
      <c r="B631" s="12"/>
      <c r="C631" s="12"/>
      <c r="D631" s="12"/>
    </row>
    <row r="632" spans="1:4" x14ac:dyDescent="0.25">
      <c r="A632" s="12"/>
      <c r="B632" s="12"/>
      <c r="C632" s="12"/>
      <c r="D632" s="12"/>
    </row>
    <row r="633" spans="1:4" x14ac:dyDescent="0.25">
      <c r="A633" s="12"/>
      <c r="B633" s="12"/>
      <c r="C633" s="12"/>
      <c r="D633" s="12"/>
    </row>
    <row r="634" spans="1:4" x14ac:dyDescent="0.25">
      <c r="A634" s="12"/>
      <c r="B634" s="12"/>
      <c r="C634" s="12"/>
      <c r="D634" s="12"/>
    </row>
    <row r="635" spans="1:4" x14ac:dyDescent="0.25">
      <c r="A635" s="12"/>
      <c r="B635" s="12"/>
      <c r="C635" s="12"/>
      <c r="D635" s="12"/>
    </row>
    <row r="636" spans="1:4" x14ac:dyDescent="0.25">
      <c r="A636" s="12"/>
      <c r="B636" s="12"/>
      <c r="C636" s="12"/>
      <c r="D636" s="12"/>
    </row>
    <row r="637" spans="1:4" x14ac:dyDescent="0.25">
      <c r="A637" s="12"/>
      <c r="B637" s="12"/>
      <c r="C637" s="12"/>
      <c r="D637" s="12"/>
    </row>
    <row r="638" spans="1:4" x14ac:dyDescent="0.25">
      <c r="A638" s="12"/>
      <c r="B638" s="12"/>
      <c r="C638" s="12"/>
      <c r="D638" s="12"/>
    </row>
    <row r="639" spans="1:4" x14ac:dyDescent="0.25">
      <c r="A639" s="12"/>
      <c r="B639" s="12"/>
      <c r="C639" s="12"/>
      <c r="D639" s="12"/>
    </row>
    <row r="640" spans="1:4" x14ac:dyDescent="0.25">
      <c r="A640" s="12"/>
      <c r="B640" s="12"/>
      <c r="C640" s="12"/>
      <c r="D640" s="12"/>
    </row>
    <row r="641" spans="1:4" x14ac:dyDescent="0.25">
      <c r="A641" s="12"/>
      <c r="B641" s="12"/>
      <c r="C641" s="12"/>
      <c r="D641" s="12"/>
    </row>
    <row r="642" spans="1:4" x14ac:dyDescent="0.25">
      <c r="A642" s="12"/>
      <c r="B642" s="12"/>
      <c r="C642" s="12"/>
      <c r="D642" s="12"/>
    </row>
    <row r="643" spans="1:4" x14ac:dyDescent="0.25">
      <c r="A643" s="12"/>
      <c r="B643" s="12"/>
      <c r="C643" s="12"/>
      <c r="D643" s="12"/>
    </row>
    <row r="644" spans="1:4" x14ac:dyDescent="0.25">
      <c r="A644" s="12"/>
      <c r="B644" s="12"/>
      <c r="C644" s="12"/>
      <c r="D644" s="12"/>
    </row>
    <row r="645" spans="1:4" x14ac:dyDescent="0.25">
      <c r="A645" s="12"/>
      <c r="B645" s="12"/>
      <c r="C645" s="12"/>
      <c r="D645" s="12"/>
    </row>
    <row r="646" spans="1:4" x14ac:dyDescent="0.25">
      <c r="A646" s="12"/>
      <c r="B646" s="12"/>
      <c r="C646" s="12"/>
      <c r="D646" s="12"/>
    </row>
    <row r="647" spans="1:4" x14ac:dyDescent="0.25">
      <c r="A647" s="12"/>
      <c r="B647" s="12"/>
      <c r="C647" s="12"/>
      <c r="D647" s="12"/>
    </row>
    <row r="648" spans="1:4" x14ac:dyDescent="0.25">
      <c r="A648" s="12"/>
      <c r="B648" s="12"/>
      <c r="C648" s="12"/>
      <c r="D648" s="12"/>
    </row>
    <row r="649" spans="1:4" x14ac:dyDescent="0.25">
      <c r="A649" s="12"/>
      <c r="B649" s="12"/>
      <c r="C649" s="12"/>
      <c r="D649" s="12"/>
    </row>
    <row r="650" spans="1:4" x14ac:dyDescent="0.25">
      <c r="A650" s="12"/>
      <c r="B650" s="12"/>
      <c r="C650" s="12"/>
      <c r="D650" s="12"/>
    </row>
    <row r="651" spans="1:4" x14ac:dyDescent="0.25">
      <c r="A651" s="12"/>
      <c r="B651" s="12"/>
      <c r="C651" s="12"/>
      <c r="D651" s="12"/>
    </row>
    <row r="652" spans="1:4" x14ac:dyDescent="0.25">
      <c r="A652" s="12"/>
      <c r="B652" s="12"/>
      <c r="C652" s="12"/>
      <c r="D652" s="12"/>
    </row>
    <row r="653" spans="1:4" x14ac:dyDescent="0.25">
      <c r="A653" s="12"/>
      <c r="B653" s="12"/>
      <c r="C653" s="12"/>
      <c r="D653" s="12"/>
    </row>
    <row r="654" spans="1:4" x14ac:dyDescent="0.25">
      <c r="A654" s="12"/>
      <c r="B654" s="12"/>
      <c r="C654" s="12"/>
      <c r="D654" s="12"/>
    </row>
    <row r="655" spans="1:4" x14ac:dyDescent="0.25">
      <c r="A655" s="12"/>
      <c r="B655" s="12"/>
      <c r="C655" s="12"/>
      <c r="D655" s="12"/>
    </row>
    <row r="656" spans="1:4" x14ac:dyDescent="0.25">
      <c r="A656" s="12"/>
      <c r="B656" s="12"/>
      <c r="C656" s="12"/>
      <c r="D656" s="12"/>
    </row>
    <row r="657" spans="1:4" x14ac:dyDescent="0.25">
      <c r="A657" s="12"/>
      <c r="B657" s="12"/>
      <c r="C657" s="12"/>
      <c r="D657" s="12"/>
    </row>
    <row r="658" spans="1:4" x14ac:dyDescent="0.25">
      <c r="A658" s="12"/>
      <c r="B658" s="12"/>
      <c r="C658" s="12"/>
      <c r="D658" s="12"/>
    </row>
    <row r="659" spans="1:4" x14ac:dyDescent="0.25">
      <c r="A659" s="12"/>
      <c r="B659" s="12"/>
      <c r="C659" s="12"/>
      <c r="D659" s="12"/>
    </row>
    <row r="660" spans="1:4" x14ac:dyDescent="0.25">
      <c r="A660" s="12"/>
      <c r="B660" s="12"/>
      <c r="C660" s="12"/>
      <c r="D660" s="12"/>
    </row>
    <row r="661" spans="1:4" x14ac:dyDescent="0.25">
      <c r="A661" s="12"/>
      <c r="B661" s="12"/>
      <c r="C661" s="12"/>
      <c r="D661" s="12"/>
    </row>
    <row r="662" spans="1:4" x14ac:dyDescent="0.25">
      <c r="A662" s="12"/>
      <c r="B662" s="12"/>
      <c r="C662" s="12"/>
      <c r="D662" s="12"/>
    </row>
    <row r="663" spans="1:4" x14ac:dyDescent="0.25">
      <c r="A663" s="12"/>
      <c r="B663" s="12"/>
      <c r="C663" s="12"/>
      <c r="D663" s="12"/>
    </row>
    <row r="664" spans="1:4" x14ac:dyDescent="0.25">
      <c r="A664" s="12"/>
      <c r="B664" s="12"/>
      <c r="C664" s="12"/>
      <c r="D664" s="12"/>
    </row>
    <row r="665" spans="1:4" x14ac:dyDescent="0.25">
      <c r="A665" s="12"/>
      <c r="B665" s="12"/>
      <c r="C665" s="12"/>
      <c r="D665" s="12"/>
    </row>
    <row r="666" spans="1:4" x14ac:dyDescent="0.25">
      <c r="A666" s="12"/>
      <c r="B666" s="12"/>
      <c r="C666" s="12"/>
      <c r="D666" s="12"/>
    </row>
    <row r="667" spans="1:4" x14ac:dyDescent="0.25">
      <c r="A667" s="12"/>
      <c r="B667" s="12"/>
      <c r="C667" s="12"/>
      <c r="D667" s="12"/>
    </row>
    <row r="668" spans="1:4" x14ac:dyDescent="0.25">
      <c r="A668" s="12"/>
      <c r="B668" s="12"/>
      <c r="C668" s="12"/>
      <c r="D668" s="12"/>
    </row>
    <row r="669" spans="1:4" x14ac:dyDescent="0.25">
      <c r="A669" s="12"/>
      <c r="B669" s="12"/>
      <c r="C669" s="12"/>
      <c r="D669" s="12"/>
    </row>
    <row r="670" spans="1:4" x14ac:dyDescent="0.25">
      <c r="A670" s="12"/>
      <c r="B670" s="12"/>
      <c r="C670" s="12"/>
      <c r="D670" s="12"/>
    </row>
    <row r="671" spans="1:4" x14ac:dyDescent="0.25">
      <c r="A671" s="12"/>
      <c r="B671" s="12"/>
      <c r="C671" s="12"/>
      <c r="D671" s="12"/>
    </row>
    <row r="672" spans="1:4" x14ac:dyDescent="0.25">
      <c r="A672" s="12"/>
      <c r="B672" s="12"/>
      <c r="C672" s="12"/>
      <c r="D672" s="12"/>
    </row>
    <row r="673" spans="1:4" x14ac:dyDescent="0.25">
      <c r="A673" s="12"/>
      <c r="B673" s="12"/>
      <c r="C673" s="12"/>
      <c r="D673" s="12"/>
    </row>
    <row r="674" spans="1:4" x14ac:dyDescent="0.25">
      <c r="A674" s="12"/>
      <c r="B674" s="12"/>
      <c r="C674" s="12"/>
      <c r="D674" s="12"/>
    </row>
    <row r="675" spans="1:4" x14ac:dyDescent="0.25">
      <c r="A675" s="12"/>
      <c r="B675" s="12"/>
      <c r="C675" s="12"/>
      <c r="D675" s="12"/>
    </row>
    <row r="676" spans="1:4" x14ac:dyDescent="0.25">
      <c r="A676" s="12"/>
      <c r="B676" s="12"/>
      <c r="C676" s="12"/>
      <c r="D676" s="12"/>
    </row>
    <row r="677" spans="1:4" x14ac:dyDescent="0.25">
      <c r="A677" s="12"/>
      <c r="B677" s="12"/>
      <c r="C677" s="12"/>
      <c r="D677" s="12"/>
    </row>
    <row r="678" spans="1:4" x14ac:dyDescent="0.25">
      <c r="A678" s="12"/>
      <c r="B678" s="12"/>
      <c r="C678" s="12"/>
      <c r="D678" s="12"/>
    </row>
    <row r="679" spans="1:4" x14ac:dyDescent="0.25">
      <c r="A679" s="12"/>
      <c r="B679" s="12"/>
      <c r="C679" s="12"/>
      <c r="D679" s="12"/>
    </row>
    <row r="680" spans="1:4" x14ac:dyDescent="0.25">
      <c r="A680" s="12"/>
      <c r="B680" s="12"/>
      <c r="C680" s="12"/>
      <c r="D680" s="12"/>
    </row>
    <row r="681" spans="1:4" x14ac:dyDescent="0.25">
      <c r="A681" s="12"/>
      <c r="B681" s="12"/>
      <c r="C681" s="12"/>
      <c r="D681" s="12"/>
    </row>
    <row r="682" spans="1:4" x14ac:dyDescent="0.25">
      <c r="A682" s="12"/>
      <c r="B682" s="12"/>
      <c r="C682" s="12"/>
      <c r="D682" s="12"/>
    </row>
    <row r="683" spans="1:4" x14ac:dyDescent="0.25">
      <c r="A683" s="12"/>
      <c r="B683" s="12"/>
      <c r="C683" s="12"/>
      <c r="D683" s="12"/>
    </row>
    <row r="684" spans="1:4" x14ac:dyDescent="0.25">
      <c r="A684" s="12"/>
      <c r="B684" s="12"/>
      <c r="C684" s="12"/>
      <c r="D684" s="12"/>
    </row>
    <row r="685" spans="1:4" x14ac:dyDescent="0.25">
      <c r="A685" s="12"/>
      <c r="B685" s="12"/>
      <c r="C685" s="12"/>
      <c r="D685" s="12"/>
    </row>
    <row r="686" spans="1:4" x14ac:dyDescent="0.25">
      <c r="A686" s="12"/>
      <c r="B686" s="12"/>
      <c r="C686" s="12"/>
      <c r="D686" s="12"/>
    </row>
    <row r="687" spans="1:4" x14ac:dyDescent="0.25">
      <c r="A687" s="12"/>
      <c r="B687" s="12"/>
      <c r="C687" s="12"/>
      <c r="D687" s="12"/>
    </row>
    <row r="688" spans="1:4" x14ac:dyDescent="0.25">
      <c r="A688" s="12"/>
      <c r="B688" s="12"/>
      <c r="C688" s="12"/>
      <c r="D688" s="12"/>
    </row>
    <row r="689" spans="1:4" x14ac:dyDescent="0.25">
      <c r="A689" s="12"/>
      <c r="B689" s="12"/>
      <c r="C689" s="12"/>
      <c r="D689" s="12"/>
    </row>
    <row r="690" spans="1:4" x14ac:dyDescent="0.25">
      <c r="A690" s="12"/>
      <c r="B690" s="12"/>
      <c r="C690" s="12"/>
      <c r="D690" s="12"/>
    </row>
    <row r="691" spans="1:4" x14ac:dyDescent="0.25">
      <c r="A691" s="12"/>
      <c r="B691" s="12"/>
      <c r="C691" s="12"/>
      <c r="D691" s="12"/>
    </row>
    <row r="692" spans="1:4" x14ac:dyDescent="0.25">
      <c r="A692" s="12"/>
      <c r="B692" s="12"/>
      <c r="C692" s="12"/>
      <c r="D692" s="12"/>
    </row>
    <row r="693" spans="1:4" x14ac:dyDescent="0.25">
      <c r="A693" s="12"/>
      <c r="B693" s="12"/>
      <c r="C693" s="12"/>
      <c r="D693" s="12"/>
    </row>
    <row r="696" spans="1:4" ht="20.25" x14ac:dyDescent="0.3">
      <c r="A696" s="26"/>
    </row>
    <row r="697" spans="1:4" x14ac:dyDescent="0.25">
      <c r="A697" s="13"/>
      <c r="B697" s="13"/>
      <c r="C697" s="13"/>
      <c r="D697" s="13"/>
    </row>
    <row r="698" spans="1:4" x14ac:dyDescent="0.25">
      <c r="A698" s="12"/>
      <c r="B698" s="12"/>
      <c r="C698" s="12"/>
      <c r="D698" s="12"/>
    </row>
    <row r="699" spans="1:4" x14ac:dyDescent="0.25">
      <c r="A699" s="12"/>
      <c r="B699" s="12"/>
      <c r="C699" s="12"/>
      <c r="D699" s="12"/>
    </row>
    <row r="700" spans="1:4" x14ac:dyDescent="0.25">
      <c r="A700" s="12"/>
      <c r="B700" s="12"/>
      <c r="C700" s="12"/>
      <c r="D700" s="12"/>
    </row>
    <row r="701" spans="1:4" x14ac:dyDescent="0.25">
      <c r="A701" s="12"/>
      <c r="B701" s="12"/>
      <c r="C701" s="12"/>
      <c r="D701" s="12"/>
    </row>
    <row r="702" spans="1:4" x14ac:dyDescent="0.25">
      <c r="A702" s="12"/>
      <c r="B702" s="12"/>
      <c r="C702" s="12"/>
      <c r="D702" s="12"/>
    </row>
    <row r="703" spans="1:4" x14ac:dyDescent="0.25">
      <c r="A703" s="12"/>
      <c r="B703" s="12"/>
      <c r="C703" s="12"/>
      <c r="D703" s="12"/>
    </row>
    <row r="704" spans="1:4" x14ac:dyDescent="0.25">
      <c r="A704" s="12"/>
      <c r="B704" s="12"/>
      <c r="C704" s="12"/>
      <c r="D704" s="12"/>
    </row>
    <row r="705" spans="1:4" x14ac:dyDescent="0.25">
      <c r="A705" s="12"/>
      <c r="B705" s="12"/>
      <c r="C705" s="12"/>
      <c r="D705" s="12"/>
    </row>
    <row r="706" spans="1:4" x14ac:dyDescent="0.25">
      <c r="A706" s="12"/>
      <c r="B706" s="12"/>
      <c r="C706" s="12"/>
      <c r="D706" s="12"/>
    </row>
    <row r="707" spans="1:4" x14ac:dyDescent="0.25">
      <c r="A707" s="12"/>
      <c r="B707" s="12"/>
      <c r="C707" s="12"/>
      <c r="D707" s="12"/>
    </row>
    <row r="708" spans="1:4" x14ac:dyDescent="0.25">
      <c r="A708" s="12"/>
      <c r="B708" s="12"/>
      <c r="C708" s="12"/>
      <c r="D708" s="12"/>
    </row>
    <row r="709" spans="1:4" x14ac:dyDescent="0.25">
      <c r="A709" s="12"/>
      <c r="B709" s="12"/>
      <c r="C709" s="12"/>
      <c r="D709" s="12"/>
    </row>
    <row r="710" spans="1:4" x14ac:dyDescent="0.25">
      <c r="A710" s="12"/>
      <c r="B710" s="12"/>
      <c r="C710" s="12"/>
      <c r="D710" s="12"/>
    </row>
    <row r="711" spans="1:4" x14ac:dyDescent="0.25">
      <c r="A711" s="12"/>
      <c r="B711" s="12"/>
      <c r="C711" s="12"/>
      <c r="D711" s="12"/>
    </row>
    <row r="712" spans="1:4" x14ac:dyDescent="0.25">
      <c r="A712" s="12"/>
      <c r="B712" s="12"/>
      <c r="C712" s="12"/>
      <c r="D712" s="12"/>
    </row>
    <row r="713" spans="1:4" x14ac:dyDescent="0.25">
      <c r="A713" s="12"/>
      <c r="B713" s="12"/>
      <c r="C713" s="12"/>
      <c r="D713" s="12"/>
    </row>
    <row r="714" spans="1:4" x14ac:dyDescent="0.25">
      <c r="A714" s="12"/>
      <c r="B714" s="12"/>
      <c r="C714" s="12"/>
      <c r="D714" s="12"/>
    </row>
    <row r="715" spans="1:4" x14ac:dyDescent="0.25">
      <c r="A715" s="12"/>
      <c r="B715" s="12"/>
      <c r="C715" s="12"/>
      <c r="D715" s="12"/>
    </row>
    <row r="716" spans="1:4" x14ac:dyDescent="0.25">
      <c r="A716" s="12"/>
      <c r="B716" s="12"/>
      <c r="C716" s="12"/>
      <c r="D716" s="12"/>
    </row>
    <row r="717" spans="1:4" x14ac:dyDescent="0.25">
      <c r="A717" s="12"/>
      <c r="B717" s="12"/>
      <c r="C717" s="12"/>
      <c r="D717" s="12"/>
    </row>
    <row r="718" spans="1:4" x14ac:dyDescent="0.25">
      <c r="A718" s="12"/>
      <c r="B718" s="12"/>
      <c r="C718" s="12"/>
      <c r="D718" s="12"/>
    </row>
    <row r="719" spans="1:4" x14ac:dyDescent="0.25">
      <c r="A719" s="12"/>
      <c r="B719" s="12"/>
      <c r="C719" s="12"/>
      <c r="D719" s="12"/>
    </row>
    <row r="720" spans="1:4" x14ac:dyDescent="0.25">
      <c r="A720" s="12"/>
      <c r="B720" s="12"/>
      <c r="C720" s="12"/>
      <c r="D720" s="12"/>
    </row>
    <row r="721" spans="1:4" x14ac:dyDescent="0.25">
      <c r="A721" s="12"/>
      <c r="B721" s="12"/>
      <c r="C721" s="12"/>
      <c r="D721" s="12"/>
    </row>
    <row r="722" spans="1:4" x14ac:dyDescent="0.25">
      <c r="A722" s="12"/>
      <c r="B722" s="12"/>
      <c r="C722" s="12"/>
      <c r="D722" s="12"/>
    </row>
    <row r="723" spans="1:4" x14ac:dyDescent="0.25">
      <c r="A723" s="12"/>
      <c r="B723" s="12"/>
      <c r="C723" s="12"/>
      <c r="D723" s="12"/>
    </row>
    <row r="724" spans="1:4" x14ac:dyDescent="0.25">
      <c r="A724" s="12"/>
      <c r="B724" s="12"/>
      <c r="C724" s="12"/>
      <c r="D724" s="12"/>
    </row>
    <row r="725" spans="1:4" x14ac:dyDescent="0.25">
      <c r="A725" s="12"/>
      <c r="B725" s="12"/>
      <c r="C725" s="12"/>
      <c r="D725" s="12"/>
    </row>
    <row r="726" spans="1:4" x14ac:dyDescent="0.25">
      <c r="A726" s="12"/>
      <c r="B726" s="12"/>
      <c r="C726" s="12"/>
      <c r="D726" s="12"/>
    </row>
    <row r="727" spans="1:4" x14ac:dyDescent="0.25">
      <c r="A727" s="12"/>
      <c r="B727" s="12"/>
      <c r="C727" s="12"/>
      <c r="D727" s="12"/>
    </row>
    <row r="728" spans="1:4" x14ac:dyDescent="0.25">
      <c r="A728" s="12"/>
      <c r="B728" s="12"/>
      <c r="C728" s="12"/>
      <c r="D728" s="12"/>
    </row>
    <row r="729" spans="1:4" x14ac:dyDescent="0.25">
      <c r="A729" s="12"/>
      <c r="B729" s="12"/>
      <c r="C729" s="12"/>
      <c r="D729" s="12"/>
    </row>
    <row r="730" spans="1:4" x14ac:dyDescent="0.25">
      <c r="A730" s="12"/>
      <c r="B730" s="12"/>
      <c r="C730" s="12"/>
      <c r="D730" s="12"/>
    </row>
    <row r="731" spans="1:4" x14ac:dyDescent="0.25">
      <c r="A731" s="12"/>
      <c r="B731" s="12"/>
      <c r="C731" s="12"/>
      <c r="D731" s="12"/>
    </row>
    <row r="732" spans="1:4" x14ac:dyDescent="0.25">
      <c r="A732" s="12"/>
      <c r="B732" s="12"/>
      <c r="C732" s="12"/>
      <c r="D732" s="12"/>
    </row>
    <row r="733" spans="1:4" x14ac:dyDescent="0.25">
      <c r="A733" s="12"/>
      <c r="B733" s="12"/>
      <c r="C733" s="12"/>
      <c r="D733" s="12"/>
    </row>
    <row r="734" spans="1:4" x14ac:dyDescent="0.25">
      <c r="A734" s="12"/>
      <c r="B734" s="12"/>
      <c r="C734" s="12"/>
      <c r="D734" s="12"/>
    </row>
    <row r="735" spans="1:4" x14ac:dyDescent="0.25">
      <c r="A735" s="12"/>
      <c r="B735" s="12"/>
      <c r="C735" s="12"/>
      <c r="D735" s="12"/>
    </row>
    <row r="736" spans="1:4" x14ac:dyDescent="0.25">
      <c r="A736" s="12"/>
      <c r="B736" s="12"/>
      <c r="C736" s="12"/>
      <c r="D736" s="12"/>
    </row>
    <row r="737" spans="1:4" x14ac:dyDescent="0.25">
      <c r="A737" s="12"/>
      <c r="B737" s="12"/>
      <c r="C737" s="12"/>
      <c r="D737" s="12"/>
    </row>
    <row r="738" spans="1:4" x14ac:dyDescent="0.25">
      <c r="A738" s="12"/>
      <c r="B738" s="12"/>
      <c r="C738" s="12"/>
      <c r="D738" s="12"/>
    </row>
    <row r="739" spans="1:4" x14ac:dyDescent="0.25">
      <c r="A739" s="12"/>
      <c r="B739" s="12"/>
      <c r="C739" s="12"/>
      <c r="D739" s="12"/>
    </row>
    <row r="740" spans="1:4" x14ac:dyDescent="0.25">
      <c r="A740" s="12"/>
      <c r="B740" s="12"/>
      <c r="C740" s="12"/>
      <c r="D740" s="12"/>
    </row>
    <row r="741" spans="1:4" x14ac:dyDescent="0.25">
      <c r="A741" s="12"/>
      <c r="B741" s="12"/>
      <c r="C741" s="12"/>
      <c r="D741" s="12"/>
    </row>
    <row r="742" spans="1:4" x14ac:dyDescent="0.25">
      <c r="A742" s="12"/>
      <c r="B742" s="12"/>
      <c r="C742" s="12"/>
      <c r="D742" s="12"/>
    </row>
    <row r="743" spans="1:4" x14ac:dyDescent="0.25">
      <c r="A743" s="12"/>
      <c r="B743" s="12"/>
      <c r="C743" s="12"/>
      <c r="D743" s="12"/>
    </row>
    <row r="744" spans="1:4" x14ac:dyDescent="0.25">
      <c r="A744" s="12"/>
      <c r="B744" s="12"/>
      <c r="C744" s="12"/>
      <c r="D744" s="12"/>
    </row>
    <row r="745" spans="1:4" x14ac:dyDescent="0.25">
      <c r="A745" s="12"/>
      <c r="B745" s="12"/>
      <c r="C745" s="12"/>
      <c r="D745" s="12"/>
    </row>
    <row r="746" spans="1:4" x14ac:dyDescent="0.25">
      <c r="A746" s="12"/>
      <c r="B746" s="12"/>
      <c r="C746" s="12"/>
      <c r="D746" s="12"/>
    </row>
    <row r="747" spans="1:4" x14ac:dyDescent="0.25">
      <c r="A747" s="12"/>
      <c r="B747" s="12"/>
      <c r="C747" s="12"/>
      <c r="D747" s="12"/>
    </row>
    <row r="748" spans="1:4" x14ac:dyDescent="0.25">
      <c r="A748" s="12"/>
      <c r="B748" s="12"/>
      <c r="C748" s="12"/>
      <c r="D748" s="12"/>
    </row>
    <row r="749" spans="1:4" x14ac:dyDescent="0.25">
      <c r="A749" s="12"/>
      <c r="B749" s="12"/>
      <c r="C749" s="12"/>
      <c r="D749" s="12"/>
    </row>
    <row r="750" spans="1:4" x14ac:dyDescent="0.25">
      <c r="A750" s="12"/>
      <c r="B750" s="12"/>
      <c r="C750" s="12"/>
      <c r="D750" s="12"/>
    </row>
    <row r="751" spans="1:4" x14ac:dyDescent="0.25">
      <c r="A751" s="12"/>
      <c r="B751" s="12"/>
      <c r="C751" s="12"/>
      <c r="D751" s="12"/>
    </row>
    <row r="752" spans="1:4" x14ac:dyDescent="0.25">
      <c r="A752" s="12"/>
      <c r="B752" s="12"/>
      <c r="C752" s="12"/>
      <c r="D752" s="12"/>
    </row>
    <row r="753" spans="1:4" x14ac:dyDescent="0.25">
      <c r="A753" s="12"/>
      <c r="B753" s="12"/>
      <c r="C753" s="12"/>
      <c r="D753" s="12"/>
    </row>
    <row r="754" spans="1:4" x14ac:dyDescent="0.25">
      <c r="A754" s="12"/>
      <c r="B754" s="12"/>
      <c r="C754" s="12"/>
      <c r="D754" s="12"/>
    </row>
    <row r="755" spans="1:4" x14ac:dyDescent="0.25">
      <c r="A755" s="12"/>
      <c r="B755" s="12"/>
      <c r="C755" s="12"/>
      <c r="D755" s="12"/>
    </row>
    <row r="756" spans="1:4" x14ac:dyDescent="0.25">
      <c r="A756" s="12"/>
      <c r="B756" s="12"/>
      <c r="C756" s="12"/>
      <c r="D756" s="12"/>
    </row>
    <row r="757" spans="1:4" x14ac:dyDescent="0.25">
      <c r="A757" s="12"/>
      <c r="B757" s="12"/>
      <c r="C757" s="12"/>
      <c r="D757" s="12"/>
    </row>
    <row r="758" spans="1:4" x14ac:dyDescent="0.25">
      <c r="A758" s="12"/>
      <c r="B758" s="12"/>
      <c r="C758" s="12"/>
      <c r="D758" s="12"/>
    </row>
    <row r="759" spans="1:4" x14ac:dyDescent="0.25">
      <c r="A759" s="12"/>
      <c r="B759" s="12"/>
      <c r="C759" s="12"/>
      <c r="D759" s="12"/>
    </row>
    <row r="760" spans="1:4" x14ac:dyDescent="0.25">
      <c r="A760" s="12"/>
      <c r="B760" s="12"/>
      <c r="C760" s="12"/>
      <c r="D760" s="12"/>
    </row>
    <row r="761" spans="1:4" x14ac:dyDescent="0.25">
      <c r="A761" s="12"/>
      <c r="B761" s="12"/>
      <c r="C761" s="12"/>
      <c r="D761" s="12"/>
    </row>
    <row r="762" spans="1:4" x14ac:dyDescent="0.25">
      <c r="A762" s="12"/>
      <c r="B762" s="12"/>
      <c r="C762" s="12"/>
      <c r="D762" s="12"/>
    </row>
    <row r="763" spans="1:4" x14ac:dyDescent="0.25">
      <c r="A763" s="12"/>
      <c r="B763" s="12"/>
      <c r="C763" s="12"/>
      <c r="D763" s="12"/>
    </row>
    <row r="764" spans="1:4" x14ac:dyDescent="0.25">
      <c r="A764" s="12"/>
      <c r="B764" s="12"/>
      <c r="C764" s="12"/>
      <c r="D764" s="12"/>
    </row>
    <row r="765" spans="1:4" x14ac:dyDescent="0.25">
      <c r="A765" s="12"/>
      <c r="B765" s="12"/>
      <c r="C765" s="12"/>
      <c r="D765" s="12"/>
    </row>
    <row r="766" spans="1:4" x14ac:dyDescent="0.25">
      <c r="A766" s="12"/>
      <c r="B766" s="12"/>
      <c r="C766" s="12"/>
      <c r="D766" s="12"/>
    </row>
    <row r="767" spans="1:4" x14ac:dyDescent="0.25">
      <c r="A767" s="12"/>
      <c r="B767" s="12"/>
      <c r="C767" s="12"/>
      <c r="D767" s="12"/>
    </row>
    <row r="768" spans="1:4" x14ac:dyDescent="0.25">
      <c r="A768" s="12"/>
      <c r="B768" s="12"/>
      <c r="C768" s="12"/>
      <c r="D768" s="12"/>
    </row>
    <row r="769" spans="1:4" x14ac:dyDescent="0.25">
      <c r="A769" s="12"/>
      <c r="B769" s="12"/>
      <c r="C769" s="12"/>
      <c r="D769" s="12"/>
    </row>
    <row r="770" spans="1:4" x14ac:dyDescent="0.25">
      <c r="A770" s="12"/>
      <c r="B770" s="12"/>
      <c r="C770" s="12"/>
      <c r="D770" s="12"/>
    </row>
    <row r="771" spans="1:4" x14ac:dyDescent="0.25">
      <c r="A771" s="12"/>
      <c r="B771" s="12"/>
      <c r="C771" s="12"/>
      <c r="D771" s="12"/>
    </row>
    <row r="772" spans="1:4" x14ac:dyDescent="0.25">
      <c r="A772" s="12"/>
      <c r="B772" s="12"/>
      <c r="C772" s="12"/>
      <c r="D772" s="12"/>
    </row>
    <row r="773" spans="1:4" x14ac:dyDescent="0.25">
      <c r="A773" s="12"/>
      <c r="B773" s="12"/>
      <c r="C773" s="12"/>
      <c r="D773" s="12"/>
    </row>
    <row r="774" spans="1:4" x14ac:dyDescent="0.25">
      <c r="A774" s="12"/>
      <c r="B774" s="12"/>
      <c r="C774" s="12"/>
      <c r="D774" s="12"/>
    </row>
    <row r="775" spans="1:4" x14ac:dyDescent="0.25">
      <c r="A775" s="12"/>
      <c r="B775" s="12"/>
      <c r="C775" s="12"/>
      <c r="D775" s="12"/>
    </row>
    <row r="776" spans="1:4" x14ac:dyDescent="0.25">
      <c r="A776" s="12"/>
      <c r="B776" s="12"/>
      <c r="C776" s="12"/>
      <c r="D776" s="12"/>
    </row>
    <row r="777" spans="1:4" x14ac:dyDescent="0.25">
      <c r="A777" s="12"/>
      <c r="B777" s="12"/>
      <c r="C777" s="12"/>
      <c r="D777" s="12"/>
    </row>
    <row r="778" spans="1:4" x14ac:dyDescent="0.25">
      <c r="A778" s="12"/>
      <c r="B778" s="12"/>
      <c r="C778" s="12"/>
      <c r="D778" s="12"/>
    </row>
    <row r="779" spans="1:4" x14ac:dyDescent="0.25">
      <c r="A779" s="12"/>
      <c r="B779" s="12"/>
      <c r="C779" s="12"/>
      <c r="D779" s="12"/>
    </row>
    <row r="780" spans="1:4" x14ac:dyDescent="0.25">
      <c r="A780" s="12"/>
      <c r="B780" s="12"/>
      <c r="C780" s="12"/>
      <c r="D780" s="12"/>
    </row>
    <row r="781" spans="1:4" x14ac:dyDescent="0.25">
      <c r="A781" s="12"/>
      <c r="B781" s="12"/>
      <c r="C781" s="12"/>
      <c r="D781" s="12"/>
    </row>
    <row r="782" spans="1:4" x14ac:dyDescent="0.25">
      <c r="A782" s="12"/>
      <c r="B782" s="12"/>
      <c r="C782" s="12"/>
      <c r="D782" s="12"/>
    </row>
    <row r="783" spans="1:4" x14ac:dyDescent="0.25">
      <c r="A783" s="12"/>
      <c r="B783" s="12"/>
      <c r="C783" s="12"/>
      <c r="D783" s="12"/>
    </row>
    <row r="784" spans="1:4" x14ac:dyDescent="0.25">
      <c r="A784" s="12"/>
      <c r="B784" s="12"/>
      <c r="C784" s="12"/>
      <c r="D784" s="12"/>
    </row>
    <row r="785" spans="1:4" x14ac:dyDescent="0.25">
      <c r="A785" s="12"/>
      <c r="B785" s="12"/>
      <c r="C785" s="12"/>
      <c r="D785" s="12"/>
    </row>
    <row r="786" spans="1:4" x14ac:dyDescent="0.25">
      <c r="A786" s="12"/>
      <c r="B786" s="12"/>
      <c r="C786" s="12"/>
      <c r="D786" s="12"/>
    </row>
    <row r="787" spans="1:4" x14ac:dyDescent="0.25">
      <c r="A787" s="12"/>
      <c r="B787" s="12"/>
      <c r="C787" s="12"/>
      <c r="D787" s="12"/>
    </row>
    <row r="788" spans="1:4" x14ac:dyDescent="0.25">
      <c r="A788" s="12"/>
      <c r="B788" s="12"/>
      <c r="C788" s="12"/>
      <c r="D788" s="12"/>
    </row>
    <row r="789" spans="1:4" x14ac:dyDescent="0.25">
      <c r="A789" s="12"/>
      <c r="B789" s="12"/>
      <c r="C789" s="12"/>
      <c r="D789" s="12"/>
    </row>
    <row r="790" spans="1:4" x14ac:dyDescent="0.25">
      <c r="A790" s="12"/>
      <c r="B790" s="12"/>
      <c r="C790" s="12"/>
      <c r="D790" s="12"/>
    </row>
    <row r="791" spans="1:4" x14ac:dyDescent="0.25">
      <c r="A791" s="12"/>
      <c r="B791" s="12"/>
      <c r="C791" s="12"/>
      <c r="D791" s="12"/>
    </row>
    <row r="792" spans="1:4" x14ac:dyDescent="0.25">
      <c r="A792" s="12"/>
      <c r="B792" s="12"/>
      <c r="C792" s="12"/>
      <c r="D792" s="12"/>
    </row>
    <row r="793" spans="1:4" x14ac:dyDescent="0.25">
      <c r="A793" s="12"/>
      <c r="B793" s="12"/>
      <c r="C793" s="12"/>
      <c r="D793" s="12"/>
    </row>
    <row r="794" spans="1:4" x14ac:dyDescent="0.25">
      <c r="A794" s="12"/>
      <c r="B794" s="12"/>
      <c r="C794" s="12"/>
      <c r="D794" s="12"/>
    </row>
    <row r="795" spans="1:4" x14ac:dyDescent="0.25">
      <c r="A795" s="12"/>
      <c r="B795" s="12"/>
      <c r="C795" s="12"/>
      <c r="D795" s="12"/>
    </row>
    <row r="796" spans="1:4" x14ac:dyDescent="0.25">
      <c r="A796" s="12"/>
      <c r="B796" s="12"/>
      <c r="C796" s="12"/>
      <c r="D796" s="12"/>
    </row>
    <row r="797" spans="1:4" x14ac:dyDescent="0.25">
      <c r="A797" s="12"/>
      <c r="B797" s="12"/>
      <c r="C797" s="12"/>
      <c r="D797" s="12"/>
    </row>
    <row r="800" spans="1:4" ht="23.25" x14ac:dyDescent="0.35">
      <c r="A800" s="25"/>
    </row>
    <row r="801" spans="1:2" ht="20.25" x14ac:dyDescent="0.3">
      <c r="A801" s="26"/>
    </row>
    <row r="802" spans="1:2" x14ac:dyDescent="0.25">
      <c r="A802" s="13"/>
      <c r="B802" s="13"/>
    </row>
    <row r="803" spans="1:2" x14ac:dyDescent="0.25">
      <c r="A803" s="12"/>
      <c r="B803" s="12"/>
    </row>
    <row r="804" spans="1:2" x14ac:dyDescent="0.25">
      <c r="A804" s="12"/>
      <c r="B804" s="12"/>
    </row>
    <row r="805" spans="1:2" x14ac:dyDescent="0.25">
      <c r="A805" s="12"/>
      <c r="B805" s="12"/>
    </row>
    <row r="806" spans="1:2" x14ac:dyDescent="0.25">
      <c r="A806" s="12"/>
      <c r="B806" s="12"/>
    </row>
    <row r="807" spans="1:2" x14ac:dyDescent="0.25">
      <c r="A807" s="12"/>
      <c r="B807" s="12"/>
    </row>
    <row r="808" spans="1:2" x14ac:dyDescent="0.25">
      <c r="A808" s="12"/>
      <c r="B808" s="12"/>
    </row>
    <row r="809" spans="1:2" x14ac:dyDescent="0.25">
      <c r="A809" s="12"/>
      <c r="B809" s="12"/>
    </row>
    <row r="810" spans="1:2" x14ac:dyDescent="0.25">
      <c r="A810" s="12"/>
      <c r="B810" s="12"/>
    </row>
    <row r="811" spans="1:2" x14ac:dyDescent="0.25">
      <c r="A811" s="12"/>
      <c r="B811" s="12"/>
    </row>
    <row r="812" spans="1:2" x14ac:dyDescent="0.25">
      <c r="A812" s="12"/>
      <c r="B812" s="12"/>
    </row>
    <row r="813" spans="1:2" x14ac:dyDescent="0.25">
      <c r="A813" s="12"/>
      <c r="B813" s="12"/>
    </row>
    <row r="814" spans="1:2" x14ac:dyDescent="0.25">
      <c r="A814" s="12"/>
      <c r="B814" s="12"/>
    </row>
    <row r="815" spans="1:2" x14ac:dyDescent="0.25">
      <c r="A815" s="12"/>
      <c r="B815" s="12"/>
    </row>
    <row r="816" spans="1:2" x14ac:dyDescent="0.25">
      <c r="A816" s="12"/>
      <c r="B816" s="12"/>
    </row>
    <row r="817" spans="1:2" x14ac:dyDescent="0.25">
      <c r="A817" s="12"/>
      <c r="B817" s="12"/>
    </row>
    <row r="818" spans="1:2" x14ac:dyDescent="0.25">
      <c r="A818" s="12"/>
      <c r="B818" s="12"/>
    </row>
    <row r="819" spans="1:2" x14ac:dyDescent="0.25">
      <c r="A819" s="12"/>
      <c r="B819" s="12"/>
    </row>
    <row r="820" spans="1:2" x14ac:dyDescent="0.25">
      <c r="A820" s="12"/>
      <c r="B820" s="12"/>
    </row>
    <row r="821" spans="1:2" x14ac:dyDescent="0.25">
      <c r="A821" s="12"/>
      <c r="B821" s="12"/>
    </row>
    <row r="822" spans="1:2" x14ac:dyDescent="0.25">
      <c r="A822" s="12"/>
      <c r="B822" s="12"/>
    </row>
    <row r="823" spans="1:2" x14ac:dyDescent="0.25">
      <c r="A823" s="12"/>
      <c r="B823" s="12"/>
    </row>
    <row r="824" spans="1:2" x14ac:dyDescent="0.25">
      <c r="A824" s="12"/>
      <c r="B824" s="12"/>
    </row>
    <row r="825" spans="1:2" x14ac:dyDescent="0.25">
      <c r="A825" s="12"/>
      <c r="B825" s="12"/>
    </row>
    <row r="826" spans="1:2" x14ac:dyDescent="0.25">
      <c r="A826" s="12"/>
      <c r="B826" s="12"/>
    </row>
    <row r="827" spans="1:2" x14ac:dyDescent="0.25">
      <c r="A827" s="12"/>
      <c r="B827" s="12"/>
    </row>
    <row r="828" spans="1:2" x14ac:dyDescent="0.25">
      <c r="A828" s="12"/>
      <c r="B828" s="12"/>
    </row>
    <row r="829" spans="1:2" x14ac:dyDescent="0.25">
      <c r="A829" s="12"/>
      <c r="B829" s="12"/>
    </row>
    <row r="830" spans="1:2" x14ac:dyDescent="0.25">
      <c r="A830" s="12"/>
      <c r="B830" s="12"/>
    </row>
    <row r="831" spans="1:2" x14ac:dyDescent="0.25">
      <c r="A831" s="12"/>
      <c r="B831" s="12"/>
    </row>
    <row r="832" spans="1:2" x14ac:dyDescent="0.25">
      <c r="A832" s="12"/>
      <c r="B832" s="12"/>
    </row>
    <row r="833" spans="1:2" x14ac:dyDescent="0.25">
      <c r="A833" s="12"/>
      <c r="B833" s="12"/>
    </row>
    <row r="834" spans="1:2" x14ac:dyDescent="0.25">
      <c r="A834" s="12"/>
      <c r="B834" s="12"/>
    </row>
    <row r="835" spans="1:2" x14ac:dyDescent="0.25">
      <c r="A835" s="12"/>
      <c r="B835" s="12"/>
    </row>
    <row r="836" spans="1:2" x14ac:dyDescent="0.25">
      <c r="A836" s="12"/>
      <c r="B836" s="12"/>
    </row>
    <row r="837" spans="1:2" x14ac:dyDescent="0.25">
      <c r="A837" s="12"/>
      <c r="B837" s="12"/>
    </row>
    <row r="838" spans="1:2" x14ac:dyDescent="0.25">
      <c r="A838" s="12"/>
      <c r="B838" s="12"/>
    </row>
    <row r="839" spans="1:2" x14ac:dyDescent="0.25">
      <c r="A839" s="12"/>
      <c r="B839" s="12"/>
    </row>
    <row r="840" spans="1:2" x14ac:dyDescent="0.25">
      <c r="A840" s="12"/>
      <c r="B840" s="12"/>
    </row>
    <row r="841" spans="1:2" x14ac:dyDescent="0.25">
      <c r="A841" s="12"/>
      <c r="B841" s="12"/>
    </row>
    <row r="842" spans="1:2" x14ac:dyDescent="0.25">
      <c r="A842" s="12"/>
      <c r="B842" s="12"/>
    </row>
    <row r="843" spans="1:2" x14ac:dyDescent="0.25">
      <c r="A843" s="12"/>
      <c r="B843" s="12"/>
    </row>
    <row r="844" spans="1:2" x14ac:dyDescent="0.25">
      <c r="A844" s="12"/>
      <c r="B844" s="12"/>
    </row>
    <row r="845" spans="1:2" x14ac:dyDescent="0.25">
      <c r="A845" s="12"/>
      <c r="B845" s="12"/>
    </row>
    <row r="846" spans="1:2" x14ac:dyDescent="0.25">
      <c r="A846" s="12"/>
      <c r="B846" s="12"/>
    </row>
    <row r="847" spans="1:2" x14ac:dyDescent="0.25">
      <c r="A847" s="12"/>
      <c r="B847" s="12"/>
    </row>
    <row r="848" spans="1:2" x14ac:dyDescent="0.25">
      <c r="A848" s="12"/>
      <c r="B848" s="12"/>
    </row>
    <row r="849" spans="1:2" x14ac:dyDescent="0.25">
      <c r="A849" s="12"/>
      <c r="B849" s="12"/>
    </row>
    <row r="850" spans="1:2" x14ac:dyDescent="0.25">
      <c r="A850" s="12"/>
      <c r="B850" s="12"/>
    </row>
    <row r="851" spans="1:2" x14ac:dyDescent="0.25">
      <c r="A851" s="12"/>
      <c r="B851" s="12"/>
    </row>
    <row r="852" spans="1:2" x14ac:dyDescent="0.25">
      <c r="A852" s="12"/>
      <c r="B852" s="12"/>
    </row>
    <row r="853" spans="1:2" x14ac:dyDescent="0.25">
      <c r="A853" s="12"/>
      <c r="B853" s="12"/>
    </row>
    <row r="854" spans="1:2" x14ac:dyDescent="0.25">
      <c r="A854" s="12"/>
      <c r="B854" s="12"/>
    </row>
    <row r="855" spans="1:2" x14ac:dyDescent="0.25">
      <c r="A855" s="12"/>
      <c r="B855" s="12"/>
    </row>
    <row r="856" spans="1:2" x14ac:dyDescent="0.25">
      <c r="A856" s="12"/>
      <c r="B856" s="12"/>
    </row>
    <row r="857" spans="1:2" x14ac:dyDescent="0.25">
      <c r="A857" s="12"/>
      <c r="B857" s="12"/>
    </row>
    <row r="858" spans="1:2" x14ac:dyDescent="0.25">
      <c r="A858" s="12"/>
      <c r="B858" s="12"/>
    </row>
    <row r="859" spans="1:2" x14ac:dyDescent="0.25">
      <c r="A859" s="12"/>
      <c r="B859" s="12"/>
    </row>
    <row r="860" spans="1:2" x14ac:dyDescent="0.25">
      <c r="A860" s="12"/>
      <c r="B860" s="12"/>
    </row>
    <row r="861" spans="1:2" x14ac:dyDescent="0.25">
      <c r="A861" s="12"/>
      <c r="B861" s="12"/>
    </row>
    <row r="862" spans="1:2" x14ac:dyDescent="0.25">
      <c r="A862" s="12"/>
      <c r="B862" s="12"/>
    </row>
    <row r="863" spans="1:2" x14ac:dyDescent="0.25">
      <c r="A863" s="12"/>
      <c r="B863" s="12"/>
    </row>
    <row r="864" spans="1:2" x14ac:dyDescent="0.25">
      <c r="A864" s="12"/>
      <c r="B864" s="12"/>
    </row>
    <row r="865" spans="1:2" x14ac:dyDescent="0.25">
      <c r="A865" s="12"/>
      <c r="B865" s="12"/>
    </row>
    <row r="866" spans="1:2" x14ac:dyDescent="0.25">
      <c r="A866" s="12"/>
      <c r="B866" s="12"/>
    </row>
    <row r="867" spans="1:2" x14ac:dyDescent="0.25">
      <c r="A867" s="12"/>
      <c r="B867" s="12"/>
    </row>
    <row r="868" spans="1:2" x14ac:dyDescent="0.25">
      <c r="A868" s="12"/>
      <c r="B868" s="12"/>
    </row>
    <row r="869" spans="1:2" x14ac:dyDescent="0.25">
      <c r="A869" s="12"/>
      <c r="B869" s="12"/>
    </row>
    <row r="870" spans="1:2" x14ac:dyDescent="0.25">
      <c r="A870" s="12"/>
      <c r="B870" s="12"/>
    </row>
    <row r="871" spans="1:2" x14ac:dyDescent="0.25">
      <c r="A871" s="12"/>
      <c r="B871" s="12"/>
    </row>
    <row r="872" spans="1:2" x14ac:dyDescent="0.25">
      <c r="A872" s="12"/>
      <c r="B872" s="12"/>
    </row>
    <row r="873" spans="1:2" x14ac:dyDescent="0.25">
      <c r="A873" s="12"/>
      <c r="B873" s="12"/>
    </row>
    <row r="874" spans="1:2" x14ac:dyDescent="0.25">
      <c r="A874" s="12"/>
      <c r="B874" s="12"/>
    </row>
    <row r="875" spans="1:2" x14ac:dyDescent="0.25">
      <c r="A875" s="12"/>
      <c r="B875" s="12"/>
    </row>
    <row r="876" spans="1:2" x14ac:dyDescent="0.25">
      <c r="A876" s="12"/>
      <c r="B876" s="12"/>
    </row>
    <row r="877" spans="1:2" x14ac:dyDescent="0.25">
      <c r="A877" s="12"/>
      <c r="B877" s="12"/>
    </row>
    <row r="878" spans="1:2" x14ac:dyDescent="0.25">
      <c r="A878" s="12"/>
      <c r="B878" s="12"/>
    </row>
    <row r="879" spans="1:2" x14ac:dyDescent="0.25">
      <c r="A879" s="12"/>
      <c r="B879" s="12"/>
    </row>
    <row r="880" spans="1:2" x14ac:dyDescent="0.25">
      <c r="A880" s="12"/>
      <c r="B880" s="12"/>
    </row>
    <row r="881" spans="1:2" x14ac:dyDescent="0.25">
      <c r="A881" s="12"/>
      <c r="B881" s="12"/>
    </row>
    <row r="882" spans="1:2" x14ac:dyDescent="0.25">
      <c r="A882" s="12"/>
      <c r="B882" s="12"/>
    </row>
    <row r="883" spans="1:2" x14ac:dyDescent="0.25">
      <c r="A883" s="12"/>
      <c r="B883" s="12"/>
    </row>
    <row r="884" spans="1:2" x14ac:dyDescent="0.25">
      <c r="A884" s="12"/>
      <c r="B884" s="12"/>
    </row>
    <row r="885" spans="1:2" x14ac:dyDescent="0.25">
      <c r="A885" s="12"/>
      <c r="B885" s="12"/>
    </row>
    <row r="886" spans="1:2" x14ac:dyDescent="0.25">
      <c r="A886" s="12"/>
      <c r="B886" s="12"/>
    </row>
    <row r="887" spans="1:2" x14ac:dyDescent="0.25">
      <c r="A887" s="12"/>
      <c r="B887" s="12"/>
    </row>
    <row r="888" spans="1:2" x14ac:dyDescent="0.25">
      <c r="A888" s="12"/>
      <c r="B888" s="12"/>
    </row>
    <row r="889" spans="1:2" x14ac:dyDescent="0.25">
      <c r="A889" s="12"/>
      <c r="B889" s="12"/>
    </row>
    <row r="890" spans="1:2" x14ac:dyDescent="0.25">
      <c r="A890" s="12"/>
      <c r="B890" s="12"/>
    </row>
    <row r="891" spans="1:2" x14ac:dyDescent="0.25">
      <c r="A891" s="12"/>
      <c r="B891" s="12"/>
    </row>
    <row r="892" spans="1:2" x14ac:dyDescent="0.25">
      <c r="A892" s="12"/>
      <c r="B892" s="12"/>
    </row>
    <row r="893" spans="1:2" x14ac:dyDescent="0.25">
      <c r="A893" s="12"/>
      <c r="B893" s="12"/>
    </row>
    <row r="894" spans="1:2" x14ac:dyDescent="0.25">
      <c r="A894" s="12"/>
      <c r="B894" s="12"/>
    </row>
    <row r="895" spans="1:2" x14ac:dyDescent="0.25">
      <c r="A895" s="12"/>
      <c r="B895" s="12"/>
    </row>
    <row r="896" spans="1:2" x14ac:dyDescent="0.25">
      <c r="A896" s="12"/>
      <c r="B896" s="12"/>
    </row>
    <row r="897" spans="1:2" x14ac:dyDescent="0.25">
      <c r="A897" s="12"/>
      <c r="B897" s="12"/>
    </row>
    <row r="898" spans="1:2" x14ac:dyDescent="0.25">
      <c r="A898" s="12"/>
      <c r="B898" s="12"/>
    </row>
    <row r="899" spans="1:2" x14ac:dyDescent="0.25">
      <c r="A899" s="12"/>
      <c r="B899" s="12"/>
    </row>
    <row r="900" spans="1:2" x14ac:dyDescent="0.25">
      <c r="A900" s="12"/>
      <c r="B900" s="12"/>
    </row>
    <row r="901" spans="1:2" x14ac:dyDescent="0.25">
      <c r="A901" s="12"/>
      <c r="B901" s="12"/>
    </row>
    <row r="902" spans="1:2" x14ac:dyDescent="0.25">
      <c r="A902" s="12"/>
      <c r="B902" s="12"/>
    </row>
    <row r="903" spans="1:2" x14ac:dyDescent="0.25">
      <c r="A903" s="12"/>
      <c r="B903" s="12"/>
    </row>
    <row r="904" spans="1:2" x14ac:dyDescent="0.25">
      <c r="A904" s="12"/>
      <c r="B904" s="12"/>
    </row>
    <row r="905" spans="1:2" x14ac:dyDescent="0.25">
      <c r="A905" s="12"/>
      <c r="B905" s="12"/>
    </row>
    <row r="906" spans="1:2" x14ac:dyDescent="0.25">
      <c r="A906" s="12"/>
      <c r="B906" s="12"/>
    </row>
    <row r="907" spans="1:2" x14ac:dyDescent="0.25">
      <c r="A907" s="12"/>
      <c r="B907" s="12"/>
    </row>
    <row r="908" spans="1:2" x14ac:dyDescent="0.25">
      <c r="A908" s="12"/>
      <c r="B908" s="12"/>
    </row>
    <row r="909" spans="1:2" x14ac:dyDescent="0.25">
      <c r="A909" s="12"/>
      <c r="B909" s="12"/>
    </row>
    <row r="910" spans="1:2" x14ac:dyDescent="0.25">
      <c r="A910" s="12"/>
      <c r="B910" s="12"/>
    </row>
    <row r="911" spans="1:2" x14ac:dyDescent="0.25">
      <c r="A911" s="12"/>
      <c r="B911" s="12"/>
    </row>
    <row r="912" spans="1:2" x14ac:dyDescent="0.25">
      <c r="A912" s="12"/>
      <c r="B912" s="12"/>
    </row>
    <row r="913" spans="1:2" x14ac:dyDescent="0.25">
      <c r="A913" s="12"/>
      <c r="B913" s="12"/>
    </row>
    <row r="914" spans="1:2" x14ac:dyDescent="0.25">
      <c r="A914" s="12"/>
      <c r="B914" s="12"/>
    </row>
    <row r="915" spans="1:2" x14ac:dyDescent="0.25">
      <c r="A915" s="12"/>
      <c r="B915" s="12"/>
    </row>
    <row r="916" spans="1:2" x14ac:dyDescent="0.25">
      <c r="A916" s="12"/>
      <c r="B916" s="12"/>
    </row>
    <row r="917" spans="1:2" x14ac:dyDescent="0.25">
      <c r="A917" s="12"/>
      <c r="B917" s="12"/>
    </row>
    <row r="918" spans="1:2" x14ac:dyDescent="0.25">
      <c r="A918" s="12"/>
      <c r="B918" s="12"/>
    </row>
    <row r="919" spans="1:2" x14ac:dyDescent="0.25">
      <c r="A919" s="12"/>
      <c r="B919" s="12"/>
    </row>
    <row r="920" spans="1:2" x14ac:dyDescent="0.25">
      <c r="A920" s="12"/>
      <c r="B920" s="12"/>
    </row>
    <row r="921" spans="1:2" x14ac:dyDescent="0.25">
      <c r="A921" s="12"/>
      <c r="B921" s="12"/>
    </row>
    <row r="922" spans="1:2" x14ac:dyDescent="0.25">
      <c r="A922" s="12"/>
      <c r="B922" s="12"/>
    </row>
    <row r="923" spans="1:2" x14ac:dyDescent="0.25">
      <c r="A923" s="12"/>
      <c r="B923" s="12"/>
    </row>
    <row r="924" spans="1:2" x14ac:dyDescent="0.25">
      <c r="A924" s="12"/>
      <c r="B924" s="12"/>
    </row>
    <row r="925" spans="1:2" x14ac:dyDescent="0.25">
      <c r="A925" s="12"/>
      <c r="B925" s="12"/>
    </row>
    <row r="926" spans="1:2" x14ac:dyDescent="0.25">
      <c r="A926" s="12"/>
      <c r="B926" s="12"/>
    </row>
    <row r="927" spans="1:2" x14ac:dyDescent="0.25">
      <c r="A927" s="12"/>
      <c r="B927" s="12"/>
    </row>
    <row r="928" spans="1:2" x14ac:dyDescent="0.25">
      <c r="A928" s="12"/>
      <c r="B928" s="12"/>
    </row>
    <row r="929" spans="1:2" x14ac:dyDescent="0.25">
      <c r="A929" s="12"/>
      <c r="B929" s="12"/>
    </row>
    <row r="930" spans="1:2" x14ac:dyDescent="0.25">
      <c r="A930" s="12"/>
      <c r="B930" s="12"/>
    </row>
    <row r="931" spans="1:2" x14ac:dyDescent="0.25">
      <c r="A931" s="12"/>
      <c r="B931" s="12"/>
    </row>
    <row r="932" spans="1:2" x14ac:dyDescent="0.25">
      <c r="A932" s="12"/>
      <c r="B932" s="12"/>
    </row>
    <row r="933" spans="1:2" x14ac:dyDescent="0.25">
      <c r="A933" s="12"/>
      <c r="B933" s="12"/>
    </row>
    <row r="934" spans="1:2" x14ac:dyDescent="0.25">
      <c r="A934" s="12"/>
      <c r="B934" s="12"/>
    </row>
    <row r="935" spans="1:2" x14ac:dyDescent="0.25">
      <c r="A935" s="12"/>
      <c r="B935" s="12"/>
    </row>
    <row r="936" spans="1:2" x14ac:dyDescent="0.25">
      <c r="A936" s="12"/>
      <c r="B936" s="12"/>
    </row>
    <row r="937" spans="1:2" x14ac:dyDescent="0.25">
      <c r="A937" s="12"/>
      <c r="B937" s="12"/>
    </row>
    <row r="938" spans="1:2" x14ac:dyDescent="0.25">
      <c r="A938" s="12"/>
      <c r="B938" s="12"/>
    </row>
    <row r="939" spans="1:2" x14ac:dyDescent="0.25">
      <c r="A939" s="12"/>
      <c r="B939" s="12"/>
    </row>
    <row r="940" spans="1:2" x14ac:dyDescent="0.25">
      <c r="A940" s="12"/>
      <c r="B940" s="12"/>
    </row>
    <row r="941" spans="1:2" x14ac:dyDescent="0.25">
      <c r="A941" s="12"/>
      <c r="B941" s="12"/>
    </row>
    <row r="942" spans="1:2" x14ac:dyDescent="0.25">
      <c r="A942" s="12"/>
      <c r="B942" s="12"/>
    </row>
    <row r="943" spans="1:2" x14ac:dyDescent="0.25">
      <c r="A943" s="12"/>
      <c r="B943" s="12"/>
    </row>
    <row r="944" spans="1:2" x14ac:dyDescent="0.25">
      <c r="A944" s="12"/>
      <c r="B944" s="12"/>
    </row>
    <row r="945" spans="1:2" x14ac:dyDescent="0.25">
      <c r="A945" s="12"/>
      <c r="B945" s="12"/>
    </row>
    <row r="946" spans="1:2" x14ac:dyDescent="0.25">
      <c r="A946" s="12"/>
      <c r="B946" s="12"/>
    </row>
    <row r="947" spans="1:2" x14ac:dyDescent="0.25">
      <c r="A947" s="12"/>
      <c r="B947" s="12"/>
    </row>
    <row r="948" spans="1:2" x14ac:dyDescent="0.25">
      <c r="A948" s="12"/>
      <c r="B948" s="12"/>
    </row>
    <row r="949" spans="1:2" x14ac:dyDescent="0.25">
      <c r="A949" s="12"/>
      <c r="B949" s="12"/>
    </row>
    <row r="950" spans="1:2" x14ac:dyDescent="0.25">
      <c r="A950" s="12"/>
      <c r="B950" s="12"/>
    </row>
    <row r="951" spans="1:2" x14ac:dyDescent="0.25">
      <c r="A951" s="12"/>
      <c r="B951" s="12"/>
    </row>
    <row r="952" spans="1:2" x14ac:dyDescent="0.25">
      <c r="A952" s="12"/>
      <c r="B952" s="12"/>
    </row>
    <row r="953" spans="1:2" x14ac:dyDescent="0.25">
      <c r="A953" s="12"/>
      <c r="B953" s="12"/>
    </row>
    <row r="954" spans="1:2" x14ac:dyDescent="0.25">
      <c r="A954" s="12"/>
      <c r="B954" s="12"/>
    </row>
    <row r="955" spans="1:2" x14ac:dyDescent="0.25">
      <c r="A955" s="12"/>
      <c r="B955" s="12"/>
    </row>
    <row r="956" spans="1:2" x14ac:dyDescent="0.25">
      <c r="A956" s="12"/>
      <c r="B956" s="12"/>
    </row>
    <row r="957" spans="1:2" x14ac:dyDescent="0.25">
      <c r="A957" s="12"/>
      <c r="B957" s="12"/>
    </row>
    <row r="958" spans="1:2" x14ac:dyDescent="0.25">
      <c r="A958" s="12"/>
      <c r="B958" s="12"/>
    </row>
    <row r="959" spans="1:2" x14ac:dyDescent="0.25">
      <c r="A959" s="12"/>
      <c r="B959" s="12"/>
    </row>
    <row r="960" spans="1:2" x14ac:dyDescent="0.25">
      <c r="A960" s="12"/>
      <c r="B960" s="12"/>
    </row>
    <row r="961" spans="1:2" x14ac:dyDescent="0.25">
      <c r="A961" s="12"/>
      <c r="B961" s="12"/>
    </row>
    <row r="962" spans="1:2" x14ac:dyDescent="0.25">
      <c r="A962" s="12"/>
      <c r="B962" s="12"/>
    </row>
    <row r="963" spans="1:2" x14ac:dyDescent="0.25">
      <c r="A963" s="12"/>
      <c r="B963" s="12"/>
    </row>
    <row r="964" spans="1:2" x14ac:dyDescent="0.25">
      <c r="A964" s="12"/>
      <c r="B964" s="12"/>
    </row>
    <row r="965" spans="1:2" x14ac:dyDescent="0.25">
      <c r="A965" s="12"/>
      <c r="B965" s="12"/>
    </row>
    <row r="966" spans="1:2" x14ac:dyDescent="0.25">
      <c r="A966" s="12"/>
      <c r="B966" s="12"/>
    </row>
    <row r="967" spans="1:2" x14ac:dyDescent="0.25">
      <c r="A967" s="12"/>
      <c r="B967" s="12"/>
    </row>
    <row r="968" spans="1:2" x14ac:dyDescent="0.25">
      <c r="A968" s="12"/>
      <c r="B968" s="12"/>
    </row>
    <row r="969" spans="1:2" x14ac:dyDescent="0.25">
      <c r="A969" s="12"/>
      <c r="B969" s="12"/>
    </row>
    <row r="970" spans="1:2" x14ac:dyDescent="0.25">
      <c r="A970" s="12"/>
      <c r="B970" s="12"/>
    </row>
    <row r="971" spans="1:2" x14ac:dyDescent="0.25">
      <c r="A971" s="12"/>
      <c r="B971" s="12"/>
    </row>
    <row r="972" spans="1:2" x14ac:dyDescent="0.25">
      <c r="A972" s="12"/>
      <c r="B972" s="12"/>
    </row>
    <row r="973" spans="1:2" x14ac:dyDescent="0.25">
      <c r="A973" s="12"/>
      <c r="B973" s="12"/>
    </row>
    <row r="974" spans="1:2" x14ac:dyDescent="0.25">
      <c r="A974" s="12"/>
      <c r="B974" s="12"/>
    </row>
    <row r="975" spans="1:2" x14ac:dyDescent="0.25">
      <c r="A975" s="12"/>
      <c r="B975" s="12"/>
    </row>
    <row r="976" spans="1:2" x14ac:dyDescent="0.25">
      <c r="A976" s="12"/>
      <c r="B976" s="12"/>
    </row>
    <row r="977" spans="1:2" x14ac:dyDescent="0.25">
      <c r="A977" s="12"/>
      <c r="B977" s="12"/>
    </row>
    <row r="978" spans="1:2" x14ac:dyDescent="0.25">
      <c r="A978" s="12"/>
      <c r="B978" s="12"/>
    </row>
    <row r="979" spans="1:2" x14ac:dyDescent="0.25">
      <c r="A979" s="12"/>
      <c r="B979" s="12"/>
    </row>
    <row r="980" spans="1:2" x14ac:dyDescent="0.25">
      <c r="A980" s="12"/>
      <c r="B980" s="12"/>
    </row>
    <row r="981" spans="1:2" x14ac:dyDescent="0.25">
      <c r="A981" s="12"/>
      <c r="B981" s="12"/>
    </row>
    <row r="982" spans="1:2" x14ac:dyDescent="0.25">
      <c r="A982" s="12"/>
      <c r="B982" s="12"/>
    </row>
    <row r="983" spans="1:2" x14ac:dyDescent="0.25">
      <c r="A983" s="12"/>
      <c r="B983" s="12"/>
    </row>
    <row r="984" spans="1:2" x14ac:dyDescent="0.25">
      <c r="A984" s="12"/>
      <c r="B984" s="12"/>
    </row>
    <row r="985" spans="1:2" x14ac:dyDescent="0.25">
      <c r="A985" s="12"/>
      <c r="B985" s="12"/>
    </row>
    <row r="986" spans="1:2" x14ac:dyDescent="0.25">
      <c r="A986" s="12"/>
      <c r="B986" s="12"/>
    </row>
    <row r="987" spans="1:2" x14ac:dyDescent="0.25">
      <c r="A987" s="12"/>
      <c r="B987" s="12"/>
    </row>
    <row r="988" spans="1:2" x14ac:dyDescent="0.25">
      <c r="A988" s="12"/>
      <c r="B988" s="12"/>
    </row>
    <row r="989" spans="1:2" x14ac:dyDescent="0.25">
      <c r="A989" s="12"/>
      <c r="B989" s="12"/>
    </row>
    <row r="990" spans="1:2" x14ac:dyDescent="0.25">
      <c r="A990" s="12"/>
      <c r="B990" s="12"/>
    </row>
    <row r="991" spans="1:2" x14ac:dyDescent="0.25">
      <c r="A991" s="12"/>
      <c r="B991" s="12"/>
    </row>
    <row r="992" spans="1:2" x14ac:dyDescent="0.25">
      <c r="A992" s="12"/>
      <c r="B992" s="12"/>
    </row>
    <row r="993" spans="1:2" x14ac:dyDescent="0.25">
      <c r="A993" s="12"/>
      <c r="B993" s="12"/>
    </row>
    <row r="994" spans="1:2" x14ac:dyDescent="0.25">
      <c r="A994" s="12"/>
      <c r="B994" s="12"/>
    </row>
    <row r="995" spans="1:2" x14ac:dyDescent="0.25">
      <c r="A995" s="12"/>
      <c r="B995" s="12"/>
    </row>
    <row r="996" spans="1:2" x14ac:dyDescent="0.25">
      <c r="A996" s="12"/>
      <c r="B996" s="12"/>
    </row>
    <row r="997" spans="1:2" x14ac:dyDescent="0.25">
      <c r="A997" s="12"/>
      <c r="B997" s="12"/>
    </row>
    <row r="998" spans="1:2" x14ac:dyDescent="0.25">
      <c r="A998" s="12"/>
      <c r="B998" s="12"/>
    </row>
    <row r="999" spans="1:2" x14ac:dyDescent="0.25">
      <c r="A999" s="12"/>
      <c r="B999" s="12"/>
    </row>
    <row r="1000" spans="1:2" x14ac:dyDescent="0.25">
      <c r="A1000" s="12"/>
      <c r="B1000" s="12"/>
    </row>
    <row r="1001" spans="1:2" x14ac:dyDescent="0.25">
      <c r="A1001" s="12"/>
      <c r="B1001" s="12"/>
    </row>
    <row r="1002" spans="1:2" x14ac:dyDescent="0.25">
      <c r="A1002" s="12"/>
      <c r="B1002" s="12"/>
    </row>
    <row r="1003" spans="1:2" x14ac:dyDescent="0.25">
      <c r="A1003" s="12"/>
      <c r="B1003" s="12"/>
    </row>
    <row r="1004" spans="1:2" x14ac:dyDescent="0.25">
      <c r="A1004" s="12"/>
      <c r="B1004" s="12"/>
    </row>
    <row r="1005" spans="1:2" x14ac:dyDescent="0.25">
      <c r="A1005" s="12"/>
      <c r="B1005" s="12"/>
    </row>
    <row r="1006" spans="1:2" x14ac:dyDescent="0.25">
      <c r="A1006" s="12"/>
      <c r="B1006" s="12"/>
    </row>
    <row r="1007" spans="1:2" x14ac:dyDescent="0.25">
      <c r="A1007" s="12"/>
      <c r="B1007" s="12"/>
    </row>
    <row r="1008" spans="1:2" x14ac:dyDescent="0.25">
      <c r="A1008" s="12"/>
      <c r="B1008" s="12"/>
    </row>
    <row r="1009" spans="1:2" x14ac:dyDescent="0.25">
      <c r="A1009" s="12"/>
      <c r="B1009" s="12"/>
    </row>
    <row r="1010" spans="1:2" x14ac:dyDescent="0.25">
      <c r="A1010" s="12"/>
      <c r="B1010" s="12"/>
    </row>
    <row r="1011" spans="1:2" x14ac:dyDescent="0.25">
      <c r="A1011" s="12"/>
      <c r="B1011" s="12"/>
    </row>
    <row r="1012" spans="1:2" x14ac:dyDescent="0.25">
      <c r="A1012" s="12"/>
      <c r="B1012" s="12"/>
    </row>
    <row r="1013" spans="1:2" x14ac:dyDescent="0.25">
      <c r="A1013" s="12"/>
      <c r="B1013" s="12"/>
    </row>
    <row r="1014" spans="1:2" x14ac:dyDescent="0.25">
      <c r="A1014" s="12"/>
      <c r="B1014" s="12"/>
    </row>
    <row r="1015" spans="1:2" x14ac:dyDescent="0.25">
      <c r="A1015" s="12"/>
      <c r="B1015" s="12"/>
    </row>
    <row r="1016" spans="1:2" x14ac:dyDescent="0.25">
      <c r="A1016" s="12"/>
      <c r="B1016" s="12"/>
    </row>
    <row r="1017" spans="1:2" x14ac:dyDescent="0.25">
      <c r="A1017" s="12"/>
      <c r="B1017" s="12"/>
    </row>
    <row r="1018" spans="1:2" x14ac:dyDescent="0.25">
      <c r="A1018" s="12"/>
      <c r="B1018" s="12"/>
    </row>
    <row r="1019" spans="1:2" x14ac:dyDescent="0.25">
      <c r="A1019" s="12"/>
      <c r="B1019" s="12"/>
    </row>
    <row r="1020" spans="1:2" x14ac:dyDescent="0.25">
      <c r="A1020" s="12"/>
      <c r="B1020" s="12"/>
    </row>
    <row r="1021" spans="1:2" x14ac:dyDescent="0.25">
      <c r="A1021" s="12"/>
      <c r="B1021" s="12"/>
    </row>
    <row r="1022" spans="1:2" x14ac:dyDescent="0.25">
      <c r="A1022" s="12"/>
      <c r="B1022" s="12"/>
    </row>
    <row r="1023" spans="1:2" x14ac:dyDescent="0.25">
      <c r="A1023" s="12"/>
      <c r="B1023" s="12"/>
    </row>
    <row r="1024" spans="1:2" x14ac:dyDescent="0.25">
      <c r="A1024" s="12"/>
      <c r="B1024" s="12"/>
    </row>
    <row r="1025" spans="1:2" x14ac:dyDescent="0.25">
      <c r="A1025" s="12"/>
      <c r="B1025" s="12"/>
    </row>
    <row r="1026" spans="1:2" x14ac:dyDescent="0.25">
      <c r="A1026" s="12"/>
      <c r="B1026" s="12"/>
    </row>
    <row r="1027" spans="1:2" x14ac:dyDescent="0.25">
      <c r="A1027" s="12"/>
      <c r="B1027" s="12"/>
    </row>
    <row r="1028" spans="1:2" x14ac:dyDescent="0.25">
      <c r="A1028" s="12"/>
      <c r="B1028" s="12"/>
    </row>
    <row r="1029" spans="1:2" x14ac:dyDescent="0.25">
      <c r="A1029" s="12"/>
      <c r="B1029" s="12"/>
    </row>
    <row r="1030" spans="1:2" x14ac:dyDescent="0.25">
      <c r="A1030" s="12"/>
      <c r="B1030" s="12"/>
    </row>
    <row r="1031" spans="1:2" x14ac:dyDescent="0.25">
      <c r="A1031" s="12"/>
      <c r="B1031" s="12"/>
    </row>
    <row r="1032" spans="1:2" x14ac:dyDescent="0.25">
      <c r="A1032" s="12"/>
      <c r="B1032" s="12"/>
    </row>
    <row r="1033" spans="1:2" x14ac:dyDescent="0.25">
      <c r="A1033" s="12"/>
      <c r="B1033" s="12"/>
    </row>
    <row r="1034" spans="1:2" x14ac:dyDescent="0.25">
      <c r="A1034" s="12"/>
      <c r="B1034" s="12"/>
    </row>
    <row r="1035" spans="1:2" x14ac:dyDescent="0.25">
      <c r="A1035" s="12"/>
      <c r="B1035" s="12"/>
    </row>
    <row r="1036" spans="1:2" x14ac:dyDescent="0.25">
      <c r="A1036" s="12"/>
      <c r="B1036" s="12"/>
    </row>
    <row r="1037" spans="1:2" x14ac:dyDescent="0.25">
      <c r="A1037" s="12"/>
      <c r="B1037" s="12"/>
    </row>
    <row r="1038" spans="1:2" x14ac:dyDescent="0.25">
      <c r="A1038" s="12"/>
      <c r="B1038" s="12"/>
    </row>
    <row r="1039" spans="1:2" x14ac:dyDescent="0.25">
      <c r="A1039" s="12"/>
      <c r="B1039" s="12"/>
    </row>
    <row r="1040" spans="1:2" x14ac:dyDescent="0.25">
      <c r="A1040" s="12"/>
      <c r="B1040" s="12"/>
    </row>
    <row r="1041" spans="1:2" x14ac:dyDescent="0.25">
      <c r="A1041" s="12"/>
      <c r="B1041" s="12"/>
    </row>
    <row r="1042" spans="1:2" x14ac:dyDescent="0.25">
      <c r="A1042" s="12"/>
      <c r="B1042" s="12"/>
    </row>
    <row r="1043" spans="1:2" x14ac:dyDescent="0.25">
      <c r="A1043" s="12"/>
      <c r="B1043" s="12"/>
    </row>
    <row r="1044" spans="1:2" x14ac:dyDescent="0.25">
      <c r="A1044" s="12"/>
      <c r="B1044" s="12"/>
    </row>
    <row r="1045" spans="1:2" x14ac:dyDescent="0.25">
      <c r="A1045" s="12"/>
      <c r="B1045" s="12"/>
    </row>
    <row r="1046" spans="1:2" x14ac:dyDescent="0.25">
      <c r="A1046" s="12"/>
      <c r="B1046" s="12"/>
    </row>
    <row r="1047" spans="1:2" x14ac:dyDescent="0.25">
      <c r="A1047" s="12"/>
      <c r="B1047" s="12"/>
    </row>
    <row r="1048" spans="1:2" x14ac:dyDescent="0.25">
      <c r="A1048" s="12"/>
      <c r="B1048" s="12"/>
    </row>
    <row r="1049" spans="1:2" x14ac:dyDescent="0.25">
      <c r="A1049" s="12"/>
      <c r="B1049" s="12"/>
    </row>
    <row r="1050" spans="1:2" x14ac:dyDescent="0.25">
      <c r="A1050" s="12"/>
      <c r="B1050" s="12"/>
    </row>
    <row r="1051" spans="1:2" x14ac:dyDescent="0.25">
      <c r="A1051" s="12"/>
      <c r="B1051" s="12"/>
    </row>
    <row r="1052" spans="1:2" x14ac:dyDescent="0.25">
      <c r="A1052" s="12"/>
      <c r="B1052" s="12"/>
    </row>
    <row r="1053" spans="1:2" x14ac:dyDescent="0.25">
      <c r="A1053" s="12"/>
      <c r="B1053" s="12"/>
    </row>
    <row r="1054" spans="1:2" x14ac:dyDescent="0.25">
      <c r="A1054" s="12"/>
      <c r="B1054" s="12"/>
    </row>
    <row r="1055" spans="1:2" x14ac:dyDescent="0.25">
      <c r="A1055" s="12"/>
      <c r="B1055" s="12"/>
    </row>
    <row r="1056" spans="1:2" x14ac:dyDescent="0.25">
      <c r="A1056" s="12"/>
      <c r="B1056" s="12"/>
    </row>
    <row r="1057" spans="1:2" x14ac:dyDescent="0.25">
      <c r="A1057" s="12"/>
      <c r="B1057" s="12"/>
    </row>
    <row r="1058" spans="1:2" x14ac:dyDescent="0.25">
      <c r="A1058" s="12"/>
      <c r="B1058" s="12"/>
    </row>
    <row r="1059" spans="1:2" x14ac:dyDescent="0.25">
      <c r="A1059" s="12"/>
      <c r="B1059" s="12"/>
    </row>
    <row r="1060" spans="1:2" x14ac:dyDescent="0.25">
      <c r="A1060" s="12"/>
      <c r="B1060" s="12"/>
    </row>
    <row r="1061" spans="1:2" x14ac:dyDescent="0.25">
      <c r="A1061" s="12"/>
      <c r="B1061" s="12"/>
    </row>
    <row r="1062" spans="1:2" x14ac:dyDescent="0.25">
      <c r="A1062" s="12"/>
      <c r="B1062" s="12"/>
    </row>
    <row r="1063" spans="1:2" x14ac:dyDescent="0.25">
      <c r="A1063" s="12"/>
      <c r="B1063" s="12"/>
    </row>
    <row r="1064" spans="1:2" x14ac:dyDescent="0.25">
      <c r="A1064" s="12"/>
      <c r="B1064" s="12"/>
    </row>
    <row r="1065" spans="1:2" x14ac:dyDescent="0.25">
      <c r="A1065" s="12"/>
      <c r="B1065" s="12"/>
    </row>
    <row r="1066" spans="1:2" x14ac:dyDescent="0.25">
      <c r="A1066" s="12"/>
      <c r="B1066" s="12"/>
    </row>
    <row r="1067" spans="1:2" x14ac:dyDescent="0.25">
      <c r="A1067" s="12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2"/>
      <c r="B1070" s="12"/>
    </row>
    <row r="1071" spans="1:2" x14ac:dyDescent="0.25">
      <c r="A1071" s="12"/>
      <c r="B1071" s="12"/>
    </row>
    <row r="1072" spans="1:2" x14ac:dyDescent="0.25">
      <c r="A1072" s="12"/>
      <c r="B1072" s="12"/>
    </row>
    <row r="1073" spans="1:2" x14ac:dyDescent="0.25">
      <c r="A1073" s="12"/>
      <c r="B1073" s="12"/>
    </row>
    <row r="1074" spans="1:2" x14ac:dyDescent="0.25">
      <c r="A1074" s="12"/>
      <c r="B1074" s="12"/>
    </row>
    <row r="1075" spans="1:2" x14ac:dyDescent="0.25">
      <c r="A1075" s="12"/>
      <c r="B1075" s="12"/>
    </row>
    <row r="1076" spans="1:2" x14ac:dyDescent="0.25">
      <c r="A1076" s="12"/>
      <c r="B1076" s="12"/>
    </row>
    <row r="1077" spans="1:2" x14ac:dyDescent="0.25">
      <c r="A1077" s="12"/>
      <c r="B1077" s="12"/>
    </row>
    <row r="1078" spans="1:2" x14ac:dyDescent="0.25">
      <c r="A1078" s="12"/>
      <c r="B1078" s="12"/>
    </row>
    <row r="1079" spans="1:2" x14ac:dyDescent="0.25">
      <c r="A1079" s="12"/>
      <c r="B1079" s="12"/>
    </row>
    <row r="1080" spans="1:2" x14ac:dyDescent="0.25">
      <c r="A1080" s="12"/>
      <c r="B1080" s="12"/>
    </row>
    <row r="1081" spans="1:2" x14ac:dyDescent="0.25">
      <c r="A1081" s="12"/>
      <c r="B1081" s="12"/>
    </row>
    <row r="1082" spans="1:2" x14ac:dyDescent="0.25">
      <c r="A1082" s="12"/>
      <c r="B1082" s="12"/>
    </row>
    <row r="1083" spans="1:2" x14ac:dyDescent="0.25">
      <c r="A1083" s="12"/>
      <c r="B1083" s="12"/>
    </row>
    <row r="1084" spans="1:2" x14ac:dyDescent="0.25">
      <c r="A1084" s="12"/>
      <c r="B1084" s="12"/>
    </row>
    <row r="1085" spans="1:2" x14ac:dyDescent="0.25">
      <c r="A1085" s="12"/>
      <c r="B1085" s="12"/>
    </row>
    <row r="1086" spans="1:2" x14ac:dyDescent="0.25">
      <c r="A1086" s="12"/>
      <c r="B1086" s="12"/>
    </row>
    <row r="1087" spans="1:2" x14ac:dyDescent="0.25">
      <c r="A1087" s="12"/>
      <c r="B1087" s="12"/>
    </row>
    <row r="1088" spans="1:2" x14ac:dyDescent="0.25">
      <c r="A1088" s="12"/>
      <c r="B1088" s="12"/>
    </row>
    <row r="1089" spans="1:2" x14ac:dyDescent="0.25">
      <c r="A1089" s="12"/>
      <c r="B1089" s="12"/>
    </row>
    <row r="1090" spans="1:2" x14ac:dyDescent="0.25">
      <c r="A1090" s="12"/>
      <c r="B1090" s="12"/>
    </row>
    <row r="1091" spans="1:2" x14ac:dyDescent="0.25">
      <c r="A1091" s="12"/>
      <c r="B1091" s="12"/>
    </row>
    <row r="1092" spans="1:2" x14ac:dyDescent="0.25">
      <c r="A1092" s="12"/>
      <c r="B1092" s="12"/>
    </row>
    <row r="1093" spans="1:2" x14ac:dyDescent="0.25">
      <c r="A1093" s="12"/>
      <c r="B1093" s="12"/>
    </row>
    <row r="1094" spans="1:2" x14ac:dyDescent="0.25">
      <c r="A1094" s="12"/>
      <c r="B1094" s="12"/>
    </row>
    <row r="1095" spans="1:2" x14ac:dyDescent="0.25">
      <c r="A1095" s="12"/>
      <c r="B1095" s="12"/>
    </row>
    <row r="1096" spans="1:2" x14ac:dyDescent="0.25">
      <c r="A1096" s="12"/>
      <c r="B1096" s="12"/>
    </row>
    <row r="1097" spans="1:2" x14ac:dyDescent="0.25">
      <c r="A1097" s="12"/>
      <c r="B1097" s="12"/>
    </row>
    <row r="1098" spans="1:2" x14ac:dyDescent="0.25">
      <c r="A1098" s="12"/>
      <c r="B1098" s="12"/>
    </row>
    <row r="1099" spans="1:2" x14ac:dyDescent="0.25">
      <c r="A1099" s="12"/>
      <c r="B1099" s="12"/>
    </row>
    <row r="1100" spans="1:2" x14ac:dyDescent="0.25">
      <c r="A1100" s="12"/>
      <c r="B1100" s="12"/>
    </row>
    <row r="1101" spans="1:2" x14ac:dyDescent="0.25">
      <c r="A1101" s="12"/>
      <c r="B1101" s="12"/>
    </row>
    <row r="1102" spans="1:2" x14ac:dyDescent="0.25">
      <c r="A1102" s="12"/>
      <c r="B1102" s="12"/>
    </row>
    <row r="1103" spans="1:2" x14ac:dyDescent="0.25">
      <c r="A1103" s="12"/>
      <c r="B1103" s="12"/>
    </row>
    <row r="1104" spans="1:2" x14ac:dyDescent="0.25">
      <c r="A1104" s="12"/>
      <c r="B1104" s="12"/>
    </row>
    <row r="1105" spans="1:2" x14ac:dyDescent="0.25">
      <c r="A1105" s="12"/>
      <c r="B1105" s="12"/>
    </row>
    <row r="1106" spans="1:2" x14ac:dyDescent="0.25">
      <c r="A1106" s="12"/>
      <c r="B1106" s="12"/>
    </row>
    <row r="1107" spans="1:2" x14ac:dyDescent="0.25">
      <c r="A1107" s="12"/>
      <c r="B1107" s="12"/>
    </row>
    <row r="1108" spans="1:2" x14ac:dyDescent="0.25">
      <c r="A1108" s="12"/>
      <c r="B1108" s="12"/>
    </row>
    <row r="1109" spans="1:2" x14ac:dyDescent="0.25">
      <c r="A1109" s="12"/>
      <c r="B1109" s="12"/>
    </row>
    <row r="1110" spans="1:2" x14ac:dyDescent="0.25">
      <c r="A1110" s="12"/>
      <c r="B1110" s="12"/>
    </row>
    <row r="1111" spans="1:2" x14ac:dyDescent="0.25">
      <c r="A1111" s="12"/>
      <c r="B1111" s="12"/>
    </row>
    <row r="1112" spans="1:2" x14ac:dyDescent="0.25">
      <c r="A1112" s="12"/>
      <c r="B1112" s="12"/>
    </row>
    <row r="1113" spans="1:2" x14ac:dyDescent="0.25">
      <c r="A1113" s="12"/>
      <c r="B1113" s="12"/>
    </row>
    <row r="1114" spans="1:2" x14ac:dyDescent="0.25">
      <c r="A1114" s="12"/>
      <c r="B1114" s="12"/>
    </row>
    <row r="1115" spans="1:2" x14ac:dyDescent="0.25">
      <c r="A1115" s="12"/>
      <c r="B1115" s="12"/>
    </row>
    <row r="1116" spans="1:2" x14ac:dyDescent="0.25">
      <c r="A1116" s="12"/>
      <c r="B1116" s="12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2"/>
      <c r="B1119" s="12"/>
    </row>
    <row r="1120" spans="1:2" x14ac:dyDescent="0.25">
      <c r="A1120" s="12"/>
      <c r="B1120" s="12"/>
    </row>
    <row r="1121" spans="1:2" x14ac:dyDescent="0.25">
      <c r="A1121" s="12"/>
      <c r="B1121" s="12"/>
    </row>
    <row r="1122" spans="1:2" x14ac:dyDescent="0.25">
      <c r="A1122" s="12"/>
      <c r="B1122" s="12"/>
    </row>
    <row r="1123" spans="1:2" x14ac:dyDescent="0.25">
      <c r="A1123" s="12"/>
      <c r="B1123" s="12"/>
    </row>
    <row r="1124" spans="1:2" x14ac:dyDescent="0.25">
      <c r="A1124" s="12"/>
      <c r="B1124" s="12"/>
    </row>
    <row r="1125" spans="1:2" x14ac:dyDescent="0.25">
      <c r="A1125" s="12"/>
      <c r="B1125" s="12"/>
    </row>
    <row r="1126" spans="1:2" x14ac:dyDescent="0.25">
      <c r="A1126" s="12"/>
      <c r="B1126" s="12"/>
    </row>
    <row r="1127" spans="1:2" x14ac:dyDescent="0.25">
      <c r="A1127" s="12"/>
      <c r="B1127" s="12"/>
    </row>
    <row r="1128" spans="1:2" x14ac:dyDescent="0.25">
      <c r="A1128" s="12"/>
      <c r="B1128" s="12"/>
    </row>
    <row r="1129" spans="1:2" x14ac:dyDescent="0.25">
      <c r="A1129" s="12"/>
      <c r="B1129" s="12"/>
    </row>
    <row r="1130" spans="1:2" x14ac:dyDescent="0.25">
      <c r="A1130" s="12"/>
      <c r="B1130" s="12"/>
    </row>
    <row r="1131" spans="1:2" x14ac:dyDescent="0.25">
      <c r="A1131" s="12"/>
      <c r="B1131" s="12"/>
    </row>
    <row r="1132" spans="1:2" x14ac:dyDescent="0.25">
      <c r="A1132" s="12"/>
      <c r="B1132" s="12"/>
    </row>
    <row r="1133" spans="1:2" x14ac:dyDescent="0.25">
      <c r="A1133" s="12"/>
      <c r="B1133" s="12"/>
    </row>
    <row r="1134" spans="1:2" x14ac:dyDescent="0.25">
      <c r="A1134" s="12"/>
      <c r="B1134" s="12"/>
    </row>
    <row r="1135" spans="1:2" x14ac:dyDescent="0.25">
      <c r="A1135" s="12"/>
      <c r="B1135" s="12"/>
    </row>
    <row r="1136" spans="1:2" x14ac:dyDescent="0.25">
      <c r="A1136" s="12"/>
      <c r="B113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2018-12-17T14:46:34Z</cp:lastPrinted>
  <dcterms:created xsi:type="dcterms:W3CDTF">2018-02-10T17:26:11Z</dcterms:created>
  <dcterms:modified xsi:type="dcterms:W3CDTF">2021-08-02T20:21:18Z</dcterms:modified>
</cp:coreProperties>
</file>
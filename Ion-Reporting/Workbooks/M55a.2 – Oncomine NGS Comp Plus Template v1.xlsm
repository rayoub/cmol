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24226"/>
  <mc:AlternateContent xmlns:mc="http://schemas.openxmlformats.org/markup-compatibility/2006">
    <mc:Choice Requires="x15">
      <x15ac:absPath xmlns:x15ac="http://schemas.microsoft.com/office/spreadsheetml/2010/11/ac" url="E:\git\cmol\Ion-Reporting\Scripts\"/>
    </mc:Choice>
  </mc:AlternateContent>
  <xr:revisionPtr revIDLastSave="0" documentId="13_ncr:1_{D88CDD80-2775-4652-9639-7E290E6C49B9}" xr6:coauthVersionLast="47" xr6:coauthVersionMax="47" xr10:uidLastSave="{00000000-0000-0000-0000-000000000000}"/>
  <bookViews>
    <workbookView xWindow="-108" yWindow="-108" windowWidth="30936" windowHeight="16896" xr2:uid="{00000000-000D-0000-FFFF-FFFF00000000}"/>
  </bookViews>
  <sheets>
    <sheet name="Instructions - NEW ASSAY" sheetId="7" r:id="rId1"/>
    <sheet name="Patient List" sheetId="1" r:id="rId2"/>
    <sheet name="Run Record" sheetId="2" r:id="rId3"/>
    <sheet name="Step 2 Table" sheetId="17" r:id="rId4"/>
    <sheet name="CSV DNA Template" sheetId="15" r:id="rId5"/>
    <sheet name="CSV RNA Template" sheetId="16" r:id="rId6"/>
    <sheet name="Helper Table" sheetId="13" r:id="rId7"/>
    <sheet name="Color Table" sheetId="18" state="hidden" r:id="rId8"/>
    <sheet name="Assay Result Files" sheetId="19" r:id="rId9"/>
    <sheet name="Patient Result Files" sheetId="20" state="hidden" r:id="rId10"/>
    <sheet name="Version Control" sheetId="12" r:id="rId11"/>
    <sheet name="Control-filler samples" sheetId="14" r:id="rId12"/>
    <sheet name="Master Mix Calculators" sheetId="10" state="hidden" r:id="rId13"/>
    <sheet name="Bookmarks List" sheetId="8" state="hidden" r:id="rId14"/>
  </sheets>
  <externalReferences>
    <externalReference r:id="rId15"/>
    <externalReference r:id="rId16"/>
    <externalReference r:id="rId17"/>
    <externalReference r:id="rId18"/>
  </externalReferences>
  <definedNames>
    <definedName name="AssayID" localSheetId="8">'[1]Run Record'!$B$29</definedName>
    <definedName name="AssayID" localSheetId="9">'[1]Run Record'!$B$29</definedName>
    <definedName name="AssayID">'Run Record'!$B$29</definedName>
    <definedName name="DB">'Run Record'!$AM$35</definedName>
    <definedName name="DG">'Run Record'!$AJ$35</definedName>
    <definedName name="DNACodePlate">'Run Record'!$AA$35</definedName>
    <definedName name="DNACodes">'Run Record'!$AD$35:$AO$35</definedName>
    <definedName name="DocName">'Run Record'!$J$10</definedName>
    <definedName name="DR">'Run Record'!$AD$35</definedName>
    <definedName name="DY">'Run Record'!$AG$35</definedName>
    <definedName name="LPC">'Run Record'!$B$25</definedName>
    <definedName name="NCRunID">'Run Record'!$R$3</definedName>
    <definedName name="Notes">'Patient List'!$AA$2</definedName>
    <definedName name="PCRunID">'Run Record'!$R$4</definedName>
    <definedName name="PhysLastName">[2]!Providers[Last Name]</definedName>
    <definedName name="RB">'Run Record'!$AM$45</definedName>
    <definedName name="RG">'Run Record'!$AJ$45</definedName>
    <definedName name="RNA_Receipt_Log_Test_List">[2]!RNAReceiptLogTestList[[#Data],[RNA Receipt Log Test List]]</definedName>
    <definedName name="RNACodePlate">'Run Record'!$AA$45</definedName>
    <definedName name="RNACodes">'Run Record'!$AD$45:$AO$45</definedName>
    <definedName name="rPhysFirstName_DNA" localSheetId="8">OFFSET(OFFSET([2]!PhysFirstName,0,0,1,1),MATCH('[2]NGS Comprehensive'!XFD1, PhysLastName, 0)-1,0,COUNTIF(PhysLastName,'[2]NGS Comprehensive'!XFD1))</definedName>
    <definedName name="rPhysFirstName_DNA" localSheetId="9">OFFSET(OFFSET([2]!PhysFirstName,0,0,1,1),MATCH('[2]NGS Comprehensive'!XFD1, PhysLastName, 0)-1,0,COUNTIF(PhysLastName,'[2]NGS Comprehensive'!XFD1))</definedName>
    <definedName name="rPhysFirstName_DNA">OFFSET(OFFSET([2]!PhysFirstName,0,0,1,1),MATCH('[2]NGS Comprehensive'!XFD1, PhysLastName, 0)-1,0,COUNTIF(PhysLastName,'[2]NGS Comprehensive'!XFD1))</definedName>
    <definedName name="rPhysLastName" localSheetId="8">OFFSET(PhysLastName, 0,0,COUNTA(PhysLastName),1)</definedName>
    <definedName name="rPhysLastName" localSheetId="9">OFFSET(PhysLastName, 0,0,COUNTA(PhysLastName),1)</definedName>
    <definedName name="rPhysLastName">OFFSET(PhysLastName, 0,0,COUNTA(PhysLastName),1)</definedName>
    <definedName name="RR">'Run Record'!$AD$45</definedName>
    <definedName name="RunDate">'Run Record'!$B$4</definedName>
    <definedName name="RY">'Run Record'!$AG$45</definedName>
    <definedName name="SampleID">'Run Record'!$A$35</definedName>
    <definedName name="SavePath">'Run Record'!$B$16</definedName>
    <definedName name="Technician">'Run Record'!$E$4</definedName>
    <definedName name="TemplateFile">'Run Record'!$B$9</definedName>
    <definedName name="TemplateFileS2">'Run Record'!$B$12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 i="17" l="1"/>
  <c r="K7" i="17"/>
  <c r="K6" i="17"/>
  <c r="K5" i="17"/>
  <c r="K4" i="17"/>
  <c r="K3" i="17"/>
  <c r="AE14" i="1" l="1"/>
  <c r="AE15" i="1"/>
  <c r="AE16" i="1"/>
  <c r="AE17" i="1"/>
  <c r="B29" i="2" l="1"/>
  <c r="T24" i="14" l="1"/>
  <c r="T23" i="14"/>
  <c r="T19" i="14" l="1"/>
  <c r="T18" i="14"/>
  <c r="T17" i="14"/>
  <c r="AD45" i="2" l="1"/>
  <c r="AG35" i="2"/>
  <c r="K8" i="13"/>
  <c r="L8" i="13" s="1" a="1"/>
  <c r="L8" i="13" s="1"/>
  <c r="B51" i="2" s="1"/>
  <c r="I8" i="13"/>
  <c r="J8" i="13" s="1" a="1"/>
  <c r="J8" i="13" s="1"/>
  <c r="B41" i="2" s="1"/>
  <c r="B52" i="2"/>
  <c r="B42" i="2"/>
  <c r="F9" i="17"/>
  <c r="F10" i="17"/>
  <c r="E10" i="17"/>
  <c r="AD35" i="2"/>
  <c r="AM35" i="2"/>
  <c r="AJ35" i="2"/>
  <c r="AM45" i="2"/>
  <c r="AJ45" i="2"/>
  <c r="AG45" i="2"/>
  <c r="G9" i="16"/>
  <c r="G10" i="16"/>
  <c r="Q10" i="16"/>
  <c r="Q10" i="15"/>
  <c r="G9" i="15"/>
  <c r="G10" i="15"/>
  <c r="AB45" i="2" l="1"/>
  <c r="AB46" i="2" s="1"/>
  <c r="AB47" i="2" s="1"/>
  <c r="AB48" i="2" s="1"/>
  <c r="AB49" i="2" s="1"/>
  <c r="AB50" i="2" s="1"/>
  <c r="AB51" i="2" s="1"/>
  <c r="AB52" i="2" s="1"/>
  <c r="M52" i="2" s="1"/>
  <c r="F10" i="16" s="1"/>
  <c r="AB35" i="2"/>
  <c r="M35" i="2" s="1"/>
  <c r="F3" i="15" s="1"/>
  <c r="M46" i="2" l="1"/>
  <c r="F4" i="16" s="1"/>
  <c r="M48" i="2"/>
  <c r="F6" i="16" s="1"/>
  <c r="M49" i="2"/>
  <c r="F7" i="16" s="1"/>
  <c r="M51" i="2"/>
  <c r="F9" i="16" s="1"/>
  <c r="M45" i="2"/>
  <c r="F3" i="16" s="1"/>
  <c r="M47" i="2"/>
  <c r="F5" i="16" s="1"/>
  <c r="M50" i="2"/>
  <c r="F8" i="16" s="1"/>
  <c r="AB36" i="2"/>
  <c r="J10" i="2"/>
  <c r="AB37" i="2" l="1"/>
  <c r="M36" i="2"/>
  <c r="F4" i="15" s="1"/>
  <c r="AB38" i="2" l="1"/>
  <c r="M37" i="2"/>
  <c r="F5" i="15" s="1"/>
  <c r="D9" i="13" a="1"/>
  <c r="D9" i="13" s="1"/>
  <c r="F51" i="2"/>
  <c r="Q9" i="16" s="1"/>
  <c r="E51" i="2"/>
  <c r="E52" i="2"/>
  <c r="D51" i="2"/>
  <c r="B9" i="16" s="1"/>
  <c r="D52" i="2"/>
  <c r="B10" i="16" s="1"/>
  <c r="F41" i="2"/>
  <c r="E41" i="2"/>
  <c r="E42" i="2"/>
  <c r="D41" i="2"/>
  <c r="D42" i="2"/>
  <c r="B9" i="13" a="1"/>
  <c r="B9" i="13" s="1"/>
  <c r="H9" i="13" s="1" a="1"/>
  <c r="H9" i="13" s="1"/>
  <c r="A2" i="13" a="1"/>
  <c r="K3" i="13" l="1" a="1"/>
  <c r="K3" i="13" s="1"/>
  <c r="B5" i="13" a="1"/>
  <c r="B5" i="13" s="1"/>
  <c r="K4" i="13" a="1"/>
  <c r="K4" i="13" s="1"/>
  <c r="L4" i="13" s="1" a="1"/>
  <c r="L4" i="13" s="1"/>
  <c r="B47" i="2" s="1"/>
  <c r="D5" i="13" a="1"/>
  <c r="D5" i="13" s="1"/>
  <c r="B7" i="13" a="1"/>
  <c r="B7" i="13" s="1"/>
  <c r="A6" i="19" s="1"/>
  <c r="K5" i="13" a="1"/>
  <c r="K5" i="13" s="1"/>
  <c r="L5" i="13" s="1" a="1"/>
  <c r="L5" i="13" s="1"/>
  <c r="B48" i="2" s="1"/>
  <c r="D7" i="13" a="1"/>
  <c r="D7" i="13" s="1"/>
  <c r="K6" i="13" a="1"/>
  <c r="K6" i="13" s="1"/>
  <c r="B6" i="13" a="1"/>
  <c r="B6" i="13" s="1"/>
  <c r="K7" i="13" a="1"/>
  <c r="K7" i="13" s="1"/>
  <c r="D4" i="13" a="1"/>
  <c r="D4" i="13" s="1"/>
  <c r="D47" i="2" s="1"/>
  <c r="D6" i="13" a="1"/>
  <c r="D6" i="13" s="1"/>
  <c r="I3" i="13" a="1"/>
  <c r="I3" i="13" s="1"/>
  <c r="B4" i="13" a="1"/>
  <c r="B4" i="13" s="1"/>
  <c r="A3" i="19" s="1"/>
  <c r="I4" i="13" a="1"/>
  <c r="I4" i="13" s="1"/>
  <c r="J4" i="13" s="1" a="1"/>
  <c r="J4" i="13" s="1"/>
  <c r="B37" i="2" s="1"/>
  <c r="D3" i="13" a="1"/>
  <c r="D3" i="13" s="1"/>
  <c r="D46" i="2" s="1"/>
  <c r="B3" i="13" a="1"/>
  <c r="B3" i="13" s="1"/>
  <c r="I5" i="13" a="1"/>
  <c r="I5" i="13" s="1"/>
  <c r="J5" i="13" s="1" a="1"/>
  <c r="J5" i="13" s="1"/>
  <c r="B38" i="2" s="1"/>
  <c r="I6" i="13" a="1"/>
  <c r="I6" i="13" s="1"/>
  <c r="J6" i="13" s="1" a="1"/>
  <c r="J6" i="13" s="1"/>
  <c r="B39" i="2" s="1"/>
  <c r="I7" i="13" a="1"/>
  <c r="I7" i="13" s="1"/>
  <c r="J7" i="13" s="1" a="1"/>
  <c r="J7" i="13" s="1"/>
  <c r="B40" i="2" s="1"/>
  <c r="H42" i="2" a="1"/>
  <c r="H42" i="2" s="1"/>
  <c r="X42" i="2" s="1"/>
  <c r="Y42" i="2" s="1"/>
  <c r="Z42" i="2" s="1"/>
  <c r="C42" i="2"/>
  <c r="H41" i="2" a="1"/>
  <c r="H41" i="2" s="1"/>
  <c r="X41" i="2" s="1"/>
  <c r="Y41" i="2" s="1"/>
  <c r="Z41" i="2" s="1"/>
  <c r="C41" i="2"/>
  <c r="H51" i="2" a="1"/>
  <c r="H51" i="2" s="1"/>
  <c r="X51" i="2" s="1"/>
  <c r="Y51" i="2" s="1"/>
  <c r="H52" i="2" a="1"/>
  <c r="H52" i="2" s="1"/>
  <c r="X52" i="2" s="1"/>
  <c r="Y52" i="2" s="1"/>
  <c r="N52" i="2"/>
  <c r="N51" i="2"/>
  <c r="B10" i="15"/>
  <c r="N42" i="2"/>
  <c r="B9" i="15"/>
  <c r="N41" i="2"/>
  <c r="Q9" i="15"/>
  <c r="E9" i="17"/>
  <c r="J3" i="13" a="1"/>
  <c r="J3" i="13" s="1"/>
  <c r="B36" i="2" s="1"/>
  <c r="L6" i="13" a="1"/>
  <c r="L6" i="13" s="1"/>
  <c r="B49" i="2" s="1"/>
  <c r="L3" i="13" a="1"/>
  <c r="L3" i="13" s="1"/>
  <c r="B46" i="2" s="1"/>
  <c r="L7" i="13" a="1"/>
  <c r="L7" i="13" s="1"/>
  <c r="B50" i="2" s="1"/>
  <c r="AB39" i="2"/>
  <c r="M38" i="2"/>
  <c r="F6" i="15" s="1"/>
  <c r="D8" i="13" a="1"/>
  <c r="D8" i="13" s="1"/>
  <c r="B8" i="13" a="1"/>
  <c r="B8" i="13" s="1"/>
  <c r="H8" i="13" s="1" a="1"/>
  <c r="H8" i="13" s="1"/>
  <c r="D50" i="2"/>
  <c r="H50" i="2" s="1" a="1"/>
  <c r="H50" i="2" s="1"/>
  <c r="E40" i="2"/>
  <c r="E50" i="2"/>
  <c r="A2" i="13"/>
  <c r="E36" i="2"/>
  <c r="E48" i="2"/>
  <c r="E39" i="2"/>
  <c r="E47" i="2"/>
  <c r="E37" i="2"/>
  <c r="E49" i="2"/>
  <c r="D48" i="2"/>
  <c r="E38" i="2"/>
  <c r="E46" i="2"/>
  <c r="D49" i="2"/>
  <c r="E9" i="13" a="1"/>
  <c r="E9" i="13" s="1"/>
  <c r="E75" i="2"/>
  <c r="D2" i="13" l="1" a="1"/>
  <c r="D2" i="13" s="1"/>
  <c r="K2" i="13" a="1"/>
  <c r="K2" i="13" s="1"/>
  <c r="I2" i="13" a="1"/>
  <c r="I2" i="13" s="1"/>
  <c r="B2" i="13" a="1"/>
  <c r="B2" i="13" s="1"/>
  <c r="N5" i="13" a="1"/>
  <c r="N5" i="13" s="1"/>
  <c r="O5" i="13" a="1"/>
  <c r="O5" i="13" s="1"/>
  <c r="O6" i="13" a="1"/>
  <c r="O6" i="13" s="1"/>
  <c r="N6" i="13" a="1"/>
  <c r="N6" i="13" s="1"/>
  <c r="A4" i="19"/>
  <c r="O3" i="13" a="1"/>
  <c r="O3" i="13" s="1"/>
  <c r="N3" i="13" a="1"/>
  <c r="N3" i="13" s="1"/>
  <c r="H7" i="13" a="1"/>
  <c r="H7" i="13" s="1"/>
  <c r="F50" i="2" s="1"/>
  <c r="Q8" i="16" s="1"/>
  <c r="N7" i="13" a="1"/>
  <c r="N7" i="13" s="1"/>
  <c r="O7" i="13" a="1"/>
  <c r="O7" i="13" s="1"/>
  <c r="N4" i="13" a="1"/>
  <c r="N4" i="13" s="1"/>
  <c r="O4" i="13" a="1"/>
  <c r="O4" i="13" s="1"/>
  <c r="A5" i="19"/>
  <c r="A2" i="19"/>
  <c r="D45" i="2"/>
  <c r="N45" i="2" s="1"/>
  <c r="L2" i="13" a="1"/>
  <c r="L2" i="13" s="1"/>
  <c r="B45" i="2" s="1"/>
  <c r="J2" i="13" a="1"/>
  <c r="J2" i="13" s="1"/>
  <c r="B35" i="2" s="1"/>
  <c r="A1" i="19"/>
  <c r="H46" i="2" a="1"/>
  <c r="H46" i="2" s="1"/>
  <c r="X46" i="2" s="1"/>
  <c r="Y46" i="2" s="1"/>
  <c r="B4" i="16"/>
  <c r="N47" i="2"/>
  <c r="B5" i="16"/>
  <c r="H49" i="2" a="1"/>
  <c r="H49" i="2" s="1"/>
  <c r="X49" i="2" s="1"/>
  <c r="Y49" i="2" s="1"/>
  <c r="B7" i="16"/>
  <c r="N48" i="2"/>
  <c r="B6" i="16"/>
  <c r="X50" i="2"/>
  <c r="B8" i="16"/>
  <c r="AB40" i="2"/>
  <c r="M39" i="2"/>
  <c r="F7" i="15" s="1"/>
  <c r="Z51" i="2"/>
  <c r="Z52" i="2"/>
  <c r="E7" i="13" a="1"/>
  <c r="E7" i="13" s="1"/>
  <c r="N50" i="2"/>
  <c r="D40" i="2"/>
  <c r="C40" i="2" s="1"/>
  <c r="H47" i="2" a="1"/>
  <c r="H47" i="2" s="1"/>
  <c r="X47" i="2" s="1"/>
  <c r="N46" i="2"/>
  <c r="H48" i="2" a="1"/>
  <c r="H48" i="2" s="1"/>
  <c r="X48" i="2" s="1"/>
  <c r="E45" i="2"/>
  <c r="E35" i="2"/>
  <c r="H4" i="13" a="1"/>
  <c r="H4" i="13" s="1"/>
  <c r="F47" i="2" s="1"/>
  <c r="Q5" i="16" s="1"/>
  <c r="D37" i="2"/>
  <c r="C37" i="2" s="1"/>
  <c r="H5" i="13" a="1"/>
  <c r="H5" i="13" s="1"/>
  <c r="F48" i="2" s="1"/>
  <c r="Q6" i="16" s="1"/>
  <c r="D38" i="2"/>
  <c r="C38" i="2" s="1"/>
  <c r="H6" i="13" a="1"/>
  <c r="H6" i="13" s="1"/>
  <c r="F49" i="2" s="1"/>
  <c r="Q7" i="16" s="1"/>
  <c r="D39" i="2"/>
  <c r="C39" i="2" s="1"/>
  <c r="N49" i="2"/>
  <c r="H3" i="13" a="1"/>
  <c r="H3" i="13" s="1"/>
  <c r="F36" i="2" s="1"/>
  <c r="D36" i="2"/>
  <c r="C36" i="2" s="1"/>
  <c r="E6" i="13" a="1"/>
  <c r="E6" i="13" s="1"/>
  <c r="C6" i="13" a="1"/>
  <c r="C6" i="13" s="1"/>
  <c r="E5" i="13" a="1"/>
  <c r="E5" i="13" s="1"/>
  <c r="L42" i="2"/>
  <c r="K42" i="2" s="1"/>
  <c r="C9" i="13" a="1"/>
  <c r="C9" i="13" s="1"/>
  <c r="F9" i="13" s="1"/>
  <c r="C7" i="13" a="1"/>
  <c r="C7" i="13" s="1"/>
  <c r="C5" i="13" a="1"/>
  <c r="C5" i="13" s="1"/>
  <c r="C51" i="2"/>
  <c r="A9" i="16" s="1"/>
  <c r="E8" i="13" a="1"/>
  <c r="E8" i="13" s="1"/>
  <c r="C8" i="13" a="1"/>
  <c r="C8" i="13" s="1"/>
  <c r="C52" i="2"/>
  <c r="A10" i="16" s="1"/>
  <c r="B10" i="13" a="1"/>
  <c r="B10" i="13" s="1"/>
  <c r="B11" i="13" a="1"/>
  <c r="B11" i="13" s="1"/>
  <c r="B12" i="13" a="1"/>
  <c r="B12" i="13" s="1"/>
  <c r="B13" i="13" a="1"/>
  <c r="B13" i="13" s="1"/>
  <c r="B14" i="13" a="1"/>
  <c r="B14" i="13" s="1"/>
  <c r="B15" i="13" a="1"/>
  <c r="B15" i="13" s="1"/>
  <c r="B16" i="13" a="1"/>
  <c r="B16" i="13" s="1"/>
  <c r="C50" i="2"/>
  <c r="A8" i="16" s="1"/>
  <c r="A3" i="20" l="1"/>
  <c r="A2" i="20"/>
  <c r="A4" i="20"/>
  <c r="A5" i="20"/>
  <c r="A6" i="20"/>
  <c r="D35" i="2"/>
  <c r="C35" i="2" s="1"/>
  <c r="N2" i="13" a="1"/>
  <c r="N2" i="13" s="1"/>
  <c r="O2" i="13" a="1"/>
  <c r="O2" i="13" s="1"/>
  <c r="F40" i="2"/>
  <c r="E8" i="17" s="1"/>
  <c r="H45" i="2" a="1"/>
  <c r="H45" i="2" s="1"/>
  <c r="X45" i="2" s="1"/>
  <c r="Y45" i="2" s="1"/>
  <c r="Q4" i="15"/>
  <c r="E4" i="17"/>
  <c r="B3" i="16"/>
  <c r="N36" i="2"/>
  <c r="B4" i="15"/>
  <c r="N40" i="2"/>
  <c r="B8" i="15"/>
  <c r="N39" i="2"/>
  <c r="B7" i="15"/>
  <c r="N38" i="2"/>
  <c r="B6" i="15"/>
  <c r="N37" i="2"/>
  <c r="B5" i="15"/>
  <c r="Y50" i="2"/>
  <c r="Z50" i="2" s="1"/>
  <c r="AB41" i="2"/>
  <c r="M40" i="2"/>
  <c r="F8" i="15" s="1"/>
  <c r="Y48" i="2"/>
  <c r="Z48" i="2" s="1"/>
  <c r="Z46" i="2"/>
  <c r="Z49" i="2"/>
  <c r="Y47" i="2"/>
  <c r="Z47" i="2" s="1"/>
  <c r="F7" i="13"/>
  <c r="H40" i="2" a="1"/>
  <c r="H40" i="2" s="1"/>
  <c r="F39" i="2"/>
  <c r="F38" i="2"/>
  <c r="F6" i="13"/>
  <c r="F37" i="2"/>
  <c r="H38" i="2" a="1"/>
  <c r="H38" i="2" s="1"/>
  <c r="F46" i="2"/>
  <c r="Q4" i="16" s="1"/>
  <c r="H39" i="2" a="1"/>
  <c r="H39" i="2" s="1"/>
  <c r="H37" i="2" a="1"/>
  <c r="H37" i="2" s="1"/>
  <c r="H36" i="2" a="1"/>
  <c r="H36" i="2" s="1"/>
  <c r="F5" i="13"/>
  <c r="I42" i="2"/>
  <c r="J42" i="2" s="1"/>
  <c r="F8" i="13"/>
  <c r="I52" i="2"/>
  <c r="J52" i="2" s="1"/>
  <c r="H2" i="13" a="1"/>
  <c r="H2" i="13" s="1"/>
  <c r="C47" i="2"/>
  <c r="A5" i="16" s="1"/>
  <c r="B3" i="15" l="1"/>
  <c r="N35" i="2"/>
  <c r="A1" i="20"/>
  <c r="H35" i="2" a="1"/>
  <c r="H35" i="2" s="1"/>
  <c r="X35" i="2" s="1"/>
  <c r="Y35" i="2" s="1"/>
  <c r="Z35" i="2" s="1"/>
  <c r="Q8" i="15"/>
  <c r="A7" i="15"/>
  <c r="B7" i="17"/>
  <c r="Q5" i="15"/>
  <c r="E5" i="17"/>
  <c r="Q6" i="15"/>
  <c r="E6" i="17"/>
  <c r="Q7" i="15"/>
  <c r="E7" i="17"/>
  <c r="A9" i="15"/>
  <c r="B9" i="17"/>
  <c r="K9" i="17" s="1"/>
  <c r="A10" i="15"/>
  <c r="B10" i="17"/>
  <c r="K10" i="17" s="1"/>
  <c r="A6" i="15"/>
  <c r="B6" i="17"/>
  <c r="A8" i="15"/>
  <c r="B8" i="17"/>
  <c r="AB42" i="2"/>
  <c r="M42" i="2" s="1"/>
  <c r="F10" i="15" s="1"/>
  <c r="M41" i="2"/>
  <c r="F9" i="15" s="1"/>
  <c r="X37" i="2"/>
  <c r="Y37" i="2" s="1"/>
  <c r="Z37" i="2" s="1"/>
  <c r="L39" i="2"/>
  <c r="X39" i="2"/>
  <c r="Y39" i="2" s="1"/>
  <c r="I40" i="2"/>
  <c r="J40" i="2" s="1"/>
  <c r="X40" i="2"/>
  <c r="Y40" i="2" s="1"/>
  <c r="X36" i="2"/>
  <c r="Y36" i="2" s="1"/>
  <c r="Z45" i="2"/>
  <c r="X38" i="2"/>
  <c r="Y38" i="2" s="1"/>
  <c r="Z38" i="2" s="1"/>
  <c r="G38" i="2"/>
  <c r="G48" i="2"/>
  <c r="G6" i="16" s="1"/>
  <c r="G8" i="16"/>
  <c r="G49" i="2"/>
  <c r="G7" i="16" s="1"/>
  <c r="G39" i="2"/>
  <c r="I39" i="2"/>
  <c r="J39" i="2" s="1"/>
  <c r="F45" i="2"/>
  <c r="Q3" i="16" s="1"/>
  <c r="F35" i="2"/>
  <c r="L40" i="2"/>
  <c r="C49" i="2"/>
  <c r="A7" i="16" s="1"/>
  <c r="C46" i="2"/>
  <c r="A4" i="16" s="1"/>
  <c r="C48" i="2"/>
  <c r="A6" i="16" s="1"/>
  <c r="L38" i="2"/>
  <c r="I38" i="2"/>
  <c r="J38" i="2" s="1"/>
  <c r="I41" i="2"/>
  <c r="J41" i="2" s="1"/>
  <c r="L41" i="2"/>
  <c r="L52" i="2"/>
  <c r="K52" i="2" s="1"/>
  <c r="E2" i="13" a="1"/>
  <c r="E2" i="13" s="1"/>
  <c r="C2" i="13" a="1"/>
  <c r="C2" i="13" s="1"/>
  <c r="E3" i="13" a="1"/>
  <c r="E3" i="13" s="1"/>
  <c r="E4" i="13" a="1"/>
  <c r="E4" i="13" s="1"/>
  <c r="C3" i="13" a="1"/>
  <c r="C3" i="13" s="1"/>
  <c r="C4" i="13" a="1"/>
  <c r="C4" i="13" s="1"/>
  <c r="I51" i="2"/>
  <c r="J51" i="2" s="1"/>
  <c r="L51" i="2"/>
  <c r="P4" i="2"/>
  <c r="R4" i="2" s="1"/>
  <c r="P3" i="2"/>
  <c r="R3" i="2" s="1"/>
  <c r="G8" i="15" l="1"/>
  <c r="F8" i="17"/>
  <c r="D6" i="17" a="1"/>
  <c r="D6" i="17" s="1"/>
  <c r="C6" i="17" a="1"/>
  <c r="C6" i="17" s="1"/>
  <c r="G6" i="15"/>
  <c r="F6" i="17"/>
  <c r="D10" i="17" a="1"/>
  <c r="D10" i="17" s="1"/>
  <c r="C10" i="17" a="1"/>
  <c r="C10" i="17" s="1"/>
  <c r="D8" i="17" a="1"/>
  <c r="D8" i="17" s="1"/>
  <c r="C8" i="17" a="1"/>
  <c r="C8" i="17" s="1"/>
  <c r="A5" i="15"/>
  <c r="B5" i="17"/>
  <c r="A4" i="15"/>
  <c r="B4" i="17"/>
  <c r="D9" i="17" a="1"/>
  <c r="D9" i="17" s="1"/>
  <c r="C9" i="17" a="1"/>
  <c r="C9" i="17" s="1"/>
  <c r="D7" i="17" a="1"/>
  <c r="D7" i="17" s="1"/>
  <c r="C7" i="17" a="1"/>
  <c r="C7" i="17" s="1"/>
  <c r="G7" i="15"/>
  <c r="F7" i="17"/>
  <c r="Q3" i="15"/>
  <c r="E3" i="17"/>
  <c r="K39" i="2"/>
  <c r="Z36" i="2"/>
  <c r="K40" i="2"/>
  <c r="Z40" i="2"/>
  <c r="Z39" i="2"/>
  <c r="K41" i="2"/>
  <c r="K38" i="2"/>
  <c r="C45" i="2"/>
  <c r="A3" i="16" s="1"/>
  <c r="I48" i="2"/>
  <c r="J48" i="2" s="1"/>
  <c r="I49" i="2"/>
  <c r="J49" i="2" s="1"/>
  <c r="L35" i="2"/>
  <c r="F3" i="13"/>
  <c r="K51" i="2"/>
  <c r="F2" i="13"/>
  <c r="F4" i="13"/>
  <c r="E4" i="2"/>
  <c r="D4" i="17" l="1" a="1"/>
  <c r="D4" i="17" s="1"/>
  <c r="C4" i="17" a="1"/>
  <c r="C4" i="17" s="1"/>
  <c r="D5" i="17" a="1"/>
  <c r="D5" i="17" s="1"/>
  <c r="C5" i="17" a="1"/>
  <c r="C5" i="17" s="1"/>
  <c r="A3" i="15"/>
  <c r="B3" i="17"/>
  <c r="G36" i="2"/>
  <c r="G46" i="2"/>
  <c r="G4" i="16" s="1"/>
  <c r="G37" i="2"/>
  <c r="G47" i="2"/>
  <c r="G5" i="16" s="1"/>
  <c r="G45" i="2"/>
  <c r="G3" i="16" s="1"/>
  <c r="G35" i="2"/>
  <c r="L45" i="2"/>
  <c r="L48" i="2"/>
  <c r="K48" i="2" s="1"/>
  <c r="L49" i="2"/>
  <c r="K49" i="2" s="1"/>
  <c r="I35" i="2"/>
  <c r="J35" i="2" s="1"/>
  <c r="K35" i="2" s="1"/>
  <c r="I50" i="2"/>
  <c r="J50" i="2" s="1"/>
  <c r="L50" i="2"/>
  <c r="L47" i="2"/>
  <c r="I47" i="2"/>
  <c r="J47" i="2" s="1"/>
  <c r="I37" i="2"/>
  <c r="J37" i="2" s="1"/>
  <c r="L37" i="2"/>
  <c r="L46" i="2"/>
  <c r="I46" i="2"/>
  <c r="J46" i="2" s="1"/>
  <c r="L36" i="2"/>
  <c r="I36" i="2"/>
  <c r="J36" i="2" s="1"/>
  <c r="B43" i="2"/>
  <c r="C43" i="2"/>
  <c r="H4" i="2"/>
  <c r="J19" i="2"/>
  <c r="G20" i="2"/>
  <c r="G21" i="2" s="1"/>
  <c r="B55" i="2"/>
  <c r="B54" i="2"/>
  <c r="G4" i="15" l="1"/>
  <c r="F4" i="17"/>
  <c r="G5" i="15"/>
  <c r="F5" i="17"/>
  <c r="G3" i="15"/>
  <c r="F3" i="17"/>
  <c r="D3" i="17" a="1"/>
  <c r="D3" i="17" s="1"/>
  <c r="C3" i="17" a="1"/>
  <c r="C3" i="17" s="1"/>
  <c r="I45" i="2"/>
  <c r="J45" i="2" s="1"/>
  <c r="K45" i="2" s="1"/>
  <c r="K50" i="2"/>
  <c r="K36" i="2"/>
  <c r="K46" i="2"/>
  <c r="K47" i="2"/>
  <c r="K37" i="2"/>
  <c r="H20" i="2"/>
  <c r="J21" i="2" l="1"/>
  <c r="J20" i="2"/>
  <c r="C11" i="10" l="1"/>
  <c r="D11" i="10" s="1"/>
  <c r="C12" i="10" l="1"/>
  <c r="D12" i="10" s="1"/>
  <c r="C10" i="10"/>
  <c r="D10" i="10" s="1"/>
  <c r="C3" i="10"/>
  <c r="D3" i="10" s="1"/>
  <c r="C5" i="10"/>
  <c r="D5" i="10" s="1"/>
  <c r="C4" i="10"/>
  <c r="D4"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<sst xmlns="http://schemas.openxmlformats.org/spreadsheetml/2006/main" count="1002" uniqueCount="458">
  <si>
    <t>First Name</t>
  </si>
  <si>
    <t>MRN</t>
  </si>
  <si>
    <t>Accession #</t>
  </si>
  <si>
    <t>Collection Date</t>
  </si>
  <si>
    <t>Birth Date</t>
  </si>
  <si>
    <t>Gender</t>
  </si>
  <si>
    <t>Case ID</t>
  </si>
  <si>
    <t>DNA Number</t>
  </si>
  <si>
    <t>Color</t>
  </si>
  <si>
    <t>Received Date</t>
  </si>
  <si>
    <t>Received Time</t>
  </si>
  <si>
    <t>Received By</t>
  </si>
  <si>
    <t>Sample Type</t>
  </si>
  <si>
    <t>Sample Amount</t>
  </si>
  <si>
    <t>Ordering Location</t>
  </si>
  <si>
    <t>Location Code (BMT, CCC, etc)</t>
  </si>
  <si>
    <t>Provider Last Name</t>
  </si>
  <si>
    <t>Provider First Name</t>
  </si>
  <si>
    <t>Due Date (10 working days from receipt)</t>
  </si>
  <si>
    <t>Test Requested</t>
  </si>
  <si>
    <t>Assay ID</t>
  </si>
  <si>
    <t>Test Run By</t>
  </si>
  <si>
    <t>Test Run Date</t>
  </si>
  <si>
    <t>Reported Date</t>
  </si>
  <si>
    <t>Invoice Number</t>
  </si>
  <si>
    <t>Notes</t>
  </si>
  <si>
    <t>Holidays (2012-2014)</t>
  </si>
  <si>
    <t>Run By:</t>
  </si>
  <si>
    <t>Run Date:</t>
  </si>
  <si>
    <t>Year:</t>
  </si>
  <si>
    <t>Number of samples:</t>
  </si>
  <si>
    <t>Month:</t>
  </si>
  <si>
    <t>Column1</t>
  </si>
  <si>
    <t>LPC</t>
  </si>
  <si>
    <t>Step 1: Enter Patient List from the Sample Receipt Log on the Patient List Tab (click to enter)</t>
  </si>
  <si>
    <t>Last Name</t>
  </si>
  <si>
    <t>Step 3: Select the Run Template File</t>
  </si>
  <si>
    <t>File:</t>
  </si>
  <si>
    <t>Step 4: Select where to save the run record</t>
  </si>
  <si>
    <t>Save Here:</t>
  </si>
  <si>
    <t>QC #1:</t>
  </si>
  <si>
    <t>QC #2:</t>
  </si>
  <si>
    <t>Name:</t>
  </si>
  <si>
    <t>Check</t>
  </si>
  <si>
    <t>Step 2: Choose Technician and Enter Run Date(s) Below:</t>
  </si>
  <si>
    <t>Assay ID:</t>
  </si>
  <si>
    <t>Step 6: Verify that the assay ID is correct</t>
  </si>
  <si>
    <t>Doc Name:</t>
  </si>
  <si>
    <t>This workbook is a generic workbook to automate the creation of run records.</t>
  </si>
  <si>
    <t>Please follow these instructions when creating a new run record template for a new assay:</t>
  </si>
  <si>
    <t>2. Create the template WORD document and save as a ".dotx" file</t>
  </si>
  <si>
    <t>3. Create the content here that will be sent to the word document. This includes sample tables, plate layout tables, control values, etc.</t>
  </si>
  <si>
    <t>4. All tables and other content that will be sent to the word document MUST be named. Tables can be formatted as tables and named under the "Tables" tab,</t>
  </si>
  <si>
    <t>or cell(s) can be selected and named using "Formulas -&gt; Name Manager".</t>
  </si>
  <si>
    <t>5. Go back to your word document and insert BOOKMARKS for everything that needs to be copied to the new document.</t>
  </si>
  <si>
    <t>IMPORTANT:</t>
  </si>
  <si>
    <t>a. All bookmarks in the word document should be enclosed in [[ ]] in the document, but leave the [[ ]] off the name in the bookmark manager. For example:</t>
  </si>
  <si>
    <t>For a bookmark named AssayID, it should be named AssayID in the bookmark manager.</t>
  </si>
  <si>
    <t>It should be placed in the document as [[AssayID]].</t>
  </si>
  <si>
    <t>Highlight the bookmark name including double brackets [[AssayID]]</t>
  </si>
  <si>
    <t>Click "Insert bookmark" and name the bookmark AssayID (no double brackets)</t>
  </si>
  <si>
    <t>The bookmark with double brackets will be replaced with the AssayID data from this workbook.</t>
  </si>
  <si>
    <t>The double brackets allow us to easily see bookmarks in template files.</t>
  </si>
  <si>
    <t>b. All Bookmarks in the word document MUST have the same name as the named content here. For example</t>
  </si>
  <si>
    <t>The AssayID bookmark in word must have a corresponding named range named AssayID.</t>
  </si>
  <si>
    <t>Any named ranges here that do NOT match a bookmark name exactly will be skipped.</t>
  </si>
  <si>
    <t>Any bookmarks here that do NOT correspond to a named range or tabel here will be skipped.</t>
  </si>
  <si>
    <t>Create a list of named ranges here and in the template document:</t>
  </si>
  <si>
    <t>Created by Sarah Schmitt, 01/Feb/2016</t>
  </si>
  <si>
    <t>6. The last two rows of the Samples table must always be the last two rows. If you need to insert additional rows, insert in the middle and adjust values from there.</t>
  </si>
  <si>
    <t>1. Select a Default file location where template run records will be stored:</t>
  </si>
  <si>
    <t>(this will usually be the main folder for an assay. For example: R:\CANCTR RSCH\CMOL\Assay Results\Clinical Data\PCR-based assays\EGFR)</t>
  </si>
  <si>
    <t>You selected this default folder:</t>
  </si>
  <si>
    <t>Excel Name</t>
  </si>
  <si>
    <t>AssayID</t>
  </si>
  <si>
    <t>Samples</t>
  </si>
  <si>
    <t>DocName</t>
  </si>
  <si>
    <t>LPC_1</t>
  </si>
  <si>
    <t>RunDate</t>
  </si>
  <si>
    <t>SavePath</t>
  </si>
  <si>
    <t>Technician</t>
  </si>
  <si>
    <t>TemplateFile</t>
  </si>
  <si>
    <t>Word Name</t>
  </si>
  <si>
    <t>Named Range</t>
  </si>
  <si>
    <t>AssessmentPlate</t>
  </si>
  <si>
    <t>MutationPlate</t>
  </si>
  <si>
    <t>Type (Range or Table)</t>
  </si>
  <si>
    <t>Table</t>
  </si>
  <si>
    <t>Column2</t>
  </si>
  <si>
    <t>Column3</t>
  </si>
  <si>
    <t>Test Requested4</t>
  </si>
  <si>
    <t>Ordering Location5</t>
  </si>
  <si>
    <t>Column6</t>
  </si>
  <si>
    <t>Column7</t>
  </si>
  <si>
    <t>Column8</t>
  </si>
  <si>
    <t>Column9</t>
  </si>
  <si>
    <t>Column10</t>
  </si>
  <si>
    <t>Column11</t>
  </si>
  <si>
    <t>Column12</t>
  </si>
  <si>
    <t>Tech for FFPE QC</t>
  </si>
  <si>
    <t>Tech for Targeted Enrichment</t>
  </si>
  <si>
    <t>Leesa Rorstrom</t>
  </si>
  <si>
    <t>Sarah Schmitt</t>
  </si>
  <si>
    <t>PatientList</t>
  </si>
  <si>
    <t>DilutionTable</t>
  </si>
  <si>
    <t># of QC Samples</t>
  </si>
  <si>
    <t>MRN-Accession</t>
  </si>
  <si>
    <t>Step 7: Confirm Sample List is correct</t>
  </si>
  <si>
    <t>first row of patient samples</t>
  </si>
  <si>
    <t>last row of patient sample</t>
  </si>
  <si>
    <t>first row of QC sample</t>
  </si>
  <si>
    <t>Conc (ng/ul)</t>
  </si>
  <si>
    <t>Step 7: Enter LPC Mutation and ID. YELLOW CELLS ARE REQUIRED</t>
  </si>
  <si>
    <t>R:\CANCTR RSCH\CMOL\Assay Results\Clinical Data\PCR-based assays\EGFR\M31a.6-therascreen EGFR RGQ PCR test record.dotx</t>
  </si>
  <si>
    <t>AssessmentMM</t>
  </si>
  <si>
    <t>MutationMM</t>
  </si>
  <si>
    <t>Per sample or control</t>
  </si>
  <si>
    <t>#samples + extra =</t>
  </si>
  <si>
    <t>Total Amount</t>
  </si>
  <si>
    <t>Control Reaction Mix</t>
  </si>
  <si>
    <t>Taq</t>
  </si>
  <si>
    <t>Total Volume</t>
  </si>
  <si>
    <t>19.5 µl x</t>
  </si>
  <si>
    <t>0.50 µl x</t>
  </si>
  <si>
    <t>20.00 µl x</t>
  </si>
  <si>
    <t>AssessmentMM - for CTRL tube</t>
  </si>
  <si>
    <t>MutationMM -for CTRL tube and 7 mutations - make 8 total</t>
  </si>
  <si>
    <t>Step 5: Enter QC Sample ID(s) (if applicable) in the rows on the "Patient List" after all patient rows</t>
  </si>
  <si>
    <t>DNA Extracted Date</t>
  </si>
  <si>
    <t>DNA Extracted By</t>
  </si>
  <si>
    <t>DNA Conc. Tumor (ng/ul)</t>
  </si>
  <si>
    <t>DNA Tumor A260:A280</t>
  </si>
  <si>
    <t>DNA Conc. Normal (ng/ul)</t>
  </si>
  <si>
    <t>DNA Normal A260:A280</t>
  </si>
  <si>
    <t>Last Updated by Sarah Schmitt, 17/Jun/2016</t>
  </si>
  <si>
    <t>QC/IQCP Run IDs - List of MOST RECENT currently applicable QC run IDs</t>
  </si>
  <si>
    <t>Run ID</t>
  </si>
  <si>
    <t>Run Date</t>
  </si>
  <si>
    <t>Due Date</t>
  </si>
  <si>
    <t>Data for Run Record:</t>
  </si>
  <si>
    <t>Last NC</t>
  </si>
  <si>
    <t>Last PC</t>
  </si>
  <si>
    <t>Version</t>
  </si>
  <si>
    <t>Changes</t>
  </si>
  <si>
    <t>Change Date</t>
  </si>
  <si>
    <t>Change By</t>
  </si>
  <si>
    <t>New Document</t>
  </si>
  <si>
    <t>DNA Normal A260:A281</t>
  </si>
  <si>
    <t>DNA Normal A260:A282</t>
  </si>
  <si>
    <t>DNA Normal A260:A283</t>
  </si>
  <si>
    <t>DNA Normal A260:A284</t>
  </si>
  <si>
    <t>FFPE</t>
  </si>
  <si>
    <t>The University of Kansas Hospital</t>
  </si>
  <si>
    <t>Sample Name</t>
  </si>
  <si>
    <t>Cellularity</t>
  </si>
  <si>
    <t>Sex</t>
  </si>
  <si>
    <t>H2O to add (ul)</t>
  </si>
  <si>
    <t>Green</t>
  </si>
  <si>
    <t>Accession</t>
  </si>
  <si>
    <t>DNA Color</t>
  </si>
  <si>
    <t>Brown</t>
  </si>
  <si>
    <t>Sample ID</t>
  </si>
  <si>
    <t>Unique Accession #</t>
  </si>
  <si>
    <t>DNA Gender</t>
  </si>
  <si>
    <t>RNA Number</t>
  </si>
  <si>
    <t>RNA Gender</t>
  </si>
  <si>
    <t>Gender Match?</t>
  </si>
  <si>
    <t>Total Vol (ul)</t>
  </si>
  <si>
    <t>Diluted 1:10</t>
  </si>
  <si>
    <t>Female</t>
  </si>
  <si>
    <t>Conc.</t>
  </si>
  <si>
    <t>\\kumc.edu\data\Research\CANCTR RSCH\CMOL\Assay Results\Clinical Data\NGS Comprehensive Plus</t>
  </si>
  <si>
    <t>RNA to add (ul)</t>
  </si>
  <si>
    <t>DNA to add (ul)</t>
  </si>
  <si>
    <t>#</t>
  </si>
  <si>
    <t>CCPGP</t>
  </si>
  <si>
    <t>Comprehensive Cancer Plus NGS Panel</t>
  </si>
  <si>
    <t>JC</t>
  </si>
  <si>
    <t>9+1</t>
  </si>
  <si>
    <t>Enter DNA PC</t>
  </si>
  <si>
    <t>Enter RNA PC</t>
  </si>
  <si>
    <t>Moved PC to position 7, NTC to position 8. Changed sample name from "OCA-…" to "CP-…"</t>
  </si>
  <si>
    <t>SS</t>
  </si>
  <si>
    <t>Male</t>
  </si>
  <si>
    <t>Lakis</t>
  </si>
  <si>
    <t>Nelli</t>
  </si>
  <si>
    <t>Purple</t>
  </si>
  <si>
    <t>Yellow</t>
  </si>
  <si>
    <t>Oncomine Comprehensive Panel - Paired DNA/RNA Samples</t>
  </si>
  <si>
    <t>notes = male and female need to be fully spelled out</t>
  </si>
  <si>
    <t>CMOL ID</t>
  </si>
  <si>
    <t>Test Code (from specimen label)</t>
  </si>
  <si>
    <t>Due Date (15 working days from receipt)</t>
  </si>
  <si>
    <t>Reported/Canceled Date</t>
  </si>
  <si>
    <t>ICD-9 Code 1</t>
  </si>
  <si>
    <t>ICD-9 Code 2</t>
  </si>
  <si>
    <t>ICD-9 Code 3</t>
  </si>
  <si>
    <t>ICD-9 Code 4</t>
  </si>
  <si>
    <t>Associated Diagnosis</t>
  </si>
  <si>
    <t>Additional Provider #1 Last Name</t>
  </si>
  <si>
    <t>Additional Provider #1 First Name</t>
  </si>
  <si>
    <t>Additional Provider #2 Last Name</t>
  </si>
  <si>
    <t>Additional Provider #2 First Name</t>
  </si>
  <si>
    <t>Additional Provider #3 Last Name</t>
  </si>
  <si>
    <t>Additional Provider #3 First Name</t>
  </si>
  <si>
    <t>Additional Provider #4 Last Name</t>
  </si>
  <si>
    <t>Additional Provider #4 First Name</t>
  </si>
  <si>
    <t>Extraction Date</t>
  </si>
  <si>
    <t>Extracted By</t>
  </si>
  <si>
    <t>A260/A280 Tumor</t>
  </si>
  <si>
    <t>Number of Repeats</t>
  </si>
  <si>
    <t>Canceled</t>
  </si>
  <si>
    <t>First Patient Date</t>
  </si>
  <si>
    <t xml:space="preserve">FFPE </t>
  </si>
  <si>
    <t>Block out both samples in RED when either RNA or DNA is exhausted</t>
  </si>
  <si>
    <t>Black</t>
  </si>
  <si>
    <t>DNA to Add</t>
  </si>
  <si>
    <t>H2O to add</t>
  </si>
  <si>
    <t>Total</t>
  </si>
  <si>
    <t>RNA to add</t>
  </si>
  <si>
    <t>h2O to add</t>
  </si>
  <si>
    <t>M31523</t>
  </si>
  <si>
    <t>S23-3408 B2</t>
  </si>
  <si>
    <t>D17071</t>
  </si>
  <si>
    <t>AF</t>
  </si>
  <si>
    <t>Meyer</t>
  </si>
  <si>
    <t>Anders</t>
  </si>
  <si>
    <t>90% Tumor</t>
  </si>
  <si>
    <t>Tumor of soft tissues, soft tissue tumor</t>
  </si>
  <si>
    <t>Rosenthal</t>
  </si>
  <si>
    <t>Howard</t>
  </si>
  <si>
    <t>R07723</t>
  </si>
  <si>
    <t>M32522</t>
  </si>
  <si>
    <t>S20-9249 B6</t>
  </si>
  <si>
    <t>D17074</t>
  </si>
  <si>
    <t>&gt;85% Tumor</t>
  </si>
  <si>
    <t>Other specified disorders of brain</t>
  </si>
  <si>
    <t>Camarata</t>
  </si>
  <si>
    <t>Paul</t>
  </si>
  <si>
    <t>R07725</t>
  </si>
  <si>
    <t>T70206</t>
  </si>
  <si>
    <t>S23-4491 A1</t>
  </si>
  <si>
    <t>D17090</t>
  </si>
  <si>
    <t>Miller</t>
  </si>
  <si>
    <t>Christopher</t>
  </si>
  <si>
    <t>R07728</t>
  </si>
  <si>
    <t>T1655</t>
  </si>
  <si>
    <t>S23-4132 E1</t>
  </si>
  <si>
    <t>D17180</t>
  </si>
  <si>
    <t>Red</t>
  </si>
  <si>
    <t>KL</t>
  </si>
  <si>
    <t>UKCC-Overland Park</t>
  </si>
  <si>
    <t>Rooney</t>
  </si>
  <si>
    <t>Anthony</t>
  </si>
  <si>
    <t>40% tumor</t>
  </si>
  <si>
    <t>Prostate cancer metastatic to intrapelvic lymph node</t>
  </si>
  <si>
    <t>Mirza</t>
  </si>
  <si>
    <t>Moben</t>
  </si>
  <si>
    <t>Powers</t>
  </si>
  <si>
    <t>Benjamin</t>
  </si>
  <si>
    <t>R07765</t>
  </si>
  <si>
    <t>C1 DNA</t>
  </si>
  <si>
    <t>C1 RNA</t>
  </si>
  <si>
    <t>C2 DNA</t>
  </si>
  <si>
    <t>C2 RNA</t>
  </si>
  <si>
    <t>C3 DNA</t>
  </si>
  <si>
    <t>C3 RNA</t>
  </si>
  <si>
    <t>C4 DNA</t>
  </si>
  <si>
    <t>C4 RNA</t>
  </si>
  <si>
    <t>Orange</t>
  </si>
  <si>
    <t>Blue</t>
  </si>
  <si>
    <t>CSV Version (required)</t>
  </si>
  <si>
    <t>Sample Name (required)</t>
  </si>
  <si>
    <t>Control Type</t>
  </si>
  <si>
    <t>PCR Plate Position</t>
  </si>
  <si>
    <t>Barcodekit</t>
  </si>
  <si>
    <t>Barcode</t>
  </si>
  <si>
    <t>Type</t>
  </si>
  <si>
    <t>Group</t>
  </si>
  <si>
    <t>Description</t>
  </si>
  <si>
    <t>Sample Collection Date</t>
  </si>
  <si>
    <t>Sample Receipt Date</t>
  </si>
  <si>
    <t>Nucleotide Type</t>
  </si>
  <si>
    <t>Sample Source</t>
  </si>
  <si>
    <t>Panel Pool Type</t>
  </si>
  <si>
    <t>Cancer Type</t>
  </si>
  <si>
    <t>Cellularity %</t>
  </si>
  <si>
    <t>Biopsy Days</t>
  </si>
  <si>
    <t>Cell Number</t>
  </si>
  <si>
    <t>Couple ID</t>
  </si>
  <si>
    <t>Embryo ID</t>
  </si>
  <si>
    <t>Population</t>
  </si>
  <si>
    <t>Mouse Strains</t>
  </si>
  <si>
    <t>A</t>
  </si>
  <si>
    <t>IonCode Barcodes 1-32</t>
  </si>
  <si>
    <t>DNA</t>
  </si>
  <si>
    <t>B</t>
  </si>
  <si>
    <t>C</t>
  </si>
  <si>
    <t>D</t>
  </si>
  <si>
    <t>E</t>
  </si>
  <si>
    <t>F</t>
  </si>
  <si>
    <t>G</t>
  </si>
  <si>
    <t>H</t>
  </si>
  <si>
    <t>RNA</t>
  </si>
  <si>
    <t>Red: 0101-0108</t>
  </si>
  <si>
    <t>Yellow: 0109-0116</t>
  </si>
  <si>
    <t>Green: 0117-0124</t>
  </si>
  <si>
    <t>Select DNA Plate/color Code</t>
  </si>
  <si>
    <t>Select RNA Plate/Color Code</t>
  </si>
  <si>
    <t>Code</t>
  </si>
  <si>
    <t>Blue: 0125-0132</t>
  </si>
  <si>
    <t>Start</t>
  </si>
  <si>
    <t>DNA ID</t>
  </si>
  <si>
    <t>RNA ID</t>
  </si>
  <si>
    <t>Result (Select)</t>
  </si>
  <si>
    <t>□  Pass         □  Fail</t>
  </si>
  <si>
    <t>RNA Color</t>
  </si>
  <si>
    <t>DNA Color Short</t>
  </si>
  <si>
    <t>RNA Color Short</t>
  </si>
  <si>
    <t>Abbr</t>
  </si>
  <si>
    <t>BK</t>
  </si>
  <si>
    <t>RD</t>
  </si>
  <si>
    <t>BN</t>
  </si>
  <si>
    <t>GR</t>
  </si>
  <si>
    <t>BL</t>
  </si>
  <si>
    <t>YW</t>
  </si>
  <si>
    <t>OR</t>
  </si>
  <si>
    <t>PP</t>
  </si>
  <si>
    <t>Clr</t>
  </si>
  <si>
    <t>Added DNA/RNA CSV creation, added creation of result file directories</t>
  </si>
  <si>
    <t>M55a.2</t>
  </si>
  <si>
    <t>M55a.1</t>
  </si>
  <si>
    <t>M55a.0</t>
  </si>
  <si>
    <t>\\kumc.edu\data\Research\CANCTR RSCH\CMOL\Assay Results\Clinical Data\NGS Comprehensive Plus\Worksheets\M55b.2 - Step 1 NGS Comprehensive Plus Library Preparation Template.dotx</t>
  </si>
  <si>
    <t>Reported</t>
  </si>
  <si>
    <t>Huang</t>
  </si>
  <si>
    <t>Chao</t>
  </si>
  <si>
    <t>WZ</t>
  </si>
  <si>
    <t>H37512</t>
  </si>
  <si>
    <t>S23-28841 A1</t>
  </si>
  <si>
    <t>D18945</t>
  </si>
  <si>
    <t>GS NGS 063</t>
  </si>
  <si>
    <t>Malignant neoplasm of hilus of right lung</t>
  </si>
  <si>
    <t>R08560</t>
  </si>
  <si>
    <t>C12 DNA</t>
  </si>
  <si>
    <t>C12 RNA</t>
  </si>
  <si>
    <t>\\kumc.edu\data\Research\CANCTR RSCH\CMOL\Assay Results\Clinical Data\NGS Comprehensive Plus\Worksheets\M55c.2 - Step 2 NGS Comprehensive Plus Data Analysis.dotx</t>
  </si>
  <si>
    <t>H30689</t>
  </si>
  <si>
    <t>S23-36825 D1</t>
  </si>
  <si>
    <t>D19538</t>
  </si>
  <si>
    <t>HS/CS</t>
  </si>
  <si>
    <t>12+1</t>
  </si>
  <si>
    <t>Haeri Hosseini</t>
  </si>
  <si>
    <t>Seyed Mohammad</t>
  </si>
  <si>
    <t>GS NGS 075</t>
  </si>
  <si>
    <t>95%tumor</t>
  </si>
  <si>
    <t>Chamoun</t>
  </si>
  <si>
    <t>Roukoz</t>
  </si>
  <si>
    <t>R08807</t>
  </si>
  <si>
    <t>C13 DNA</t>
  </si>
  <si>
    <t>C13 RNA</t>
  </si>
  <si>
    <t>C14 RNA</t>
  </si>
  <si>
    <t>F31632</t>
  </si>
  <si>
    <t>MALE</t>
  </si>
  <si>
    <t>R09180</t>
  </si>
  <si>
    <t>C15 RNA</t>
  </si>
  <si>
    <t>F15766</t>
  </si>
  <si>
    <t>R09451</t>
  </si>
  <si>
    <t>S24-18713 B1</t>
  </si>
  <si>
    <t>D22184</t>
  </si>
  <si>
    <t>GS NGS 147</t>
  </si>
  <si>
    <t>Milligan</t>
  </si>
  <si>
    <t>Brian</t>
  </si>
  <si>
    <t>R09836</t>
  </si>
  <si>
    <t>C16 DNA</t>
  </si>
  <si>
    <t>C16 RNA</t>
  </si>
  <si>
    <t>W25936-C16</t>
  </si>
  <si>
    <t>Acrometrix</t>
  </si>
  <si>
    <t>C17 RNA</t>
  </si>
  <si>
    <t>C17RNA</t>
  </si>
  <si>
    <t>R10320</t>
  </si>
  <si>
    <t>C18 RNA</t>
  </si>
  <si>
    <t>Jennifer Crow</t>
  </si>
  <si>
    <t>15+1</t>
  </si>
  <si>
    <t>MH/AF</t>
  </si>
  <si>
    <t>Mathew</t>
  </si>
  <si>
    <t>Nina S</t>
  </si>
  <si>
    <t>Backus</t>
  </si>
  <si>
    <t>Joyce</t>
  </si>
  <si>
    <t>7612658</t>
  </si>
  <si>
    <t>F6496</t>
  </si>
  <si>
    <t>O24-3965 A1</t>
  </si>
  <si>
    <t>GS NGS 212</t>
  </si>
  <si>
    <t>90% tumor; CCPGP and RAPBN on same accession</t>
  </si>
  <si>
    <t>Malignant melanoma of skin, unspecified</t>
  </si>
  <si>
    <t>Cook</t>
  </si>
  <si>
    <t>Ian C</t>
  </si>
  <si>
    <t>Berg</t>
  </si>
  <si>
    <t>Jerry</t>
  </si>
  <si>
    <t>3216617</t>
  </si>
  <si>
    <t>M7797</t>
  </si>
  <si>
    <t>S24-41968 B9</t>
  </si>
  <si>
    <t>Madan</t>
  </si>
  <si>
    <t>Rashna</t>
  </si>
  <si>
    <t>75% tumor</t>
  </si>
  <si>
    <t>Typical atrial flutter; Other specified diseases of pancreas; Benign neoplasm of extrahepatic bile ducts; Unspecified jaundice</t>
  </si>
  <si>
    <t>King</t>
  </si>
  <si>
    <t>Clay D</t>
  </si>
  <si>
    <t>Rizer</t>
  </si>
  <si>
    <t>Ruth</t>
  </si>
  <si>
    <t>3210284</t>
  </si>
  <si>
    <t>M7289</t>
  </si>
  <si>
    <t>F24-1970 A1</t>
  </si>
  <si>
    <t>5+1</t>
  </si>
  <si>
    <t>Ernst</t>
  </si>
  <si>
    <t>David J</t>
  </si>
  <si>
    <t>10% tumor; BRAF NGS and Lung NFS on same accession; Reached out to Dr.Wei Zhang if sample needs to change test, pending her answer  10/29/24 AF; Change to EGFR PCR &amp;Comp Plus per Wei 10/29/24 AF</t>
  </si>
  <si>
    <t>Malignant neoplasm of overlapping sites of right bronchus and lung; Family history of malignant neoplasm, unspecified</t>
  </si>
  <si>
    <t>Moore</t>
  </si>
  <si>
    <t>Andrew</t>
  </si>
  <si>
    <t>Pitts</t>
  </si>
  <si>
    <t>Lucas</t>
  </si>
  <si>
    <t>Saunders</t>
  </si>
  <si>
    <t>Kelley</t>
  </si>
  <si>
    <t>2354960</t>
  </si>
  <si>
    <t>T74301</t>
  </si>
  <si>
    <t>S24-38778 A2</t>
  </si>
  <si>
    <t>MH</t>
  </si>
  <si>
    <t>50% tumor</t>
  </si>
  <si>
    <t>Major depressive disorder, recurrent, unspecified; Other symptoms and signs involving cognitive functions and awareness; Malignant neoplasm of brain, unspecified; Dysphagia, oropharyngeal phase</t>
  </si>
  <si>
    <t>J C</t>
  </si>
  <si>
    <t>\\kumc.edu\data\Research\CANCTR RSCH\CMOL\Assay Results\Clinical Data\NGS Comprehensive Plus\2024 (Run 091-)\CP212</t>
  </si>
  <si>
    <t>F6496.3</t>
  </si>
  <si>
    <t>M7797.3</t>
  </si>
  <si>
    <t>M7289.3</t>
  </si>
  <si>
    <t>T74301.3</t>
  </si>
  <si>
    <t>F6496.2</t>
  </si>
  <si>
    <t>M7797.2</t>
  </si>
  <si>
    <t>M7289.2</t>
  </si>
  <si>
    <t>T74301.2</t>
  </si>
  <si>
    <t>Bkrccv</t>
  </si>
  <si>
    <t xml:space="preserve"> Bh Cmol</t>
  </si>
  <si>
    <t>24BH-303MP0006</t>
  </si>
  <si>
    <t>24BH-303MP0006.2</t>
  </si>
  <si>
    <t>Bone Marrow</t>
  </si>
  <si>
    <t>Bell Hospital Lab</t>
  </si>
  <si>
    <t>CAMPBELL</t>
  </si>
  <si>
    <t xml:space="preserve"> VIRGINIA A</t>
  </si>
  <si>
    <t>N/A</t>
  </si>
  <si>
    <t>24BH-303MP0006.3</t>
  </si>
  <si>
    <t>CCVThree-CMOL</t>
  </si>
  <si>
    <t xml:space="preserve"> Randall Stg</t>
  </si>
  <si>
    <t>24BH-303MP0005</t>
  </si>
  <si>
    <t>24BH-303MP0005.2</t>
  </si>
  <si>
    <t>Blood</t>
  </si>
  <si>
    <t>DASGUPTA</t>
  </si>
  <si>
    <t xml:space="preserve"> AMITAVA M</t>
  </si>
  <si>
    <t>24BH-303MP0005.3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</si>
</sst>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0.0"/>
    <numFmt numFmtId="166" formatCode="m/d/yy;@"/>
  </numFmts>
  <fonts count="22" x14ac:knownFonts="1">
    <font>
      <sz val="11"/>
      <color theme="1"/>
      <name val="Arial Narrow"/>
      <family val="2"/>
    </font>
    <font>
      <b/>
      <sz val="9"/>
      <color theme="1"/>
      <name val="Calibri"/>
      <family val="2"/>
      <scheme val="minor"/>
    </font>
    <font>
      <sz val="9"/>
      <color theme="1"/>
      <name val="Calibri"/>
      <family val="2"/>
      <scheme val="minor"/>
    </font>
    <font>
      <sz val="10"/>
      <color theme="1"/>
      <name val="Arial Narrow"/>
      <family val="2"/>
    </font>
    <font>
      <b/>
      <sz val="10"/>
      <color theme="1"/>
      <name val="Arial Narrow"/>
      <family val="2"/>
    </font>
    <font>
      <sz val="10"/>
      <name val="Arial Narrow"/>
      <family val="2"/>
    </font>
    <font>
      <u/>
      <sz val="11"/>
      <color theme="10"/>
      <name val="Arial Narrow"/>
      <family val="2"/>
    </font>
    <font>
      <b/>
      <i/>
      <sz val="10"/>
      <color theme="1"/>
      <name val="Arial Narrow"/>
      <family val="2"/>
    </font>
    <font>
      <u/>
      <sz val="10"/>
      <color theme="10"/>
      <name val="Arial Narrow"/>
      <family val="2"/>
    </font>
    <font>
      <sz val="11"/>
      <color rgb="FF000000"/>
      <name val="Arial Narrow"/>
      <family val="2"/>
    </font>
    <font>
      <b/>
      <sz val="11"/>
      <color theme="1"/>
      <name val="Arial Narrow"/>
      <family val="2"/>
    </font>
    <font>
      <sz val="11"/>
      <color rgb="FFFF0000"/>
      <name val="Arial Narrow"/>
      <family val="2"/>
    </font>
    <font>
      <sz val="8"/>
      <name val="Arial Narrow"/>
      <family val="2"/>
    </font>
    <font>
      <sz val="11"/>
      <color rgb="FF006100"/>
      <name val="Calibri"/>
      <family val="2"/>
      <scheme val="minor"/>
    </font>
    <font>
      <sz val="11"/>
      <name val="Calibri"/>
      <family val="2"/>
      <scheme val="minor"/>
    </font>
    <font>
      <sz val="8"/>
      <color theme="1"/>
      <name val="Arial Narrow"/>
      <family val="2"/>
    </font>
    <font>
      <sz val="11"/>
      <color rgb="FF9C5700"/>
      <name val="Calibri"/>
      <family val="2"/>
      <scheme val="minor"/>
    </font>
    <font>
      <sz val="11"/>
      <color rgb="FFFF0000"/>
      <name val="Calibri"/>
      <family val="2"/>
      <scheme val="minor"/>
    </font>
    <font>
      <sz val="9"/>
      <color rgb="FFFF0000"/>
      <name val="Calibri"/>
      <family val="2"/>
      <scheme val="minor"/>
    </font>
    <font>
      <b/>
      <sz val="11"/>
      <name val="Calibri"/>
      <family val="2"/>
      <scheme val="minor"/>
    </font>
    <font>
      <b/>
      <sz val="9"/>
      <color rgb="FFFF0000"/>
      <name val="Calibri"/>
      <family val="2"/>
      <scheme val="minor"/>
    </font>
    <font>
      <sz val="9"/>
      <name val="Calibri"/>
      <family val="2"/>
      <scheme val="minor"/>
    </font>
  </fonts>
  <fills count="16">
    <fill>
      <patternFill patternType="none"/>
    </fill>
    <fill>
      <patternFill patternType="gray125"/>
    </fill>
    <fill>
      <patternFill patternType="solid">
        <fgColor rgb="FFFFFF00"/>
        <bgColor indexed="64"/>
      </patternFill>
    </fill>
    <fill>
      <patternFill patternType="solid">
        <fgColor theme="3" tint="0.79998168889431442"/>
        <bgColor indexed="64"/>
      </patternFill>
    </fill>
    <fill>
      <patternFill patternType="solid">
        <fgColor theme="1"/>
        <bgColor indexed="64"/>
      </patternFill>
    </fill>
    <fill>
      <patternFill patternType="solid">
        <fgColor theme="0"/>
        <bgColor indexed="64"/>
      </patternFill>
    </fill>
    <fill>
      <patternFill patternType="solid">
        <fgColor rgb="FFC6EFCE"/>
      </patternFill>
    </fill>
    <fill>
      <patternFill patternType="solid">
        <fgColor theme="4" tint="0.79998168889431442"/>
        <bgColor indexed="64"/>
      </patternFill>
    </fill>
    <fill>
      <patternFill patternType="solid">
        <fgColor theme="6"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rgb="FF00B050"/>
        <bgColor indexed="64"/>
      </patternFill>
    </fill>
    <fill>
      <patternFill patternType="solid">
        <fgColor rgb="FF0070C0"/>
        <bgColor indexed="64"/>
      </patternFill>
    </fill>
    <fill>
      <patternFill patternType="solid">
        <fgColor rgb="FFFF0000"/>
        <bgColor indexed="64"/>
      </patternFill>
    </fill>
    <fill>
      <patternFill patternType="solid">
        <fgColor rgb="FFFFEB9C"/>
      </patternFill>
    </fill>
    <fill>
      <patternFill patternType="solid">
        <fgColor rgb="FFF480E6"/>
        <bgColor indexed="64"/>
      </patternFill>
    </fill>
  </fills>
  <borders count="26">
    <border>
      <left/>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diagonal/>
    </border>
  </borders>
  <cellStyleXfs count="4">
    <xf numFmtId="0" fontId="0" fillId="0" borderId="0"/>
    <xf numFmtId="0" fontId="6" fillId="0" borderId="0" applyNumberFormat="0" applyFill="0" applyBorder="0" applyAlignment="0" applyProtection="0"/>
    <xf numFmtId="0" fontId="13" fillId="6" borderId="0" applyNumberFormat="0" applyBorder="0" applyAlignment="0" applyProtection="0"/>
    <xf numFmtId="0" fontId="16" fillId="14" borderId="0" applyNumberFormat="0" applyBorder="0" applyAlignment="0" applyProtection="0"/>
  </cellStyleXfs>
  <cellXfs count="187">
    <xf numFmtId="0" fontId="0" fillId="0" borderId="0" xfId="0"/>
    <xf numFmtId="14" fontId="2" fillId="0" borderId="3" xfId="0" applyNumberFormat="1" applyFont="1" applyFill="1" applyBorder="1" applyAlignment="1" applyProtection="1">
      <alignment horizontal="center"/>
      <protection locked="0"/>
    </xf>
    <xf numFmtId="0" fontId="2" fillId="0" borderId="3" xfId="0" applyFont="1" applyFill="1" applyBorder="1" applyAlignment="1" applyProtection="1">
      <alignment horizontal="center"/>
      <protection locked="0"/>
    </xf>
    <xf numFmtId="0" fontId="3" fillId="0" borderId="0" xfId="0" applyFont="1" applyFill="1" applyBorder="1" applyAlignment="1" applyProtection="1">
      <alignment horizontal="center"/>
      <protection locked="0"/>
    </xf>
    <xf numFmtId="0" fontId="0" fillId="2" borderId="6" xfId="0" applyFill="1" applyBorder="1"/>
    <xf numFmtId="0" fontId="0" fillId="2" borderId="7" xfId="0" applyFill="1" applyBorder="1"/>
    <xf numFmtId="0" fontId="3" fillId="2" borderId="8" xfId="0" applyFont="1" applyFill="1" applyBorder="1" applyAlignment="1" applyProtection="1">
      <alignment horizontal="center"/>
      <protection locked="0"/>
    </xf>
    <xf numFmtId="14" fontId="5" fillId="2" borderId="8" xfId="0" applyNumberFormat="1" applyFont="1" applyFill="1" applyBorder="1" applyAlignment="1" applyProtection="1">
      <alignment horizontal="center"/>
      <protection locked="0"/>
    </xf>
    <xf numFmtId="0" fontId="10" fillId="0" borderId="0" xfId="0" applyFont="1"/>
    <xf numFmtId="0" fontId="11" fillId="0" borderId="0" xfId="0" applyFont="1"/>
    <xf numFmtId="0" fontId="3" fillId="2" borderId="15" xfId="0" applyFont="1" applyFill="1" applyBorder="1" applyAlignment="1" applyProtection="1">
      <alignment horizontal="center"/>
      <protection locked="0"/>
    </xf>
    <xf numFmtId="0" fontId="3" fillId="2" borderId="17" xfId="0" applyFont="1" applyFill="1" applyBorder="1" applyAlignment="1" applyProtection="1">
      <alignment horizontal="center"/>
      <protection locked="0"/>
    </xf>
    <xf numFmtId="0" fontId="4" fillId="0" borderId="2" xfId="0" applyFont="1" applyBorder="1" applyAlignment="1">
      <alignment horizontal="center" vertical="center" wrapText="1"/>
    </xf>
    <xf numFmtId="0" fontId="3" fillId="0" borderId="0" xfId="0" applyFont="1" applyProtection="1">
      <protection locked="0"/>
    </xf>
    <xf numFmtId="0" fontId="3" fillId="3" borderId="5" xfId="0" applyFont="1" applyFill="1" applyBorder="1" applyProtection="1">
      <protection locked="0"/>
    </xf>
    <xf numFmtId="0" fontId="3" fillId="3" borderId="6" xfId="0" applyFont="1" applyFill="1" applyBorder="1" applyProtection="1">
      <protection locked="0"/>
    </xf>
    <xf numFmtId="0" fontId="3" fillId="3" borderId="7" xfId="0" applyFont="1" applyFill="1" applyBorder="1" applyProtection="1">
      <protection locked="0"/>
    </xf>
    <xf numFmtId="0" fontId="7" fillId="0" borderId="0" xfId="0" applyFont="1" applyAlignment="1" applyProtection="1">
      <alignment horizontal="right"/>
      <protection locked="0"/>
    </xf>
    <xf numFmtId="0" fontId="3" fillId="0" borderId="0" xfId="0" applyFont="1" applyFill="1" applyProtection="1">
      <protection locked="0"/>
    </xf>
    <xf numFmtId="0" fontId="3" fillId="0" borderId="0" xfId="0" applyFont="1" applyAlignment="1" applyProtection="1">
      <alignment horizontal="right"/>
      <protection locked="0"/>
    </xf>
    <xf numFmtId="0" fontId="3" fillId="0" borderId="0" xfId="0" applyFont="1" applyBorder="1" applyProtection="1">
      <protection locked="0"/>
    </xf>
    <xf numFmtId="14" fontId="3" fillId="0" borderId="0" xfId="0" applyNumberFormat="1" applyFont="1" applyBorder="1" applyProtection="1">
      <protection locked="0"/>
    </xf>
    <xf numFmtId="0" fontId="7" fillId="0" borderId="0" xfId="0" applyFont="1" applyAlignment="1" applyProtection="1">
      <alignment horizontal="center"/>
      <protection locked="0"/>
    </xf>
    <xf numFmtId="0" fontId="7" fillId="0" borderId="0" xfId="0" applyFont="1" applyFill="1" applyAlignment="1" applyProtection="1">
      <alignment horizontal="center"/>
      <protection locked="0"/>
    </xf>
    <xf numFmtId="0" fontId="7" fillId="0" borderId="14" xfId="0" applyFont="1" applyFill="1" applyBorder="1" applyAlignment="1" applyProtection="1">
      <alignment horizontal="center" wrapText="1"/>
      <protection locked="0"/>
    </xf>
    <xf numFmtId="0" fontId="7" fillId="0" borderId="0" xfId="0" applyFont="1" applyProtection="1">
      <protection locked="0"/>
    </xf>
    <xf numFmtId="0" fontId="7" fillId="0" borderId="13" xfId="0" applyFont="1" applyFill="1" applyBorder="1" applyAlignment="1" applyProtection="1">
      <alignment horizontal="center" wrapText="1"/>
      <protection locked="0"/>
    </xf>
    <xf numFmtId="0" fontId="7" fillId="0" borderId="0" xfId="0" applyFont="1" applyAlignment="1" applyProtection="1">
      <alignment horizontal="center" wrapText="1"/>
      <protection locked="0"/>
    </xf>
    <xf numFmtId="0" fontId="3" fillId="0" borderId="0" xfId="0" applyFont="1" applyBorder="1" applyAlignment="1" applyProtection="1">
      <alignment horizontal="center"/>
      <protection locked="0"/>
    </xf>
    <xf numFmtId="14" fontId="3" fillId="0" borderId="0" xfId="0" applyNumberFormat="1" applyFont="1" applyBorder="1" applyAlignment="1" applyProtection="1">
      <alignment horizontal="center"/>
      <protection locked="0"/>
    </xf>
    <xf numFmtId="0" fontId="3" fillId="0" borderId="0" xfId="0" applyFont="1" applyAlignment="1" applyProtection="1">
      <alignment horizontal="center"/>
      <protection locked="0"/>
    </xf>
    <xf numFmtId="0" fontId="7" fillId="0" borderId="12" xfId="0"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0" fontId="7" fillId="0" borderId="0" xfId="0" applyFont="1" applyFill="1" applyBorder="1" applyAlignment="1" applyProtection="1">
      <alignment horizontal="right"/>
      <protection locked="0"/>
    </xf>
    <xf numFmtId="0" fontId="3" fillId="0" borderId="0" xfId="0" applyFont="1" applyBorder="1" applyAlignment="1" applyProtection="1">
      <alignment horizontal="left"/>
      <protection locked="0"/>
    </xf>
    <xf numFmtId="0" fontId="3" fillId="0" borderId="0" xfId="0" applyNumberFormat="1" applyFont="1" applyBorder="1" applyAlignment="1" applyProtection="1">
      <alignment horizontal="center" vertical="center"/>
      <protection locked="0"/>
    </xf>
    <xf numFmtId="0" fontId="3" fillId="0" borderId="14" xfId="0" applyFont="1" applyFill="1" applyBorder="1" applyAlignment="1" applyProtection="1">
      <alignment horizontal="left"/>
    </xf>
    <xf numFmtId="0" fontId="3" fillId="0" borderId="0" xfId="0" applyFont="1" applyAlignment="1" applyProtection="1">
      <alignment horizontal="center"/>
    </xf>
    <xf numFmtId="14" fontId="3" fillId="2" borderId="16" xfId="0" applyNumberFormat="1" applyFont="1" applyFill="1" applyBorder="1" applyAlignment="1" applyProtection="1">
      <alignment horizontal="center"/>
      <protection locked="0"/>
    </xf>
    <xf numFmtId="14" fontId="3" fillId="2" borderId="18" xfId="0" applyNumberFormat="1" applyFont="1" applyFill="1" applyBorder="1" applyAlignment="1" applyProtection="1">
      <alignment horizontal="center"/>
      <protection locked="0"/>
    </xf>
    <xf numFmtId="0" fontId="3" fillId="0" borderId="20" xfId="0" applyFont="1" applyFill="1" applyBorder="1" applyAlignment="1" applyProtection="1">
      <alignment horizontal="center"/>
      <protection locked="0"/>
    </xf>
    <xf numFmtId="0" fontId="3" fillId="0" borderId="3" xfId="0" applyFont="1" applyFill="1" applyBorder="1" applyAlignment="1" applyProtection="1">
      <alignment horizontal="center"/>
      <protection locked="0"/>
    </xf>
    <xf numFmtId="0" fontId="3" fillId="0" borderId="0" xfId="0" applyFont="1" applyProtection="1"/>
    <xf numFmtId="0" fontId="3" fillId="0" borderId="3" xfId="0" applyFont="1" applyBorder="1" applyAlignment="1" applyProtection="1">
      <alignment horizontal="center"/>
      <protection locked="0"/>
    </xf>
    <xf numFmtId="1" fontId="3" fillId="0" borderId="0" xfId="0" applyNumberFormat="1" applyFont="1" applyProtection="1">
      <protection locked="0"/>
    </xf>
    <xf numFmtId="1" fontId="3" fillId="0" borderId="0" xfId="0" applyNumberFormat="1" applyFont="1" applyProtection="1"/>
    <xf numFmtId="0" fontId="3" fillId="4" borderId="10" xfId="0" applyFont="1" applyFill="1" applyBorder="1" applyAlignment="1">
      <alignment vertical="center" wrapText="1"/>
    </xf>
    <xf numFmtId="0" fontId="4" fillId="0" borderId="1" xfId="0" applyFont="1" applyBorder="1" applyAlignment="1">
      <alignment horizontal="center" vertical="center" wrapText="1"/>
    </xf>
    <xf numFmtId="0" fontId="4" fillId="0" borderId="19" xfId="0" applyFont="1" applyBorder="1" applyAlignment="1">
      <alignment horizontal="center" vertical="center" wrapText="1"/>
    </xf>
    <xf numFmtId="0" fontId="3" fillId="0" borderId="3" xfId="0" applyFont="1" applyBorder="1" applyAlignment="1">
      <alignment horizontal="center" vertical="center" wrapText="1"/>
    </xf>
    <xf numFmtId="0" fontId="3" fillId="0" borderId="4" xfId="0" applyFont="1" applyBorder="1" applyAlignment="1">
      <alignment horizontal="center" vertical="center" wrapText="1"/>
    </xf>
    <xf numFmtId="0" fontId="4" fillId="0" borderId="22" xfId="0" applyFont="1" applyBorder="1" applyAlignment="1">
      <alignment horizontal="center" vertical="center" wrapText="1"/>
    </xf>
    <xf numFmtId="0" fontId="3" fillId="0" borderId="11" xfId="0" applyFont="1" applyBorder="1" applyAlignment="1">
      <alignment horizontal="center" vertical="center" wrapText="1"/>
    </xf>
    <xf numFmtId="0" fontId="4" fillId="0" borderId="21" xfId="0" applyFont="1" applyBorder="1" applyAlignment="1">
      <alignment horizontal="center" vertical="center" wrapText="1"/>
    </xf>
    <xf numFmtId="0" fontId="3" fillId="0" borderId="9" xfId="0" applyFont="1" applyBorder="1" applyAlignment="1">
      <alignment horizontal="center" vertical="center" wrapText="1"/>
    </xf>
    <xf numFmtId="49" fontId="2" fillId="0" borderId="3" xfId="0" applyNumberFormat="1" applyFont="1" applyFill="1" applyBorder="1" applyAlignment="1" applyProtection="1">
      <alignment horizontal="center"/>
      <protection locked="0"/>
    </xf>
    <xf numFmtId="0" fontId="0" fillId="0" borderId="3" xfId="0" applyFill="1" applyBorder="1"/>
    <xf numFmtId="14" fontId="0" fillId="0" borderId="0" xfId="0" applyNumberFormat="1"/>
    <xf numFmtId="0" fontId="3" fillId="0" borderId="0" xfId="0" applyNumberFormat="1" applyFont="1" applyBorder="1" applyAlignment="1" applyProtection="1">
      <alignment horizontal="center" vertical="center"/>
    </xf>
    <xf numFmtId="0" fontId="3" fillId="2" borderId="24" xfId="0" applyFont="1" applyFill="1" applyBorder="1" applyAlignment="1" applyProtection="1">
      <alignment horizontal="center"/>
      <protection locked="0"/>
    </xf>
    <xf numFmtId="0" fontId="3" fillId="0" borderId="12" xfId="0" applyFont="1" applyFill="1" applyBorder="1" applyAlignment="1" applyProtection="1">
      <alignment horizontal="center"/>
      <protection locked="0"/>
    </xf>
    <xf numFmtId="0" fontId="3" fillId="2" borderId="8" xfId="0" applyFont="1" applyFill="1" applyBorder="1" applyProtection="1">
      <protection locked="0"/>
    </xf>
    <xf numFmtId="14" fontId="3" fillId="2" borderId="8" xfId="0" applyNumberFormat="1" applyFont="1" applyFill="1" applyBorder="1" applyProtection="1">
      <protection locked="0"/>
    </xf>
    <xf numFmtId="14" fontId="3" fillId="0" borderId="0" xfId="0" applyNumberFormat="1" applyFont="1"/>
    <xf numFmtId="1" fontId="0" fillId="0" borderId="3" xfId="0" applyNumberFormat="1" applyFill="1" applyBorder="1"/>
    <xf numFmtId="0" fontId="6" fillId="2" borderId="5" xfId="1" applyFill="1" applyBorder="1"/>
    <xf numFmtId="0" fontId="3" fillId="0" borderId="0" xfId="0" applyFont="1" applyFill="1" applyBorder="1" applyAlignment="1" applyProtection="1">
      <alignment horizontal="center"/>
    </xf>
    <xf numFmtId="0" fontId="0" fillId="0" borderId="3" xfId="0" applyNumberFormat="1" applyFill="1" applyBorder="1"/>
    <xf numFmtId="0" fontId="6" fillId="0" borderId="0" xfId="1"/>
    <xf numFmtId="0" fontId="3" fillId="0" borderId="21" xfId="0" applyFont="1" applyFill="1" applyBorder="1" applyAlignment="1" applyProtection="1">
      <alignment horizontal="center" wrapText="1"/>
    </xf>
    <xf numFmtId="0" fontId="3" fillId="0" borderId="0" xfId="0" applyFont="1" applyAlignment="1" applyProtection="1">
      <alignment wrapText="1"/>
    </xf>
    <xf numFmtId="0" fontId="3" fillId="0" borderId="0" xfId="0" applyFont="1" applyAlignment="1" applyProtection="1">
      <alignment wrapText="1"/>
      <protection locked="0"/>
    </xf>
    <xf numFmtId="0" fontId="3" fillId="0" borderId="0" xfId="0" applyFont="1" applyAlignment="1" applyProtection="1">
      <alignment horizontal="center" wrapText="1"/>
      <protection locked="0"/>
    </xf>
    <xf numFmtId="0" fontId="3" fillId="0" borderId="9" xfId="0" applyNumberFormat="1" applyFont="1" applyBorder="1" applyAlignment="1" applyProtection="1">
      <alignment horizontal="center" wrapText="1"/>
    </xf>
    <xf numFmtId="0" fontId="1" fillId="0" borderId="3" xfId="0" applyFont="1" applyBorder="1" applyAlignment="1">
      <alignment horizontal="center" vertical="center" wrapText="1"/>
    </xf>
    <xf numFmtId="49" fontId="1" fillId="0" borderId="3" xfId="0" applyNumberFormat="1" applyFont="1" applyBorder="1" applyAlignment="1">
      <alignment horizontal="center" vertical="center" wrapText="1"/>
    </xf>
    <xf numFmtId="0" fontId="2" fillId="0" borderId="3" xfId="0" applyFont="1" applyBorder="1" applyAlignment="1">
      <alignment horizontal="left"/>
    </xf>
    <xf numFmtId="0" fontId="2" fillId="0" borderId="3" xfId="0" applyFont="1" applyBorder="1" applyAlignment="1">
      <alignment horizontal="center"/>
    </xf>
    <xf numFmtId="0" fontId="2" fillId="0" borderId="3" xfId="0" applyFont="1" applyBorder="1" applyAlignment="1">
      <alignment horizontal="center" wrapText="1"/>
    </xf>
    <xf numFmtId="0" fontId="0" fillId="0" borderId="3" xfId="0" applyBorder="1"/>
    <xf numFmtId="0" fontId="14" fillId="0" borderId="3" xfId="2" applyFont="1" applyFill="1" applyBorder="1"/>
    <xf numFmtId="166" fontId="1" fillId="0" borderId="3" xfId="0" applyNumberFormat="1" applyFont="1" applyBorder="1" applyAlignment="1">
      <alignment horizontal="center" vertical="center" wrapText="1"/>
    </xf>
    <xf numFmtId="166" fontId="0" fillId="0" borderId="3" xfId="0" applyNumberFormat="1" applyFill="1" applyBorder="1"/>
    <xf numFmtId="2" fontId="3" fillId="0" borderId="0" xfId="0" applyNumberFormat="1" applyFont="1" applyProtection="1">
      <protection locked="0"/>
    </xf>
    <xf numFmtId="165" fontId="3" fillId="0" borderId="0" xfId="0" applyNumberFormat="1" applyFont="1" applyProtection="1">
      <protection locked="0"/>
    </xf>
    <xf numFmtId="1" fontId="0" fillId="0" borderId="0" xfId="0" applyNumberFormat="1" applyAlignment="1"/>
    <xf numFmtId="0" fontId="15" fillId="0" borderId="14" xfId="0" applyFont="1" applyBorder="1" applyProtection="1">
      <protection locked="0"/>
    </xf>
    <xf numFmtId="0" fontId="15" fillId="13" borderId="0" xfId="0" applyFont="1" applyFill="1" applyProtection="1">
      <protection locked="0"/>
    </xf>
    <xf numFmtId="0" fontId="15" fillId="0" borderId="0" xfId="0" applyFont="1" applyProtection="1">
      <protection locked="0"/>
    </xf>
    <xf numFmtId="0" fontId="15" fillId="2" borderId="0" xfId="0" applyFont="1" applyFill="1" applyProtection="1">
      <protection locked="0"/>
    </xf>
    <xf numFmtId="0" fontId="15" fillId="11" borderId="0" xfId="0" applyFont="1" applyFill="1" applyProtection="1">
      <protection locked="0"/>
    </xf>
    <xf numFmtId="0" fontId="15" fillId="12" borderId="0" xfId="0" applyFont="1" applyFill="1" applyProtection="1">
      <protection locked="0"/>
    </xf>
    <xf numFmtId="0" fontId="15" fillId="0" borderId="3" xfId="0" applyFont="1" applyBorder="1" applyAlignment="1" applyProtection="1">
      <alignment horizontal="center" vertical="center" wrapText="1"/>
    </xf>
    <xf numFmtId="0" fontId="15" fillId="0" borderId="1" xfId="0" applyFont="1" applyBorder="1" applyAlignment="1" applyProtection="1">
      <alignment horizontal="center" vertical="center" wrapText="1"/>
    </xf>
    <xf numFmtId="0" fontId="15" fillId="5" borderId="3" xfId="0" applyFont="1" applyFill="1" applyBorder="1" applyAlignment="1" applyProtection="1">
      <alignment horizontal="center" wrapText="1"/>
    </xf>
    <xf numFmtId="0" fontId="12" fillId="5" borderId="3" xfId="0" quotePrefix="1" applyNumberFormat="1" applyFont="1" applyFill="1" applyBorder="1" applyAlignment="1" applyProtection="1">
      <alignment horizontal="center" wrapText="1"/>
    </xf>
    <xf numFmtId="0" fontId="15" fillId="5" borderId="3" xfId="0" quotePrefix="1" applyNumberFormat="1" applyFont="1" applyFill="1" applyBorder="1" applyAlignment="1" applyProtection="1">
      <alignment horizontal="center" wrapText="1"/>
    </xf>
    <xf numFmtId="0" fontId="15" fillId="5" borderId="3" xfId="0" applyFont="1" applyFill="1" applyBorder="1" applyAlignment="1" applyProtection="1">
      <alignment wrapText="1"/>
    </xf>
    <xf numFmtId="165" fontId="15" fillId="5" borderId="3" xfId="0" applyNumberFormat="1" applyFont="1" applyFill="1" applyBorder="1" applyAlignment="1" applyProtection="1">
      <alignment horizontal="center" wrapText="1"/>
    </xf>
    <xf numFmtId="165" fontId="15" fillId="5" borderId="1" xfId="0" applyNumberFormat="1" applyFont="1" applyFill="1" applyBorder="1" applyAlignment="1" applyProtection="1">
      <alignment horizontal="center" wrapText="1"/>
    </xf>
    <xf numFmtId="0" fontId="15" fillId="5" borderId="1" xfId="0" applyFont="1" applyFill="1" applyBorder="1" applyAlignment="1" applyProtection="1">
      <alignment horizontal="center" wrapText="1"/>
    </xf>
    <xf numFmtId="0" fontId="15" fillId="5" borderId="23" xfId="0" applyFont="1" applyFill="1" applyBorder="1" applyAlignment="1" applyProtection="1">
      <alignment horizontal="center" wrapText="1"/>
    </xf>
    <xf numFmtId="0" fontId="15" fillId="5" borderId="23" xfId="0" quotePrefix="1" applyNumberFormat="1" applyFont="1" applyFill="1" applyBorder="1" applyAlignment="1" applyProtection="1">
      <alignment horizontal="center" wrapText="1"/>
    </xf>
    <xf numFmtId="165" fontId="15" fillId="5" borderId="23" xfId="0" applyNumberFormat="1" applyFont="1" applyFill="1" applyBorder="1" applyAlignment="1" applyProtection="1">
      <alignment horizontal="center" wrapText="1"/>
    </xf>
    <xf numFmtId="1" fontId="15" fillId="5" borderId="3" xfId="0" applyNumberFormat="1" applyFont="1" applyFill="1" applyBorder="1" applyAlignment="1" applyProtection="1">
      <alignment horizontal="center" wrapText="1"/>
    </xf>
    <xf numFmtId="0" fontId="15" fillId="5" borderId="23" xfId="0" applyFont="1" applyFill="1" applyBorder="1" applyAlignment="1" applyProtection="1">
      <alignment wrapText="1"/>
    </xf>
    <xf numFmtId="0" fontId="3" fillId="2" borderId="0" xfId="0" applyFont="1" applyFill="1" applyProtection="1">
      <protection locked="0"/>
    </xf>
    <xf numFmtId="0" fontId="0" fillId="0" borderId="0" xfId="0"/>
    <xf numFmtId="0" fontId="3" fillId="0" borderId="0" xfId="0" applyFont="1" applyProtection="1">
      <protection locked="0"/>
    </xf>
    <xf numFmtId="0" fontId="7" fillId="0" borderId="0" xfId="0" applyFont="1" applyAlignment="1" applyProtection="1">
      <alignment horizontal="right"/>
      <protection locked="0"/>
    </xf>
    <xf numFmtId="0" fontId="3" fillId="0" borderId="0" xfId="0" applyFont="1" applyAlignment="1" applyProtection="1">
      <alignment horizontal="right"/>
      <protection locked="0"/>
    </xf>
    <xf numFmtId="0" fontId="3" fillId="0" borderId="0" xfId="0" applyFont="1" applyBorder="1" applyProtection="1">
      <protection locked="0"/>
    </xf>
    <xf numFmtId="0" fontId="4" fillId="0" borderId="1" xfId="0" applyFont="1" applyBorder="1" applyAlignment="1">
      <alignment horizontal="center" vertical="center" wrapText="1"/>
    </xf>
    <xf numFmtId="0" fontId="3" fillId="5" borderId="1" xfId="0" applyFont="1" applyFill="1" applyBorder="1" applyAlignment="1" applyProtection="1">
      <alignment horizontal="center" wrapText="1"/>
      <protection locked="0"/>
    </xf>
    <xf numFmtId="0" fontId="4" fillId="0" borderId="10" xfId="0" applyFont="1" applyBorder="1" applyAlignment="1">
      <alignment horizontal="center" vertical="center" wrapText="1"/>
    </xf>
    <xf numFmtId="0" fontId="4" fillId="0" borderId="1" xfId="0" applyFont="1" applyBorder="1" applyAlignment="1" applyProtection="1">
      <alignment horizontal="center" vertical="center" wrapText="1"/>
      <protection locked="0"/>
    </xf>
    <xf numFmtId="0" fontId="3" fillId="5" borderId="2" xfId="0" applyFont="1" applyFill="1" applyBorder="1" applyAlignment="1">
      <alignment horizontal="center" wrapText="1"/>
    </xf>
    <xf numFmtId="0" fontId="5" fillId="5" borderId="3" xfId="0" quotePrefix="1" applyNumberFormat="1" applyFont="1" applyFill="1" applyBorder="1" applyAlignment="1">
      <alignment horizontal="center" wrapText="1"/>
    </xf>
    <xf numFmtId="0" fontId="3" fillId="5" borderId="3" xfId="0" quotePrefix="1" applyNumberFormat="1" applyFont="1" applyFill="1" applyBorder="1" applyAlignment="1">
      <alignment horizontal="center" wrapText="1"/>
    </xf>
    <xf numFmtId="0" fontId="3" fillId="5" borderId="1" xfId="0" applyFont="1" applyFill="1" applyBorder="1" applyAlignment="1">
      <alignment horizontal="center" wrapText="1"/>
    </xf>
    <xf numFmtId="0" fontId="3" fillId="5" borderId="25" xfId="0" applyFont="1" applyFill="1" applyBorder="1" applyAlignment="1">
      <alignment horizontal="center" wrapText="1"/>
    </xf>
    <xf numFmtId="0" fontId="0" fillId="0" borderId="0" xfId="0"/>
    <xf numFmtId="0" fontId="7" fillId="0" borderId="0" xfId="0" applyFont="1" applyAlignment="1" applyProtection="1">
      <alignment horizontal="right"/>
      <protection locked="0"/>
    </xf>
    <xf numFmtId="0" fontId="3" fillId="0" borderId="0" xfId="0" applyFont="1" applyBorder="1" applyProtection="1">
      <protection locked="0"/>
    </xf>
    <xf numFmtId="14" fontId="3" fillId="0" borderId="0" xfId="0" applyNumberFormat="1" applyFont="1" applyBorder="1" applyProtection="1">
      <protection locked="0"/>
    </xf>
    <xf numFmtId="0" fontId="14" fillId="0" borderId="0" xfId="0" applyFont="1"/>
    <xf numFmtId="0" fontId="16" fillId="14" borderId="0" xfId="3" applyProtection="1">
      <protection locked="0"/>
    </xf>
    <xf numFmtId="0" fontId="11" fillId="10" borderId="3" xfId="0" applyFont="1" applyFill="1" applyBorder="1"/>
    <xf numFmtId="0" fontId="11" fillId="10" borderId="0" xfId="0" applyFont="1" applyFill="1"/>
    <xf numFmtId="0" fontId="11" fillId="7" borderId="3" xfId="0" applyFont="1" applyFill="1" applyBorder="1"/>
    <xf numFmtId="0" fontId="11" fillId="7" borderId="0" xfId="0" applyFont="1" applyFill="1"/>
    <xf numFmtId="0" fontId="11" fillId="8" borderId="3" xfId="0" applyFont="1" applyFill="1" applyBorder="1"/>
    <xf numFmtId="0" fontId="11" fillId="8" borderId="0" xfId="0" applyFont="1" applyFill="1"/>
    <xf numFmtId="0" fontId="11" fillId="9" borderId="3" xfId="0" applyFont="1" applyFill="1" applyBorder="1"/>
    <xf numFmtId="0" fontId="11" fillId="9" borderId="0" xfId="0" applyFont="1" applyFill="1"/>
    <xf numFmtId="49" fontId="18" fillId="0" borderId="3" xfId="2" applyNumberFormat="1" applyFont="1" applyFill="1" applyBorder="1" applyAlignment="1"/>
    <xf numFmtId="0" fontId="18" fillId="0" borderId="3" xfId="2" applyFont="1" applyFill="1" applyBorder="1" applyAlignment="1"/>
    <xf numFmtId="14" fontId="18" fillId="0" borderId="3" xfId="2" applyNumberFormat="1" applyFont="1" applyFill="1" applyBorder="1" applyAlignment="1"/>
    <xf numFmtId="164" fontId="18" fillId="0" borderId="3" xfId="2" applyNumberFormat="1" applyFont="1" applyFill="1" applyBorder="1" applyAlignment="1"/>
    <xf numFmtId="0" fontId="18" fillId="0" borderId="4" xfId="2" applyFont="1" applyFill="1" applyBorder="1" applyAlignment="1"/>
    <xf numFmtId="0" fontId="17" fillId="0" borderId="0" xfId="0" applyFont="1"/>
    <xf numFmtId="14" fontId="2" fillId="0" borderId="3" xfId="0" applyNumberFormat="1" applyFont="1" applyBorder="1"/>
    <xf numFmtId="0" fontId="2" fillId="0" borderId="3" xfId="0" applyFont="1" applyBorder="1"/>
    <xf numFmtId="0" fontId="2" fillId="15" borderId="3" xfId="0" applyFont="1" applyFill="1" applyBorder="1"/>
    <xf numFmtId="49" fontId="2" fillId="15" borderId="3" xfId="0" applyNumberFormat="1" applyFont="1" applyFill="1" applyBorder="1"/>
    <xf numFmtId="14" fontId="2" fillId="15" borderId="3" xfId="0" applyNumberFormat="1" applyFont="1" applyFill="1" applyBorder="1"/>
    <xf numFmtId="164" fontId="2" fillId="15" borderId="3" xfId="0" applyNumberFormat="1" applyFont="1" applyFill="1" applyBorder="1"/>
    <xf numFmtId="0" fontId="1" fillId="15" borderId="3" xfId="0" applyFont="1" applyFill="1" applyBorder="1"/>
    <xf numFmtId="49" fontId="1" fillId="15" borderId="3" xfId="0" applyNumberFormat="1" applyFont="1" applyFill="1" applyBorder="1"/>
    <xf numFmtId="14" fontId="1" fillId="15" borderId="3" xfId="0" applyNumberFormat="1" applyFont="1" applyFill="1" applyBorder="1"/>
    <xf numFmtId="164" fontId="1" fillId="15" borderId="3" xfId="0" applyNumberFormat="1" applyFont="1" applyFill="1" applyBorder="1"/>
    <xf numFmtId="0" fontId="1" fillId="0" borderId="3" xfId="0" applyFont="1" applyBorder="1"/>
    <xf numFmtId="0" fontId="19" fillId="0" borderId="0" xfId="0" applyFont="1"/>
    <xf numFmtId="14" fontId="18" fillId="0" borderId="3" xfId="0" applyNumberFormat="1" applyFont="1" applyBorder="1" applyAlignment="1" applyProtection="1">
      <alignment horizontal="right"/>
      <protection locked="0"/>
    </xf>
    <xf numFmtId="14" fontId="20" fillId="0" borderId="3" xfId="0" applyNumberFormat="1" applyFont="1" applyBorder="1" applyAlignment="1" applyProtection="1">
      <alignment horizontal="right"/>
      <protection locked="0"/>
    </xf>
    <xf numFmtId="14" fontId="18" fillId="0" borderId="3" xfId="0" applyNumberFormat="1" applyFont="1" applyBorder="1" applyAlignment="1" applyProtection="1">
      <alignment horizontal="left"/>
      <protection locked="0"/>
    </xf>
    <xf numFmtId="49" fontId="18" fillId="0" borderId="3" xfId="0" applyNumberFormat="1" applyFont="1" applyBorder="1" applyAlignment="1" applyProtection="1">
      <alignment horizontal="left"/>
      <protection locked="0"/>
    </xf>
    <xf numFmtId="0" fontId="18" fillId="0" borderId="0" xfId="2" applyFont="1" applyFill="1" applyBorder="1" applyAlignment="1"/>
    <xf numFmtId="0" fontId="21" fillId="0" borderId="3" xfId="2" applyFont="1" applyFill="1" applyBorder="1" applyAlignment="1"/>
    <xf numFmtId="14" fontId="21" fillId="0" borderId="3" xfId="2" applyNumberFormat="1" applyFont="1" applyFill="1" applyBorder="1" applyAlignment="1"/>
    <xf numFmtId="14" fontId="21" fillId="0" borderId="3" xfId="2" applyNumberFormat="1" applyFont="1" applyFill="1" applyBorder="1" applyAlignment="1">
      <alignment horizontal="right"/>
    </xf>
    <xf numFmtId="49" fontId="21" fillId="0" borderId="3" xfId="2" applyNumberFormat="1" applyFont="1" applyFill="1" applyBorder="1" applyAlignment="1"/>
    <xf numFmtId="164" fontId="21" fillId="0" borderId="3" xfId="2" applyNumberFormat="1" applyFont="1" applyFill="1" applyBorder="1" applyAlignment="1"/>
    <xf numFmtId="0" fontId="14" fillId="0" borderId="0" xfId="0" applyFont="1" applyFill="1"/>
    <xf numFmtId="14" fontId="21" fillId="0" borderId="3" xfId="2" applyNumberFormat="1" applyFont="1" applyFill="1" applyBorder="1" applyAlignment="1">
      <alignment horizontal="center"/>
    </xf>
    <xf numFmtId="0" fontId="21" fillId="0" borderId="3" xfId="2" applyFont="1" applyFill="1" applyBorder="1" applyAlignment="1">
      <alignment horizontal="center"/>
    </xf>
    <xf numFmtId="0" fontId="14" fillId="0" borderId="0" xfId="0" applyFont="1" applyAlignment="1">
      <alignment horizontal="center"/>
    </xf>
    <xf numFmtId="14" fontId="0" fillId="0" borderId="3" xfId="0" applyNumberFormat="1" applyFill="1" applyBorder="1"/>
    <xf numFmtId="14" fontId="21" fillId="0" borderId="23" xfId="2" applyNumberFormat="1" applyFont="1" applyFill="1" applyBorder="1" applyAlignment="1">
      <alignment horizontal="center"/>
    </xf>
    <xf numFmtId="0" fontId="21" fillId="15" borderId="3" xfId="2" applyFont="1" applyFill="1" applyBorder="1" applyAlignment="1">
      <alignment horizontal="center"/>
    </xf>
    <xf numFmtId="49" fontId="21" fillId="15" borderId="3" xfId="2" applyNumberFormat="1" applyFont="1" applyFill="1" applyBorder="1" applyAlignment="1">
      <alignment horizontal="center"/>
    </xf>
    <xf numFmtId="14" fontId="21" fillId="15" borderId="3" xfId="2" applyNumberFormat="1" applyFont="1" applyFill="1" applyBorder="1" applyAlignment="1">
      <alignment horizontal="center"/>
    </xf>
    <xf numFmtId="164" fontId="21" fillId="15" borderId="3" xfId="2" applyNumberFormat="1" applyFont="1" applyFill="1" applyBorder="1" applyAlignment="1">
      <alignment horizontal="center"/>
    </xf>
    <xf numFmtId="0" fontId="21" fillId="15" borderId="23" xfId="2" applyFont="1" applyFill="1" applyBorder="1" applyAlignment="1">
      <alignment horizontal="center"/>
    </xf>
    <xf numFmtId="0" fontId="2" fillId="15" borderId="2" xfId="0" applyFont="1" applyFill="1" applyBorder="1" applyAlignment="1" applyProtection="1">
      <alignment horizontal="center"/>
      <protection locked="0"/>
    </xf>
    <xf numFmtId="0" fontId="2" fillId="15" borderId="3" xfId="0" applyFont="1" applyFill="1" applyBorder="1" applyAlignment="1" applyProtection="1">
      <alignment horizontal="center"/>
      <protection locked="0"/>
    </xf>
    <xf numFmtId="49" fontId="2" fillId="15" borderId="3" xfId="0" applyNumberFormat="1" applyFont="1" applyFill="1" applyBorder="1" applyAlignment="1" applyProtection="1">
      <alignment horizontal="center"/>
      <protection locked="0"/>
    </xf>
    <xf numFmtId="14" fontId="2" fillId="15" borderId="3" xfId="0" applyNumberFormat="1" applyFont="1" applyFill="1" applyBorder="1" applyAlignment="1" applyProtection="1">
      <alignment horizontal="center"/>
      <protection locked="0"/>
    </xf>
    <xf numFmtId="1" fontId="0" fillId="0" borderId="0" xfId="0" applyNumberFormat="1" applyAlignment="1">
      <alignment horizontal="left"/>
    </xf>
    <xf numFmtId="0" fontId="0" fillId="0" borderId="0" xfId="0" applyAlignment="1">
      <alignment horizontal="left"/>
    </xf>
    <xf numFmtId="0" fontId="21" fillId="0" borderId="3" xfId="2" quotePrefix="1" applyFont="1" applyFill="1" applyBorder="1" applyAlignment="1">
      <alignment horizontal="center"/>
    </xf>
    <xf numFmtId="0" fontId="8" fillId="3" borderId="5" xfId="1" applyFont="1" applyFill="1" applyBorder="1" applyAlignment="1" applyProtection="1">
      <alignment horizontal="left"/>
      <protection locked="0"/>
    </xf>
    <xf numFmtId="0" fontId="8" fillId="3" borderId="6" xfId="1" applyFont="1" applyFill="1" applyBorder="1" applyAlignment="1" applyProtection="1">
      <alignment horizontal="left"/>
      <protection locked="0"/>
    </xf>
    <xf numFmtId="0" fontId="8" fillId="3" borderId="7" xfId="1" applyFont="1" applyFill="1" applyBorder="1" applyAlignment="1" applyProtection="1">
      <alignment horizontal="left"/>
      <protection locked="0"/>
    </xf>
    <xf numFmtId="0" fontId="0" fillId="0" borderId="5" xfId="0" applyFont="1" applyBorder="1" applyAlignment="1" applyProtection="1">
      <alignment horizontal="left"/>
      <protection locked="0"/>
    </xf>
    <xf numFmtId="0" fontId="3" fillId="0" borderId="6" xfId="0" applyFont="1" applyBorder="1" applyAlignment="1" applyProtection="1">
      <alignment horizontal="left"/>
      <protection locked="0"/>
    </xf>
    <xf numFmtId="0" fontId="3" fillId="0" borderId="7" xfId="0" applyFont="1" applyBorder="1" applyAlignment="1" applyProtection="1">
      <alignment horizontal="left"/>
      <protection locked="0"/>
    </xf>
  </cellXfs>
  <cellStyles count="4">
    <cellStyle name="Good" xfId="2" builtinId="26"/>
    <cellStyle name="Hyperlink" xfId="1" builtinId="8"/>
    <cellStyle name="Neutral" xfId="3" builtinId="28"/>
    <cellStyle name="Normal" xfId="0" builtinId="0"/>
  </cellStyles>
  <dxfs count="139">
    <dxf>
      <font>
        <color rgb="FF006100"/>
      </font>
      <fill>
        <patternFill>
          <bgColor rgb="FFC6EFCE"/>
        </patternFill>
      </fill>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numFmt numFmtId="0" formatCode="Genera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i val="0"/>
        <strike val="0"/>
        <condense val="0"/>
        <extend val="0"/>
        <outline val="0"/>
        <shadow val="0"/>
        <u val="none"/>
        <vertAlign val="baseline"/>
        <sz val="10"/>
        <color theme="1"/>
        <name val="Arial Narrow"/>
        <scheme val="none"/>
      </font>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dxf>
    <dxf>
      <font>
        <b val="0"/>
        <i val="0"/>
        <strike val="0"/>
        <condense val="0"/>
        <extend val="0"/>
        <outline val="0"/>
        <shadow val="0"/>
        <u val="none"/>
        <vertAlign val="baseline"/>
        <sz val="10"/>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bottom style="thin">
          <color indexed="64"/>
        </bottom>
        <vertical/>
        <horizontal/>
      </border>
      <protection locked="0" hidden="0"/>
    </dxf>
    <dxf>
      <font>
        <b val="0"/>
        <i val="0"/>
        <strike val="0"/>
        <condense val="0"/>
        <extend val="0"/>
        <outline val="0"/>
        <shadow val="0"/>
        <u val="none"/>
        <vertAlign val="baseline"/>
        <sz val="10"/>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auto="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left/>
        <right style="thin">
          <color indexed="64"/>
        </right>
        <top style="thin">
          <color indexed="64"/>
        </top>
        <bottom style="thin">
          <color indexed="64"/>
        </bottom>
        <vertical/>
        <horizontal/>
      </border>
    </dxf>
    <dxf>
      <border outline="0">
        <bottom style="thin">
          <color indexed="64"/>
        </bottom>
      </border>
    </dxf>
    <dxf>
      <font>
        <b/>
        <i val="0"/>
        <strike val="0"/>
        <condense val="0"/>
        <extend val="0"/>
        <outline val="0"/>
        <shadow val="0"/>
        <u val="none"/>
        <vertAlign val="baseline"/>
        <sz val="10"/>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8"/>
        <name val="Arial Narrow"/>
        <family val="2"/>
        <scheme val="none"/>
      </font>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 formatCode="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auto="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8"/>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name val="Arial Narrow"/>
        <family val="2"/>
        <scheme val="none"/>
      </font>
      <fill>
        <patternFill patternType="solid">
          <fgColor indexed="64"/>
          <bgColor theme="0"/>
        </patternFill>
      </fill>
      <alignment vertical="bottom" textRotation="0" wrapText="1" indent="0" justifyLastLine="0" shrinkToFit="0" readingOrder="0"/>
      <protection locked="1" hidden="0"/>
    </dxf>
    <dxf>
      <border>
        <bottom style="thin">
          <color indexed="64"/>
        </bottom>
      </border>
    </dxf>
    <dxf>
      <font>
        <strike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165" formatCode="0.0"/>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general"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8"/>
        <name val="Arial Narrow"/>
        <family val="2"/>
        <scheme val="none"/>
      </font>
      <numFmt numFmtId="0" formatCode="General"/>
      <fill>
        <patternFill patternType="solid">
          <fgColor indexed="64"/>
          <bgColor theme="0"/>
        </patternFill>
      </fill>
      <alignment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Arial Narrow"/>
        <family val="2"/>
        <scheme val="none"/>
      </font>
      <numFmt numFmtId="0" formatCode="General"/>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8"/>
        <color theme="1"/>
        <name val="Arial Narrow"/>
        <family val="2"/>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8"/>
        <name val="Arial Narrow"/>
        <family val="2"/>
        <scheme val="none"/>
      </font>
      <fill>
        <patternFill patternType="solid">
          <fgColor indexed="64"/>
          <bgColor theme="0"/>
        </patternFill>
      </fill>
      <alignment vertical="bottom" textRotation="0" wrapText="1" indent="0" justifyLastLine="0" shrinkToFit="0" readingOrder="0"/>
      <protection locked="1" hidden="0"/>
    </dxf>
    <dxf>
      <border>
        <bottom style="thin">
          <color indexed="64"/>
        </bottom>
      </border>
    </dxf>
    <dxf>
      <font>
        <strike val="0"/>
        <outline val="0"/>
        <shadow val="0"/>
        <u val="none"/>
        <vertAlign val="baseline"/>
        <sz val="8"/>
        <color theme="1"/>
        <name val="Arial Narrow"/>
        <family val="2"/>
        <scheme val="none"/>
      </font>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color theme="1"/>
      </font>
      <fill>
        <patternFill>
          <bgColor rgb="FFFFFF00"/>
        </patternFill>
      </fill>
    </dxf>
    <dxf>
      <font>
        <color theme="0"/>
      </font>
      <fill>
        <patternFill>
          <bgColor rgb="FF663300"/>
        </patternFill>
      </fill>
    </dxf>
    <dxf>
      <font>
        <color theme="0"/>
      </font>
      <fill>
        <patternFill>
          <bgColor rgb="FF0070C0"/>
        </patternFill>
      </fill>
    </dxf>
    <dxf>
      <font>
        <color theme="0"/>
      </font>
      <fill>
        <patternFill>
          <bgColor theme="1" tint="4.9989318521683403E-2"/>
        </patternFill>
      </fill>
    </dxf>
    <dxf>
      <font>
        <color theme="0"/>
      </font>
      <fill>
        <patternFill>
          <bgColor rgb="FF7030A0"/>
        </patternFill>
      </fill>
    </dxf>
    <dxf>
      <font>
        <color theme="1" tint="4.9989318521683403E-2"/>
      </font>
      <fill>
        <patternFill>
          <bgColor theme="9" tint="-0.24994659260841701"/>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663300"/>
        </patternFill>
      </fill>
    </dxf>
    <dxf>
      <font>
        <color theme="0"/>
      </font>
      <fill>
        <patternFill>
          <bgColor rgb="FF0070C0"/>
        </patternFill>
      </fill>
    </dxf>
    <dxf>
      <font>
        <color theme="0"/>
      </font>
      <fill>
        <patternFill>
          <bgColor theme="1" tint="4.9989318521683403E-2"/>
        </patternFill>
      </fill>
    </dxf>
    <dxf>
      <font>
        <color theme="0"/>
      </font>
      <fill>
        <patternFill>
          <bgColor rgb="FF7030A0"/>
        </patternFill>
      </fill>
    </dxf>
    <dxf>
      <font>
        <color theme="1" tint="4.9989318521683403E-2"/>
      </font>
      <fill>
        <patternFill>
          <bgColor theme="9" tint="-0.24994659260841701"/>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rgb="FF9C0006"/>
      </font>
      <fill>
        <patternFill>
          <bgColor rgb="FFFFC7CE"/>
        </patternFill>
      </fill>
    </dxf>
    <dxf>
      <font>
        <color rgb="FF9C0006"/>
      </font>
      <fill>
        <patternFill>
          <bgColor rgb="FFFFC7CE"/>
        </patternFill>
      </fill>
    </dxf>
    <dxf>
      <font>
        <color theme="0"/>
      </font>
      <fill>
        <patternFill>
          <bgColor rgb="FF663300"/>
        </patternFill>
      </fill>
    </dxf>
    <dxf>
      <font>
        <color theme="0"/>
      </font>
      <fill>
        <patternFill>
          <bgColor rgb="FF0070C0"/>
        </patternFill>
      </fill>
    </dxf>
    <dxf>
      <font>
        <color theme="0"/>
      </font>
      <fill>
        <patternFill>
          <bgColor theme="1" tint="4.9989318521683403E-2"/>
        </patternFill>
      </fill>
    </dxf>
    <dxf>
      <font>
        <color theme="0"/>
      </font>
      <fill>
        <patternFill>
          <bgColor rgb="FF7030A0"/>
        </patternFill>
      </fill>
    </dxf>
    <dxf>
      <font>
        <color theme="1" tint="4.9989318521683403E-2"/>
      </font>
      <fill>
        <patternFill>
          <bgColor theme="9" tint="-0.24994659260841701"/>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numFmt numFmtId="19" formatCode="m/d/yyyy"/>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numFmt numFmtId="19" formatCode="m/d/yyyy"/>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numFmt numFmtId="30" formatCode="@"/>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theme="1"/>
        <name val="Calibri"/>
        <scheme val="minor"/>
      </font>
      <fill>
        <patternFill patternType="none">
          <fgColor indexed="64"/>
          <bgColor auto="1"/>
        </patternFill>
      </fill>
      <alignment horizontal="center"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66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594360</xdr:colOff>
          <xdr:row>4</xdr:row>
          <xdr:rowOff>0</xdr:rowOff>
        </xdr:from>
        <xdr:to>
          <xdr:col>10</xdr:col>
          <xdr:colOff>228600</xdr:colOff>
          <xdr:row>4</xdr:row>
          <xdr:rowOff>198120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0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rial Narrow"/>
                </a:rPr>
                <a:t>Select Default Save Folder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60960</xdr:colOff>
          <xdr:row>26</xdr:row>
          <xdr:rowOff>160020</xdr:rowOff>
        </xdr:from>
        <xdr:to>
          <xdr:col>10</xdr:col>
          <xdr:colOff>693420</xdr:colOff>
          <xdr:row>30</xdr:row>
          <xdr:rowOff>121920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rial Narrow"/>
                </a:rPr>
                <a:t>Create Run Record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6</xdr:row>
          <xdr:rowOff>45720</xdr:rowOff>
        </xdr:from>
        <xdr:to>
          <xdr:col>19</xdr:col>
          <xdr:colOff>251460</xdr:colOff>
          <xdr:row>7</xdr:row>
          <xdr:rowOff>137160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rial Narrow"/>
                </a:rPr>
                <a:t>Select Step 1 Template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60960</xdr:colOff>
          <xdr:row>14</xdr:row>
          <xdr:rowOff>7620</xdr:rowOff>
        </xdr:from>
        <xdr:to>
          <xdr:col>9</xdr:col>
          <xdr:colOff>830580</xdr:colOff>
          <xdr:row>15</xdr:row>
          <xdr:rowOff>7620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2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rial Narrow"/>
                </a:rPr>
                <a:t>Select Save Folder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342900</xdr:colOff>
          <xdr:row>9</xdr:row>
          <xdr:rowOff>144780</xdr:rowOff>
        </xdr:from>
        <xdr:to>
          <xdr:col>26</xdr:col>
          <xdr:colOff>121920</xdr:colOff>
          <xdr:row>11</xdr:row>
          <xdr:rowOff>45720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rial Narrow"/>
                </a:rPr>
                <a:t>Select Step 2Template File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342900</xdr:colOff>
          <xdr:row>2</xdr:row>
          <xdr:rowOff>0</xdr:rowOff>
        </xdr:from>
        <xdr:to>
          <xdr:col>9</xdr:col>
          <xdr:colOff>335280</xdr:colOff>
          <xdr:row>3</xdr:row>
          <xdr:rowOff>7620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D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rial Narrow"/>
                </a:rPr>
                <a:t>Print Bookmarks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Assay%20Results\Clinical%20Data\NGS%20Comprehensive%20Plus\Worksheets\Test\Under%20Development\M55a.3%20&#8211;%20Oncomine%20NGS%20Comp%20Plus%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mydrive.kumc.edu/data/Research/CANCTR%20RSCH/CMOL/Sample%20Receipt%20Logs/Clinical%20Sample%20Receipt%20Log.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R:\Sample%20Receipt%20Logs\Clinical%20Sample%20Receipt%20Log.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kumc.edu\data\CANCTR%20RSCH\CMOL\Sample%20Receipt%20Logs\Clinical%20Sample%20Receipt%20Lo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 NEW ASSAY"/>
      <sheetName val="Patient List"/>
      <sheetName val="Run Record"/>
      <sheetName val="Step 2 Table"/>
      <sheetName val="CSV DNA Template"/>
      <sheetName val="Assay Result Files"/>
      <sheetName val="Patient Result Files"/>
      <sheetName val="CSV RNA Template"/>
      <sheetName val="Helper Table"/>
      <sheetName val="Color Table"/>
      <sheetName val="Version Control"/>
      <sheetName val="Control-filler samples"/>
      <sheetName val="Master Mix Calculators"/>
      <sheetName val="Plates"/>
      <sheetName val="Debug"/>
      <sheetName val="Bookmarks List"/>
      <sheetName val="Sheet2"/>
    </sheetNames>
    <sheetDataSet>
      <sheetData sheetId="0"/>
      <sheetData sheetId="1"/>
      <sheetData sheetId="2">
        <row r="29">
          <cell r="B29" t="str">
            <v>test 2</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Receipt Log-MASTER"/>
      <sheetName val="RNA Receipt Log-MASTER"/>
      <sheetName val="DNA - Buffy Coat Receipt Log"/>
      <sheetName val="NGS Common Log"/>
      <sheetName val="NGS Heme Log"/>
      <sheetName val="NGS Comprehensive"/>
      <sheetName val="Oncomine Comp DNA RNA"/>
      <sheetName val="Research_Validation Samples"/>
      <sheetName val="Test Codes"/>
      <sheetName val="Send Out Samples"/>
      <sheetName val="Special cases"/>
      <sheetName val="List of Providers"/>
      <sheetName val="Holidays, Locations, Tests"/>
      <sheetName val="Canceled Samples"/>
      <sheetName val="Repeated Samples"/>
      <sheetName val="Sample Incidents"/>
      <sheetName val="Control Samples"/>
      <sheetName val="Chart1"/>
      <sheetName val="Sheet1"/>
      <sheetName val="Validation Samples (Tcell)"/>
      <sheetName val="Validation Samples OCA+"/>
      <sheetName val="Clinical Sample Receipt Log"/>
    </sheetNames>
    <definedNames>
      <definedName name="PhysFirstName"/>
    </defined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 Buffy Coat Receipt Log"/>
      <sheetName val="DNA Receipt Log-MASTER"/>
      <sheetName val="RNA Receipt Log-MASTER"/>
      <sheetName val="Cepheid F2 F5 Log"/>
      <sheetName val="NGS Common Log"/>
      <sheetName val="NGS Heme Log"/>
      <sheetName val="Oncomine Comp DNA RNA"/>
      <sheetName val="Research_Validation Samples"/>
      <sheetName val="Test Codes"/>
      <sheetName val="Samples sent to Cytogenetics"/>
      <sheetName val="NGS Comprehensive"/>
      <sheetName val="Problem Samples"/>
      <sheetName val="Send Out Samples"/>
      <sheetName val="Special cases"/>
      <sheetName val="List of Providers"/>
      <sheetName val="Holidays, Locations, Tests"/>
      <sheetName val="Canceled Samples"/>
      <sheetName val="Repeated Samples"/>
      <sheetName val="Sample Incidents"/>
      <sheetName val="Control Samples"/>
      <sheetName val="Chart10"/>
      <sheetName val="Validation Samples (Tcell)"/>
      <sheetName val="Validation Samples OCA+"/>
      <sheetName val="Clinical Sample Receipt Log"/>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NA - Buffy Coat Receipt Log"/>
      <sheetName val="DNA Receipt Log-MASTER"/>
      <sheetName val="RNA Receipt Log-MASTER"/>
      <sheetName val="Cepheid F2 F5 Log"/>
      <sheetName val="NGS Common Log"/>
      <sheetName val="NGS Heme Log"/>
      <sheetName val="Oncomine Comp DNA RNA"/>
      <sheetName val="Research_Validation Samples"/>
      <sheetName val="Test Codes"/>
      <sheetName val="NGS Comprehensive"/>
      <sheetName val="Problem Samples"/>
      <sheetName val="Send Out Samples"/>
      <sheetName val="Special cases"/>
      <sheetName val="List of Providers"/>
      <sheetName val="Holidays, Locations, Tests"/>
      <sheetName val="Canceled Samples"/>
      <sheetName val="Repeated Samples"/>
      <sheetName val="Sample Incidents"/>
      <sheetName val="Control Samples"/>
      <sheetName val="Chart8"/>
      <sheetName val="Sheet1"/>
      <sheetName val="Validation Samples (Tcell)"/>
      <sheetName val="Validation Samples OCA+"/>
      <sheetName val="Clinical Sample Receipt Log"/>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PatientList" displayName="PatientList" ref="A1:AX17" totalsRowShown="0" headerRowDxfId="138" dataDxfId="137">
  <autoFilter ref="A1:AX17" xr:uid="{00000000-0009-0000-0100-000006000000}"/>
  <tableColumns count="50">
    <tableColumn id="1" xr3:uid="{00000000-0010-0000-0000-000001000000}" name="Last Name" dataDxfId="136"/>
    <tableColumn id="2" xr3:uid="{00000000-0010-0000-0000-000002000000}" name="First Name" dataDxfId="135"/>
    <tableColumn id="3" xr3:uid="{00000000-0010-0000-0000-000003000000}" name="MRN" dataDxfId="134"/>
    <tableColumn id="4" xr3:uid="{00000000-0010-0000-0000-000004000000}" name="Accession #" dataDxfId="133"/>
    <tableColumn id="5" xr3:uid="{00000000-0010-0000-0000-000005000000}" name="Collection Date" dataDxfId="132"/>
    <tableColumn id="6" xr3:uid="{00000000-0010-0000-0000-000006000000}" name="Birth Date" dataDxfId="131"/>
    <tableColumn id="7" xr3:uid="{00000000-0010-0000-0000-000007000000}" name="Gender" dataDxfId="130"/>
    <tableColumn id="8" xr3:uid="{00000000-0010-0000-0000-000008000000}" name="Case ID" dataDxfId="129"/>
    <tableColumn id="9" xr3:uid="{00000000-0010-0000-0000-000009000000}" name="DNA Number" dataDxfId="128"/>
    <tableColumn id="10" xr3:uid="{00000000-0010-0000-0000-00000A000000}" name="Color" dataDxfId="127"/>
    <tableColumn id="11" xr3:uid="{00000000-0010-0000-0000-00000B000000}" name="Received Date" dataDxfId="126"/>
    <tableColumn id="12" xr3:uid="{00000000-0010-0000-0000-00000C000000}" name="Received Time" dataDxfId="125"/>
    <tableColumn id="13" xr3:uid="{00000000-0010-0000-0000-00000D000000}" name="Received By" dataDxfId="124"/>
    <tableColumn id="14" xr3:uid="{00000000-0010-0000-0000-00000E000000}" name="Sample Type" dataDxfId="123"/>
    <tableColumn id="15" xr3:uid="{00000000-0010-0000-0000-00000F000000}" name="Sample Amount" dataDxfId="122"/>
    <tableColumn id="16" xr3:uid="{00000000-0010-0000-0000-000010000000}" name="Ordering Location" dataDxfId="121"/>
    <tableColumn id="17" xr3:uid="{00000000-0010-0000-0000-000011000000}" name="Location Code (BMT, CCC, etc)" dataDxfId="120"/>
    <tableColumn id="18" xr3:uid="{00000000-0010-0000-0000-000012000000}" name="Provider Last Name" dataDxfId="119"/>
    <tableColumn id="19" xr3:uid="{00000000-0010-0000-0000-000013000000}" name="Provider First Name" dataDxfId="118"/>
    <tableColumn id="20" xr3:uid="{00000000-0010-0000-0000-000014000000}" name="Due Date (10 working days from receipt)" dataDxfId="117"/>
    <tableColumn id="21" xr3:uid="{00000000-0010-0000-0000-000015000000}" name="Test Requested" dataDxfId="116"/>
    <tableColumn id="22" xr3:uid="{00000000-0010-0000-0000-000016000000}" name="Assay ID" dataDxfId="115"/>
    <tableColumn id="23" xr3:uid="{00000000-0010-0000-0000-000017000000}" name="Test Run By" dataDxfId="114"/>
    <tableColumn id="24" xr3:uid="{00000000-0010-0000-0000-000018000000}" name="Test Run Date" dataDxfId="113"/>
    <tableColumn id="25" xr3:uid="{00000000-0010-0000-0000-000019000000}" name="Reported Date" dataDxfId="112"/>
    <tableColumn id="26" xr3:uid="{00000000-0010-0000-0000-00001A000000}" name="Invoice Number" dataDxfId="111"/>
    <tableColumn id="27" xr3:uid="{00000000-0010-0000-0000-00001B000000}" name="Notes" dataDxfId="110"/>
    <tableColumn id="28" xr3:uid="{00000000-0010-0000-0000-00001C000000}" name="Column1" dataDxfId="109"/>
    <tableColumn id="29" xr3:uid="{00000000-0010-0000-0000-00001D000000}" name="Column2" dataDxfId="108"/>
    <tableColumn id="30" xr3:uid="{00000000-0010-0000-0000-00001E000000}" name="Column3" dataDxfId="107"/>
    <tableColumn id="31" xr3:uid="{00000000-0010-0000-0000-00001F000000}" name="Test Requested4" dataDxfId="106">
      <calculatedColumnFormula>IFERROR(IF(ISBLANK([3]!OncoCompLog[[#This Row],[Received Date]]), "", IF(ISNUMBER(SEARCH("CAP *",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calculatedColumnFormula>
    </tableColumn>
    <tableColumn id="32" xr3:uid="{00000000-0010-0000-0000-000020000000}" name="Holidays (2012-2014)" dataDxfId="105"/>
    <tableColumn id="33" xr3:uid="{00000000-0010-0000-0000-000021000000}" name="Ordering Location5" dataDxfId="104"/>
    <tableColumn id="34" xr3:uid="{00000000-0010-0000-0000-000022000000}" name="Column6" dataDxfId="103"/>
    <tableColumn id="35" xr3:uid="{00000000-0010-0000-0000-000023000000}" name="Column7" dataDxfId="102"/>
    <tableColumn id="36" xr3:uid="{00000000-0010-0000-0000-000024000000}" name="Column8" dataDxfId="101"/>
    <tableColumn id="37" xr3:uid="{00000000-0010-0000-0000-000025000000}" name="Column9" dataDxfId="100"/>
    <tableColumn id="38" xr3:uid="{00000000-0010-0000-0000-000026000000}" name="Column10" dataDxfId="99"/>
    <tableColumn id="39" xr3:uid="{00000000-0010-0000-0000-000027000000}" name="Column11" dataDxfId="98"/>
    <tableColumn id="40" xr3:uid="{00000000-0010-0000-0000-000028000000}" name="Column12" dataDxfId="97"/>
    <tableColumn id="41" xr3:uid="{00000000-0010-0000-0000-000029000000}" name="DNA Extracted Date" dataDxfId="96"/>
    <tableColumn id="42" xr3:uid="{00000000-0010-0000-0000-00002A000000}" name="DNA Extracted By" dataDxfId="95"/>
    <tableColumn id="43" xr3:uid="{00000000-0010-0000-0000-00002B000000}" name="DNA Conc. Tumor (ng/ul)" dataDxfId="94"/>
    <tableColumn id="44" xr3:uid="{00000000-0010-0000-0000-00002C000000}" name="DNA Tumor A260:A280" dataDxfId="93"/>
    <tableColumn id="45" xr3:uid="{00000000-0010-0000-0000-00002D000000}" name="DNA Conc. Normal (ng/ul)" dataDxfId="92"/>
    <tableColumn id="46" xr3:uid="{00000000-0010-0000-0000-00002E000000}" name="DNA Normal A260:A280" dataDxfId="91"/>
    <tableColumn id="47" xr3:uid="{8572D806-CAF5-40A4-BC5D-44C00302F317}" name="DNA Normal A260:A281" dataDxfId="90"/>
    <tableColumn id="48" xr3:uid="{139F5664-BE07-4B6C-A300-D105946AA596}" name="DNA Normal A260:A282" dataDxfId="89"/>
    <tableColumn id="49" xr3:uid="{8095F1BC-4431-4666-9B3E-4687C853DA5E}" name="DNA Normal A260:A283" dataDxfId="88"/>
    <tableColumn id="50" xr3:uid="{E6A834A8-7B23-49E4-B6E5-F106451B7F57}" name="DNA Normal A260:A284" dataDxfId="8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Samples" displayName="Samples" ref="A34:M42" totalsRowShown="0" headerRowDxfId="59" dataDxfId="57" headerRowBorderDxfId="58" tableBorderDxfId="56">
  <autoFilter ref="A34:M42" xr:uid="{00000000-0009-0000-0100-000001000000}"/>
  <tableColumns count="13">
    <tableColumn id="1" xr3:uid="{00000000-0010-0000-0100-000001000000}" name="#" dataDxfId="55"/>
    <tableColumn id="13" xr3:uid="{F2486135-AB1A-41FA-8DC1-5514B5BAA404}" name="Clr" dataDxfId="54">
      <calculatedColumnFormula>'Helper Table'!J2</calculatedColumnFormula>
    </tableColumn>
    <tableColumn id="2" xr3:uid="{00000000-0010-0000-0100-000002000000}" name="Sample Name" dataDxfId="53">
      <calculatedColumnFormula>IF($D35="","","CP"&amp;RIGHT(AssayID,3)&amp;"-DNA"&amp;$A35&amp;"-"&amp;$E35)</calculatedColumnFormula>
    </tableColumn>
    <tableColumn id="3" xr3:uid="{00000000-0010-0000-0100-000003000000}" name="DNA Number" dataDxfId="52">
      <calculatedColumnFormula>IF(A35=7, $B$25, IF(A35=8, "NTC", 'Helper Table'!B2))</calculatedColumnFormula>
    </tableColumn>
    <tableColumn id="5" xr3:uid="{6B3F5989-27F4-4BBB-8661-D912CD28E0B4}" name="Accession" dataDxfId="51">
      <calculatedColumnFormula>IF(A35=7, "PC", IF(A35=8, "NTC", IF('Helper Table'!A2&lt;&gt;0, 'Helper Table'!A2, "")))</calculatedColumnFormula>
    </tableColumn>
    <tableColumn id="4" xr3:uid="{ACE00EBE-674B-491A-88AC-215010B1A29D}" name="Cellularity" dataDxfId="50">
      <calculatedColumnFormula>IF(A35=7, $G$25, IF(A35=8, "--", 'Helper Table'!H2))</calculatedColumnFormula>
    </tableColumn>
    <tableColumn id="6" xr3:uid="{5A660294-DAE6-4282-96BB-9EBA1657B7BE}" name="Sex" dataDxfId="49">
      <calculatedColumnFormula>IF(A35=7, "PC", IF(A35=8, "NTC", IF(Samples[[#This Row],[Accession]]="", "", IF('Helper Table'!F2="Y", IF(OR('Helper Table'!C2="Male", 'Helper Table'!C2="M"), "Male", IF(OR('Helper Table'!C2="F", 'Helper Table'!C2="Female"), "Female", "Must be Male or Female")), "Check"))))</calculatedColumnFormula>
    </tableColumn>
    <tableColumn id="7" xr3:uid="{CC97BC58-1E1B-44A3-B2C5-846A019B968C}" name="Conc (ng/ul)" dataDxfId="48">
      <calculatedColumnFormula array="1">IF(A35=7, $D$25, IF(A35=8, "NTC", IFERROR(INDEX(PatientList[#Data], MATCH(Samples[[#This Row],[DNA Number]], PatientList[DNA Number], 0), COLUMN(PatientList[DNA Conc. Tumor (ng/ul)])), "")))</calculatedColumnFormula>
    </tableColumn>
    <tableColumn id="11" xr3:uid="{864A700E-D623-48A6-B4D8-70DF3FC06B91}" name="Diluted 1:10" dataDxfId="47">
      <calculatedColumnFormula>IF(Samples[[#This Row],[Conc (ng/ul)]]="", "", IF(Samples[[#This Row],[Conc (ng/ul)]]="NTC", "--", IF(Samples[[#This Row],[Conc (ng/ul)]]&gt;40, Samples[[#This Row],[Conc (ng/ul)]]/10, "Use Stock")))</calculatedColumnFormula>
    </tableColumn>
    <tableColumn id="8" xr3:uid="{F27E013B-0FD7-4CAB-9D5D-4B63053740E7}" name="DNA to add (ul)" dataDxfId="46">
      <calculatedColumnFormula>IF(Samples[[#This Row],[Conc (ng/ul)]]="", "", IF(Samples[[#This Row],[Diluted 1:10]]="--", "--", IF(Samples[[#This Row],[Diluted 1:10]]="Use Stock", 40/Samples[[#This Row],[Conc (ng/ul)]], 40/Samples[[#This Row],[Diluted 1:10]])))</calculatedColumnFormula>
    </tableColumn>
    <tableColumn id="9" xr3:uid="{9B55208E-46A3-4524-8EBC-3CC6369A710B}" name="H2O to add (ul)" dataDxfId="45">
      <calculatedColumnFormula>IF(Samples[[#This Row],[Conc (ng/ul)]]="", "", IF(Samples[[#This Row],[Conc (ng/ul)]]="NTC", Samples[[#This Row],[Total Vol (ul)]], Samples[[#This Row],[Total Vol (ul)]]-Samples[[#This Row],[DNA to add (ul)]]))</calculatedColumnFormula>
    </tableColumn>
    <tableColumn id="10" xr3:uid="{2798C7AA-2E05-4351-8BA0-FDD31008F2FB}" name="Total Vol (ul)" dataDxfId="44">
      <calculatedColumnFormula>IF(Samples[[#This Row],[Conc (ng/ul)]]="", "", 18)</calculatedColumnFormula>
    </tableColumn>
    <tableColumn id="12" xr3:uid="{7923C78F-E9B0-42BA-BBDE-71ADFF15B040}" name="Code" dataDxfId="43">
      <calculatedColumnFormula>AB35</calculatedColumnFormula>
    </tableColumn>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A33185F-9275-4A87-949B-E2FF32B4D87E}" name="Samples2" displayName="Samples2" ref="A44:M52" totalsRowShown="0" headerRowDxfId="42" dataDxfId="40" headerRowBorderDxfId="41" tableBorderDxfId="39">
  <autoFilter ref="A44:M52" xr:uid="{3A33185F-9275-4A87-949B-E2FF32B4D87E}"/>
  <tableColumns count="13">
    <tableColumn id="1" xr3:uid="{1FA0775C-B84B-4423-A41D-FA7A66C99872}" name="#" dataDxfId="38"/>
    <tableColumn id="13" xr3:uid="{720D621F-E826-4497-B0F4-F2F7447B8DBF}" name="Clr" dataDxfId="37">
      <calculatedColumnFormula>'Helper Table'!L2</calculatedColumnFormula>
    </tableColumn>
    <tableColumn id="2" xr3:uid="{62D90234-9BC3-4776-9BF6-9E3A804999CD}" name="Sample Name" dataDxfId="36">
      <calculatedColumnFormula>IF($D45="","","CP"&amp;RIGHT(AssayID,3)&amp;"-RNA"&amp;$A45&amp;"-"&amp;$E45)</calculatedColumnFormula>
    </tableColumn>
    <tableColumn id="3" xr3:uid="{C7DA4106-672F-49B2-A437-1FF87F1E139E}" name="RNA Number" dataDxfId="35">
      <calculatedColumnFormula>IF(A45=7, $B$26, IF(A45=8, "NTC", 'Helper Table'!D2))</calculatedColumnFormula>
    </tableColumn>
    <tableColumn id="5" xr3:uid="{41136F4D-C0C0-48DD-8BA2-82B990AEFD5D}" name="Accession" dataDxfId="34">
      <calculatedColumnFormula>IF(A45=7, "PC", IF(A45=8, "NTC", IF('Helper Table'!A2&lt;&gt;0, 'Helper Table'!A2, "")))</calculatedColumnFormula>
    </tableColumn>
    <tableColumn id="4" xr3:uid="{D2B060EB-0607-40F8-B934-98122CA00346}" name="Cellularity" dataDxfId="33">
      <calculatedColumnFormula>IF(A45=7, $G$25, IF(A45=8, "--", 'Helper Table'!H2))</calculatedColumnFormula>
    </tableColumn>
    <tableColumn id="6" xr3:uid="{E45582A8-2593-41C7-806D-496C7AFEDE4C}" name="Sex" dataDxfId="32">
      <calculatedColumnFormula>IF(A45=7, "PC", IF(A45=8, "NTC", IF(Samples2[[#This Row],[Accession]]="", "", IF('Helper Table'!F2="Y", IF(OR('Helper Table'!C2="Male", 'Helper Table'!C2="M"), "Male", IF(OR('Helper Table'!C2="Female", 'Helper Table'!C2="F"), "Female", "Must be Male or Female")), "Check"))))</calculatedColumnFormula>
    </tableColumn>
    <tableColumn id="7" xr3:uid="{6BBCCB8E-7214-484A-ABC6-DD4EF470D401}" name="Conc (ng/ul)" dataDxfId="31">
      <calculatedColumnFormula array="1">IF(A35=7, $D$26, IF(A35=8, "NTC", IFERROR(INDEX(PatientList[#Data], MATCH(Samples2[[#This Row],[RNA Number]], PatientList[DNA Number], 0), COLUMN(PatientList[DNA Conc. Tumor (ng/ul)])), "")))</calculatedColumnFormula>
    </tableColumn>
    <tableColumn id="11" xr3:uid="{C0162013-BEAE-4141-8996-DF32C245E321}" name="Diluted 1:10" dataDxfId="30">
      <calculatedColumnFormula>IF(Samples2[[#This Row],[Conc (ng/ul)]]="", "", IF(Samples2[[#This Row],[Conc (ng/ul)]]="NTC", "--", IF(Samples2[[#This Row],[Conc (ng/ul)]]&gt;40, Samples2[[#This Row],[Conc (ng/ul)]]/10, "Use Stock")))</calculatedColumnFormula>
    </tableColumn>
    <tableColumn id="8" xr3:uid="{BC26A712-EE0B-4F57-8A77-27137CBA2D18}" name="RNA to add (ul)" dataDxfId="29">
      <calculatedColumnFormula>IF(Samples2[[#This Row],[Conc (ng/ul)]]="", "", IF(Samples2[[#This Row],[Diluted 1:10]]="--", "--", IF(Samples2[[#This Row],[Diluted 1:10]]="Use Stock", 40/Samples2[[#This Row],[Conc (ng/ul)]], 40/Samples2[[#This Row],[Diluted 1:10]])))</calculatedColumnFormula>
    </tableColumn>
    <tableColumn id="9" xr3:uid="{D2AC3D78-7130-4E65-B7AA-DDBF21F2AB2E}" name="H2O to add (ul)" dataDxfId="28">
      <calculatedColumnFormula>IF(Samples2[[#This Row],[Conc (ng/ul)]]="", "", IF(Samples2[[#This Row],[Conc (ng/ul)]]="NTC", Samples2[[#This Row],[Total Vol (ul)]], Samples2[[#This Row],[Total Vol (ul)]]-Samples2[[#This Row],[RNA to add (ul)]]))</calculatedColumnFormula>
    </tableColumn>
    <tableColumn id="10" xr3:uid="{60D93B30-20E2-4F5B-9C9F-3D76D7EFA4C5}" name="Total Vol (ul)" dataDxfId="27">
      <calculatedColumnFormula>IF(Samples2[[#This Row],[Conc (ng/ul)]]="", "", 14)</calculatedColumnFormula>
    </tableColumn>
    <tableColumn id="12" xr3:uid="{4FC25AFA-8DC2-431C-A02B-2642662382D9}" name="Code" dataDxfId="26">
      <calculatedColumnFormula>AB45</calculatedColumnFormula>
    </tableColumn>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1BC60ED-2678-43E7-8294-762C788A4D5F}" name="Step2" displayName="Step2" ref="A2:G10" totalsRowShown="0" headerRowDxfId="25" headerRowBorderDxfId="24">
  <autoFilter ref="A2:G10" xr:uid="{91BC60ED-2678-43E7-8294-762C788A4D5F}"/>
  <tableColumns count="7">
    <tableColumn id="1" xr3:uid="{7C138E51-4A29-4988-BCDD-161F8584E7D8}" name="#" dataDxfId="23"/>
    <tableColumn id="2" xr3:uid="{2BA2AB30-93C1-4A47-A215-FFC1E6F45361}" name="Sample Name" dataDxfId="22">
      <calculatedColumnFormula>'Run Record'!C35</calculatedColumnFormula>
    </tableColumn>
    <tableColumn id="3" xr3:uid="{C93852A6-E26D-43A9-9BAB-8F34277BAC7F}" name="DNA ID" dataDxfId="21">
      <calculatedColumnFormula array="1">INDEX(Samples[#Data], MATCH(K3, Samples[Accession], 0), COLUMN(Samples[DNA Number]))</calculatedColumnFormula>
    </tableColumn>
    <tableColumn id="4" xr3:uid="{5747B3ED-4800-4364-BEEA-48B79D266746}" name="RNA ID" dataDxfId="20">
      <calculatedColumnFormula array="1">INDEX(Samples2[#Data], MATCH(K3, Samples2[Accession], 0), COLUMN(Samples2[RNA Number]))</calculatedColumnFormula>
    </tableColumn>
    <tableColumn id="5" xr3:uid="{EC910601-15D9-4A64-A348-67BF05D0AA1B}" name="Cellularity" dataDxfId="19">
      <calculatedColumnFormula>'Run Record'!F35</calculatedColumnFormula>
    </tableColumn>
    <tableColumn id="6" xr3:uid="{E5D8A179-730D-43BA-A558-B7E6D1686607}" name="Sex" dataDxfId="18">
      <calculatedColumnFormula>'Run Record'!G35</calculatedColumnFormula>
    </tableColumn>
    <tableColumn id="7" xr3:uid="{0ED7FA50-D912-4746-84AD-E4890216BE98}" name="Result (Select)" dataDxfId="17"/>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122D04A-C69C-405E-A3B6-E03268D51065}" name="Color" displayName="Color" ref="A1:B9" totalsRowShown="0">
  <autoFilter ref="A1:B9" xr:uid="{4122D04A-C69C-405E-A3B6-E03268D51065}"/>
  <tableColumns count="2">
    <tableColumn id="1" xr3:uid="{D9A4C806-86BC-4AE4-A19B-D3C373A70A6B}" name="Color"/>
    <tableColumn id="2" xr3:uid="{A441A6D0-AAFA-4BE4-A2A2-5896000AF5D6}" name="Abbr"/>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1DE8BAF-9672-4498-983E-D423F61633ED}" name="Table3" displayName="Table3" ref="A1:D4" totalsRowShown="0">
  <autoFilter ref="A1:D4" xr:uid="{2FCEB511-37E1-41D9-A7C2-37DE1DD0235E}"/>
  <tableColumns count="4">
    <tableColumn id="1" xr3:uid="{A77F4908-1277-428B-BA82-997743302226}" name="Version"/>
    <tableColumn id="2" xr3:uid="{841FFFA3-4086-4260-AB5C-2E057A88A167}" name="Changes"/>
    <tableColumn id="3" xr3:uid="{0A69E821-2CD8-43E1-A49C-36CBFF6FB9AF}" name="Change Date"/>
    <tableColumn id="4" xr3:uid="{1CAC407A-4ED8-45F2-95F6-0612BD9AD111}" name="Change By"/>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ssessmentMM" displayName="AssessmentMM" ref="A2:D5" totalsRowShown="0" headerRowDxfId="16" headerRowBorderDxfId="15" tableBorderDxfId="14" totalsRowBorderDxfId="13">
  <autoFilter ref="A2:D5" xr:uid="{00000000-0009-0000-0100-000002000000}"/>
  <tableColumns count="4">
    <tableColumn id="1" xr3:uid="{00000000-0010-0000-0200-000001000000}" name="Column1" dataDxfId="12"/>
    <tableColumn id="2" xr3:uid="{00000000-0010-0000-0200-000002000000}" name="Per sample or control" dataDxfId="11"/>
    <tableColumn id="3" xr3:uid="{00000000-0010-0000-0200-000003000000}" name="#samples + extra =" dataDxfId="10">
      <calculatedColumnFormula>IF('Run Record'!$E$75&lt;6,0.5+'Run Record'!$E$75, 1+'Run Record'!$E$75)</calculatedColumnFormula>
    </tableColumn>
    <tableColumn id="4" xr3:uid="{00000000-0010-0000-0200-000004000000}" name="Total Amount" dataDxfId="9">
      <calculatedColumnFormula>TEXT(LEFT(B3, (LEN(B3)-(SEARCH(" ",B3, 1))+1))*C3, "0.00")</calculatedColumnFormula>
    </tableColumn>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3000000}" name="MutationMM" displayName="MutationMM" ref="A9:D12" totalsRowShown="0" headerRowDxfId="8" headerRowBorderDxfId="7" tableBorderDxfId="6" totalsRowBorderDxfId="5">
  <autoFilter ref="A9:D12" xr:uid="{00000000-0009-0000-0100-000007000000}"/>
  <tableColumns count="4">
    <tableColumn id="1" xr3:uid="{00000000-0010-0000-0300-000001000000}" name="Column1" dataDxfId="4"/>
    <tableColumn id="2" xr3:uid="{00000000-0010-0000-0300-000002000000}" name="Per sample or control" dataDxfId="3"/>
    <tableColumn id="3" xr3:uid="{00000000-0010-0000-0300-000003000000}" name="#samples + extra =" dataDxfId="2">
      <calculatedColumnFormula>IF('Run Record'!$E$75&lt;6,0.5+'Run Record'!$E$75, 1+'Run Record'!$E$75)</calculatedColumnFormula>
    </tableColumn>
    <tableColumn id="4" xr3:uid="{00000000-0010-0000-0300-000004000000}" name="Total Amount" dataDxfId="1">
      <calculatedColumnFormula>TEXT(LEFT(B10, (LEN(B10)-(SEARCH(" ",B10, 1))+1))*C10, "0.00")</calculatedColumnFormula>
    </tableColumn>
  </tableColumns>
  <tableStyleInfo name="TableStyleLight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NGS%20Comprehensive%20Plus" TargetMode="External"/><Relationship Id="rId1" Type="http://schemas.openxmlformats.org/officeDocument/2006/relationships/hyperlink" Target="../../../NGS%20Comprehensive%20Plus"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FFFF00"/>
  </sheetPr>
  <dimension ref="A1:N27"/>
  <sheetViews>
    <sheetView tabSelected="1" topLeftCell="A4" workbookViewId="0">
      <selection activeCell="A4" sqref="A4"/>
    </sheetView>
  </sheetViews>
  <sheetFormatPr defaultRowHeight="13.8" x14ac:dyDescent="0.25"/>
  <cols>
    <col min="2" max="2" width="13.375" customWidth="1"/>
  </cols>
  <sheetData>
    <row r="1" spans="1:14" x14ac:dyDescent="0.25">
      <c r="A1" t="s">
        <v>68</v>
      </c>
    </row>
    <row r="2" spans="1:14" x14ac:dyDescent="0.25">
      <c r="A2" t="s">
        <v>134</v>
      </c>
      <c r="B2" s="57"/>
    </row>
    <row r="3" spans="1:14" x14ac:dyDescent="0.25">
      <c r="A3" t="s">
        <v>48</v>
      </c>
    </row>
    <row r="4" spans="1:14" x14ac:dyDescent="0.25">
      <c r="A4" t="s">
        <v>49</v>
      </c>
    </row>
    <row r="5" spans="1:14" x14ac:dyDescent="0.25">
      <c r="A5" s="9" t="s">
        <v>70</v>
      </c>
      <c r="B5" s="9"/>
      <c r="C5" s="9"/>
      <c r="D5" s="9"/>
      <c r="E5" s="9"/>
      <c r="F5" s="9"/>
    </row>
    <row r="6" spans="1:14" ht="14.4" thickBot="1" x14ac:dyDescent="0.3">
      <c r="B6" t="s">
        <v>71</v>
      </c>
      <c r="E6" s="68" t="s">
        <v>171</v>
      </c>
    </row>
    <row r="7" spans="1:14" ht="14.4" thickBot="1" x14ac:dyDescent="0.3">
      <c r="B7" t="s">
        <v>72</v>
      </c>
      <c r="E7" s="65" t="s">
        <v>171</v>
      </c>
      <c r="F7" s="4"/>
      <c r="G7" s="4"/>
      <c r="H7" s="4"/>
      <c r="I7" s="4"/>
      <c r="J7" s="4"/>
      <c r="K7" s="4"/>
      <c r="L7" s="4"/>
      <c r="M7" s="4"/>
      <c r="N7" s="5"/>
    </row>
    <row r="9" spans="1:14" x14ac:dyDescent="0.25">
      <c r="A9" t="s">
        <v>50</v>
      </c>
    </row>
    <row r="10" spans="1:14" x14ac:dyDescent="0.25">
      <c r="A10" t="s">
        <v>51</v>
      </c>
    </row>
    <row r="11" spans="1:14" x14ac:dyDescent="0.25">
      <c r="A11" t="s">
        <v>52</v>
      </c>
    </row>
    <row r="12" spans="1:14" x14ac:dyDescent="0.25">
      <c r="B12" t="s">
        <v>53</v>
      </c>
    </row>
    <row r="13" spans="1:14" x14ac:dyDescent="0.25">
      <c r="A13" t="s">
        <v>54</v>
      </c>
    </row>
    <row r="14" spans="1:14" x14ac:dyDescent="0.25">
      <c r="B14" t="s">
        <v>55</v>
      </c>
      <c r="C14" t="s">
        <v>56</v>
      </c>
    </row>
    <row r="15" spans="1:14" x14ac:dyDescent="0.25">
      <c r="D15" t="s">
        <v>57</v>
      </c>
    </row>
    <row r="16" spans="1:14" x14ac:dyDescent="0.25">
      <c r="D16" t="s">
        <v>58</v>
      </c>
    </row>
    <row r="17" spans="1:4" x14ac:dyDescent="0.25">
      <c r="D17" t="s">
        <v>59</v>
      </c>
    </row>
    <row r="18" spans="1:4" x14ac:dyDescent="0.25">
      <c r="D18" t="s">
        <v>60</v>
      </c>
    </row>
    <row r="19" spans="1:4" x14ac:dyDescent="0.25">
      <c r="D19" t="s">
        <v>61</v>
      </c>
    </row>
    <row r="20" spans="1:4" x14ac:dyDescent="0.25">
      <c r="D20" t="s">
        <v>62</v>
      </c>
    </row>
    <row r="21" spans="1:4" x14ac:dyDescent="0.25">
      <c r="C21" t="s">
        <v>63</v>
      </c>
    </row>
    <row r="22" spans="1:4" x14ac:dyDescent="0.25">
      <c r="D22" t="s">
        <v>64</v>
      </c>
    </row>
    <row r="23" spans="1:4" x14ac:dyDescent="0.25">
      <c r="D23" t="s">
        <v>65</v>
      </c>
    </row>
    <row r="24" spans="1:4" x14ac:dyDescent="0.25">
      <c r="D24" t="s">
        <v>66</v>
      </c>
    </row>
    <row r="25" spans="1:4" x14ac:dyDescent="0.25">
      <c r="D25" t="s">
        <v>67</v>
      </c>
    </row>
    <row r="27" spans="1:4" x14ac:dyDescent="0.25">
      <c r="A27" t="s">
        <v>69</v>
      </c>
    </row>
  </sheetData>
  <hyperlinks>
    <hyperlink ref="E7" r:id="rId1" xr:uid="{5BF14282-12F7-4A48-AD10-327990361757}"/>
    <hyperlink ref="E6" r:id="rId2" xr:uid="{4940F6E9-CC89-42D2-ABA8-6CDAC87647CD}"/>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SelectDefaultSaveFolder">
                <anchor moveWithCells="1" sizeWithCells="1">
                  <from>
                    <xdr:col>6</xdr:col>
                    <xdr:colOff>594360</xdr:colOff>
                    <xdr:row>4</xdr:row>
                    <xdr:rowOff>0</xdr:rowOff>
                  </from>
                  <to>
                    <xdr:col>10</xdr:col>
                    <xdr:colOff>228600</xdr:colOff>
                    <xdr:row>4</xdr:row>
                    <xdr:rowOff>198120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AX32"/>
  <sheetViews>
    <sheetView workbookViewId="0">
      <selection activeCell="A6" sqref="A6"/>
    </sheetView>
  </sheetViews>
  <sheetFormatPr defaultColWidth="9.125" defaultRowHeight="13.8" x14ac:dyDescent="0.25"/>
  <cols>
    <col min="1" max="1" width="10.125" style="56" customWidth="1"/>
    <col min="2" max="2" width="9.125" style="56" customWidth="1"/>
    <col min="3" max="3" width="9.125" style="56"/>
    <col min="4" max="4" width="14.75" style="56" bestFit="1" customWidth="1"/>
    <col min="5" max="5" width="13.875" style="56" customWidth="1"/>
    <col min="6" max="6" width="10.375" style="56" customWidth="1"/>
    <col min="7" max="7" width="9.125" style="56"/>
    <col min="8" max="8" width="12" style="56" customWidth="1"/>
    <col min="9" max="9" width="12.625" style="56" customWidth="1"/>
    <col min="10" max="10" width="6.125" style="56" customWidth="1"/>
    <col min="11" max="11" width="11.875" style="56" bestFit="1" customWidth="1"/>
    <col min="12" max="12" width="13.625" style="56" hidden="1" customWidth="1"/>
    <col min="13" max="13" width="11.875" style="56" hidden="1" customWidth="1"/>
    <col min="14" max="14" width="12.25" style="56" hidden="1" customWidth="1"/>
    <col min="15" max="15" width="14.375" style="56" hidden="1" customWidth="1"/>
    <col min="16" max="16" width="15.625" style="56" hidden="1" customWidth="1"/>
    <col min="17" max="17" width="24.125" style="56" hidden="1" customWidth="1"/>
    <col min="18" max="18" width="17" style="56" hidden="1" customWidth="1"/>
    <col min="19" max="19" width="21.375" style="56" bestFit="1" customWidth="1"/>
    <col min="20" max="20" width="7.75" style="82" customWidth="1"/>
    <col min="21" max="21" width="31.375" style="56" bestFit="1" customWidth="1"/>
    <col min="22" max="22" width="9.5" style="56" bestFit="1" customWidth="1"/>
    <col min="23" max="23" width="12.625" style="56" customWidth="1"/>
    <col min="24" max="24" width="9.375" style="56" customWidth="1"/>
    <col min="25" max="25" width="6.125" style="56" customWidth="1"/>
    <col min="26" max="26" width="18.375" style="56" bestFit="1" customWidth="1"/>
    <col min="27" max="27" width="12.75" style="56" customWidth="1"/>
    <col min="28" max="30" width="9.875" style="56" hidden="1" customWidth="1"/>
    <col min="31" max="31" width="16.125" style="56" hidden="1" customWidth="1"/>
    <col min="32" max="32" width="19" style="56" hidden="1" customWidth="1"/>
    <col min="33" max="33" width="17.75" style="56" hidden="1" customWidth="1"/>
    <col min="34" max="37" width="10.375" style="56" hidden="1" customWidth="1"/>
    <col min="38" max="39" width="11.375" style="56" hidden="1" customWidth="1"/>
    <col min="40" max="40" width="12.125" style="56" bestFit="1" customWidth="1"/>
    <col min="41" max="41" width="11.375" style="56" customWidth="1"/>
    <col min="42" max="42" width="7.875" style="56" customWidth="1"/>
    <col min="43" max="43" width="37.125" style="56" customWidth="1"/>
    <col min="44" max="44" width="11.375" style="56" customWidth="1"/>
    <col min="45" max="45" width="27.125" style="56" customWidth="1"/>
    <col min="46" max="46" width="20.25" style="56" customWidth="1"/>
    <col min="47" max="48" width="15.25" style="56" customWidth="1"/>
    <col min="49" max="16384" width="9.125" style="56"/>
  </cols>
  <sheetData>
    <row r="1" spans="1:50" s="79" customFormat="1" ht="25.5" customHeight="1" x14ac:dyDescent="0.25">
      <c r="A1" s="74" t="s">
        <v>35</v>
      </c>
      <c r="B1" s="74" t="s">
        <v>0</v>
      </c>
      <c r="C1" s="75" t="s">
        <v>1</v>
      </c>
      <c r="D1" s="74" t="s">
        <v>2</v>
      </c>
      <c r="E1" s="74" t="s">
        <v>3</v>
      </c>
      <c r="F1" s="74" t="s">
        <v>4</v>
      </c>
      <c r="G1" s="74" t="s">
        <v>5</v>
      </c>
      <c r="H1" s="74" t="s">
        <v>6</v>
      </c>
      <c r="I1" s="74" t="s">
        <v>7</v>
      </c>
      <c r="J1" s="74" t="s">
        <v>8</v>
      </c>
      <c r="K1" s="74" t="s">
        <v>9</v>
      </c>
      <c r="L1" s="74" t="s">
        <v>10</v>
      </c>
      <c r="M1" s="74" t="s">
        <v>11</v>
      </c>
      <c r="N1" s="74" t="s">
        <v>12</v>
      </c>
      <c r="O1" s="74" t="s">
        <v>13</v>
      </c>
      <c r="P1" s="74" t="s">
        <v>14</v>
      </c>
      <c r="Q1" s="74" t="s">
        <v>15</v>
      </c>
      <c r="R1" s="74" t="s">
        <v>16</v>
      </c>
      <c r="S1" s="74" t="s">
        <v>17</v>
      </c>
      <c r="T1" s="81" t="s">
        <v>18</v>
      </c>
      <c r="U1" s="74" t="s">
        <v>19</v>
      </c>
      <c r="V1" s="74" t="s">
        <v>20</v>
      </c>
      <c r="W1" s="74" t="s">
        <v>21</v>
      </c>
      <c r="X1" s="74" t="s">
        <v>22</v>
      </c>
      <c r="Y1" s="74" t="s">
        <v>23</v>
      </c>
      <c r="Z1" s="74" t="s">
        <v>24</v>
      </c>
      <c r="AA1" s="74" t="s">
        <v>25</v>
      </c>
      <c r="AB1" s="76" t="s">
        <v>32</v>
      </c>
      <c r="AC1" s="77" t="s">
        <v>88</v>
      </c>
      <c r="AD1" s="77" t="s">
        <v>89</v>
      </c>
      <c r="AE1" s="78" t="s">
        <v>90</v>
      </c>
      <c r="AF1" s="78" t="s">
        <v>26</v>
      </c>
      <c r="AG1" s="78" t="s">
        <v>91</v>
      </c>
      <c r="AH1" s="79" t="s">
        <v>92</v>
      </c>
      <c r="AI1" s="79" t="s">
        <v>93</v>
      </c>
      <c r="AJ1" s="79" t="s">
        <v>94</v>
      </c>
      <c r="AK1" s="79" t="s">
        <v>95</v>
      </c>
      <c r="AL1" s="79" t="s">
        <v>96</v>
      </c>
      <c r="AM1" s="79" t="s">
        <v>97</v>
      </c>
      <c r="AN1" s="79" t="s">
        <v>98</v>
      </c>
      <c r="AO1" s="79" t="s">
        <v>128</v>
      </c>
      <c r="AP1" s="79" t="s">
        <v>129</v>
      </c>
      <c r="AQ1" s="79" t="s">
        <v>130</v>
      </c>
      <c r="AR1" s="79" t="s">
        <v>131</v>
      </c>
      <c r="AS1" s="79" t="s">
        <v>132</v>
      </c>
      <c r="AT1" s="79" t="s">
        <v>133</v>
      </c>
      <c r="AU1" s="79" t="s">
        <v>147</v>
      </c>
      <c r="AV1" s="79" t="s">
        <v>148</v>
      </c>
      <c r="AW1" s="79" t="s">
        <v>149</v>
      </c>
      <c r="AX1" s="79" t="s">
        <v>150</v>
      </c>
    </row>
    <row r="2" spans="1:50" s="166" customFormat="1" ht="12" customHeight="1" x14ac:dyDescent="0.3">
      <c r="A2" s="169" t="s">
        <v>440</v>
      </c>
      <c r="B2" s="169" t="s">
        <v>441</v>
      </c>
      <c r="C2" s="170">
        <v>3804738</v>
      </c>
      <c r="D2" s="169" t="s">
        <v>442</v>
      </c>
      <c r="E2" s="171">
        <v>45594</v>
      </c>
      <c r="F2" s="171">
        <v>34606</v>
      </c>
      <c r="G2" s="169" t="s">
        <v>183</v>
      </c>
      <c r="H2" s="169" t="s">
        <v>448</v>
      </c>
      <c r="I2" s="169" t="s">
        <v>443</v>
      </c>
      <c r="J2" s="169" t="s">
        <v>270</v>
      </c>
      <c r="K2" s="171">
        <v>45594</v>
      </c>
      <c r="L2" s="172"/>
      <c r="M2" s="169"/>
      <c r="N2" s="169" t="s">
        <v>444</v>
      </c>
      <c r="O2" s="169"/>
      <c r="P2" s="169" t="s">
        <v>445</v>
      </c>
      <c r="Q2" s="169"/>
      <c r="R2" s="169" t="s">
        <v>446</v>
      </c>
      <c r="S2" s="169" t="s">
        <v>447</v>
      </c>
      <c r="T2" s="171"/>
      <c r="U2" s="173" t="s">
        <v>176</v>
      </c>
      <c r="V2" s="173" t="s">
        <v>392</v>
      </c>
      <c r="W2" s="168"/>
      <c r="X2" s="165"/>
      <c r="Y2" s="165"/>
      <c r="Z2" s="165"/>
      <c r="AA2" s="180"/>
      <c r="AB2" s="165"/>
      <c r="AC2" s="164"/>
      <c r="AD2" s="165"/>
      <c r="AE2" s="164"/>
      <c r="AF2" s="165"/>
      <c r="AG2" s="165"/>
      <c r="AH2" s="165"/>
      <c r="AI2" s="165"/>
      <c r="AJ2" s="165"/>
      <c r="AK2" s="165"/>
      <c r="AL2" s="165"/>
      <c r="AM2" s="165"/>
      <c r="AN2" s="165"/>
      <c r="AO2" s="164"/>
      <c r="AP2" s="165"/>
      <c r="AQ2" s="165">
        <v>1.3</v>
      </c>
      <c r="AR2" s="165"/>
      <c r="AS2" s="165"/>
      <c r="AT2" s="165"/>
      <c r="AU2" s="165"/>
      <c r="AV2" s="165"/>
      <c r="AW2" s="165"/>
    </row>
    <row r="3" spans="1:50" s="166" customFormat="1" ht="12" customHeight="1" x14ac:dyDescent="0.3">
      <c r="A3" s="169" t="s">
        <v>440</v>
      </c>
      <c r="B3" s="169" t="s">
        <v>441</v>
      </c>
      <c r="C3" s="170">
        <v>3804738</v>
      </c>
      <c r="D3" s="169" t="s">
        <v>442</v>
      </c>
      <c r="E3" s="171">
        <v>45594</v>
      </c>
      <c r="F3" s="171">
        <v>34606</v>
      </c>
      <c r="G3" s="169" t="s">
        <v>183</v>
      </c>
      <c r="H3" s="169" t="s">
        <v>448</v>
      </c>
      <c r="I3" s="169" t="s">
        <v>449</v>
      </c>
      <c r="J3" s="169" t="s">
        <v>186</v>
      </c>
      <c r="K3" s="171">
        <v>45594</v>
      </c>
      <c r="L3" s="172"/>
      <c r="M3" s="169"/>
      <c r="N3" s="169" t="s">
        <v>444</v>
      </c>
      <c r="O3" s="169"/>
      <c r="P3" s="169" t="s">
        <v>445</v>
      </c>
      <c r="Q3" s="169"/>
      <c r="R3" s="169" t="s">
        <v>446</v>
      </c>
      <c r="S3" s="169" t="s">
        <v>447</v>
      </c>
      <c r="T3" s="171"/>
      <c r="U3" s="173" t="s">
        <v>176</v>
      </c>
      <c r="V3" s="173" t="s">
        <v>392</v>
      </c>
      <c r="W3" s="168"/>
      <c r="X3" s="165"/>
      <c r="Y3" s="165"/>
      <c r="Z3" s="165"/>
      <c r="AA3" s="165"/>
      <c r="AB3" s="165"/>
      <c r="AC3" s="164"/>
      <c r="AD3" s="165"/>
      <c r="AE3" s="164"/>
      <c r="AF3" s="165"/>
      <c r="AG3" s="165"/>
      <c r="AH3" s="165"/>
      <c r="AI3" s="165"/>
      <c r="AJ3" s="165"/>
      <c r="AK3" s="165"/>
      <c r="AL3" s="165"/>
      <c r="AM3" s="165"/>
      <c r="AN3" s="165"/>
      <c r="AO3" s="164"/>
      <c r="AP3" s="165"/>
      <c r="AQ3" s="165">
        <v>1.3</v>
      </c>
      <c r="AR3" s="165"/>
      <c r="AS3" s="165"/>
      <c r="AT3" s="165"/>
      <c r="AU3" s="165"/>
      <c r="AV3" s="165"/>
      <c r="AW3" s="165"/>
    </row>
    <row r="4" spans="1:50" s="166" customFormat="1" ht="12" customHeight="1" x14ac:dyDescent="0.3">
      <c r="A4" s="169" t="s">
        <v>450</v>
      </c>
      <c r="B4" s="169" t="s">
        <v>451</v>
      </c>
      <c r="C4" s="170">
        <v>3805000</v>
      </c>
      <c r="D4" s="169" t="s">
        <v>452</v>
      </c>
      <c r="E4" s="171">
        <v>45594</v>
      </c>
      <c r="F4" s="171">
        <v>26695</v>
      </c>
      <c r="G4" s="169" t="s">
        <v>183</v>
      </c>
      <c r="H4" s="169" t="s">
        <v>448</v>
      </c>
      <c r="I4" s="169" t="s">
        <v>453</v>
      </c>
      <c r="J4" s="169" t="s">
        <v>270</v>
      </c>
      <c r="K4" s="171">
        <v>45594</v>
      </c>
      <c r="L4" s="172"/>
      <c r="M4" s="169"/>
      <c r="N4" s="169" t="s">
        <v>454</v>
      </c>
      <c r="O4" s="169"/>
      <c r="P4" s="169" t="s">
        <v>445</v>
      </c>
      <c r="Q4" s="169"/>
      <c r="R4" s="169" t="s">
        <v>455</v>
      </c>
      <c r="S4" s="169" t="s">
        <v>456</v>
      </c>
      <c r="T4" s="171"/>
      <c r="U4" s="173" t="s">
        <v>176</v>
      </c>
      <c r="V4" s="173" t="s">
        <v>392</v>
      </c>
      <c r="W4" s="168"/>
      <c r="X4" s="165"/>
      <c r="Y4" s="165"/>
      <c r="Z4" s="165"/>
      <c r="AA4" s="165"/>
      <c r="AB4" s="165"/>
      <c r="AC4" s="164"/>
      <c r="AD4" s="165"/>
      <c r="AE4" s="164"/>
      <c r="AF4" s="165"/>
      <c r="AG4" s="165"/>
      <c r="AH4" s="165"/>
      <c r="AI4" s="165"/>
      <c r="AJ4" s="165"/>
      <c r="AK4" s="165"/>
      <c r="AL4" s="165"/>
      <c r="AM4" s="165"/>
      <c r="AN4" s="165"/>
      <c r="AO4" s="164"/>
      <c r="AP4" s="165"/>
      <c r="AQ4" s="165">
        <v>3.4</v>
      </c>
      <c r="AR4" s="165"/>
      <c r="AS4" s="165"/>
      <c r="AT4" s="165"/>
      <c r="AU4" s="165"/>
      <c r="AV4" s="165"/>
      <c r="AW4" s="165"/>
    </row>
    <row r="5" spans="1:50" s="166" customFormat="1" ht="12" customHeight="1" x14ac:dyDescent="0.3">
      <c r="A5" s="169" t="s">
        <v>450</v>
      </c>
      <c r="B5" s="169" t="s">
        <v>451</v>
      </c>
      <c r="C5" s="170">
        <v>3805000</v>
      </c>
      <c r="D5" s="169" t="s">
        <v>452</v>
      </c>
      <c r="E5" s="171">
        <v>45594</v>
      </c>
      <c r="F5" s="171">
        <v>26695</v>
      </c>
      <c r="G5" s="169" t="s">
        <v>183</v>
      </c>
      <c r="H5" s="169" t="s">
        <v>448</v>
      </c>
      <c r="I5" s="169" t="s">
        <v>457</v>
      </c>
      <c r="J5" s="169" t="s">
        <v>186</v>
      </c>
      <c r="K5" s="171">
        <v>45594</v>
      </c>
      <c r="L5" s="172"/>
      <c r="M5" s="169"/>
      <c r="N5" s="169" t="s">
        <v>454</v>
      </c>
      <c r="O5" s="169"/>
      <c r="P5" s="169" t="s">
        <v>445</v>
      </c>
      <c r="Q5" s="169"/>
      <c r="R5" s="169" t="s">
        <v>455</v>
      </c>
      <c r="S5" s="169" t="s">
        <v>456</v>
      </c>
      <c r="T5" s="171"/>
      <c r="U5" s="173" t="s">
        <v>176</v>
      </c>
      <c r="V5" s="173" t="s">
        <v>392</v>
      </c>
      <c r="W5" s="168"/>
      <c r="X5" s="165"/>
      <c r="Y5" s="165"/>
      <c r="Z5" s="165"/>
      <c r="AA5" s="165"/>
      <c r="AB5" s="165"/>
      <c r="AC5" s="164"/>
      <c r="AD5" s="165"/>
      <c r="AE5" s="164"/>
      <c r="AF5" s="165"/>
      <c r="AG5" s="165"/>
      <c r="AH5" s="165"/>
      <c r="AI5" s="165"/>
      <c r="AJ5" s="165"/>
      <c r="AK5" s="165"/>
      <c r="AL5" s="165"/>
      <c r="AM5" s="165"/>
      <c r="AN5" s="165"/>
      <c r="AO5" s="164"/>
      <c r="AP5" s="165"/>
      <c r="AQ5" s="165">
        <v>3.4</v>
      </c>
      <c r="AR5" s="165"/>
      <c r="AS5" s="165"/>
      <c r="AT5" s="165"/>
      <c r="AU5" s="165"/>
      <c r="AV5" s="165"/>
      <c r="AW5" s="165"/>
    </row>
    <row r="6" spans="1:50" s="166" customFormat="1" ht="12" customHeight="1" x14ac:dyDescent="0.3">
      <c r="A6" s="169" t="s">
        <v>387</v>
      </c>
      <c r="B6" s="169" t="s">
        <v>388</v>
      </c>
      <c r="C6" s="170" t="s">
        <v>389</v>
      </c>
      <c r="D6" s="169" t="s">
        <v>390</v>
      </c>
      <c r="E6" s="171">
        <v>45574</v>
      </c>
      <c r="F6" s="171">
        <v>20787</v>
      </c>
      <c r="G6" s="169" t="s">
        <v>169</v>
      </c>
      <c r="H6" s="169" t="s">
        <v>391</v>
      </c>
      <c r="I6" s="169" t="s">
        <v>436</v>
      </c>
      <c r="J6" s="169" t="s">
        <v>269</v>
      </c>
      <c r="K6" s="171">
        <v>45590</v>
      </c>
      <c r="L6" s="172">
        <v>0.66666666666666663</v>
      </c>
      <c r="M6" s="169" t="s">
        <v>384</v>
      </c>
      <c r="N6" s="169" t="s">
        <v>151</v>
      </c>
      <c r="O6" s="169" t="s">
        <v>383</v>
      </c>
      <c r="P6" s="169" t="s">
        <v>152</v>
      </c>
      <c r="Q6" s="169" t="s">
        <v>175</v>
      </c>
      <c r="R6" s="169" t="s">
        <v>385</v>
      </c>
      <c r="S6" s="169" t="s">
        <v>386</v>
      </c>
      <c r="T6" s="171"/>
      <c r="U6" s="173" t="s">
        <v>176</v>
      </c>
      <c r="V6" s="173" t="s">
        <v>392</v>
      </c>
      <c r="W6" s="168">
        <v>45601</v>
      </c>
      <c r="X6" s="165"/>
      <c r="Y6" s="165" t="s">
        <v>177</v>
      </c>
      <c r="Z6" s="165"/>
      <c r="AA6" s="165" t="s">
        <v>393</v>
      </c>
      <c r="AB6" s="165"/>
      <c r="AC6" s="164"/>
      <c r="AD6" s="165"/>
      <c r="AE6" s="164"/>
      <c r="AF6" s="165" t="s">
        <v>394</v>
      </c>
      <c r="AG6" s="165" t="s">
        <v>395</v>
      </c>
      <c r="AH6" s="165" t="s">
        <v>396</v>
      </c>
      <c r="AI6" s="165"/>
      <c r="AJ6" s="165"/>
      <c r="AK6" s="165"/>
      <c r="AL6" s="165"/>
      <c r="AM6" s="165"/>
      <c r="AN6" s="165"/>
      <c r="AO6" s="164">
        <v>45593</v>
      </c>
      <c r="AP6" s="165" t="s">
        <v>177</v>
      </c>
      <c r="AQ6" s="165">
        <v>43</v>
      </c>
      <c r="AR6" s="165"/>
      <c r="AS6" s="165"/>
      <c r="AT6" s="165"/>
      <c r="AU6" s="165"/>
      <c r="AV6" s="165"/>
      <c r="AW6" s="165"/>
    </row>
    <row r="7" spans="1:50" s="166" customFormat="1" ht="12" customHeight="1" x14ac:dyDescent="0.3">
      <c r="A7" s="169" t="s">
        <v>387</v>
      </c>
      <c r="B7" s="169" t="s">
        <v>388</v>
      </c>
      <c r="C7" s="170" t="s">
        <v>389</v>
      </c>
      <c r="D7" s="169" t="s">
        <v>390</v>
      </c>
      <c r="E7" s="171">
        <v>45574</v>
      </c>
      <c r="F7" s="171">
        <v>20787</v>
      </c>
      <c r="G7" s="169" t="s">
        <v>169</v>
      </c>
      <c r="H7" s="169" t="s">
        <v>391</v>
      </c>
      <c r="I7" s="169" t="s">
        <v>432</v>
      </c>
      <c r="J7" s="169" t="s">
        <v>187</v>
      </c>
      <c r="K7" s="171">
        <v>45590</v>
      </c>
      <c r="L7" s="172">
        <v>0.66666666666666663</v>
      </c>
      <c r="M7" s="169" t="s">
        <v>384</v>
      </c>
      <c r="N7" s="169" t="s">
        <v>151</v>
      </c>
      <c r="O7" s="169" t="s">
        <v>383</v>
      </c>
      <c r="P7" s="169" t="s">
        <v>152</v>
      </c>
      <c r="Q7" s="169" t="s">
        <v>175</v>
      </c>
      <c r="R7" s="169" t="s">
        <v>385</v>
      </c>
      <c r="S7" s="169" t="s">
        <v>386</v>
      </c>
      <c r="T7" s="171"/>
      <c r="U7" s="173" t="s">
        <v>176</v>
      </c>
      <c r="V7" s="173" t="s">
        <v>392</v>
      </c>
      <c r="W7" s="168">
        <v>45601</v>
      </c>
      <c r="X7" s="165"/>
      <c r="Y7" s="165" t="s">
        <v>177</v>
      </c>
      <c r="Z7" s="165"/>
      <c r="AA7" s="165" t="s">
        <v>393</v>
      </c>
      <c r="AB7" s="165"/>
      <c r="AC7" s="164"/>
      <c r="AD7" s="165"/>
      <c r="AE7" s="164"/>
      <c r="AF7" s="165" t="s">
        <v>394</v>
      </c>
      <c r="AG7" s="165" t="s">
        <v>395</v>
      </c>
      <c r="AH7" s="165" t="s">
        <v>396</v>
      </c>
      <c r="AI7" s="165"/>
      <c r="AJ7" s="165"/>
      <c r="AK7" s="165"/>
      <c r="AL7" s="165"/>
      <c r="AM7" s="165"/>
      <c r="AN7" s="165"/>
      <c r="AO7" s="164">
        <v>45593</v>
      </c>
      <c r="AP7" s="165" t="s">
        <v>177</v>
      </c>
      <c r="AQ7" s="165">
        <v>9.01</v>
      </c>
      <c r="AR7" s="165"/>
      <c r="AS7" s="165"/>
      <c r="AT7" s="165"/>
      <c r="AU7" s="165"/>
      <c r="AV7" s="165"/>
      <c r="AW7" s="165"/>
    </row>
    <row r="8" spans="1:50" s="166" customFormat="1" ht="12" customHeight="1" x14ac:dyDescent="0.3">
      <c r="A8" s="169" t="s">
        <v>397</v>
      </c>
      <c r="B8" s="169" t="s">
        <v>398</v>
      </c>
      <c r="C8" s="170" t="s">
        <v>399</v>
      </c>
      <c r="D8" s="169" t="s">
        <v>400</v>
      </c>
      <c r="E8" s="171">
        <v>45587</v>
      </c>
      <c r="F8" s="171">
        <v>17968</v>
      </c>
      <c r="G8" s="169" t="s">
        <v>183</v>
      </c>
      <c r="H8" s="169" t="s">
        <v>401</v>
      </c>
      <c r="I8" s="169" t="s">
        <v>437</v>
      </c>
      <c r="J8" s="169" t="s">
        <v>160</v>
      </c>
      <c r="K8" s="171">
        <v>45593</v>
      </c>
      <c r="L8" s="172">
        <v>0.66666666666666663</v>
      </c>
      <c r="M8" s="169" t="s">
        <v>384</v>
      </c>
      <c r="N8" s="169" t="s">
        <v>151</v>
      </c>
      <c r="O8" s="169" t="s">
        <v>178</v>
      </c>
      <c r="P8" s="169" t="s">
        <v>152</v>
      </c>
      <c r="Q8" s="169" t="s">
        <v>175</v>
      </c>
      <c r="R8" s="169" t="s">
        <v>402</v>
      </c>
      <c r="S8" s="169" t="s">
        <v>403</v>
      </c>
      <c r="T8" s="171"/>
      <c r="U8" s="173" t="s">
        <v>176</v>
      </c>
      <c r="V8" s="173" t="s">
        <v>392</v>
      </c>
      <c r="W8" s="168">
        <v>45601</v>
      </c>
      <c r="X8" s="165"/>
      <c r="Y8" s="165" t="s">
        <v>177</v>
      </c>
      <c r="Z8" s="165"/>
      <c r="AA8" s="165" t="s">
        <v>404</v>
      </c>
      <c r="AB8" s="165"/>
      <c r="AC8" s="164"/>
      <c r="AD8" s="165"/>
      <c r="AE8" s="164"/>
      <c r="AF8" s="165" t="s">
        <v>405</v>
      </c>
      <c r="AG8" s="165" t="s">
        <v>406</v>
      </c>
      <c r="AH8" s="165" t="s">
        <v>407</v>
      </c>
      <c r="AI8" s="165"/>
      <c r="AJ8" s="165"/>
      <c r="AK8" s="165"/>
      <c r="AL8" s="165"/>
      <c r="AM8" s="165"/>
      <c r="AN8" s="165"/>
      <c r="AO8" s="164">
        <v>45593</v>
      </c>
      <c r="AP8" s="165" t="s">
        <v>177</v>
      </c>
      <c r="AQ8" s="165">
        <v>39.4</v>
      </c>
      <c r="AR8" s="165"/>
      <c r="AS8" s="165"/>
      <c r="AT8" s="165"/>
      <c r="AU8" s="165"/>
      <c r="AV8" s="165"/>
      <c r="AW8" s="165"/>
    </row>
    <row r="9" spans="1:50" s="166" customFormat="1" ht="12" customHeight="1" x14ac:dyDescent="0.3">
      <c r="A9" s="169" t="s">
        <v>397</v>
      </c>
      <c r="B9" s="169" t="s">
        <v>398</v>
      </c>
      <c r="C9" s="170" t="s">
        <v>399</v>
      </c>
      <c r="D9" s="169" t="s">
        <v>400</v>
      </c>
      <c r="E9" s="171">
        <v>45587</v>
      </c>
      <c r="F9" s="171">
        <v>17968</v>
      </c>
      <c r="G9" s="169" t="s">
        <v>183</v>
      </c>
      <c r="H9" s="169" t="s">
        <v>401</v>
      </c>
      <c r="I9" s="169" t="s">
        <v>433</v>
      </c>
      <c r="J9" s="169" t="s">
        <v>215</v>
      </c>
      <c r="K9" s="171">
        <v>45593</v>
      </c>
      <c r="L9" s="172">
        <v>0.66666666666666663</v>
      </c>
      <c r="M9" s="169" t="s">
        <v>384</v>
      </c>
      <c r="N9" s="169" t="s">
        <v>151</v>
      </c>
      <c r="O9" s="169" t="s">
        <v>178</v>
      </c>
      <c r="P9" s="169" t="s">
        <v>152</v>
      </c>
      <c r="Q9" s="169" t="s">
        <v>175</v>
      </c>
      <c r="R9" s="169" t="s">
        <v>402</v>
      </c>
      <c r="S9" s="169" t="s">
        <v>403</v>
      </c>
      <c r="T9" s="171"/>
      <c r="U9" s="173" t="s">
        <v>176</v>
      </c>
      <c r="V9" s="173" t="s">
        <v>392</v>
      </c>
      <c r="W9" s="168">
        <v>45601</v>
      </c>
      <c r="X9" s="165"/>
      <c r="Y9" s="165" t="s">
        <v>177</v>
      </c>
      <c r="Z9" s="165"/>
      <c r="AA9" s="165" t="s">
        <v>404</v>
      </c>
      <c r="AB9" s="165"/>
      <c r="AC9" s="164"/>
      <c r="AD9" s="165"/>
      <c r="AE9" s="164"/>
      <c r="AF9" s="165" t="s">
        <v>405</v>
      </c>
      <c r="AG9" s="165" t="s">
        <v>406</v>
      </c>
      <c r="AH9" s="165" t="s">
        <v>407</v>
      </c>
      <c r="AI9" s="165"/>
      <c r="AJ9" s="165"/>
      <c r="AK9" s="165"/>
      <c r="AL9" s="165"/>
      <c r="AM9" s="165"/>
      <c r="AN9" s="165"/>
      <c r="AO9" s="164">
        <v>45593</v>
      </c>
      <c r="AP9" s="165" t="s">
        <v>177</v>
      </c>
      <c r="AQ9" s="165">
        <v>97</v>
      </c>
      <c r="AR9" s="165"/>
      <c r="AS9" s="165"/>
      <c r="AT9" s="165"/>
      <c r="AU9" s="165"/>
      <c r="AV9" s="165"/>
      <c r="AW9" s="165"/>
    </row>
    <row r="10" spans="1:50" s="166" customFormat="1" ht="12" customHeight="1" x14ac:dyDescent="0.3">
      <c r="A10" s="169" t="s">
        <v>408</v>
      </c>
      <c r="B10" s="169" t="s">
        <v>409</v>
      </c>
      <c r="C10" s="170" t="s">
        <v>410</v>
      </c>
      <c r="D10" s="169" t="s">
        <v>411</v>
      </c>
      <c r="E10" s="171">
        <v>45576</v>
      </c>
      <c r="F10" s="171">
        <v>22631</v>
      </c>
      <c r="G10" s="169" t="s">
        <v>169</v>
      </c>
      <c r="H10" s="169" t="s">
        <v>412</v>
      </c>
      <c r="I10" s="169" t="s">
        <v>438</v>
      </c>
      <c r="J10" s="169" t="s">
        <v>186</v>
      </c>
      <c r="K10" s="171">
        <v>45593</v>
      </c>
      <c r="L10" s="172">
        <v>0.66666666666666663</v>
      </c>
      <c r="M10" s="169" t="s">
        <v>384</v>
      </c>
      <c r="N10" s="169" t="s">
        <v>151</v>
      </c>
      <c r="O10" s="169" t="s">
        <v>413</v>
      </c>
      <c r="P10" s="169" t="s">
        <v>152</v>
      </c>
      <c r="Q10" s="169" t="s">
        <v>175</v>
      </c>
      <c r="R10" s="169" t="s">
        <v>414</v>
      </c>
      <c r="S10" s="169" t="s">
        <v>415</v>
      </c>
      <c r="T10" s="171"/>
      <c r="U10" s="173" t="s">
        <v>176</v>
      </c>
      <c r="V10" s="173" t="s">
        <v>392</v>
      </c>
      <c r="W10" s="168">
        <v>45601</v>
      </c>
      <c r="X10" s="165"/>
      <c r="Y10" s="165" t="s">
        <v>177</v>
      </c>
      <c r="Z10" s="165"/>
      <c r="AA10" s="165" t="s">
        <v>416</v>
      </c>
      <c r="AB10" s="165"/>
      <c r="AC10" s="164"/>
      <c r="AD10" s="165"/>
      <c r="AE10" s="164"/>
      <c r="AF10" s="165" t="s">
        <v>417</v>
      </c>
      <c r="AG10" s="165" t="s">
        <v>418</v>
      </c>
      <c r="AH10" s="165" t="s">
        <v>419</v>
      </c>
      <c r="AI10" s="165" t="s">
        <v>420</v>
      </c>
      <c r="AJ10" s="165" t="s">
        <v>421</v>
      </c>
      <c r="AK10" s="165"/>
      <c r="AL10" s="165"/>
      <c r="AM10" s="165"/>
      <c r="AN10" s="165"/>
      <c r="AO10" s="164">
        <v>45599</v>
      </c>
      <c r="AP10" s="165" t="s">
        <v>430</v>
      </c>
      <c r="AQ10" s="165">
        <v>13.3</v>
      </c>
      <c r="AR10" s="165"/>
      <c r="AS10" s="165"/>
      <c r="AT10" s="165"/>
      <c r="AU10" s="165"/>
      <c r="AV10" s="165"/>
      <c r="AW10" s="165"/>
    </row>
    <row r="11" spans="1:50" s="166" customFormat="1" ht="12" customHeight="1" x14ac:dyDescent="0.3">
      <c r="A11" s="169" t="s">
        <v>408</v>
      </c>
      <c r="B11" s="169" t="s">
        <v>409</v>
      </c>
      <c r="C11" s="170" t="s">
        <v>410</v>
      </c>
      <c r="D11" s="169" t="s">
        <v>411</v>
      </c>
      <c r="E11" s="171">
        <v>45576</v>
      </c>
      <c r="F11" s="171">
        <v>22631</v>
      </c>
      <c r="G11" s="169" t="s">
        <v>169</v>
      </c>
      <c r="H11" s="169" t="s">
        <v>412</v>
      </c>
      <c r="I11" s="169" t="s">
        <v>434</v>
      </c>
      <c r="J11" s="169" t="s">
        <v>187</v>
      </c>
      <c r="K11" s="171">
        <v>45593</v>
      </c>
      <c r="L11" s="172">
        <v>0.66666666666666663</v>
      </c>
      <c r="M11" s="169" t="s">
        <v>384</v>
      </c>
      <c r="N11" s="169" t="s">
        <v>151</v>
      </c>
      <c r="O11" s="169" t="s">
        <v>413</v>
      </c>
      <c r="P11" s="169" t="s">
        <v>152</v>
      </c>
      <c r="Q11" s="169" t="s">
        <v>175</v>
      </c>
      <c r="R11" s="169" t="s">
        <v>414</v>
      </c>
      <c r="S11" s="169" t="s">
        <v>415</v>
      </c>
      <c r="T11" s="171"/>
      <c r="U11" s="173" t="s">
        <v>176</v>
      </c>
      <c r="V11" s="173" t="s">
        <v>392</v>
      </c>
      <c r="W11" s="168">
        <v>45601</v>
      </c>
      <c r="X11" s="165"/>
      <c r="Y11" s="165" t="s">
        <v>177</v>
      </c>
      <c r="Z11" s="165"/>
      <c r="AA11" s="165" t="s">
        <v>416</v>
      </c>
      <c r="AB11" s="165"/>
      <c r="AC11" s="164"/>
      <c r="AD11" s="165"/>
      <c r="AE11" s="164"/>
      <c r="AF11" s="165" t="s">
        <v>417</v>
      </c>
      <c r="AG11" s="165" t="s">
        <v>418</v>
      </c>
      <c r="AH11" s="165" t="s">
        <v>419</v>
      </c>
      <c r="AI11" s="165" t="s">
        <v>420</v>
      </c>
      <c r="AJ11" s="165" t="s">
        <v>421</v>
      </c>
      <c r="AK11" s="165"/>
      <c r="AL11" s="165"/>
      <c r="AM11" s="165"/>
      <c r="AN11" s="165"/>
      <c r="AO11" s="164">
        <v>45599</v>
      </c>
      <c r="AP11" s="165" t="s">
        <v>430</v>
      </c>
      <c r="AQ11" s="165">
        <v>5.99</v>
      </c>
      <c r="AR11" s="165"/>
      <c r="AS11" s="165"/>
      <c r="AT11" s="165"/>
      <c r="AU11" s="165"/>
      <c r="AV11" s="165"/>
      <c r="AW11" s="165"/>
    </row>
    <row r="12" spans="1:50" s="166" customFormat="1" ht="12" customHeight="1" x14ac:dyDescent="0.3">
      <c r="A12" s="174" t="s">
        <v>422</v>
      </c>
      <c r="B12" s="175" t="s">
        <v>423</v>
      </c>
      <c r="C12" s="176" t="s">
        <v>424</v>
      </c>
      <c r="D12" s="175" t="s">
        <v>425</v>
      </c>
      <c r="E12" s="177">
        <v>45566</v>
      </c>
      <c r="F12" s="177">
        <v>29534</v>
      </c>
      <c r="G12" s="169" t="s">
        <v>169</v>
      </c>
      <c r="H12" s="175" t="s">
        <v>426</v>
      </c>
      <c r="I12" s="175" t="s">
        <v>439</v>
      </c>
      <c r="J12" s="169" t="s">
        <v>270</v>
      </c>
      <c r="K12" s="171">
        <v>45595</v>
      </c>
      <c r="L12" s="172">
        <v>0.35416666666666669</v>
      </c>
      <c r="M12" s="169" t="s">
        <v>427</v>
      </c>
      <c r="N12" s="169" t="s">
        <v>151</v>
      </c>
      <c r="O12" s="169" t="s">
        <v>178</v>
      </c>
      <c r="P12" s="169" t="s">
        <v>152</v>
      </c>
      <c r="Q12" s="169" t="s">
        <v>175</v>
      </c>
      <c r="R12" s="169" t="s">
        <v>184</v>
      </c>
      <c r="S12" s="169" t="s">
        <v>185</v>
      </c>
      <c r="T12" s="171"/>
      <c r="U12" s="173" t="s">
        <v>176</v>
      </c>
      <c r="V12" s="173" t="s">
        <v>392</v>
      </c>
      <c r="W12" s="168">
        <v>45601</v>
      </c>
      <c r="X12" s="165"/>
      <c r="Y12" s="165" t="s">
        <v>177</v>
      </c>
      <c r="Z12" s="165"/>
      <c r="AA12" s="165" t="s">
        <v>428</v>
      </c>
      <c r="AB12" s="165"/>
      <c r="AC12" s="164"/>
      <c r="AD12" s="165"/>
      <c r="AE12" s="164"/>
      <c r="AF12" s="165" t="s">
        <v>429</v>
      </c>
      <c r="AG12" s="165"/>
      <c r="AH12" s="165"/>
      <c r="AI12" s="165"/>
      <c r="AJ12" s="165"/>
      <c r="AK12" s="165"/>
      <c r="AL12" s="165"/>
      <c r="AM12" s="165"/>
      <c r="AN12" s="165"/>
      <c r="AO12" s="164">
        <v>45599</v>
      </c>
      <c r="AP12" s="165" t="s">
        <v>430</v>
      </c>
      <c r="AQ12" s="165">
        <v>7.33</v>
      </c>
      <c r="AR12" s="165"/>
      <c r="AS12" s="165"/>
      <c r="AT12" s="165"/>
      <c r="AU12" s="165"/>
      <c r="AV12" s="165"/>
      <c r="AW12" s="165"/>
    </row>
    <row r="13" spans="1:50" s="166" customFormat="1" ht="12" customHeight="1" x14ac:dyDescent="0.3">
      <c r="A13" s="174" t="s">
        <v>422</v>
      </c>
      <c r="B13" s="175" t="s">
        <v>423</v>
      </c>
      <c r="C13" s="176" t="s">
        <v>424</v>
      </c>
      <c r="D13" s="175" t="s">
        <v>425</v>
      </c>
      <c r="E13" s="177">
        <v>45566</v>
      </c>
      <c r="F13" s="177">
        <v>29534</v>
      </c>
      <c r="G13" s="169" t="s">
        <v>169</v>
      </c>
      <c r="H13" s="175" t="s">
        <v>426</v>
      </c>
      <c r="I13" s="175" t="s">
        <v>435</v>
      </c>
      <c r="J13" s="169" t="s">
        <v>269</v>
      </c>
      <c r="K13" s="171">
        <v>45595</v>
      </c>
      <c r="L13" s="172">
        <v>0.35416666666666669</v>
      </c>
      <c r="M13" s="169" t="s">
        <v>427</v>
      </c>
      <c r="N13" s="169" t="s">
        <v>151</v>
      </c>
      <c r="O13" s="169" t="s">
        <v>178</v>
      </c>
      <c r="P13" s="169" t="s">
        <v>152</v>
      </c>
      <c r="Q13" s="169" t="s">
        <v>175</v>
      </c>
      <c r="R13" s="169" t="s">
        <v>184</v>
      </c>
      <c r="S13" s="169" t="s">
        <v>185</v>
      </c>
      <c r="T13" s="171"/>
      <c r="U13" s="173" t="s">
        <v>176</v>
      </c>
      <c r="V13" s="173" t="s">
        <v>392</v>
      </c>
      <c r="W13" s="168">
        <v>45601</v>
      </c>
      <c r="X13" s="165"/>
      <c r="Y13" s="165" t="s">
        <v>177</v>
      </c>
      <c r="Z13" s="165"/>
      <c r="AA13" s="165" t="s">
        <v>428</v>
      </c>
      <c r="AB13" s="165"/>
      <c r="AC13" s="164"/>
      <c r="AD13" s="165"/>
      <c r="AE13" s="164"/>
      <c r="AF13" s="165" t="s">
        <v>429</v>
      </c>
      <c r="AG13" s="165"/>
      <c r="AH13" s="165"/>
      <c r="AI13" s="165"/>
      <c r="AJ13" s="165"/>
      <c r="AK13" s="165"/>
      <c r="AL13" s="165"/>
      <c r="AM13" s="165"/>
      <c r="AN13" s="165"/>
      <c r="AO13" s="164">
        <v>45599</v>
      </c>
      <c r="AP13" s="165" t="s">
        <v>430</v>
      </c>
      <c r="AQ13" s="165">
        <v>11.1</v>
      </c>
      <c r="AR13" s="165"/>
      <c r="AS13" s="165"/>
      <c r="AT13" s="165"/>
      <c r="AU13" s="165"/>
      <c r="AV13" s="165"/>
      <c r="AW13" s="165"/>
    </row>
    <row r="14" spans="1:50" ht="14.4" x14ac:dyDescent="0.3">
      <c r="A14" s="2"/>
      <c r="B14" s="2"/>
      <c r="C14" s="55"/>
      <c r="D14" s="2"/>
      <c r="E14" s="1"/>
      <c r="F14" s="1"/>
      <c r="G14" s="80"/>
      <c r="H14" s="2"/>
      <c r="I14" s="2"/>
      <c r="J14" s="2"/>
      <c r="N14" s="2"/>
      <c r="V14" s="2"/>
      <c r="AE14" s="167" t="str">
        <f>IFERROR(IF(ISBLANK([3]!OncoCompLog[[#This Row],[Received Date]]), "", IF(ISNUMBER(SEARCH("CAP *",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AU14" s="64"/>
      <c r="AV14" s="67"/>
    </row>
    <row r="15" spans="1:50" ht="14.4" x14ac:dyDescent="0.3">
      <c r="A15" s="2"/>
      <c r="B15" s="2"/>
      <c r="C15" s="55"/>
      <c r="D15" s="2"/>
      <c r="E15" s="1"/>
      <c r="F15" s="1"/>
      <c r="G15" s="80"/>
      <c r="H15" s="2"/>
      <c r="I15" s="2"/>
      <c r="J15" s="2"/>
      <c r="N15" s="2"/>
      <c r="AE15" s="167" t="str">
        <f>IFERROR(IF(ISBLANK([3]!OncoCompLog[[#This Row],[Received Date]]), "", IF(ISNUMBER(SEARCH("CAP *",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AU15" s="64"/>
      <c r="AV15" s="67"/>
    </row>
    <row r="16" spans="1:50" ht="14.4" x14ac:dyDescent="0.3">
      <c r="A16" s="2"/>
      <c r="B16" s="2"/>
      <c r="C16" s="55"/>
      <c r="D16" s="55"/>
      <c r="E16" s="55"/>
      <c r="F16" s="1"/>
      <c r="G16" s="80"/>
      <c r="H16" s="55"/>
      <c r="I16" s="55"/>
      <c r="J16" s="2"/>
      <c r="N16" s="2"/>
      <c r="AE16" s="167" t="str">
        <f>IFERROR(IF(ISBLANK([3]!OncoCompLog[[#This Row],[Received Date]]), "", IF(ISNUMBER(SEARCH("CAP *",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AU16" s="64"/>
      <c r="AV16" s="67"/>
    </row>
    <row r="17" spans="1:49" ht="14.4" x14ac:dyDescent="0.3">
      <c r="A17" s="2"/>
      <c r="B17" s="2"/>
      <c r="C17" s="55"/>
      <c r="D17" s="55"/>
      <c r="E17" s="55"/>
      <c r="F17" s="1"/>
      <c r="G17" s="80"/>
      <c r="H17" s="55"/>
      <c r="I17" s="55"/>
      <c r="J17" s="2"/>
      <c r="N17" s="2"/>
      <c r="AE17" s="167" t="str">
        <f>IFERROR(IF(ISBLANK([3]!OncoCompLog[[#This Row],[Received Date]]), "", IF(ISNUMBER(SEARCH("CAP *", [3]!OncoCompLog[[#This Row],[Last Name]])), IFERROR(MID([3]!OncoCompLog[[#This Row],[Notes]], SEARCH("Due", [3]!OncoCompLog[[#This Row],[Notes]])+4, SEARCH(".", [3]!OncoCompLog[[#This Row],[Notes]])-5), "PT-See Notes"), WORKDAY([3]!OncoCompLog[[#This Row],[Received Date]], INDEX([3]!Tests[#Data], MATCH([3]!OncoCompLog[[#This Row],[Test Requested]],[3]!Tests[Assay], 0), COLUMN([3]!Tests[TAT])-COLUMN([3]!Tests[#Data])+1), [3]!Holidays[Holidays]))), "N/A")</f>
        <v>N/A</v>
      </c>
      <c r="AU17" s="64"/>
      <c r="AV17" s="67"/>
    </row>
    <row r="21" spans="1:49" s="125" customFormat="1" ht="14.4" x14ac:dyDescent="0.3">
      <c r="A21" s="143"/>
      <c r="B21" s="143"/>
      <c r="C21" s="144"/>
      <c r="D21" s="143"/>
      <c r="E21" s="145"/>
      <c r="F21" s="145"/>
      <c r="G21" s="143"/>
      <c r="H21" s="143"/>
      <c r="I21" s="143"/>
      <c r="J21" s="143"/>
      <c r="K21" s="145"/>
      <c r="L21" s="146"/>
      <c r="M21" s="143"/>
      <c r="N21" s="143"/>
      <c r="O21" s="143"/>
      <c r="P21" s="143"/>
      <c r="Q21" s="143"/>
      <c r="R21" s="143"/>
      <c r="S21" s="143"/>
      <c r="T21" s="145"/>
      <c r="U21" s="143"/>
      <c r="V21" s="143"/>
      <c r="W21" s="141"/>
      <c r="X21" s="142"/>
      <c r="Y21" s="142"/>
      <c r="Z21" s="142"/>
      <c r="AA21" s="142"/>
      <c r="AB21" s="142"/>
      <c r="AC21" s="142"/>
      <c r="AD21" s="142"/>
      <c r="AE21" s="142"/>
      <c r="AF21" s="142"/>
      <c r="AG21" s="142"/>
      <c r="AH21" s="142"/>
      <c r="AI21" s="142"/>
      <c r="AJ21" s="142"/>
      <c r="AK21" s="142"/>
      <c r="AL21" s="142"/>
      <c r="AM21" s="142"/>
      <c r="AN21" s="142"/>
      <c r="AO21" s="141"/>
      <c r="AP21" s="142"/>
      <c r="AQ21" s="142"/>
      <c r="AR21" s="142"/>
      <c r="AS21" s="142"/>
      <c r="AT21" s="142"/>
      <c r="AU21" s="142"/>
      <c r="AV21" s="142"/>
      <c r="AW21" s="142"/>
    </row>
    <row r="22" spans="1:49" s="125" customFormat="1" ht="14.4" x14ac:dyDescent="0.3">
      <c r="A22" s="143"/>
      <c r="B22" s="143"/>
      <c r="C22" s="144"/>
      <c r="D22" s="143"/>
      <c r="E22" s="145"/>
      <c r="F22" s="145"/>
      <c r="G22" s="143"/>
      <c r="H22" s="143"/>
      <c r="I22" s="143"/>
      <c r="J22" s="143"/>
      <c r="K22" s="145"/>
      <c r="L22" s="146"/>
      <c r="M22" s="143"/>
      <c r="N22" s="143"/>
      <c r="O22" s="143"/>
      <c r="P22" s="143"/>
      <c r="Q22" s="143"/>
      <c r="R22" s="143"/>
      <c r="S22" s="143"/>
      <c r="T22" s="145"/>
      <c r="U22" s="143"/>
      <c r="V22" s="143"/>
      <c r="W22" s="141"/>
      <c r="X22" s="142"/>
      <c r="Y22" s="142"/>
      <c r="Z22" s="142"/>
      <c r="AA22" s="142"/>
      <c r="AB22" s="142"/>
      <c r="AC22" s="142"/>
      <c r="AD22" s="142"/>
      <c r="AE22" s="142"/>
      <c r="AF22" s="142"/>
      <c r="AG22" s="142"/>
      <c r="AH22" s="142"/>
      <c r="AI22" s="142"/>
      <c r="AJ22" s="142"/>
      <c r="AK22" s="142"/>
      <c r="AL22" s="142"/>
      <c r="AM22" s="142"/>
      <c r="AN22" s="142"/>
      <c r="AO22" s="141"/>
      <c r="AP22" s="142"/>
      <c r="AQ22" s="142"/>
      <c r="AR22" s="142"/>
      <c r="AS22" s="142"/>
      <c r="AT22" s="142"/>
      <c r="AU22" s="142"/>
      <c r="AV22" s="142"/>
      <c r="AW22" s="142"/>
    </row>
    <row r="23" spans="1:49" s="125" customFormat="1" ht="14.4" x14ac:dyDescent="0.3">
      <c r="A23" s="143"/>
      <c r="B23" s="143"/>
      <c r="C23" s="144"/>
      <c r="D23" s="143"/>
      <c r="E23" s="145"/>
      <c r="F23" s="145"/>
      <c r="G23" s="143"/>
      <c r="H23" s="143"/>
      <c r="I23" s="143"/>
      <c r="J23" s="143"/>
      <c r="K23" s="145"/>
      <c r="L23" s="146"/>
      <c r="M23" s="143"/>
      <c r="N23" s="143"/>
      <c r="O23" s="143"/>
      <c r="P23" s="143"/>
      <c r="Q23" s="143"/>
      <c r="R23" s="143"/>
      <c r="S23" s="143"/>
      <c r="T23" s="145"/>
      <c r="U23" s="143"/>
      <c r="V23" s="143"/>
      <c r="W23" s="141"/>
      <c r="X23" s="142"/>
      <c r="Y23" s="142"/>
      <c r="Z23" s="142"/>
      <c r="AA23" s="142"/>
      <c r="AB23" s="142"/>
      <c r="AC23" s="142"/>
      <c r="AD23" s="142"/>
      <c r="AE23" s="142"/>
      <c r="AF23" s="142"/>
      <c r="AG23" s="142"/>
      <c r="AH23" s="142"/>
      <c r="AI23" s="142"/>
      <c r="AJ23" s="142"/>
      <c r="AK23" s="142"/>
      <c r="AL23" s="142"/>
      <c r="AM23" s="142"/>
      <c r="AN23" s="142"/>
      <c r="AO23" s="141"/>
      <c r="AP23" s="142"/>
      <c r="AQ23" s="142"/>
      <c r="AR23" s="142"/>
      <c r="AS23" s="142"/>
      <c r="AT23" s="142"/>
      <c r="AU23" s="142"/>
      <c r="AV23" s="142"/>
      <c r="AW23" s="142"/>
    </row>
    <row r="24" spans="1:49" s="125" customFormat="1" ht="14.4" x14ac:dyDescent="0.3">
      <c r="A24" s="143"/>
      <c r="B24" s="143"/>
      <c r="C24" s="144"/>
      <c r="D24" s="143"/>
      <c r="E24" s="145"/>
      <c r="F24" s="145"/>
      <c r="G24" s="143"/>
      <c r="H24" s="143"/>
      <c r="I24" s="143"/>
      <c r="J24" s="143"/>
      <c r="K24" s="145"/>
      <c r="L24" s="146"/>
      <c r="M24" s="143"/>
      <c r="N24" s="143"/>
      <c r="O24" s="143"/>
      <c r="P24" s="143"/>
      <c r="Q24" s="143"/>
      <c r="R24" s="143"/>
      <c r="S24" s="143"/>
      <c r="T24" s="145"/>
      <c r="U24" s="143"/>
      <c r="V24" s="143"/>
      <c r="W24" s="141"/>
      <c r="X24" s="142"/>
      <c r="Y24" s="142"/>
      <c r="Z24" s="142"/>
      <c r="AA24" s="142"/>
      <c r="AB24" s="142"/>
      <c r="AC24" s="142"/>
      <c r="AD24" s="142"/>
      <c r="AE24" s="142"/>
      <c r="AF24" s="142"/>
      <c r="AG24" s="142"/>
      <c r="AH24" s="142"/>
      <c r="AI24" s="142"/>
      <c r="AJ24" s="142"/>
      <c r="AK24" s="142"/>
      <c r="AL24" s="142"/>
      <c r="AM24" s="142"/>
      <c r="AN24" s="142"/>
      <c r="AO24" s="141"/>
      <c r="AP24" s="142"/>
      <c r="AQ24" s="142"/>
      <c r="AR24" s="142"/>
      <c r="AS24" s="142"/>
      <c r="AT24" s="142"/>
      <c r="AU24" s="142"/>
      <c r="AV24" s="142"/>
      <c r="AW24" s="142"/>
    </row>
    <row r="25" spans="1:49" s="125" customFormat="1" ht="14.4" x14ac:dyDescent="0.3">
      <c r="A25" s="143"/>
      <c r="B25" s="143"/>
      <c r="C25" s="144"/>
      <c r="D25" s="143"/>
      <c r="E25" s="145"/>
      <c r="F25" s="145"/>
      <c r="G25" s="143"/>
      <c r="H25" s="143"/>
      <c r="I25" s="143"/>
      <c r="J25" s="143"/>
      <c r="K25" s="145"/>
      <c r="L25" s="146"/>
      <c r="M25" s="143"/>
      <c r="N25" s="143"/>
      <c r="O25" s="143"/>
      <c r="P25" s="143"/>
      <c r="Q25" s="143"/>
      <c r="R25" s="143"/>
      <c r="S25" s="143"/>
      <c r="T25" s="145"/>
      <c r="U25" s="143"/>
      <c r="V25" s="143"/>
      <c r="W25" s="141"/>
      <c r="X25" s="142"/>
      <c r="Y25" s="142"/>
      <c r="Z25" s="142"/>
      <c r="AA25" s="142"/>
      <c r="AB25" s="142"/>
      <c r="AC25" s="142"/>
      <c r="AD25" s="142"/>
      <c r="AE25" s="142"/>
      <c r="AF25" s="142"/>
      <c r="AG25" s="142"/>
      <c r="AH25" s="142"/>
      <c r="AI25" s="142"/>
      <c r="AJ25" s="142"/>
      <c r="AK25" s="142"/>
      <c r="AL25" s="142"/>
      <c r="AM25" s="142"/>
      <c r="AN25" s="142"/>
      <c r="AO25" s="141"/>
      <c r="AP25" s="142"/>
      <c r="AQ25" s="142"/>
      <c r="AR25" s="142"/>
      <c r="AS25" s="142"/>
      <c r="AT25" s="142"/>
      <c r="AU25" s="142"/>
      <c r="AV25" s="142"/>
      <c r="AW25" s="142"/>
    </row>
    <row r="26" spans="1:49" s="125" customFormat="1" ht="14.4" x14ac:dyDescent="0.3">
      <c r="A26" s="143"/>
      <c r="B26" s="143"/>
      <c r="C26" s="144"/>
      <c r="D26" s="143"/>
      <c r="E26" s="145"/>
      <c r="F26" s="145"/>
      <c r="G26" s="143"/>
      <c r="H26" s="143"/>
      <c r="I26" s="143"/>
      <c r="J26" s="143"/>
      <c r="K26" s="145"/>
      <c r="L26" s="146"/>
      <c r="M26" s="143"/>
      <c r="N26" s="143"/>
      <c r="O26" s="143"/>
      <c r="P26" s="143"/>
      <c r="Q26" s="143"/>
      <c r="R26" s="143"/>
      <c r="S26" s="143"/>
      <c r="T26" s="145"/>
      <c r="U26" s="143"/>
      <c r="V26" s="143"/>
      <c r="W26" s="141"/>
      <c r="X26" s="142"/>
      <c r="Y26" s="142"/>
      <c r="Z26" s="142"/>
      <c r="AA26" s="142"/>
      <c r="AB26" s="142"/>
      <c r="AC26" s="142"/>
      <c r="AD26" s="142"/>
      <c r="AE26" s="142"/>
      <c r="AF26" s="142"/>
      <c r="AG26" s="142"/>
      <c r="AH26" s="142"/>
      <c r="AI26" s="142"/>
      <c r="AJ26" s="142"/>
      <c r="AK26" s="142"/>
      <c r="AL26" s="142"/>
      <c r="AM26" s="142"/>
      <c r="AN26" s="142"/>
      <c r="AO26" s="141"/>
      <c r="AP26" s="142"/>
      <c r="AQ26" s="142"/>
      <c r="AR26" s="142"/>
      <c r="AS26" s="142"/>
      <c r="AT26" s="142"/>
      <c r="AU26" s="142"/>
      <c r="AV26" s="142"/>
      <c r="AW26" s="142"/>
    </row>
    <row r="27" spans="1:49" s="125" customFormat="1" ht="14.4" x14ac:dyDescent="0.3">
      <c r="A27" s="143"/>
      <c r="B27" s="143"/>
      <c r="C27" s="144"/>
      <c r="D27" s="143"/>
      <c r="E27" s="145"/>
      <c r="F27" s="145"/>
      <c r="G27" s="143"/>
      <c r="H27" s="143"/>
      <c r="I27" s="143"/>
      <c r="J27" s="143"/>
      <c r="K27" s="145"/>
      <c r="L27" s="146"/>
      <c r="M27" s="143"/>
      <c r="N27" s="143"/>
      <c r="O27" s="143"/>
      <c r="P27" s="143"/>
      <c r="Q27" s="143"/>
      <c r="R27" s="143"/>
      <c r="S27" s="143"/>
      <c r="T27" s="145"/>
      <c r="U27" s="143"/>
      <c r="V27" s="143"/>
      <c r="W27" s="141"/>
      <c r="X27" s="142"/>
      <c r="Y27" s="142"/>
      <c r="Z27" s="142"/>
      <c r="AA27" s="142"/>
      <c r="AB27" s="142"/>
      <c r="AC27" s="142"/>
      <c r="AD27" s="142"/>
      <c r="AE27" s="142"/>
      <c r="AF27" s="142"/>
      <c r="AG27" s="142"/>
      <c r="AH27" s="142"/>
      <c r="AI27" s="142"/>
      <c r="AJ27" s="142"/>
      <c r="AK27" s="142"/>
      <c r="AL27" s="142"/>
      <c r="AM27" s="142"/>
      <c r="AN27" s="142"/>
      <c r="AO27" s="141"/>
      <c r="AP27" s="142"/>
      <c r="AQ27" s="142"/>
      <c r="AR27" s="142"/>
      <c r="AS27" s="142"/>
      <c r="AT27" s="142"/>
      <c r="AU27" s="142"/>
      <c r="AV27" s="142"/>
      <c r="AW27" s="142"/>
    </row>
    <row r="28" spans="1:49" s="125" customFormat="1" ht="14.4" x14ac:dyDescent="0.3">
      <c r="A28" s="143"/>
      <c r="B28" s="143"/>
      <c r="C28" s="144"/>
      <c r="D28" s="143"/>
      <c r="E28" s="145"/>
      <c r="F28" s="145"/>
      <c r="G28" s="143"/>
      <c r="H28" s="143"/>
      <c r="I28" s="143"/>
      <c r="J28" s="143"/>
      <c r="K28" s="145"/>
      <c r="L28" s="146"/>
      <c r="M28" s="143"/>
      <c r="N28" s="143"/>
      <c r="O28" s="143"/>
      <c r="P28" s="143"/>
      <c r="Q28" s="143"/>
      <c r="R28" s="143"/>
      <c r="S28" s="143"/>
      <c r="T28" s="145"/>
      <c r="U28" s="143"/>
      <c r="V28" s="143"/>
      <c r="W28" s="141"/>
      <c r="X28" s="142"/>
      <c r="Y28" s="142"/>
      <c r="Z28" s="142"/>
      <c r="AA28" s="142"/>
      <c r="AB28" s="142"/>
      <c r="AC28" s="142"/>
      <c r="AD28" s="142"/>
      <c r="AE28" s="142"/>
      <c r="AF28" s="142"/>
      <c r="AG28" s="142"/>
      <c r="AH28" s="142"/>
      <c r="AI28" s="142"/>
      <c r="AJ28" s="142"/>
      <c r="AK28" s="142"/>
      <c r="AL28" s="142"/>
      <c r="AM28" s="142"/>
      <c r="AN28" s="142"/>
      <c r="AO28" s="141"/>
      <c r="AP28" s="142"/>
      <c r="AQ28" s="142"/>
      <c r="AR28" s="142"/>
      <c r="AS28" s="142"/>
      <c r="AT28" s="142"/>
      <c r="AU28" s="142"/>
      <c r="AV28" s="142"/>
      <c r="AW28" s="142"/>
    </row>
    <row r="29" spans="1:49" s="125" customFormat="1" ht="14.4" x14ac:dyDescent="0.3">
      <c r="A29" s="143"/>
      <c r="B29" s="143"/>
      <c r="C29" s="144"/>
      <c r="D29" s="143"/>
      <c r="E29" s="145"/>
      <c r="F29" s="145"/>
      <c r="G29" s="143"/>
      <c r="H29" s="143"/>
      <c r="I29" s="143"/>
      <c r="J29" s="143"/>
      <c r="K29" s="145"/>
      <c r="L29" s="146"/>
      <c r="M29" s="143"/>
      <c r="N29" s="143"/>
      <c r="O29" s="143"/>
      <c r="P29" s="143"/>
      <c r="Q29" s="143"/>
      <c r="R29" s="143"/>
      <c r="S29" s="143"/>
      <c r="T29" s="145"/>
      <c r="U29" s="143"/>
      <c r="V29" s="143"/>
      <c r="W29" s="141"/>
      <c r="X29" s="142"/>
      <c r="Y29" s="142"/>
      <c r="Z29" s="142"/>
      <c r="AA29" s="142"/>
      <c r="AB29" s="142"/>
      <c r="AC29" s="142"/>
      <c r="AD29" s="142"/>
      <c r="AE29" s="142"/>
      <c r="AF29" s="142"/>
      <c r="AG29" s="142"/>
      <c r="AH29" s="142"/>
      <c r="AI29" s="142"/>
      <c r="AJ29" s="142"/>
      <c r="AK29" s="142"/>
      <c r="AL29" s="142"/>
      <c r="AM29" s="142"/>
      <c r="AN29" s="142"/>
      <c r="AO29" s="141"/>
      <c r="AP29" s="142"/>
      <c r="AQ29" s="142"/>
      <c r="AR29" s="142"/>
      <c r="AS29" s="142"/>
      <c r="AT29" s="142"/>
      <c r="AU29" s="142"/>
      <c r="AV29" s="142"/>
      <c r="AW29" s="142"/>
    </row>
    <row r="30" spans="1:49" s="125" customFormat="1" ht="14.4" x14ac:dyDescent="0.3">
      <c r="A30" s="143"/>
      <c r="B30" s="143"/>
      <c r="C30" s="144"/>
      <c r="D30" s="143"/>
      <c r="E30" s="145"/>
      <c r="F30" s="145"/>
      <c r="G30" s="143"/>
      <c r="H30" s="143"/>
      <c r="I30" s="143"/>
      <c r="J30" s="143"/>
      <c r="K30" s="145"/>
      <c r="L30" s="146"/>
      <c r="M30" s="143"/>
      <c r="N30" s="143"/>
      <c r="O30" s="143"/>
      <c r="P30" s="143"/>
      <c r="Q30" s="143"/>
      <c r="R30" s="143"/>
      <c r="S30" s="143"/>
      <c r="T30" s="145"/>
      <c r="U30" s="143"/>
      <c r="V30" s="143"/>
      <c r="W30" s="141"/>
      <c r="X30" s="142"/>
      <c r="Y30" s="142"/>
      <c r="Z30" s="142"/>
      <c r="AA30" s="142"/>
      <c r="AB30" s="142"/>
      <c r="AC30" s="142"/>
      <c r="AD30" s="142"/>
      <c r="AE30" s="142"/>
      <c r="AF30" s="142"/>
      <c r="AG30" s="142"/>
      <c r="AH30" s="142"/>
      <c r="AI30" s="142"/>
      <c r="AJ30" s="142"/>
      <c r="AK30" s="142"/>
      <c r="AL30" s="142"/>
      <c r="AM30" s="142"/>
      <c r="AN30" s="142"/>
      <c r="AO30" s="141"/>
      <c r="AP30" s="142"/>
      <c r="AQ30" s="142"/>
      <c r="AR30" s="142"/>
      <c r="AS30" s="142"/>
      <c r="AT30" s="142"/>
      <c r="AU30" s="142"/>
      <c r="AV30" s="142"/>
      <c r="AW30" s="142"/>
    </row>
    <row r="31" spans="1:49" s="152" customFormat="1" ht="14.4" x14ac:dyDescent="0.3">
      <c r="A31" s="147"/>
      <c r="B31" s="147"/>
      <c r="C31" s="148"/>
      <c r="D31" s="147"/>
      <c r="E31" s="149"/>
      <c r="F31" s="149"/>
      <c r="G31" s="147"/>
      <c r="H31" s="147"/>
      <c r="I31" s="147"/>
      <c r="J31" s="147"/>
      <c r="K31" s="149"/>
      <c r="L31" s="150"/>
      <c r="M31" s="147"/>
      <c r="N31" s="147"/>
      <c r="O31" s="147"/>
      <c r="P31" s="147"/>
      <c r="Q31" s="147"/>
      <c r="R31" s="147"/>
      <c r="S31" s="147"/>
      <c r="T31" s="149"/>
      <c r="U31" s="147"/>
      <c r="V31" s="147"/>
      <c r="W31" s="141"/>
      <c r="X31" s="142"/>
      <c r="Y31" s="142"/>
      <c r="Z31" s="151"/>
      <c r="AA31" s="151"/>
      <c r="AB31" s="151"/>
      <c r="AC31" s="151"/>
      <c r="AD31" s="151"/>
      <c r="AE31" s="151"/>
      <c r="AF31" s="151"/>
      <c r="AG31" s="151"/>
      <c r="AH31" s="151"/>
      <c r="AI31" s="151"/>
      <c r="AJ31" s="151"/>
      <c r="AK31" s="151"/>
      <c r="AL31" s="151"/>
      <c r="AM31" s="151"/>
      <c r="AN31" s="151"/>
      <c r="AO31" s="141"/>
      <c r="AP31" s="142"/>
      <c r="AQ31" s="151"/>
      <c r="AR31" s="151"/>
      <c r="AS31" s="151"/>
      <c r="AT31" s="151"/>
      <c r="AU31" s="151"/>
      <c r="AV31" s="151"/>
      <c r="AW31" s="151"/>
    </row>
    <row r="32" spans="1:49" s="152" customFormat="1" ht="14.4" x14ac:dyDescent="0.3">
      <c r="A32" s="147"/>
      <c r="B32" s="147"/>
      <c r="C32" s="148"/>
      <c r="D32" s="147"/>
      <c r="E32" s="149"/>
      <c r="F32" s="149"/>
      <c r="G32" s="147"/>
      <c r="H32" s="147"/>
      <c r="I32" s="147"/>
      <c r="J32" s="147"/>
      <c r="K32" s="149"/>
      <c r="L32" s="150"/>
      <c r="M32" s="147"/>
      <c r="N32" s="147"/>
      <c r="O32" s="147"/>
      <c r="P32" s="147"/>
      <c r="Q32" s="147"/>
      <c r="R32" s="147"/>
      <c r="S32" s="147"/>
      <c r="T32" s="149"/>
      <c r="U32" s="147"/>
      <c r="V32" s="147"/>
      <c r="W32" s="141"/>
      <c r="X32" s="142"/>
      <c r="Y32" s="142"/>
      <c r="Z32" s="151"/>
      <c r="AA32" s="151"/>
      <c r="AB32" s="151"/>
      <c r="AC32" s="151"/>
      <c r="AD32" s="151"/>
      <c r="AE32" s="151"/>
      <c r="AF32" s="151"/>
      <c r="AG32" s="151"/>
      <c r="AH32" s="151"/>
      <c r="AI32" s="151"/>
      <c r="AJ32" s="151"/>
      <c r="AK32" s="151"/>
      <c r="AL32" s="151"/>
      <c r="AM32" s="151"/>
      <c r="AN32" s="151"/>
      <c r="AO32" s="141"/>
      <c r="AP32" s="142"/>
      <c r="AQ32" s="151"/>
      <c r="AR32" s="151"/>
      <c r="AS32" s="151"/>
      <c r="AT32" s="151"/>
      <c r="AU32" s="151"/>
      <c r="AV32" s="151"/>
      <c r="AW32" s="151"/>
    </row>
  </sheetData>
  <phoneticPr fontId="12" type="noConversion"/>
  <dataValidations count="2">
    <dataValidation type="list" allowBlank="1" showInputMessage="1" showErrorMessage="1" sqref="AL21:AL32 AJ21:AJ32 S21:S32 AH21:AH32 AN21:AN32 AJ2:AJ13 AL2:AL13 S2:S15 AN2:AN13 AH2:AH13" xr:uid="{00000000-0002-0000-0100-000000000000}">
      <formula1>rPhysFirstName_DNA</formula1>
    </dataValidation>
    <dataValidation type="list" allowBlank="1" showInputMessage="1" showErrorMessage="1" sqref="AK21:AK32 AI21:AI32 R21:R32 AG21:AG32 AM21:AM32 AG2:AG13 AI2:AI13 AK2:AK13 R2:R13 AM2:AM13" xr:uid="{C19A5B93-BE87-43C5-B112-9727CB290C95}">
      <formula1>rPhysLastName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AO76"/>
  <sheetViews>
    <sheetView topLeftCell="A17" zoomScaleNormal="100" workbookViewId="0">
      <selection activeCell="F36" sqref="F36"/>
    </sheetView>
  </sheetViews>
  <sheetFormatPr defaultColWidth="9.125" defaultRowHeight="13.8" x14ac:dyDescent="0.3"/>
  <cols>
    <col min="1" max="1" width="11.375" style="13" customWidth="1"/>
    <col min="2" max="2" width="14.75" style="13" customWidth="1"/>
    <col min="3" max="3" width="21" style="13" bestFit="1" customWidth="1"/>
    <col min="4" max="4" width="27.5" style="13" bestFit="1" customWidth="1"/>
    <col min="5" max="5" width="13.75" style="13" bestFit="1" customWidth="1"/>
    <col min="6" max="6" width="7.75" style="13" customWidth="1"/>
    <col min="7" max="7" width="18.75" style="13" customWidth="1"/>
    <col min="8" max="8" width="9" style="13" customWidth="1"/>
    <col min="9" max="9" width="7.625" style="13" customWidth="1"/>
    <col min="10" max="10" width="8" style="13" customWidth="1"/>
    <col min="11" max="11" width="7.625" style="13" customWidth="1"/>
    <col min="12" max="12" width="6.375" style="13" customWidth="1"/>
    <col min="13" max="19" width="13.25" style="13" hidden="1" customWidth="1"/>
    <col min="20" max="22" width="9.125" style="13"/>
    <col min="23" max="23" width="10.25" style="13" hidden="1" customWidth="1"/>
    <col min="24" max="25" width="0" style="13" hidden="1" customWidth="1"/>
    <col min="26" max="26" width="23.125" style="13" hidden="1" customWidth="1"/>
    <col min="27" max="28" width="9.125" style="13"/>
    <col min="29" max="29" width="4.75" style="13" customWidth="1"/>
    <col min="30" max="30" width="4.375" style="13" customWidth="1"/>
    <col min="31" max="31" width="15.125" style="13" customWidth="1"/>
    <col min="32" max="32" width="4.625" style="13" customWidth="1"/>
    <col min="33" max="33" width="4.25" style="13" customWidth="1"/>
    <col min="34" max="34" width="15.375" style="13" customWidth="1"/>
    <col min="35" max="35" width="4.875" style="13" customWidth="1"/>
    <col min="36" max="36" width="4.25" style="13" customWidth="1"/>
    <col min="37" max="37" width="14.375" style="13" customWidth="1"/>
    <col min="38" max="38" width="4.25" style="13" customWidth="1"/>
    <col min="39" max="39" width="4.125" style="13" customWidth="1"/>
    <col min="40" max="40" width="15.75" style="13" customWidth="1"/>
    <col min="41" max="16384" width="9.125" style="13"/>
  </cols>
  <sheetData>
    <row r="1" spans="1:18" ht="14.4" thickBot="1" x14ac:dyDescent="0.35">
      <c r="A1" s="181" t="s">
        <v>34</v>
      </c>
      <c r="B1" s="182"/>
      <c r="C1" s="182"/>
      <c r="D1" s="182"/>
      <c r="E1" s="182"/>
      <c r="F1" s="182"/>
      <c r="G1" s="183"/>
      <c r="M1" s="14" t="s">
        <v>135</v>
      </c>
      <c r="N1" s="14"/>
      <c r="O1" s="14"/>
      <c r="P1" s="14"/>
    </row>
    <row r="2" spans="1:18" ht="14.4" thickBot="1" x14ac:dyDescent="0.35">
      <c r="N2" s="13" t="s">
        <v>136</v>
      </c>
      <c r="O2" s="13" t="s">
        <v>137</v>
      </c>
      <c r="P2" s="13" t="s">
        <v>138</v>
      </c>
      <c r="R2" s="13" t="s">
        <v>139</v>
      </c>
    </row>
    <row r="3" spans="1:18" ht="14.4" thickBot="1" x14ac:dyDescent="0.35">
      <c r="A3" s="14" t="s">
        <v>44</v>
      </c>
      <c r="B3" s="15"/>
      <c r="C3" s="15"/>
      <c r="D3" s="15"/>
      <c r="E3" s="15"/>
      <c r="F3" s="15"/>
      <c r="G3" s="16"/>
      <c r="M3" s="13" t="s">
        <v>140</v>
      </c>
      <c r="N3" s="61"/>
      <c r="O3" s="62">
        <v>44621</v>
      </c>
      <c r="P3" s="63">
        <f>O3+60</f>
        <v>44681</v>
      </c>
      <c r="R3" s="13" t="str">
        <f>N3&amp;" (Run: "&amp;TEXT(O3,"mm/dd/yyyy")&amp;"; Due: "&amp;TEXT(P3, "mm/yyyy")&amp;")"</f>
        <v xml:space="preserve"> (Run: 03/01/2022; Due: 04/2022)</v>
      </c>
    </row>
    <row r="4" spans="1:18" ht="14.4" thickBot="1" x14ac:dyDescent="0.35">
      <c r="A4" s="17" t="s">
        <v>28</v>
      </c>
      <c r="B4" s="7">
        <v>45601</v>
      </c>
      <c r="D4" s="17" t="s">
        <v>27</v>
      </c>
      <c r="E4" s="60" t="str">
        <f>G4</f>
        <v>Jennifer Crow</v>
      </c>
      <c r="G4" s="61" t="s">
        <v>382</v>
      </c>
      <c r="H4" s="19" t="str">
        <f>LEFT(G4)&amp;IF(ISNUMBER(FIND(" ",G4)),MID(G4,FIND(" ",G4)+1,1),"")</f>
        <v>JC</v>
      </c>
      <c r="M4" s="13" t="s">
        <v>141</v>
      </c>
      <c r="N4" s="61"/>
      <c r="O4" s="62">
        <v>44621</v>
      </c>
      <c r="P4" s="63">
        <f>O4+60</f>
        <v>44681</v>
      </c>
      <c r="R4" s="13" t="str">
        <f>N4&amp;" (Run: "&amp;TEXT(O4,"mm/dd/yyyy")&amp;"; Due: "&amp;TEXT(P4, "mm/yyyy")&amp;")"</f>
        <v xml:space="preserve"> (Run: 03/01/2022; Due: 04/2022)</v>
      </c>
    </row>
    <row r="5" spans="1:18" ht="14.4" hidden="1" thickBot="1" x14ac:dyDescent="0.35">
      <c r="B5" s="3"/>
      <c r="C5" s="18"/>
      <c r="D5" s="17" t="s">
        <v>99</v>
      </c>
      <c r="E5" s="59" t="s">
        <v>101</v>
      </c>
    </row>
    <row r="6" spans="1:18" ht="14.4" hidden="1" thickBot="1" x14ac:dyDescent="0.35">
      <c r="B6" s="3"/>
      <c r="C6" s="18"/>
      <c r="D6" s="17" t="s">
        <v>100</v>
      </c>
      <c r="E6" s="6" t="s">
        <v>102</v>
      </c>
    </row>
    <row r="7" spans="1:18" ht="14.4" thickBot="1" x14ac:dyDescent="0.35">
      <c r="A7" s="19"/>
      <c r="B7" s="20"/>
      <c r="D7" s="19"/>
      <c r="E7" s="21"/>
    </row>
    <row r="8" spans="1:18" ht="14.4" thickBot="1" x14ac:dyDescent="0.35">
      <c r="A8" s="14" t="s">
        <v>36</v>
      </c>
      <c r="B8" s="15"/>
      <c r="C8" s="15"/>
      <c r="D8" s="15"/>
      <c r="E8" s="15"/>
      <c r="F8" s="15"/>
      <c r="G8" s="16"/>
    </row>
    <row r="9" spans="1:18" x14ac:dyDescent="0.3">
      <c r="A9" s="17" t="s">
        <v>37</v>
      </c>
      <c r="B9" s="20" t="s">
        <v>333</v>
      </c>
      <c r="E9" s="21"/>
    </row>
    <row r="10" spans="1:18" x14ac:dyDescent="0.3">
      <c r="D10" s="19"/>
      <c r="E10" s="21"/>
      <c r="I10" s="17" t="s">
        <v>47</v>
      </c>
      <c r="J10" s="20" t="str">
        <f ca="1">RIGHT(CELL("filename",A1),LEN(CELL("filename",A1))-FIND("]",CELL("filename",A1)))</f>
        <v>Run Record</v>
      </c>
    </row>
    <row r="11" spans="1:18" s="108" customFormat="1" x14ac:dyDescent="0.3">
      <c r="D11" s="110"/>
      <c r="E11" s="21"/>
      <c r="I11" s="109"/>
      <c r="J11" s="111"/>
    </row>
    <row r="12" spans="1:18" s="108" customFormat="1" ht="14.4" x14ac:dyDescent="0.3">
      <c r="A12" s="122" t="s">
        <v>37</v>
      </c>
      <c r="B12" s="123" t="s">
        <v>346</v>
      </c>
      <c r="D12" s="121"/>
      <c r="E12" s="124"/>
      <c r="F12" s="121"/>
      <c r="G12" s="121"/>
      <c r="H12" s="121"/>
      <c r="I12" s="121"/>
      <c r="J12" s="121"/>
      <c r="K12" s="121"/>
      <c r="L12" s="121"/>
      <c r="M12" s="121"/>
      <c r="N12" s="121"/>
      <c r="O12" s="121"/>
      <c r="P12" s="121"/>
      <c r="Q12" s="121"/>
      <c r="R12" s="121"/>
    </row>
    <row r="13" spans="1:18" s="108" customFormat="1" x14ac:dyDescent="0.3">
      <c r="D13" s="110"/>
      <c r="E13" s="21"/>
      <c r="I13" s="109"/>
      <c r="J13" s="111"/>
    </row>
    <row r="14" spans="1:18" s="108" customFormat="1" ht="14.4" thickBot="1" x14ac:dyDescent="0.35">
      <c r="D14" s="110"/>
      <c r="E14" s="21"/>
      <c r="I14" s="109"/>
      <c r="J14" s="111"/>
    </row>
    <row r="15" spans="1:18" ht="14.4" thickBot="1" x14ac:dyDescent="0.35">
      <c r="A15" s="14" t="s">
        <v>38</v>
      </c>
      <c r="B15" s="15"/>
      <c r="C15" s="15"/>
      <c r="D15" s="15"/>
      <c r="E15" s="15"/>
      <c r="F15" s="15"/>
      <c r="G15" s="16"/>
    </row>
    <row r="16" spans="1:18" x14ac:dyDescent="0.3">
      <c r="A16" s="22" t="s">
        <v>39</v>
      </c>
      <c r="B16" s="20" t="s">
        <v>431</v>
      </c>
      <c r="D16" s="19"/>
      <c r="E16" s="21"/>
    </row>
    <row r="17" spans="1:21" x14ac:dyDescent="0.3">
      <c r="A17" s="22"/>
      <c r="B17" s="20"/>
      <c r="D17" s="19"/>
      <c r="E17" s="21"/>
    </row>
    <row r="18" spans="1:21" ht="14.4" hidden="1" thickBot="1" x14ac:dyDescent="0.35">
      <c r="A18" s="14" t="s">
        <v>127</v>
      </c>
      <c r="B18" s="15"/>
      <c r="C18" s="15"/>
      <c r="D18" s="15"/>
      <c r="E18" s="15"/>
      <c r="F18" s="15"/>
      <c r="G18" s="16"/>
    </row>
    <row r="19" spans="1:21" ht="28.2" hidden="1" thickBot="1" x14ac:dyDescent="0.35">
      <c r="A19" s="18"/>
      <c r="B19" s="23" t="s">
        <v>42</v>
      </c>
      <c r="C19" s="23" t="s">
        <v>7</v>
      </c>
      <c r="D19" s="23" t="s">
        <v>106</v>
      </c>
      <c r="E19" s="25" t="s">
        <v>111</v>
      </c>
      <c r="F19" s="25" t="s">
        <v>8</v>
      </c>
      <c r="G19" s="23" t="s">
        <v>43</v>
      </c>
      <c r="H19" s="27" t="s">
        <v>105</v>
      </c>
      <c r="I19" s="13" t="s">
        <v>108</v>
      </c>
      <c r="J19" s="44">
        <f>J23+1</f>
        <v>1</v>
      </c>
    </row>
    <row r="20" spans="1:21" hidden="1" x14ac:dyDescent="0.3">
      <c r="A20" s="24" t="s">
        <v>40</v>
      </c>
      <c r="B20" s="10"/>
      <c r="C20" s="38"/>
      <c r="D20" s="40"/>
      <c r="E20" s="41"/>
      <c r="F20" s="41"/>
      <c r="G20" s="36" t="str">
        <f>IF(AND(B20&lt;&gt;"", C20&lt;&gt;""), "OK", IF(B20="", "Enter Name", IF(C20="", "Enter ID", "--")))</f>
        <v>Enter Name</v>
      </c>
      <c r="H20" s="37">
        <f>COUNTIF(G20:G21, "OK")</f>
        <v>0</v>
      </c>
      <c r="I20" s="13" t="s">
        <v>109</v>
      </c>
      <c r="J20" s="45">
        <f>J19+MIN(COUNTA(PatientList[DNA Number]),J25)-1</f>
        <v>12</v>
      </c>
    </row>
    <row r="21" spans="1:21" ht="14.4" hidden="1" thickBot="1" x14ac:dyDescent="0.35">
      <c r="A21" s="26" t="s">
        <v>41</v>
      </c>
      <c r="B21" s="11"/>
      <c r="C21" s="39"/>
      <c r="D21" s="40"/>
      <c r="E21" s="41"/>
      <c r="F21" s="43"/>
      <c r="G21" s="36" t="str">
        <f>IF(G20="OK", IF(AND(B21&lt;&gt;"", C21&lt;&gt;""), "OK", IF(B21="", "Enter Name", IF(C21="", "Enter ID", "--"))), "Enter Sample in QC#1")</f>
        <v>Enter Sample in QC#1</v>
      </c>
      <c r="I21" s="13" t="s">
        <v>110</v>
      </c>
      <c r="J21" s="42">
        <f>IF(H20=0, 0, $J$20+1)</f>
        <v>0</v>
      </c>
    </row>
    <row r="22" spans="1:21" ht="14.4" thickBot="1" x14ac:dyDescent="0.35">
      <c r="A22" s="27"/>
      <c r="B22" s="28"/>
      <c r="C22" s="29"/>
      <c r="D22" s="30"/>
      <c r="G22" s="25"/>
      <c r="J22" s="42"/>
    </row>
    <row r="23" spans="1:21" ht="15" thickBot="1" x14ac:dyDescent="0.35">
      <c r="A23" s="14" t="s">
        <v>112</v>
      </c>
      <c r="B23" s="15"/>
      <c r="C23" s="15"/>
      <c r="D23" s="15"/>
      <c r="E23" s="15"/>
      <c r="F23" s="15"/>
      <c r="G23" s="16"/>
      <c r="J23" s="44"/>
      <c r="U23" s="126"/>
    </row>
    <row r="24" spans="1:21" ht="14.4" thickBot="1" x14ac:dyDescent="0.35">
      <c r="A24" s="3"/>
      <c r="B24" s="31" t="s">
        <v>161</v>
      </c>
      <c r="C24" s="32" t="s">
        <v>158</v>
      </c>
      <c r="D24" s="32" t="s">
        <v>170</v>
      </c>
      <c r="E24" s="25" t="s">
        <v>8</v>
      </c>
      <c r="F24" s="32" t="s">
        <v>155</v>
      </c>
      <c r="G24" s="32" t="s">
        <v>154</v>
      </c>
    </row>
    <row r="25" spans="1:21" ht="14.4" thickBot="1" x14ac:dyDescent="0.35">
      <c r="A25" s="33" t="s">
        <v>179</v>
      </c>
      <c r="B25" s="6" t="s">
        <v>377</v>
      </c>
      <c r="C25" s="6" t="s">
        <v>377</v>
      </c>
      <c r="D25" s="6">
        <v>20</v>
      </c>
      <c r="E25" s="61" t="s">
        <v>215</v>
      </c>
      <c r="F25" s="61" t="s">
        <v>169</v>
      </c>
      <c r="G25" s="6">
        <v>95</v>
      </c>
      <c r="J25" s="44"/>
    </row>
    <row r="26" spans="1:21" ht="14.4" thickBot="1" x14ac:dyDescent="0.35">
      <c r="A26" s="33" t="s">
        <v>180</v>
      </c>
      <c r="B26" s="6" t="s">
        <v>381</v>
      </c>
      <c r="C26" s="6" t="s">
        <v>378</v>
      </c>
      <c r="D26" s="6">
        <v>12.3</v>
      </c>
      <c r="E26" s="61" t="s">
        <v>215</v>
      </c>
      <c r="F26" s="61" t="s">
        <v>169</v>
      </c>
      <c r="G26" s="6">
        <v>95</v>
      </c>
      <c r="J26" s="44"/>
    </row>
    <row r="27" spans="1:21" ht="14.4" thickBot="1" x14ac:dyDescent="0.35">
      <c r="A27" s="27"/>
      <c r="B27" s="28"/>
      <c r="C27" s="29"/>
      <c r="D27" s="30"/>
      <c r="G27" s="25"/>
    </row>
    <row r="28" spans="1:21" ht="14.4" thickBot="1" x14ac:dyDescent="0.35">
      <c r="A28" s="14" t="s">
        <v>46</v>
      </c>
      <c r="B28" s="15"/>
      <c r="C28" s="15"/>
      <c r="D28" s="15"/>
      <c r="E28" s="15"/>
      <c r="F28" s="15"/>
      <c r="G28" s="16"/>
    </row>
    <row r="29" spans="1:21" ht="15" thickBot="1" x14ac:dyDescent="0.35">
      <c r="A29" s="17" t="s">
        <v>45</v>
      </c>
      <c r="B29" s="184" t="str">
        <f>IF(COUNTA('Patient List'!I$2:I$13)&lt;&gt;COUNTA('Patient List'!V$2:V$13), "The # of DNA numbers and the # of Assay IDs do not match, recheck the patient list.", IF(COUNTA('Patient List'!V$2:V$13)=COUNTIF('Patient List'!V$2:V$13, 'Patient List'!V2), 'Patient List'!V2, "At least one assay ID is not the same, recheck the patient list."))</f>
        <v>GS NGS 212</v>
      </c>
      <c r="C29" s="185"/>
      <c r="D29" s="185"/>
      <c r="E29" s="185"/>
      <c r="F29" s="185"/>
      <c r="G29" s="186"/>
    </row>
    <row r="30" spans="1:21" x14ac:dyDescent="0.3">
      <c r="A30" s="17"/>
      <c r="B30" s="34"/>
      <c r="C30" s="34"/>
      <c r="D30" s="34"/>
      <c r="E30" s="34"/>
      <c r="F30" s="34"/>
      <c r="G30" s="34"/>
    </row>
    <row r="31" spans="1:21" ht="14.4" thickBot="1" x14ac:dyDescent="0.35"/>
    <row r="32" spans="1:21" ht="14.4" thickBot="1" x14ac:dyDescent="0.35">
      <c r="A32" s="14" t="s">
        <v>107</v>
      </c>
      <c r="B32" s="15"/>
      <c r="C32" s="15"/>
      <c r="D32" s="15"/>
      <c r="E32" s="15"/>
      <c r="F32" s="15"/>
      <c r="G32" s="16"/>
    </row>
    <row r="34" spans="1:41" ht="26.25" customHeight="1" x14ac:dyDescent="0.3">
      <c r="A34" s="92" t="s">
        <v>174</v>
      </c>
      <c r="B34" s="92" t="s">
        <v>328</v>
      </c>
      <c r="C34" s="92" t="s">
        <v>153</v>
      </c>
      <c r="D34" s="92" t="s">
        <v>7</v>
      </c>
      <c r="E34" s="92" t="s">
        <v>158</v>
      </c>
      <c r="F34" s="92" t="s">
        <v>154</v>
      </c>
      <c r="G34" s="93" t="s">
        <v>155</v>
      </c>
      <c r="H34" s="93" t="s">
        <v>111</v>
      </c>
      <c r="I34" s="93" t="s">
        <v>168</v>
      </c>
      <c r="J34" s="93" t="s">
        <v>173</v>
      </c>
      <c r="K34" s="93" t="s">
        <v>156</v>
      </c>
      <c r="L34" s="93" t="s">
        <v>167</v>
      </c>
      <c r="M34" s="92" t="s">
        <v>309</v>
      </c>
      <c r="N34" s="13" t="s">
        <v>159</v>
      </c>
      <c r="O34" s="13" t="s">
        <v>156</v>
      </c>
      <c r="X34" s="13" t="s">
        <v>216</v>
      </c>
      <c r="Y34" s="13" t="s">
        <v>217</v>
      </c>
      <c r="Z34" s="13" t="s">
        <v>218</v>
      </c>
      <c r="AA34" s="13" t="s">
        <v>307</v>
      </c>
      <c r="AB34" s="13" t="s">
        <v>311</v>
      </c>
    </row>
    <row r="35" spans="1:41" ht="12.75" customHeight="1" x14ac:dyDescent="0.3">
      <c r="A35" s="94">
        <v>1</v>
      </c>
      <c r="B35" s="94" t="str">
        <f>'Helper Table'!J2</f>
        <v>BL</v>
      </c>
      <c r="C35" s="95" t="str">
        <f t="shared" ref="C35:C42" si="0">IF($D35="","","CP"&amp;RIGHT(AssayID,3)&amp;"-DNA"&amp;$A35&amp;"-"&amp;$E35)</f>
        <v>CP212-DNA1-24BH-303MP0006</v>
      </c>
      <c r="D35" s="96" t="str">
        <f>IF(A35=7, $B$25, IF(A35=8, "NTC", 'Helper Table'!B2))</f>
        <v>24BH-303MP0006.2</v>
      </c>
      <c r="E35" s="96" t="str">
        <f>IF(A35=7, "PC", IF(A35=8, "NTC", IF('Helper Table'!A2&lt;&gt;0, 'Helper Table'!A2, "")))</f>
        <v>24BH-303MP0006</v>
      </c>
      <c r="F35" s="94" t="str">
        <f>IF(A35=7, $G$25, IF(A35=8, "--", 'Helper Table'!H2))</f>
        <v>Missing</v>
      </c>
      <c r="G35" s="97" t="str">
        <f>IF(A35=7, "PC", IF(A35=8, "NTC", IF(Samples[[#This Row],[Accession]]="", "", IF('Helper Table'!F2="Y", IF(OR('Helper Table'!C2="Male", 'Helper Table'!C2="M"), "Male", IF(OR('Helper Table'!C2="F", 'Helper Table'!C2="Female"), "Female", "Must be Male or Female")), "Check"))))</f>
        <v>Male</v>
      </c>
      <c r="H35" s="94" cm="1">
        <f t="array" ref="H35">IF(A35=7, $D$25, IF(A35=8, "NTC", IFERROR(INDEX(PatientList[#Data], MATCH(Samples[[#This Row],[DNA Number]], PatientList[DNA Number], 0), COLUMN(PatientList[DNA Conc. Tumor (ng/ul)])), "")))</f>
        <v>1.3</v>
      </c>
      <c r="I35" s="94" t="str">
        <f>IF(Samples[[#This Row],[Conc (ng/ul)]]="", "", IF(Samples[[#This Row],[Conc (ng/ul)]]="NTC", "--", IF(Samples[[#This Row],[Conc (ng/ul)]]&gt;40, Samples[[#This Row],[Conc (ng/ul)]]/10, "Use Stock")))</f>
        <v>Use Stock</v>
      </c>
      <c r="J35" s="98">
        <f>IF(Samples[[#This Row],[Conc (ng/ul)]]="", "", IF(Samples[[#This Row],[Diluted 1:10]]="--", "--", IF(Samples[[#This Row],[Diluted 1:10]]="Use Stock", 40/Samples[[#This Row],[Conc (ng/ul)]], 40/Samples[[#This Row],[Diluted 1:10]])))</f>
        <v>30.769230769230766</v>
      </c>
      <c r="K35" s="99">
        <f>IF(Samples[[#This Row],[Conc (ng/ul)]]="", "", IF(Samples[[#This Row],[Conc (ng/ul)]]="NTC", Samples[[#This Row],[Total Vol (ul)]], Samples[[#This Row],[Total Vol (ul)]]-Samples[[#This Row],[DNA to add (ul)]]))</f>
        <v>-12.769230769230766</v>
      </c>
      <c r="L35" s="100">
        <f>IF(Samples[[#This Row],[Conc (ng/ul)]]="", "", 18)</f>
        <v>18</v>
      </c>
      <c r="M35" s="94" t="str">
        <f t="shared" ref="M35:M42" si="1">AB35</f>
        <v>0125</v>
      </c>
      <c r="N35" s="13" t="str">
        <f>IF($A35=7,$E$25,IF($A35=8,"",IFERROR(INDEX('Patient List'!$A$2:$J$13,MATCH($D35,'Patient List'!$I$2:$I$13,0),10),"")))</f>
        <v>Blue</v>
      </c>
      <c r="X35" s="84">
        <f>IF(H35&gt;40, 1, 40/H35)</f>
        <v>30.769230769230766</v>
      </c>
      <c r="Y35" s="84">
        <f>((H35*X35)/(40/18))-X35</f>
        <v>-12.769230769230766</v>
      </c>
      <c r="Z35" s="84">
        <f>X35+Y35</f>
        <v>18</v>
      </c>
      <c r="AA35" s="106" t="s">
        <v>310</v>
      </c>
      <c r="AB35" s="13" t="str">
        <f>0&amp;RIGHT($AA$35, 4)-7</f>
        <v>0125</v>
      </c>
      <c r="AD35" s="86" t="str">
        <f>IF(ISNUMBER(SEARCH("Red", $AA$35)), "XX", "")</f>
        <v/>
      </c>
      <c r="AE35" s="87"/>
      <c r="AF35" s="88" t="s">
        <v>304</v>
      </c>
      <c r="AG35" s="86" t="str">
        <f>IF(ISNUMBER(SEARCH("Yellow", $AA$35)), "XX", "")</f>
        <v/>
      </c>
      <c r="AH35" s="89"/>
      <c r="AI35" s="88" t="s">
        <v>305</v>
      </c>
      <c r="AJ35" s="86" t="str">
        <f>IF(ISNUMBER(SEARCH("Green", $AA$35)), "XX", "")</f>
        <v/>
      </c>
      <c r="AK35" s="90"/>
      <c r="AL35" s="88" t="s">
        <v>306</v>
      </c>
      <c r="AM35" s="86" t="str">
        <f>IF(ISNUMBER(SEARCH("Blue", $AA$35)), "XX", "")</f>
        <v>XX</v>
      </c>
      <c r="AN35" s="91"/>
      <c r="AO35" s="88" t="s">
        <v>310</v>
      </c>
    </row>
    <row r="36" spans="1:41" ht="12.75" customHeight="1" x14ac:dyDescent="0.3">
      <c r="A36" s="101">
        <v>2</v>
      </c>
      <c r="B36" s="101" t="str">
        <f>'Helper Table'!J3</f>
        <v>BL</v>
      </c>
      <c r="C36" s="95" t="str">
        <f t="shared" si="0"/>
        <v>CP212-DNA2-24BH-303MP0005</v>
      </c>
      <c r="D36" s="96" t="str">
        <f>IF(A36=7, $B$25, IF(A36=8, "NTC", 'Helper Table'!B3))</f>
        <v>24BH-303MP0005.2</v>
      </c>
      <c r="E36" s="102" t="str">
        <f>IF(A36=7, "PC", IF(A36=8, "NTC", IF('Helper Table'!A3&lt;&gt;0, 'Helper Table'!A3, "")))</f>
        <v>24BH-303MP0005</v>
      </c>
      <c r="F36" s="101" t="str">
        <f>IF(A36=7, $G$25, IF(A36=8, "--", 'Helper Table'!H3))</f>
        <v>Missing</v>
      </c>
      <c r="G36" s="97" t="str">
        <f>IF(A36=7, "PC", IF(A36=8, "NTC", IF(Samples[[#This Row],[Accession]]="", "", IF('Helper Table'!F3="Y", IF(OR('Helper Table'!C3="Male", 'Helper Table'!C3="M"), "Male", IF(OR('Helper Table'!C3="F", 'Helper Table'!C3="Female"), "Female", "Must be Male or Female")), "Check"))))</f>
        <v>Male</v>
      </c>
      <c r="H36" s="101" cm="1">
        <f t="array" ref="H36">IF(A36=7, $D$25, IF(A36=8, "NTC", IFERROR(INDEX(PatientList[#Data], MATCH(Samples[[#This Row],[DNA Number]], PatientList[DNA Number], 0), COLUMN(PatientList[DNA Conc. Tumor (ng/ul)])), "")))</f>
        <v>3.4</v>
      </c>
      <c r="I36" s="101" t="str">
        <f>IF(Samples[[#This Row],[Conc (ng/ul)]]="", "", IF(Samples[[#This Row],[Conc (ng/ul)]]="NTC", "--", IF(Samples[[#This Row],[Conc (ng/ul)]]&gt;40, Samples[[#This Row],[Conc (ng/ul)]]/10, "Use Stock")))</f>
        <v>Use Stock</v>
      </c>
      <c r="J36" s="103">
        <f>IF(Samples[[#This Row],[Conc (ng/ul)]]="", "", IF(Samples[[#This Row],[Diluted 1:10]]="--", "--", IF(Samples[[#This Row],[Diluted 1:10]]="Use Stock", 40/Samples[[#This Row],[Conc (ng/ul)]], 40/Samples[[#This Row],[Diluted 1:10]])))</f>
        <v>11.764705882352942</v>
      </c>
      <c r="K36" s="98">
        <f>IF(Samples[[#This Row],[Conc (ng/ul)]]="", "", IF(Samples[[#This Row],[Conc (ng/ul)]]="NTC", Samples[[#This Row],[Total Vol (ul)]], Samples[[#This Row],[Total Vol (ul)]]-Samples[[#This Row],[DNA to add (ul)]]))</f>
        <v>6.235294117647058</v>
      </c>
      <c r="L36" s="100">
        <f>IF(Samples[[#This Row],[Conc (ng/ul)]]="", "", 18)</f>
        <v>18</v>
      </c>
      <c r="M36" s="94" t="str">
        <f t="shared" si="1"/>
        <v>0126</v>
      </c>
      <c r="N36" s="13" t="str">
        <f>IF($A36=7,$E$25,IF($A36=8,"",IFERROR(INDEX('Patient List'!$A$2:$J$13,MATCH($D36,'Patient List'!$I$2:$I$13,0),10),"")))</f>
        <v>Blue</v>
      </c>
      <c r="X36" s="84">
        <f t="shared" ref="X36:X42" si="2">IF(H36&gt;40, 1, 40/H36)</f>
        <v>11.764705882352942</v>
      </c>
      <c r="Y36" s="84">
        <f t="shared" ref="Y36:Y42" si="3">((H36*X36)/(40/18))-X36</f>
        <v>6.235294117647058</v>
      </c>
      <c r="Z36" s="84">
        <f t="shared" ref="Z36:Z42" si="4">X36+Y36</f>
        <v>18</v>
      </c>
      <c r="AB36" s="13" t="str">
        <f>TEXT(AB35+1, "0000")</f>
        <v>0126</v>
      </c>
    </row>
    <row r="37" spans="1:41" ht="12.75" customHeight="1" x14ac:dyDescent="0.3">
      <c r="A37" s="94">
        <v>3</v>
      </c>
      <c r="B37" s="94" t="str">
        <f>'Helper Table'!J4</f>
        <v>OR</v>
      </c>
      <c r="C37" s="95" t="str">
        <f t="shared" si="0"/>
        <v>CP212-DNA3-F6496</v>
      </c>
      <c r="D37" s="96" t="str">
        <f>IF(A37=7, $B$25, IF(A37=8, "NTC", 'Helper Table'!B4))</f>
        <v>F6496.2</v>
      </c>
      <c r="E37" s="102" t="str">
        <f>IF(A37=7, "PC", IF(A37=8, "NTC", IF('Helper Table'!A4&lt;&gt;0, 'Helper Table'!A4, "")))</f>
        <v>F6496</v>
      </c>
      <c r="F37" s="101" t="str">
        <f>IF(A37=7, $G$25, IF(A37=8, "--", 'Helper Table'!H4))</f>
        <v>90</v>
      </c>
      <c r="G37" s="97" t="str">
        <f>IF(A37=7, "PC", IF(A37=8, "NTC", IF(Samples[[#This Row],[Accession]]="", "", IF('Helper Table'!F4="Y", IF(OR('Helper Table'!C4="Male", 'Helper Table'!C4="M"), "Male", IF(OR('Helper Table'!C4="F", 'Helper Table'!C4="Female"), "Female", "Must be Male or Female")), "Check"))))</f>
        <v>Female</v>
      </c>
      <c r="H37" s="101" cm="1">
        <f t="array" ref="H37">IF(A37=7, $D$25, IF(A37=8, "NTC", IFERROR(INDEX(PatientList[#Data], MATCH(Samples[[#This Row],[DNA Number]], PatientList[DNA Number], 0), COLUMN(PatientList[DNA Conc. Tumor (ng/ul)])), "")))</f>
        <v>43</v>
      </c>
      <c r="I37" s="101">
        <f>IF(Samples[[#This Row],[Conc (ng/ul)]]="", "", IF(Samples[[#This Row],[Conc (ng/ul)]]="NTC", "--", IF(Samples[[#This Row],[Conc (ng/ul)]]&gt;40, Samples[[#This Row],[Conc (ng/ul)]]/10, "Use Stock")))</f>
        <v>4.3</v>
      </c>
      <c r="J37" s="103">
        <f>IF(Samples[[#This Row],[Conc (ng/ul)]]="", "", IF(Samples[[#This Row],[Diluted 1:10]]="--", "--", IF(Samples[[#This Row],[Diluted 1:10]]="Use Stock", 40/Samples[[#This Row],[Conc (ng/ul)]], 40/Samples[[#This Row],[Diluted 1:10]])))</f>
        <v>9.3023255813953494</v>
      </c>
      <c r="K37" s="98">
        <f>IF(Samples[[#This Row],[Conc (ng/ul)]]="", "", IF(Samples[[#This Row],[Conc (ng/ul)]]="NTC", Samples[[#This Row],[Total Vol (ul)]], Samples[[#This Row],[Total Vol (ul)]]-Samples[[#This Row],[DNA to add (ul)]]))</f>
        <v>8.6976744186046506</v>
      </c>
      <c r="L37" s="100">
        <f>IF(Samples[[#This Row],[Conc (ng/ul)]]="", "", 18)</f>
        <v>18</v>
      </c>
      <c r="M37" s="94" t="str">
        <f t="shared" si="1"/>
        <v>0127</v>
      </c>
      <c r="N37" s="13" t="str">
        <f>IF($A37=7,$E$25,IF($A37=8,"",IFERROR(INDEX('Patient List'!$A$2:$J$13,MATCH($D37,'Patient List'!$I$2:$I$13,0),10),"")))</f>
        <v>Orange</v>
      </c>
      <c r="X37" s="84">
        <f t="shared" si="2"/>
        <v>1</v>
      </c>
      <c r="Y37" s="84">
        <f t="shared" si="3"/>
        <v>18.349999999999998</v>
      </c>
      <c r="Z37" s="84">
        <f t="shared" si="4"/>
        <v>19.349999999999998</v>
      </c>
      <c r="AB37" s="13" t="str">
        <f t="shared" ref="AB37:AB42" si="5">TEXT(AB36+1, "0000")</f>
        <v>0127</v>
      </c>
    </row>
    <row r="38" spans="1:41" ht="12.75" customHeight="1" x14ac:dyDescent="0.3">
      <c r="A38" s="94">
        <v>4</v>
      </c>
      <c r="B38" s="94" t="str">
        <f>'Helper Table'!J5</f>
        <v>BN</v>
      </c>
      <c r="C38" s="95" t="str">
        <f t="shared" si="0"/>
        <v>CP212-DNA4-M7797</v>
      </c>
      <c r="D38" s="96" t="str">
        <f>IF(A38=7, $B$25, IF(A38=8, "NTC", 'Helper Table'!B5))</f>
        <v>M7797.2</v>
      </c>
      <c r="E38" s="102" t="str">
        <f>IF(A38=7, "PC", IF(A38=8, "NTC", IF('Helper Table'!A5&lt;&gt;0, 'Helper Table'!A5, "")))</f>
        <v>M7797</v>
      </c>
      <c r="F38" s="101" t="str">
        <f>IF(A38=7, $G$25, IF(A38=8, "--", 'Helper Table'!H5))</f>
        <v>75</v>
      </c>
      <c r="G38" s="97" t="str">
        <f>IF(A38=7, "PC", IF(A38=8, "NTC", IF(Samples[[#This Row],[Accession]]="", "", IF('Helper Table'!F5="Y", IF(OR('Helper Table'!C5="Male", 'Helper Table'!C5="M"), "Male", IF(OR('Helper Table'!C5="F", 'Helper Table'!C5="Female"), "Female", "Must be Male or Female")), "Check"))))</f>
        <v>Male</v>
      </c>
      <c r="H38" s="101" cm="1">
        <f t="array" ref="H38">IF(A38=7, $D$25, IF(A38=8, "NTC", IFERROR(INDEX(PatientList[#Data], MATCH(Samples[[#This Row],[DNA Number]], PatientList[DNA Number], 0), COLUMN(PatientList[DNA Conc. Tumor (ng/ul)])), "")))</f>
        <v>39.4</v>
      </c>
      <c r="I38" s="101" t="str">
        <f>IF(Samples[[#This Row],[Conc (ng/ul)]]="", "", IF(Samples[[#This Row],[Conc (ng/ul)]]="NTC", "--", IF(Samples[[#This Row],[Conc (ng/ul)]]&gt;40, Samples[[#This Row],[Conc (ng/ul)]]/10, "Use Stock")))</f>
        <v>Use Stock</v>
      </c>
      <c r="J38" s="103">
        <f>IF(Samples[[#This Row],[Conc (ng/ul)]]="", "", IF(Samples[[#This Row],[Diluted 1:10]]="--", "--", IF(Samples[[#This Row],[Diluted 1:10]]="Use Stock", 40/Samples[[#This Row],[Conc (ng/ul)]], 40/Samples[[#This Row],[Diluted 1:10]])))</f>
        <v>1.015228426395939</v>
      </c>
      <c r="K38" s="98">
        <f>IF(Samples[[#This Row],[Conc (ng/ul)]]="", "", IF(Samples[[#This Row],[Conc (ng/ul)]]="NTC", Samples[[#This Row],[Total Vol (ul)]], Samples[[#This Row],[Total Vol (ul)]]-Samples[[#This Row],[DNA to add (ul)]]))</f>
        <v>16.984771573604061</v>
      </c>
      <c r="L38" s="100">
        <f>IF(Samples[[#This Row],[Conc (ng/ul)]]="", "", 18)</f>
        <v>18</v>
      </c>
      <c r="M38" s="94" t="str">
        <f t="shared" si="1"/>
        <v>0128</v>
      </c>
      <c r="N38" s="13" t="str">
        <f>IF($A38=7,$E$25,IF($A38=8,"",IFERROR(INDEX('Patient List'!$A$2:$J$13,MATCH($D38,'Patient List'!$I$2:$I$13,0),10),"")))</f>
        <v>Brown</v>
      </c>
      <c r="V38" s="83"/>
      <c r="X38" s="84">
        <f t="shared" si="2"/>
        <v>1.015228426395939</v>
      </c>
      <c r="Y38" s="84">
        <f t="shared" si="3"/>
        <v>16.984771573604057</v>
      </c>
      <c r="Z38" s="84">
        <f t="shared" si="4"/>
        <v>17.999999999999996</v>
      </c>
      <c r="AB38" s="13" t="str">
        <f t="shared" si="5"/>
        <v>0128</v>
      </c>
    </row>
    <row r="39" spans="1:41" ht="12.75" customHeight="1" x14ac:dyDescent="0.3">
      <c r="A39" s="94">
        <v>5</v>
      </c>
      <c r="B39" s="94" t="str">
        <f>'Helper Table'!J6</f>
        <v>PP</v>
      </c>
      <c r="C39" s="95" t="str">
        <f t="shared" si="0"/>
        <v>CP212-DNA5-M7289</v>
      </c>
      <c r="D39" s="96" t="str">
        <f>IF(A39=7, $B$25, IF(A39=8, "NTC", 'Helper Table'!B6))</f>
        <v>M7289.2</v>
      </c>
      <c r="E39" s="102" t="str">
        <f>IF(A39=7, "PC", IF(A39=8, "NTC", IF('Helper Table'!A6&lt;&gt;0, 'Helper Table'!A6, "")))</f>
        <v>M7289</v>
      </c>
      <c r="F39" s="101" t="str">
        <f>IF(A39=7, $G$25, IF(A39=8, "--", 'Helper Table'!H6))</f>
        <v>10</v>
      </c>
      <c r="G39" s="97" t="str">
        <f>IF(A39=7, "PC", IF(A39=8, "NTC", IF(Samples[[#This Row],[Accession]]="", "", IF('Helper Table'!F6="Y", IF(OR('Helper Table'!C6="Male", 'Helper Table'!C6="M"), "Male", IF(OR('Helper Table'!C6="F", 'Helper Table'!C6="Female"), "Female", "Must be Male or Female")), "Check"))))</f>
        <v>Female</v>
      </c>
      <c r="H39" s="101" cm="1">
        <f t="array" ref="H39">IF(A39=7, $D$25, IF(A39=8, "NTC", IFERROR(INDEX(PatientList[#Data], MATCH(Samples[[#This Row],[DNA Number]], PatientList[DNA Number], 0), COLUMN(PatientList[DNA Conc. Tumor (ng/ul)])), "")))</f>
        <v>13.3</v>
      </c>
      <c r="I39" s="101" t="str">
        <f>IF(Samples[[#This Row],[Conc (ng/ul)]]="", "", IF(Samples[[#This Row],[Conc (ng/ul)]]="NTC", "--", IF(Samples[[#This Row],[Conc (ng/ul)]]&gt;40, Samples[[#This Row],[Conc (ng/ul)]]/10, "Use Stock")))</f>
        <v>Use Stock</v>
      </c>
      <c r="J39" s="103">
        <f>IF(Samples[[#This Row],[Conc (ng/ul)]]="", "", IF(Samples[[#This Row],[Diluted 1:10]]="--", "--", IF(Samples[[#This Row],[Diluted 1:10]]="Use Stock", 40/Samples[[#This Row],[Conc (ng/ul)]], 40/Samples[[#This Row],[Diluted 1:10]])))</f>
        <v>3.007518796992481</v>
      </c>
      <c r="K39" s="98">
        <f>IF(Samples[[#This Row],[Conc (ng/ul)]]="", "", IF(Samples[[#This Row],[Conc (ng/ul)]]="NTC", Samples[[#This Row],[Total Vol (ul)]], Samples[[#This Row],[Total Vol (ul)]]-Samples[[#This Row],[DNA to add (ul)]]))</f>
        <v>14.992481203007518</v>
      </c>
      <c r="L39" s="100">
        <f>IF(Samples[[#This Row],[Conc (ng/ul)]]="", "", 18)</f>
        <v>18</v>
      </c>
      <c r="M39" s="94" t="str">
        <f t="shared" si="1"/>
        <v>0129</v>
      </c>
      <c r="N39" s="13" t="str">
        <f>IF($A39=7,$E$25,IF($A39=8,"",IFERROR(INDEX('Patient List'!$A$2:$J$13,MATCH($D39,'Patient List'!$I$2:$I$13,0),10),"")))</f>
        <v>Purple</v>
      </c>
      <c r="X39" s="84">
        <f t="shared" si="2"/>
        <v>3.007518796992481</v>
      </c>
      <c r="Y39" s="84">
        <f t="shared" si="3"/>
        <v>14.992481203007518</v>
      </c>
      <c r="Z39" s="84">
        <f t="shared" si="4"/>
        <v>18</v>
      </c>
      <c r="AB39" s="13" t="str">
        <f t="shared" si="5"/>
        <v>0129</v>
      </c>
    </row>
    <row r="40" spans="1:41" ht="12.75" customHeight="1" x14ac:dyDescent="0.3">
      <c r="A40" s="94">
        <v>6</v>
      </c>
      <c r="B40" s="94" t="str">
        <f>'Helper Table'!J7</f>
        <v>BL</v>
      </c>
      <c r="C40" s="95" t="str">
        <f t="shared" si="0"/>
        <v>CP212-DNA6-T74301</v>
      </c>
      <c r="D40" s="96" t="str">
        <f>IF(A40=7, $B$25, IF(A40=8, "NTC", 'Helper Table'!B7))</f>
        <v>T74301.2</v>
      </c>
      <c r="E40" s="102" t="str">
        <f>IF(A40=7, "PC", IF(A40=8, "NTC", IF('Helper Table'!A7&lt;&gt;0, 'Helper Table'!A7, "")))</f>
        <v>T74301</v>
      </c>
      <c r="F40" s="101" t="str">
        <f>IF(A40=7, $G$25, IF(A40=8, "--", 'Helper Table'!H7))</f>
        <v>50</v>
      </c>
      <c r="G40" s="97" t="s">
        <v>183</v>
      </c>
      <c r="H40" s="101" cm="1">
        <f t="array" ref="H40">IF(A40=7, $D$25, IF(A40=8, "NTC", IFERROR(INDEX(PatientList[#Data], MATCH(Samples[[#This Row],[DNA Number]], PatientList[DNA Number], 0), COLUMN(PatientList[DNA Conc. Tumor (ng/ul)])), "")))</f>
        <v>7.33</v>
      </c>
      <c r="I40" s="101" t="str">
        <f>IF(Samples[[#This Row],[Conc (ng/ul)]]="", "", IF(Samples[[#This Row],[Conc (ng/ul)]]="NTC", "--", IF(Samples[[#This Row],[Conc (ng/ul)]]&gt;40, Samples[[#This Row],[Conc (ng/ul)]]/10, "Use Stock")))</f>
        <v>Use Stock</v>
      </c>
      <c r="J40" s="103">
        <f>IF(Samples[[#This Row],[Conc (ng/ul)]]="", "", IF(Samples[[#This Row],[Diluted 1:10]]="--", "--", IF(Samples[[#This Row],[Diluted 1:10]]="Use Stock", 40/Samples[[#This Row],[Conc (ng/ul)]], 40/Samples[[#This Row],[Diluted 1:10]])))</f>
        <v>5.4570259208731242</v>
      </c>
      <c r="K40" s="98">
        <f>IF(Samples[[#This Row],[Conc (ng/ul)]]="", "", IF(Samples[[#This Row],[Conc (ng/ul)]]="NTC", Samples[[#This Row],[Total Vol (ul)]], Samples[[#This Row],[Total Vol (ul)]]-Samples[[#This Row],[DNA to add (ul)]]))</f>
        <v>12.542974079126875</v>
      </c>
      <c r="L40" s="100">
        <f>IF(Samples[[#This Row],[Conc (ng/ul)]]="", "", 18)</f>
        <v>18</v>
      </c>
      <c r="M40" s="94" t="str">
        <f t="shared" si="1"/>
        <v>0130</v>
      </c>
      <c r="N40" s="13" t="str">
        <f>IF($A40=7,$E$25,IF($A40=8,"",IFERROR(INDEX('Patient List'!$A$2:$J$13,MATCH($D40,'Patient List'!$I$2:$I$13,0),10),"")))</f>
        <v>Blue</v>
      </c>
      <c r="X40" s="84">
        <f t="shared" si="2"/>
        <v>5.4570259208731242</v>
      </c>
      <c r="Y40" s="84">
        <f t="shared" si="3"/>
        <v>12.542974079126875</v>
      </c>
      <c r="Z40" s="84">
        <f t="shared" si="4"/>
        <v>18</v>
      </c>
      <c r="AB40" s="13" t="str">
        <f t="shared" si="5"/>
        <v>0130</v>
      </c>
    </row>
    <row r="41" spans="1:41" ht="12.75" customHeight="1" x14ac:dyDescent="0.3">
      <c r="A41" s="94">
        <v>7</v>
      </c>
      <c r="B41" s="94" t="str">
        <f>'Helper Table'!J8</f>
        <v>BK</v>
      </c>
      <c r="C41" s="95" t="str">
        <f t="shared" si="0"/>
        <v>CP212-DNA7-PC</v>
      </c>
      <c r="D41" s="96" t="str">
        <f>IF(A41=7, $B$25, IF(A41=8, "NTC", 'Helper Table'!B8))</f>
        <v>Acrometrix</v>
      </c>
      <c r="E41" s="102" t="str">
        <f>IF(A41=7, "PC", IF(A41=8, "NTC", IF('Helper Table'!A8&lt;&gt;0, 'Helper Table'!A8, "")))</f>
        <v>PC</v>
      </c>
      <c r="F41" s="101">
        <f>IF(A41=7, $G$25, IF(A41=8, "--", 'Helper Table'!H8))</f>
        <v>95</v>
      </c>
      <c r="G41" s="97" t="s">
        <v>169</v>
      </c>
      <c r="H41" s="101" cm="1">
        <f t="array" ref="H41">IF(A41=7, $D$25, IF(A41=8, "NTC", IFERROR(INDEX(PatientList[#Data], MATCH(Samples[[#This Row],[DNA Number]], PatientList[DNA Number], 0), COLUMN(PatientList[DNA Conc. Tumor (ng/ul)])), "")))</f>
        <v>20</v>
      </c>
      <c r="I41" s="101" t="str">
        <f>IF(Samples[[#This Row],[Conc (ng/ul)]]="", "", IF(Samples[[#This Row],[Conc (ng/ul)]]="NTC", "--", IF(Samples[[#This Row],[Conc (ng/ul)]]&gt;40, Samples[[#This Row],[Conc (ng/ul)]]/10, "Use Stock")))</f>
        <v>Use Stock</v>
      </c>
      <c r="J41" s="103">
        <f>IF(Samples[[#This Row],[Conc (ng/ul)]]="", "", IF(Samples[[#This Row],[Diluted 1:10]]="--", "--", IF(Samples[[#This Row],[Diluted 1:10]]="Use Stock", 40/Samples[[#This Row],[Conc (ng/ul)]], 40/Samples[[#This Row],[Diluted 1:10]])))</f>
        <v>2</v>
      </c>
      <c r="K41" s="98">
        <f>IF(Samples[[#This Row],[Conc (ng/ul)]]="", "", IF(Samples[[#This Row],[Conc (ng/ul)]]="NTC", Samples[[#This Row],[Total Vol (ul)]], Samples[[#This Row],[Total Vol (ul)]]-Samples[[#This Row],[DNA to add (ul)]]))</f>
        <v>16</v>
      </c>
      <c r="L41" s="100">
        <f>IF(Samples[[#This Row],[Conc (ng/ul)]]="", "", 18)</f>
        <v>18</v>
      </c>
      <c r="M41" s="94" t="str">
        <f t="shared" si="1"/>
        <v>0131</v>
      </c>
      <c r="N41" s="13" t="str">
        <f>IF($A41=7,$E$25,IF($A41=8,"",IFERROR(INDEX('Patient List'!$A$2:$J$13,MATCH($D41,'Patient List'!$I$2:$I$13,0),10),"")))</f>
        <v>Black</v>
      </c>
      <c r="X41" s="84">
        <f t="shared" si="2"/>
        <v>2</v>
      </c>
      <c r="Y41" s="84">
        <f t="shared" si="3"/>
        <v>16</v>
      </c>
      <c r="Z41" s="84">
        <f t="shared" si="4"/>
        <v>18</v>
      </c>
      <c r="AB41" s="13" t="str">
        <f t="shared" si="5"/>
        <v>0131</v>
      </c>
    </row>
    <row r="42" spans="1:41" ht="12.75" customHeight="1" x14ac:dyDescent="0.3">
      <c r="A42" s="94">
        <v>8</v>
      </c>
      <c r="B42" s="94">
        <f>'Helper Table'!J9</f>
        <v>0</v>
      </c>
      <c r="C42" s="95" t="str">
        <f t="shared" si="0"/>
        <v>CP212-DNA8-NTC</v>
      </c>
      <c r="D42" s="96" t="str">
        <f>IF(A42=7, $B$25, IF(A42=8, "NTC", 'Helper Table'!B9))</f>
        <v>NTC</v>
      </c>
      <c r="E42" s="102" t="str">
        <f>IF(A42=7, "PC", IF(A42=8, "NTC", IF('Helper Table'!A9&lt;&gt;0, 'Helper Table'!A9, "")))</f>
        <v>NTC</v>
      </c>
      <c r="F42" s="101">
        <v>100</v>
      </c>
      <c r="G42" s="97" t="s">
        <v>169</v>
      </c>
      <c r="H42" s="101" t="str" cm="1">
        <f t="array" ref="H42">IF(A42=7, $D$25, IF(A42=8, "NTC", IFERROR(INDEX(PatientList[#Data], MATCH(Samples[[#This Row],[DNA Number]], PatientList[DNA Number], 0), COLUMN(PatientList[DNA Conc. Tumor (ng/ul)])), "")))</f>
        <v>NTC</v>
      </c>
      <c r="I42" s="101" t="str">
        <f>IF(Samples[[#This Row],[Conc (ng/ul)]]="", "", IF(Samples[[#This Row],[Conc (ng/ul)]]="NTC", "--", IF(Samples[[#This Row],[Conc (ng/ul)]]&gt;40, Samples[[#This Row],[Conc (ng/ul)]]/10, "Use Stock")))</f>
        <v>--</v>
      </c>
      <c r="J42" s="103" t="str">
        <f>IF(Samples[[#This Row],[Conc (ng/ul)]]="", "", IF(Samples[[#This Row],[Diluted 1:10]]="--", "--", IF(Samples[[#This Row],[Diluted 1:10]]="Use Stock", 40/Samples[[#This Row],[Conc (ng/ul)]], 40/Samples[[#This Row],[Diluted 1:10]])))</f>
        <v>--</v>
      </c>
      <c r="K42" s="98">
        <f>IF(Samples[[#This Row],[Conc (ng/ul)]]="", "", IF(Samples[[#This Row],[Conc (ng/ul)]]="NTC", Samples[[#This Row],[Total Vol (ul)]], Samples[[#This Row],[Total Vol (ul)]]-Samples[[#This Row],[DNA to add (ul)]]))</f>
        <v>18</v>
      </c>
      <c r="L42" s="100">
        <f>IF(Samples[[#This Row],[Conc (ng/ul)]]="", "", 18)</f>
        <v>18</v>
      </c>
      <c r="M42" s="94" t="str">
        <f t="shared" si="1"/>
        <v>0132</v>
      </c>
      <c r="N42" s="13" t="str">
        <f>IF($A42=7,$E$25,IF($A42=8,"",IFERROR(INDEX('Patient List'!$A$2:$J$13,MATCH($D42,'Patient List'!$I$2:$I$13,0),10),"")))</f>
        <v/>
      </c>
      <c r="X42" s="84">
        <f t="shared" si="2"/>
        <v>1</v>
      </c>
      <c r="Y42" s="84" t="e">
        <f t="shared" si="3"/>
        <v>#VALUE!</v>
      </c>
      <c r="Z42" s="84" t="e">
        <f t="shared" si="4"/>
        <v>#VALUE!</v>
      </c>
      <c r="AB42" s="13" t="str">
        <f t="shared" si="5"/>
        <v>0132</v>
      </c>
    </row>
    <row r="43" spans="1:41" ht="12" customHeight="1" x14ac:dyDescent="0.3">
      <c r="A43" s="69"/>
      <c r="B43" s="73" t="str">
        <f>IF(ISBLANK('Patient List'!A27), "", CONCATENATE('Patient List'!A27, ", ", 'Patient List'!B27))</f>
        <v/>
      </c>
      <c r="C43" s="73" t="str">
        <f>IF(ISBLANK('Patient List'!A27), "", 'Patient List'!I27)</f>
        <v/>
      </c>
      <c r="D43" s="70"/>
      <c r="E43" s="71"/>
      <c r="F43" s="71"/>
      <c r="G43" s="72"/>
      <c r="H43" s="72"/>
      <c r="I43" s="72"/>
      <c r="J43" s="72"/>
      <c r="K43" s="72"/>
      <c r="L43" s="30"/>
    </row>
    <row r="44" spans="1:41" ht="20.399999999999999" x14ac:dyDescent="0.3">
      <c r="A44" s="92" t="s">
        <v>174</v>
      </c>
      <c r="B44" s="92" t="s">
        <v>328</v>
      </c>
      <c r="C44" s="92" t="s">
        <v>153</v>
      </c>
      <c r="D44" s="92" t="s">
        <v>164</v>
      </c>
      <c r="E44" s="92" t="s">
        <v>158</v>
      </c>
      <c r="F44" s="92" t="s">
        <v>154</v>
      </c>
      <c r="G44" s="93" t="s">
        <v>155</v>
      </c>
      <c r="H44" s="93" t="s">
        <v>111</v>
      </c>
      <c r="I44" s="93" t="s">
        <v>168</v>
      </c>
      <c r="J44" s="93" t="s">
        <v>172</v>
      </c>
      <c r="K44" s="93" t="s">
        <v>156</v>
      </c>
      <c r="L44" s="93" t="s">
        <v>167</v>
      </c>
      <c r="M44" s="93" t="s">
        <v>309</v>
      </c>
      <c r="X44" s="13" t="s">
        <v>219</v>
      </c>
      <c r="Y44" s="13" t="s">
        <v>220</v>
      </c>
      <c r="Z44" s="13" t="s">
        <v>218</v>
      </c>
      <c r="AA44" s="13" t="s">
        <v>308</v>
      </c>
    </row>
    <row r="45" spans="1:41" ht="12.75" customHeight="1" x14ac:dyDescent="0.3">
      <c r="A45" s="94">
        <v>1</v>
      </c>
      <c r="B45" s="94" t="str">
        <f>'Helper Table'!L2</f>
        <v>PP</v>
      </c>
      <c r="C45" s="95" t="str">
        <f t="shared" ref="C45:C52" si="6">IF($D45="","","CP"&amp;RIGHT(AssayID,3)&amp;"-RNA"&amp;$A45&amp;"-"&amp;$E45)</f>
        <v>CP212-RNA1-24BH-303MP0006</v>
      </c>
      <c r="D45" s="96" t="str">
        <f>IF(A45=7, $B$26, IF(A45=8, "NTC", 'Helper Table'!D2))</f>
        <v>24BH-303MP0006.3</v>
      </c>
      <c r="E45" s="96" t="str">
        <f>IF(A45=7, "PC", IF(A45=8, "NTC", IF('Helper Table'!A2&lt;&gt;0, 'Helper Table'!A2, "")))</f>
        <v>24BH-303MP0006</v>
      </c>
      <c r="F45" s="104" t="str">
        <f>IF(A45=7, $G$25, IF(A45=8, "--", 'Helper Table'!H2))</f>
        <v>Missing</v>
      </c>
      <c r="G45" s="105" t="str">
        <f>IF(A45=7, "PC", IF(A45=8, "NTC", IF(Samples2[[#This Row],[Accession]]="", "", IF('Helper Table'!F2="Y", IF(OR('Helper Table'!C2="Male", 'Helper Table'!C2="M"), "Male", IF(OR('Helper Table'!C2="Female", 'Helper Table'!C2="F"), "Female", "Must be Male or Female")), "Check"))))</f>
        <v>Male</v>
      </c>
      <c r="H45" s="94" cm="1">
        <f t="array" ref="H45">IF(A35=7, $D$26, IF(A35=8, "NTC", IFERROR(INDEX(PatientList[#Data], MATCH(Samples2[[#This Row],[RNA Number]], PatientList[DNA Number], 0), COLUMN(PatientList[DNA Conc. Tumor (ng/ul)])), "")))</f>
        <v>1.3</v>
      </c>
      <c r="I45" s="94" t="str">
        <f>IF(Samples2[[#This Row],[Conc (ng/ul)]]="", "", IF(Samples2[[#This Row],[Conc (ng/ul)]]="NTC", "--", IF(Samples2[[#This Row],[Conc (ng/ul)]]&gt;40, Samples2[[#This Row],[Conc (ng/ul)]]/10, "Use Stock")))</f>
        <v>Use Stock</v>
      </c>
      <c r="J45" s="98">
        <f>IF(Samples2[[#This Row],[Conc (ng/ul)]]="", "", IF(Samples2[[#This Row],[Diluted 1:10]]="--", "--", IF(Samples2[[#This Row],[Diluted 1:10]]="Use Stock", 40/Samples2[[#This Row],[Conc (ng/ul)]], 40/Samples2[[#This Row],[Diluted 1:10]])))</f>
        <v>30.769230769230766</v>
      </c>
      <c r="K45" s="99">
        <f>IF(Samples2[[#This Row],[Conc (ng/ul)]]="", "", IF(Samples2[[#This Row],[Conc (ng/ul)]]="NTC", Samples2[[#This Row],[Total Vol (ul)]], Samples2[[#This Row],[Total Vol (ul)]]-Samples2[[#This Row],[RNA to add (ul)]]))</f>
        <v>-16.769230769230766</v>
      </c>
      <c r="L45" s="100">
        <f>IF(Samples2[[#This Row],[Conc (ng/ul)]]="", "", 14)</f>
        <v>14</v>
      </c>
      <c r="M45" s="94" t="str">
        <f t="shared" ref="M45:M52" si="7">AB45</f>
        <v>0117</v>
      </c>
      <c r="N45" s="13" t="str">
        <f>IF($A45=7,$E$26,IF($A45=8,"",IFERROR(INDEX('Patient List'!$A$2:$J$13,MATCH($D45,'Patient List'!$I$2:$I$13,0),10),"")))</f>
        <v>Purple</v>
      </c>
      <c r="X45" s="84">
        <f>IF(H45&gt;40, 1, 40/H45)</f>
        <v>30.769230769230766</v>
      </c>
      <c r="Y45" s="84">
        <f>((H45*X45)/(40/14))-X45</f>
        <v>-16.769230769230766</v>
      </c>
      <c r="Z45" s="84">
        <f>X45+Y45</f>
        <v>14</v>
      </c>
      <c r="AA45" s="106" t="s">
        <v>306</v>
      </c>
      <c r="AB45" s="13" t="str">
        <f>0&amp;RIGHT($AA$45, 4)-7</f>
        <v>0117</v>
      </c>
      <c r="AD45" s="86" t="str">
        <f>IF(ISNUMBER(SEARCH("Red", $AA$45)), "XX", "")</f>
        <v/>
      </c>
      <c r="AE45" s="87"/>
      <c r="AF45" s="88" t="s">
        <v>304</v>
      </c>
      <c r="AG45" s="86" t="str">
        <f>IF(ISNUMBER(SEARCH("Yellow", $AA$45)), "XX", "")</f>
        <v/>
      </c>
      <c r="AH45" s="89"/>
      <c r="AI45" s="88" t="s">
        <v>305</v>
      </c>
      <c r="AJ45" s="86" t="str">
        <f>IF(ISNUMBER(SEARCH("Green", $AA$45)), "XX", "")</f>
        <v>XX</v>
      </c>
      <c r="AK45" s="90"/>
      <c r="AL45" s="88" t="s">
        <v>306</v>
      </c>
      <c r="AM45" s="86" t="str">
        <f>IF(ISNUMBER(SEARCH("Blue", $AA$45)), "XX", "")</f>
        <v/>
      </c>
      <c r="AN45" s="91"/>
      <c r="AO45" s="88" t="s">
        <v>310</v>
      </c>
    </row>
    <row r="46" spans="1:41" ht="12.75" customHeight="1" x14ac:dyDescent="0.3">
      <c r="A46" s="101">
        <v>2</v>
      </c>
      <c r="B46" s="101" t="str">
        <f>'Helper Table'!L3</f>
        <v>PP</v>
      </c>
      <c r="C46" s="95" t="str">
        <f t="shared" si="6"/>
        <v>CP212-RNA2-24BH-303MP0005</v>
      </c>
      <c r="D46" s="96" t="str">
        <f>IF(A46=7, $B$26, IF(A46=8, "NTC", 'Helper Table'!D3))</f>
        <v>24BH-303MP0005.3</v>
      </c>
      <c r="E46" s="96" t="str">
        <f>IF(A46=7, "PC", IF(A46=8, "NTC", IF('Helper Table'!A3&lt;&gt;0, 'Helper Table'!A3, "")))</f>
        <v>24BH-303MP0005</v>
      </c>
      <c r="F46" s="104" t="str">
        <f>IF(A46=7, $G$25, IF(A46=8, "--", 'Helper Table'!H3))</f>
        <v>Missing</v>
      </c>
      <c r="G46" s="105" t="str">
        <f>IF(A46=7, "PC", IF(A46=8, "NTC", IF(Samples2[[#This Row],[Accession]]="", "", IF('Helper Table'!F3="Y", IF(OR('Helper Table'!C3="Male", 'Helper Table'!C3="M"), "Male", IF(OR('Helper Table'!C3="Female", 'Helper Table'!C3="F"), "Female", "Must be Male or Female")), "Check"))))</f>
        <v>Male</v>
      </c>
      <c r="H46" s="101" cm="1">
        <f t="array" ref="H46">IF(A36=7, $D$26, IF(A36=8, "NTC", IFERROR(INDEX(PatientList[#Data], MATCH(Samples2[[#This Row],[RNA Number]], PatientList[DNA Number], 0), COLUMN(PatientList[DNA Conc. Tumor (ng/ul)])), "")))</f>
        <v>3.4</v>
      </c>
      <c r="I46" s="101" t="str">
        <f>IF(Samples2[[#This Row],[Conc (ng/ul)]]="", "", IF(Samples2[[#This Row],[Conc (ng/ul)]]="NTC", "--", IF(Samples2[[#This Row],[Conc (ng/ul)]]&gt;40, Samples2[[#This Row],[Conc (ng/ul)]]/10, "Use Stock")))</f>
        <v>Use Stock</v>
      </c>
      <c r="J46" s="98">
        <f>IF(Samples2[[#This Row],[Conc (ng/ul)]]="", "", IF(Samples2[[#This Row],[Diluted 1:10]]="--", "--", IF(Samples2[[#This Row],[Diluted 1:10]]="Use Stock", 40/Samples2[[#This Row],[Conc (ng/ul)]], 40/Samples2[[#This Row],[Diluted 1:10]])))</f>
        <v>11.764705882352942</v>
      </c>
      <c r="K46" s="98">
        <f>IF(Samples2[[#This Row],[Conc (ng/ul)]]="", "", IF(Samples2[[#This Row],[Conc (ng/ul)]]="NTC", Samples2[[#This Row],[Total Vol (ul)]], Samples2[[#This Row],[Total Vol (ul)]]-Samples2[[#This Row],[RNA to add (ul)]]))</f>
        <v>2.235294117647058</v>
      </c>
      <c r="L46" s="94">
        <f>IF(Samples2[[#This Row],[Conc (ng/ul)]]="", "", 14)</f>
        <v>14</v>
      </c>
      <c r="M46" s="94" t="str">
        <f t="shared" si="7"/>
        <v>0118</v>
      </c>
      <c r="N46" s="13" t="str">
        <f>IF($A46=7,$E$26,IF($A46=8,"",IFERROR(INDEX('Patient List'!$A$2:$J$13,MATCH($D46,'Patient List'!$I$2:$I$13,0),10),"")))</f>
        <v>Purple</v>
      </c>
      <c r="X46" s="84">
        <f t="shared" ref="X46:X52" si="8">IF(H46&gt;40, 1, 40/H46)</f>
        <v>11.764705882352942</v>
      </c>
      <c r="Y46" s="84">
        <f t="shared" ref="Y46:Y52" si="9">((H46*X46)/(40/14))-X46</f>
        <v>2.235294117647058</v>
      </c>
      <c r="Z46" s="84">
        <f t="shared" ref="Z46:Z52" si="10">X46+Y46</f>
        <v>14</v>
      </c>
      <c r="AB46" s="13" t="str">
        <f>TEXT(AB45+1, "0000")</f>
        <v>0118</v>
      </c>
    </row>
    <row r="47" spans="1:41" ht="12.75" customHeight="1" x14ac:dyDescent="0.3">
      <c r="A47" s="94">
        <v>3</v>
      </c>
      <c r="B47" s="94" t="str">
        <f>'Helper Table'!L4</f>
        <v>YW</v>
      </c>
      <c r="C47" s="95" t="str">
        <f t="shared" si="6"/>
        <v>CP212-RNA3-F6496</v>
      </c>
      <c r="D47" s="96" t="str">
        <f>IF(A47=7, $B$26, IF(A47=8, "NTC", 'Helper Table'!D4))</f>
        <v>F6496.3</v>
      </c>
      <c r="E47" s="96" t="str">
        <f>IF(A47=7, "PC", IF(A47=8, "NTC", IF('Helper Table'!A4&lt;&gt;0, 'Helper Table'!A4, "")))</f>
        <v>F6496</v>
      </c>
      <c r="F47" s="104" t="str">
        <f>IF(A47=7, $G$25, IF(A47=8, "--", 'Helper Table'!H4))</f>
        <v>90</v>
      </c>
      <c r="G47" s="105" t="str">
        <f>IF(A47=7, "PC", IF(A47=8, "NTC", IF(Samples2[[#This Row],[Accession]]="", "", IF('Helper Table'!F4="Y", IF(OR('Helper Table'!C4="Male", 'Helper Table'!C4="M"), "Male", IF(OR('Helper Table'!C4="Female", 'Helper Table'!C4="F"), "Female", "Must be Male or Female")), "Check"))))</f>
        <v>Female</v>
      </c>
      <c r="H47" s="101" cm="1">
        <f t="array" ref="H47">IF(A37=7, $D$26, IF(A37=8, "NTC", IFERROR(INDEX(PatientList[#Data], MATCH(Samples2[[#This Row],[RNA Number]], PatientList[DNA Number], 0), COLUMN(PatientList[DNA Conc. Tumor (ng/ul)])), "")))</f>
        <v>9.01</v>
      </c>
      <c r="I47" s="101" t="str">
        <f>IF(Samples2[[#This Row],[Conc (ng/ul)]]="", "", IF(Samples2[[#This Row],[Conc (ng/ul)]]="NTC", "--", IF(Samples2[[#This Row],[Conc (ng/ul)]]&gt;40, Samples2[[#This Row],[Conc (ng/ul)]]/10, "Use Stock")))</f>
        <v>Use Stock</v>
      </c>
      <c r="J47" s="98">
        <f>IF(Samples2[[#This Row],[Conc (ng/ul)]]="", "", IF(Samples2[[#This Row],[Diluted 1:10]]="--", "--", IF(Samples2[[#This Row],[Diluted 1:10]]="Use Stock", 40/Samples2[[#This Row],[Conc (ng/ul)]], 40/Samples2[[#This Row],[Diluted 1:10]])))</f>
        <v>4.4395116537180908</v>
      </c>
      <c r="K47" s="98">
        <f>IF(Samples2[[#This Row],[Conc (ng/ul)]]="", "", IF(Samples2[[#This Row],[Conc (ng/ul)]]="NTC", Samples2[[#This Row],[Total Vol (ul)]], Samples2[[#This Row],[Total Vol (ul)]]-Samples2[[#This Row],[RNA to add (ul)]]))</f>
        <v>9.5604883462819092</v>
      </c>
      <c r="L47" s="94">
        <f>IF(Samples2[[#This Row],[Conc (ng/ul)]]="", "", 14)</f>
        <v>14</v>
      </c>
      <c r="M47" s="94" t="str">
        <f t="shared" si="7"/>
        <v>0119</v>
      </c>
      <c r="N47" s="13" t="str">
        <f>IF($A47=7,$E$26,IF($A47=8,"",IFERROR(INDEX('Patient List'!$A$2:$J$13,MATCH($D47,'Patient List'!$I$2:$I$13,0),10),"")))</f>
        <v>Yellow</v>
      </c>
      <c r="X47" s="84">
        <f t="shared" si="8"/>
        <v>4.4395116537180908</v>
      </c>
      <c r="Y47" s="84">
        <f t="shared" si="9"/>
        <v>9.5604883462819092</v>
      </c>
      <c r="Z47" s="84">
        <f t="shared" si="10"/>
        <v>14</v>
      </c>
      <c r="AB47" s="13" t="str">
        <f t="shared" ref="AB47:AB52" si="11">TEXT(AB46+1, "0000")</f>
        <v>0119</v>
      </c>
    </row>
    <row r="48" spans="1:41" ht="12.75" customHeight="1" x14ac:dyDescent="0.3">
      <c r="A48" s="94">
        <v>4</v>
      </c>
      <c r="B48" s="94" t="str">
        <f>'Helper Table'!L5</f>
        <v>BK</v>
      </c>
      <c r="C48" s="95" t="str">
        <f t="shared" si="6"/>
        <v>CP212-RNA4-M7797</v>
      </c>
      <c r="D48" s="96" t="str">
        <f>IF(A48=7, $B$26, IF(A48=8, "NTC", 'Helper Table'!D5))</f>
        <v>M7797.3</v>
      </c>
      <c r="E48" s="96" t="str">
        <f>IF(A48=7, "PC", IF(A48=8, "NTC", IF('Helper Table'!A5&lt;&gt;0, 'Helper Table'!A5, "")))</f>
        <v>M7797</v>
      </c>
      <c r="F48" s="104" t="str">
        <f>IF(A48=7, $G$25, IF(A48=8, "--", 'Helper Table'!H5))</f>
        <v>75</v>
      </c>
      <c r="G48" s="105" t="str">
        <f>IF(A48=7, "PC", IF(A48=8, "NTC", IF(Samples2[[#This Row],[Accession]]="", "", IF('Helper Table'!F5="Y", IF(OR('Helper Table'!C5="Male", 'Helper Table'!C5="M"), "Male", IF(OR('Helper Table'!C5="Female", 'Helper Table'!C5="F"), "Female", "Must be Male or Female")), "Check"))))</f>
        <v>Male</v>
      </c>
      <c r="H48" s="101" cm="1">
        <f t="array" ref="H48">IF(A38=7, $D$26, IF(A38=8, "NTC", IFERROR(INDEX(PatientList[#Data], MATCH(Samples2[[#This Row],[RNA Number]], PatientList[DNA Number], 0), COLUMN(PatientList[DNA Conc. Tumor (ng/ul)])), "")))</f>
        <v>97</v>
      </c>
      <c r="I48" s="101">
        <f>IF(Samples2[[#This Row],[Conc (ng/ul)]]="", "", IF(Samples2[[#This Row],[Conc (ng/ul)]]="NTC", "--", IF(Samples2[[#This Row],[Conc (ng/ul)]]&gt;40, Samples2[[#This Row],[Conc (ng/ul)]]/10, "Use Stock")))</f>
        <v>9.6999999999999993</v>
      </c>
      <c r="J48" s="98">
        <f>IF(Samples2[[#This Row],[Conc (ng/ul)]]="", "", IF(Samples2[[#This Row],[Diluted 1:10]]="--", "--", IF(Samples2[[#This Row],[Diluted 1:10]]="Use Stock", 40/Samples2[[#This Row],[Conc (ng/ul)]], 40/Samples2[[#This Row],[Diluted 1:10]])))</f>
        <v>4.123711340206186</v>
      </c>
      <c r="K48" s="98">
        <f>IF(Samples2[[#This Row],[Conc (ng/ul)]]="", "", IF(Samples2[[#This Row],[Conc (ng/ul)]]="NTC", Samples2[[#This Row],[Total Vol (ul)]], Samples2[[#This Row],[Total Vol (ul)]]-Samples2[[#This Row],[RNA to add (ul)]]))</f>
        <v>9.8762886597938149</v>
      </c>
      <c r="L48" s="94">
        <f>IF(Samples2[[#This Row],[Conc (ng/ul)]]="", "", 14)</f>
        <v>14</v>
      </c>
      <c r="M48" s="94" t="str">
        <f t="shared" si="7"/>
        <v>0120</v>
      </c>
      <c r="N48" s="13" t="str">
        <f>IF($A48=7,$E$26,IF($A48=8,"",IFERROR(INDEX('Patient List'!$A$2:$J$13,MATCH($D48,'Patient List'!$I$2:$I$13,0),10),"")))</f>
        <v>Black</v>
      </c>
      <c r="X48" s="84">
        <f t="shared" si="8"/>
        <v>1</v>
      </c>
      <c r="Y48" s="84">
        <f t="shared" si="9"/>
        <v>32.949999999999996</v>
      </c>
      <c r="Z48" s="84">
        <f t="shared" si="10"/>
        <v>33.949999999999996</v>
      </c>
      <c r="AB48" s="13" t="str">
        <f t="shared" si="11"/>
        <v>0120</v>
      </c>
    </row>
    <row r="49" spans="1:28" ht="12.75" customHeight="1" x14ac:dyDescent="0.3">
      <c r="A49" s="94">
        <v>5</v>
      </c>
      <c r="B49" s="94" t="str">
        <f>'Helper Table'!L6</f>
        <v>YW</v>
      </c>
      <c r="C49" s="95" t="str">
        <f t="shared" si="6"/>
        <v>CP212-RNA5-M7289</v>
      </c>
      <c r="D49" s="96" t="str">
        <f>IF(A49=7, $B$26, IF(A49=8, "NTC", 'Helper Table'!D6))</f>
        <v>M7289.3</v>
      </c>
      <c r="E49" s="96" t="str">
        <f>IF(A49=7, "PC", IF(A49=8, "NTC", IF('Helper Table'!A6&lt;&gt;0, 'Helper Table'!A6, "")))</f>
        <v>M7289</v>
      </c>
      <c r="F49" s="104" t="str">
        <f>IF(A49=7, $G$25, IF(A49=8, "--", 'Helper Table'!H6))</f>
        <v>10</v>
      </c>
      <c r="G49" s="105" t="str">
        <f>IF(A49=7, "PC", IF(A49=8, "NTC", IF(Samples2[[#This Row],[Accession]]="", "", IF('Helper Table'!F6="Y", IF(OR('Helper Table'!C6="Male", 'Helper Table'!C6="M"), "Male", IF(OR('Helper Table'!C6="Female", 'Helper Table'!C6="F"), "Female", "Must be Male or Female")), "Check"))))</f>
        <v>Female</v>
      </c>
      <c r="H49" s="101" cm="1">
        <f t="array" ref="H49">IF(A39=7, $D$26, IF(A39=8, "NTC", IFERROR(INDEX(PatientList[#Data], MATCH(Samples2[[#This Row],[RNA Number]], PatientList[DNA Number], 0), COLUMN(PatientList[DNA Conc. Tumor (ng/ul)])), "")))</f>
        <v>5.99</v>
      </c>
      <c r="I49" s="101" t="str">
        <f>IF(Samples2[[#This Row],[Conc (ng/ul)]]="", "", IF(Samples2[[#This Row],[Conc (ng/ul)]]="NTC", "--", IF(Samples2[[#This Row],[Conc (ng/ul)]]&gt;40, Samples2[[#This Row],[Conc (ng/ul)]]/10, "Use Stock")))</f>
        <v>Use Stock</v>
      </c>
      <c r="J49" s="98">
        <f>IF(Samples2[[#This Row],[Conc (ng/ul)]]="", "", IF(Samples2[[#This Row],[Diluted 1:10]]="--", "--", IF(Samples2[[#This Row],[Diluted 1:10]]="Use Stock", 40/Samples2[[#This Row],[Conc (ng/ul)]], 40/Samples2[[#This Row],[Diluted 1:10]])))</f>
        <v>6.67779632721202</v>
      </c>
      <c r="K49" s="98">
        <f>IF(Samples2[[#This Row],[Conc (ng/ul)]]="", "", IF(Samples2[[#This Row],[Conc (ng/ul)]]="NTC", Samples2[[#This Row],[Total Vol (ul)]], Samples2[[#This Row],[Total Vol (ul)]]-Samples2[[#This Row],[RNA to add (ul)]]))</f>
        <v>7.32220367278798</v>
      </c>
      <c r="L49" s="94">
        <f>IF(Samples2[[#This Row],[Conc (ng/ul)]]="", "", 14)</f>
        <v>14</v>
      </c>
      <c r="M49" s="94" t="str">
        <f t="shared" si="7"/>
        <v>0121</v>
      </c>
      <c r="N49" s="13" t="str">
        <f>IF($A49=7,$E$26,IF($A49=8,"",IFERROR(INDEX('Patient List'!$A$2:$J$13,MATCH($D49,'Patient List'!$I$2:$I$13,0),10),"")))</f>
        <v>Yellow</v>
      </c>
      <c r="X49" s="84">
        <f t="shared" si="8"/>
        <v>6.67779632721202</v>
      </c>
      <c r="Y49" s="84">
        <f t="shared" si="9"/>
        <v>7.32220367278798</v>
      </c>
      <c r="Z49" s="84">
        <f t="shared" si="10"/>
        <v>14</v>
      </c>
      <c r="AB49" s="13" t="str">
        <f t="shared" si="11"/>
        <v>0121</v>
      </c>
    </row>
    <row r="50" spans="1:28" ht="12.75" customHeight="1" x14ac:dyDescent="0.3">
      <c r="A50" s="94">
        <v>6</v>
      </c>
      <c r="B50" s="94" t="str">
        <f>'Helper Table'!L7</f>
        <v>OR</v>
      </c>
      <c r="C50" s="95" t="str">
        <f t="shared" si="6"/>
        <v>CP212-RNA6-T74301</v>
      </c>
      <c r="D50" s="96" t="str">
        <f>IF(A50=7, $B$26, IF(A50=8, "NTC", 'Helper Table'!D7))</f>
        <v>T74301.3</v>
      </c>
      <c r="E50" s="96" t="str">
        <f>IF(A50=7, "PC", IF(A50=8, "NTC", IF('Helper Table'!A7&lt;&gt;0, 'Helper Table'!A7, "")))</f>
        <v>T74301</v>
      </c>
      <c r="F50" s="104" t="str">
        <f>IF(A50=7, $G$25, IF(A50=8, "--", 'Helper Table'!H7))</f>
        <v>50</v>
      </c>
      <c r="G50" s="105" t="s">
        <v>183</v>
      </c>
      <c r="H50" s="101" cm="1">
        <f t="array" ref="H50">IF(A40=7, $D$26, IF(A40=8, "NTC", IFERROR(INDEX(PatientList[#Data], MATCH(Samples2[[#This Row],[RNA Number]], PatientList[DNA Number], 0), COLUMN(PatientList[DNA Conc. Tumor (ng/ul)])), "")))</f>
        <v>11.1</v>
      </c>
      <c r="I50" s="101" t="str">
        <f>IF(Samples2[[#This Row],[Conc (ng/ul)]]="", "", IF(Samples2[[#This Row],[Conc (ng/ul)]]="NTC", "--", IF(Samples2[[#This Row],[Conc (ng/ul)]]&gt;40, Samples2[[#This Row],[Conc (ng/ul)]]/10, "Use Stock")))</f>
        <v>Use Stock</v>
      </c>
      <c r="J50" s="98">
        <f>IF(Samples2[[#This Row],[Conc (ng/ul)]]="", "", IF(Samples2[[#This Row],[Diluted 1:10]]="--", "--", IF(Samples2[[#This Row],[Diluted 1:10]]="Use Stock", 40/Samples2[[#This Row],[Conc (ng/ul)]], 40/Samples2[[#This Row],[Diluted 1:10]])))</f>
        <v>3.6036036036036037</v>
      </c>
      <c r="K50" s="98">
        <f>IF(Samples2[[#This Row],[Conc (ng/ul)]]="", "", IF(Samples2[[#This Row],[Conc (ng/ul)]]="NTC", Samples2[[#This Row],[Total Vol (ul)]], Samples2[[#This Row],[Total Vol (ul)]]-Samples2[[#This Row],[RNA to add (ul)]]))</f>
        <v>10.396396396396396</v>
      </c>
      <c r="L50" s="94">
        <f>IF(Samples2[[#This Row],[Conc (ng/ul)]]="", "", 14)</f>
        <v>14</v>
      </c>
      <c r="M50" s="94" t="str">
        <f t="shared" si="7"/>
        <v>0122</v>
      </c>
      <c r="N50" s="13" t="str">
        <f>IF($A50=7,$E$26,IF($A50=8,"",IFERROR(INDEX('Patient List'!$A$2:$J$13,MATCH($D50,'Patient List'!$I$2:$I$13,0),10),"")))</f>
        <v>Orange</v>
      </c>
      <c r="X50" s="84">
        <f t="shared" si="8"/>
        <v>3.6036036036036037</v>
      </c>
      <c r="Y50" s="84">
        <f t="shared" si="9"/>
        <v>10.396396396396396</v>
      </c>
      <c r="Z50" s="84">
        <f t="shared" si="10"/>
        <v>14</v>
      </c>
      <c r="AB50" s="13" t="str">
        <f t="shared" si="11"/>
        <v>0122</v>
      </c>
    </row>
    <row r="51" spans="1:28" ht="12.75" customHeight="1" x14ac:dyDescent="0.3">
      <c r="A51" s="94">
        <v>7</v>
      </c>
      <c r="B51" s="94" t="str">
        <f>'Helper Table'!L8</f>
        <v>BK</v>
      </c>
      <c r="C51" s="95" t="str">
        <f t="shared" si="6"/>
        <v>CP212-RNA7-PC</v>
      </c>
      <c r="D51" s="96" t="str">
        <f>IF(A51=7, $B$26, IF(A51=8, "NTC", 'Helper Table'!D8))</f>
        <v>C18 RNA</v>
      </c>
      <c r="E51" s="96" t="str">
        <f>IF(A51=7, "PC", IF(A51=8, "NTC", IF('Helper Table'!A8&lt;&gt;0, 'Helper Table'!A8, "")))</f>
        <v>PC</v>
      </c>
      <c r="F51" s="104">
        <f>IF(A51=7, $G$25, IF(A51=8, "--", 'Helper Table'!H8))</f>
        <v>95</v>
      </c>
      <c r="G51" s="105" t="s">
        <v>169</v>
      </c>
      <c r="H51" s="101" cm="1">
        <f t="array" ref="H51">IF(A41=7, $D$26, IF(A41=8, "NTC", IFERROR(INDEX(PatientList[#Data], MATCH(Samples2[[#This Row],[RNA Number]], PatientList[DNA Number], 0), COLUMN(PatientList[DNA Conc. Tumor (ng/ul)])), "")))</f>
        <v>12.3</v>
      </c>
      <c r="I51" s="101" t="str">
        <f>IF(Samples2[[#This Row],[Conc (ng/ul)]]="", "", IF(Samples2[[#This Row],[Conc (ng/ul)]]="NTC", "--", IF(Samples2[[#This Row],[Conc (ng/ul)]]&gt;40, Samples2[[#This Row],[Conc (ng/ul)]]/10, "Use Stock")))</f>
        <v>Use Stock</v>
      </c>
      <c r="J51" s="98">
        <f>IF(Samples2[[#This Row],[Conc (ng/ul)]]="", "", IF(Samples2[[#This Row],[Diluted 1:10]]="--", "--", IF(Samples2[[#This Row],[Diluted 1:10]]="Use Stock", 40/Samples2[[#This Row],[Conc (ng/ul)]], 40/Samples2[[#This Row],[Diluted 1:10]])))</f>
        <v>3.2520325203252032</v>
      </c>
      <c r="K51" s="98">
        <f>IF(Samples2[[#This Row],[Conc (ng/ul)]]="", "", IF(Samples2[[#This Row],[Conc (ng/ul)]]="NTC", Samples2[[#This Row],[Total Vol (ul)]], Samples2[[#This Row],[Total Vol (ul)]]-Samples2[[#This Row],[RNA to add (ul)]]))</f>
        <v>10.747967479674797</v>
      </c>
      <c r="L51" s="94">
        <f>IF(Samples2[[#This Row],[Conc (ng/ul)]]="", "", 14)</f>
        <v>14</v>
      </c>
      <c r="M51" s="94" t="str">
        <f t="shared" si="7"/>
        <v>0123</v>
      </c>
      <c r="N51" s="13" t="str">
        <f>IF($A51=7,$E$26,IF($A51=8,"",IFERROR(INDEX('Patient List'!$A$2:$J$13,MATCH($D51,'Patient List'!$I$2:$I$13,0),10),"")))</f>
        <v>Black</v>
      </c>
      <c r="X51" s="84">
        <f t="shared" si="8"/>
        <v>3.2520325203252032</v>
      </c>
      <c r="Y51" s="84">
        <f t="shared" si="9"/>
        <v>10.747967479674797</v>
      </c>
      <c r="Z51" s="84">
        <f t="shared" si="10"/>
        <v>14</v>
      </c>
      <c r="AB51" s="13" t="str">
        <f t="shared" si="11"/>
        <v>0123</v>
      </c>
    </row>
    <row r="52" spans="1:28" ht="12.75" customHeight="1" x14ac:dyDescent="0.3">
      <c r="A52" s="94">
        <v>8</v>
      </c>
      <c r="B52" s="94">
        <f>'Helper Table'!L9</f>
        <v>0</v>
      </c>
      <c r="C52" s="95" t="str">
        <f t="shared" si="6"/>
        <v>CP212-RNA8-NTC</v>
      </c>
      <c r="D52" s="96" t="str">
        <f>IF(A52=7, $B$26, IF(A52=8, "NTC", 'Helper Table'!D9))</f>
        <v>NTC</v>
      </c>
      <c r="E52" s="96" t="str">
        <f>IF(A52=7, "PC", IF(A52=8, "NTC", IF('Helper Table'!A9&lt;&gt;0, 'Helper Table'!A9, "")))</f>
        <v>NTC</v>
      </c>
      <c r="F52" s="104">
        <v>100</v>
      </c>
      <c r="G52" s="105" t="s">
        <v>169</v>
      </c>
      <c r="H52" s="101" t="str" cm="1">
        <f t="array" ref="H52">IF(A42=7, $D$26, IF(A42=8, "NTC", IFERROR(INDEX(PatientList[#Data], MATCH(Samples2[[#This Row],[RNA Number]], PatientList[DNA Number], 0), COLUMN(PatientList[DNA Conc. Tumor (ng/ul)])), "")))</f>
        <v>NTC</v>
      </c>
      <c r="I52" s="101" t="str">
        <f>IF(Samples2[[#This Row],[Conc (ng/ul)]]="", "", IF(Samples2[[#This Row],[Conc (ng/ul)]]="NTC", "--", IF(Samples2[[#This Row],[Conc (ng/ul)]]&gt;40, Samples2[[#This Row],[Conc (ng/ul)]]/10, "Use Stock")))</f>
        <v>--</v>
      </c>
      <c r="J52" s="98" t="str">
        <f>IF(Samples2[[#This Row],[Conc (ng/ul)]]="", "", IF(Samples2[[#This Row],[Diluted 1:10]]="--", "--", IF(Samples2[[#This Row],[Diluted 1:10]]="Use Stock", 40/Samples2[[#This Row],[Conc (ng/ul)]], 40/Samples2[[#This Row],[Diluted 1:10]])))</f>
        <v>--</v>
      </c>
      <c r="K52" s="103">
        <f>IF(Samples2[[#This Row],[Conc (ng/ul)]]="", "", IF(Samples2[[#This Row],[Conc (ng/ul)]]="NTC", Samples2[[#This Row],[Total Vol (ul)]], Samples2[[#This Row],[Total Vol (ul)]]-Samples2[[#This Row],[RNA to add (ul)]]))</f>
        <v>14</v>
      </c>
      <c r="L52" s="101">
        <f>IF(Samples2[[#This Row],[Conc (ng/ul)]]="", "", 14)</f>
        <v>14</v>
      </c>
      <c r="M52" s="94" t="str">
        <f t="shared" si="7"/>
        <v>0124</v>
      </c>
      <c r="N52" s="13" t="str">
        <f>IF($A52=7,$E$26,IF($A52=8,"",IFERROR(INDEX('Patient List'!$A$2:$J$13,MATCH($D52,'Patient List'!$I$2:$I$13,0),10),"")))</f>
        <v/>
      </c>
      <c r="X52" s="84">
        <f t="shared" si="8"/>
        <v>1</v>
      </c>
      <c r="Y52" s="84" t="e">
        <f t="shared" si="9"/>
        <v>#VALUE!</v>
      </c>
      <c r="Z52" s="84" t="e">
        <f t="shared" si="10"/>
        <v>#VALUE!</v>
      </c>
      <c r="AB52" s="13" t="str">
        <f t="shared" si="11"/>
        <v>0124</v>
      </c>
    </row>
    <row r="53" spans="1:28" x14ac:dyDescent="0.3">
      <c r="A53" s="66"/>
      <c r="B53" s="58"/>
      <c r="C53" s="58"/>
      <c r="D53" s="42"/>
    </row>
    <row r="54" spans="1:28" x14ac:dyDescent="0.3">
      <c r="A54" s="13" t="s">
        <v>29</v>
      </c>
      <c r="B54" s="13">
        <f ca="1">YEAR(TODAY())</f>
        <v>2024</v>
      </c>
      <c r="D54" s="42"/>
    </row>
    <row r="55" spans="1:28" x14ac:dyDescent="0.3">
      <c r="A55" s="13" t="s">
        <v>31</v>
      </c>
      <c r="B55" s="13" t="str">
        <f ca="1">TEXT(MONTH(TODAY()), "00")</f>
        <v>11</v>
      </c>
      <c r="D55" s="42"/>
    </row>
    <row r="56" spans="1:28" x14ac:dyDescent="0.3">
      <c r="D56" s="42"/>
    </row>
    <row r="57" spans="1:28" x14ac:dyDescent="0.3">
      <c r="D57" s="42"/>
    </row>
    <row r="58" spans="1:28" x14ac:dyDescent="0.3">
      <c r="D58" s="42"/>
    </row>
    <row r="59" spans="1:28" x14ac:dyDescent="0.3">
      <c r="D59" s="42"/>
    </row>
    <row r="60" spans="1:28" x14ac:dyDescent="0.3">
      <c r="D60" s="42"/>
    </row>
    <row r="61" spans="1:28" x14ac:dyDescent="0.3">
      <c r="D61" s="42"/>
    </row>
    <row r="62" spans="1:28" x14ac:dyDescent="0.3">
      <c r="D62" s="42"/>
    </row>
    <row r="63" spans="1:28" x14ac:dyDescent="0.3">
      <c r="D63" s="42"/>
    </row>
    <row r="64" spans="1:28" x14ac:dyDescent="0.3">
      <c r="D64" s="42"/>
    </row>
    <row r="65" spans="4:7" x14ac:dyDescent="0.3">
      <c r="D65" s="42"/>
    </row>
    <row r="66" spans="4:7" x14ac:dyDescent="0.3">
      <c r="D66" s="42"/>
    </row>
    <row r="67" spans="4:7" x14ac:dyDescent="0.3">
      <c r="D67" s="42"/>
    </row>
    <row r="68" spans="4:7" x14ac:dyDescent="0.3">
      <c r="D68" s="42"/>
    </row>
    <row r="69" spans="4:7" x14ac:dyDescent="0.3">
      <c r="D69" s="42"/>
      <c r="G69" s="28"/>
    </row>
    <row r="70" spans="4:7" x14ac:dyDescent="0.3">
      <c r="D70" s="42"/>
    </row>
    <row r="71" spans="4:7" x14ac:dyDescent="0.3">
      <c r="D71" s="42"/>
    </row>
    <row r="72" spans="4:7" x14ac:dyDescent="0.3">
      <c r="D72" s="42"/>
    </row>
    <row r="73" spans="4:7" x14ac:dyDescent="0.3">
      <c r="D73" s="42"/>
    </row>
    <row r="74" spans="4:7" x14ac:dyDescent="0.3">
      <c r="D74" s="58"/>
      <c r="E74" s="35"/>
    </row>
    <row r="75" spans="4:7" x14ac:dyDescent="0.3">
      <c r="D75" s="13" t="s">
        <v>30</v>
      </c>
      <c r="E75" s="13">
        <f>COUNTA('Patient List'!I2:I13)/2</f>
        <v>6</v>
      </c>
    </row>
    <row r="76" spans="4:7" x14ac:dyDescent="0.3">
      <c r="F76" s="28"/>
    </row>
  </sheetData>
  <dataConsolidate/>
  <mergeCells count="2">
    <mergeCell ref="A1:G1"/>
    <mergeCell ref="B29:G29"/>
  </mergeCells>
  <conditionalFormatting sqref="A43">
    <cfRule type="expression" dxfId="86" priority="5">
      <formula>$J43="Yellow"</formula>
    </cfRule>
    <cfRule type="expression" dxfId="85" priority="6">
      <formula>$J43="Red"</formula>
    </cfRule>
    <cfRule type="expression" dxfId="84" priority="7">
      <formula>$J43="Green"</formula>
    </cfRule>
    <cfRule type="expression" dxfId="83" priority="9">
      <formula>$J43="Orange"</formula>
    </cfRule>
    <cfRule type="expression" dxfId="82" priority="10">
      <formula>$J43="Purple"</formula>
    </cfRule>
    <cfRule type="expression" dxfId="81" priority="11">
      <formula>$J43="Black"</formula>
    </cfRule>
    <cfRule type="expression" dxfId="80" priority="12">
      <formula>$J43="Blue"</formula>
    </cfRule>
    <cfRule type="expression" dxfId="79" priority="14">
      <formula>$J43="Brown"</formula>
    </cfRule>
  </conditionalFormatting>
  <conditionalFormatting sqref="G35:G42">
    <cfRule type="containsText" dxfId="78" priority="3" operator="containsText" text="Check">
      <formula>NOT(ISERROR(SEARCH("Check",G35)))</formula>
    </cfRule>
  </conditionalFormatting>
  <conditionalFormatting sqref="G45:G52">
    <cfRule type="containsText" dxfId="77" priority="2" operator="containsText" text="Check">
      <formula>NOT(ISERROR(SEARCH("Check",G45)))</formula>
    </cfRule>
  </conditionalFormatting>
  <conditionalFormatting sqref="A44:B52">
    <cfRule type="expression" dxfId="76" priority="106">
      <formula>$N44="Yellow"</formula>
    </cfRule>
    <cfRule type="expression" dxfId="75" priority="107">
      <formula>$N44="Red"</formula>
    </cfRule>
    <cfRule type="expression" dxfId="74" priority="108">
      <formula>$N44="Green"</formula>
    </cfRule>
    <cfRule type="expression" dxfId="73" priority="109">
      <formula>$N44="Orange"</formula>
    </cfRule>
    <cfRule type="expression" dxfId="72" priority="110">
      <formula>$N44="Purple"</formula>
    </cfRule>
    <cfRule type="expression" dxfId="71" priority="111">
      <formula>$N44="Black"</formula>
    </cfRule>
    <cfRule type="expression" dxfId="70" priority="112">
      <formula>$N44="Blue"</formula>
    </cfRule>
    <cfRule type="expression" dxfId="69" priority="113">
      <formula>$N44="Brown"</formula>
    </cfRule>
  </conditionalFormatting>
  <conditionalFormatting sqref="A35:B42">
    <cfRule type="expression" dxfId="68" priority="114">
      <formula>$N35="Yellow"</formula>
    </cfRule>
    <cfRule type="expression" dxfId="67" priority="115">
      <formula>$N35="Red"</formula>
    </cfRule>
    <cfRule type="expression" dxfId="66" priority="116">
      <formula>$N35="Green"</formula>
    </cfRule>
    <cfRule type="expression" dxfId="65" priority="117">
      <formula>$N35="Orange"</formula>
    </cfRule>
    <cfRule type="expression" dxfId="64" priority="118">
      <formula>$N35="Purple"</formula>
    </cfRule>
    <cfRule type="expression" dxfId="63" priority="119">
      <formula>$N35="Black"</formula>
    </cfRule>
    <cfRule type="expression" dxfId="62" priority="120">
      <formula>$N35="Blue"</formula>
    </cfRule>
    <cfRule type="expression" dxfId="61" priority="121">
      <formula>$N35="Brown"</formula>
    </cfRule>
  </conditionalFormatting>
  <conditionalFormatting sqref="I45:I52 I35:I42">
    <cfRule type="cellIs" dxfId="60" priority="1" operator="between">
      <formula>0</formula>
      <formula>10000</formula>
    </cfRule>
  </conditionalFormatting>
  <dataValidations count="3">
    <dataValidation type="list" allowBlank="1" showInputMessage="1" showErrorMessage="1" sqref="B15 E5:E6" xr:uid="{00000000-0002-0000-0200-000000000000}">
      <formula1>"Min Yang, Leesa Rorstrom, Sarah Schmitt, Ziyan Pessetto"</formula1>
    </dataValidation>
    <dataValidation type="list" allowBlank="1" showInputMessage="1" showErrorMessage="1" sqref="G4" xr:uid="{A5BB0C18-7596-43FC-B31D-429810A6BA4F}">
      <formula1>"Chunhua Li, Jennifer Crow, Kevin Long, Alicia Florez, Sarah Schmitt, Stephen Hyter"</formula1>
    </dataValidation>
    <dataValidation type="list" allowBlank="1" showInputMessage="1" showErrorMessage="1" sqref="AA35 AA45" xr:uid="{27C4CE87-2376-43B1-B8BD-E3A38980514C}">
      <formula1>"Red: 0101-0108, Yellow: 0109-0116, Green: 0117-0124, Blue: 0125-0132"</formula1>
    </dataValidation>
  </dataValidations>
  <hyperlinks>
    <hyperlink ref="A1" location="'Patient List'!A2" display="Step 1: Enter Patient List from the Sample Receipt Log on the Patient List Tab (click to enter)" xr:uid="{00000000-0004-0000-0200-000000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CreateRecord">
                <anchor moveWithCells="1" sizeWithCells="1">
                  <from>
                    <xdr:col>7</xdr:col>
                    <xdr:colOff>60960</xdr:colOff>
                    <xdr:row>26</xdr:row>
                    <xdr:rowOff>160020</xdr:rowOff>
                  </from>
                  <to>
                    <xdr:col>10</xdr:col>
                    <xdr:colOff>693420</xdr:colOff>
                    <xdr:row>30</xdr:row>
                    <xdr:rowOff>121920</xdr:rowOff>
                  </to>
                </anchor>
              </controlPr>
            </control>
          </mc:Choice>
        </mc:AlternateContent>
        <mc:AlternateContent xmlns:mc="http://schemas.openxmlformats.org/markup-compatibility/2006">
          <mc:Choice Requires="x14">
            <control shapeId="2051" r:id="rId5" name="Button 3">
              <controlPr defaultSize="0" print="0" autoFill="0" autoPict="0" macro="[0]!SelectTemplateFile">
                <anchor moveWithCells="1" sizeWithCells="1">
                  <from>
                    <xdr:col>7</xdr:col>
                    <xdr:colOff>76200</xdr:colOff>
                    <xdr:row>6</xdr:row>
                    <xdr:rowOff>45720</xdr:rowOff>
                  </from>
                  <to>
                    <xdr:col>19</xdr:col>
                    <xdr:colOff>251460</xdr:colOff>
                    <xdr:row>7</xdr:row>
                    <xdr:rowOff>137160</xdr:rowOff>
                  </to>
                </anchor>
              </controlPr>
            </control>
          </mc:Choice>
        </mc:AlternateContent>
        <mc:AlternateContent xmlns:mc="http://schemas.openxmlformats.org/markup-compatibility/2006">
          <mc:Choice Requires="x14">
            <control shapeId="2052" r:id="rId6" name="Button 4">
              <controlPr defaultSize="0" print="0" autoFill="0" autoPict="0" macro="[0]!SelectSaveFolder">
                <anchor moveWithCells="1" sizeWithCells="1">
                  <from>
                    <xdr:col>7</xdr:col>
                    <xdr:colOff>60960</xdr:colOff>
                    <xdr:row>14</xdr:row>
                    <xdr:rowOff>7620</xdr:rowOff>
                  </from>
                  <to>
                    <xdr:col>9</xdr:col>
                    <xdr:colOff>830580</xdr:colOff>
                    <xdr:row>15</xdr:row>
                    <xdr:rowOff>7620</xdr:rowOff>
                  </to>
                </anchor>
              </controlPr>
            </control>
          </mc:Choice>
        </mc:AlternateContent>
        <mc:AlternateContent xmlns:mc="http://schemas.openxmlformats.org/markup-compatibility/2006">
          <mc:Choice Requires="x14">
            <control shapeId="2054" r:id="rId7" name="Button 6">
              <controlPr defaultSize="0" print="0" autoFill="0" autoPict="0" macro="[0]!SelectTemplateFileS2">
                <anchor moveWithCells="1" sizeWithCells="1">
                  <from>
                    <xdr:col>10</xdr:col>
                    <xdr:colOff>342900</xdr:colOff>
                    <xdr:row>9</xdr:row>
                    <xdr:rowOff>144780</xdr:rowOff>
                  </from>
                  <to>
                    <xdr:col>26</xdr:col>
                    <xdr:colOff>121920</xdr:colOff>
                    <xdr:row>11</xdr:row>
                    <xdr:rowOff>45720</xdr:rowOff>
                  </to>
                </anchor>
              </controlPr>
            </control>
          </mc:Choice>
        </mc:AlternateContent>
      </controls>
    </mc:Choice>
  </mc:AlternateContent>
  <tableParts count="2">
    <tablePart r:id="rId8"/>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FAC863-D946-40AE-BBA6-EE93E187B819}">
  <sheetPr codeName="Sheet14">
    <tabColor rgb="FF7030A0"/>
  </sheetPr>
  <dimension ref="A2:K10"/>
  <sheetViews>
    <sheetView workbookViewId="0">
      <selection activeCell="C21" sqref="C21"/>
    </sheetView>
  </sheetViews>
  <sheetFormatPr defaultRowHeight="13.8" x14ac:dyDescent="0.25"/>
  <cols>
    <col min="2" max="2" width="27.375" bestFit="1" customWidth="1"/>
    <col min="3" max="3" width="20.5" customWidth="1"/>
    <col min="4" max="4" width="19.375" customWidth="1"/>
    <col min="5" max="5" width="14.625" bestFit="1" customWidth="1"/>
    <col min="7" max="7" width="22.875" customWidth="1"/>
    <col min="11" max="11" width="18.875" customWidth="1"/>
    <col min="12" max="12" width="18.75" customWidth="1"/>
  </cols>
  <sheetData>
    <row r="2" spans="1:11" x14ac:dyDescent="0.25">
      <c r="A2" s="114" t="s">
        <v>174</v>
      </c>
      <c r="B2" s="112" t="s">
        <v>153</v>
      </c>
      <c r="C2" s="112" t="s">
        <v>312</v>
      </c>
      <c r="D2" s="115" t="s">
        <v>313</v>
      </c>
      <c r="E2" s="112" t="s">
        <v>154</v>
      </c>
      <c r="F2" s="112" t="s">
        <v>155</v>
      </c>
      <c r="G2" s="112" t="s">
        <v>314</v>
      </c>
      <c r="K2" t="s">
        <v>158</v>
      </c>
    </row>
    <row r="3" spans="1:11" ht="14.4" x14ac:dyDescent="0.3">
      <c r="A3" s="116">
        <v>1</v>
      </c>
      <c r="B3" s="117" t="str">
        <f>'Run Record'!C35</f>
        <v>CP212-DNA1-24BH-303MP0006</v>
      </c>
      <c r="C3" s="118" t="str" cm="1">
        <f t="array" ref="C3">INDEX(Samples[#Data], MATCH(K3, Samples[Accession], 0), COLUMN(Samples[DNA Number]))</f>
        <v>24BH-303MP0006.2</v>
      </c>
      <c r="D3" s="113" t="str" cm="1">
        <f t="array" ref="D3">INDEX(Samples2[#Data], MATCH(K3, Samples2[Accession], 0), COLUMN(Samples2[RNA Number]))</f>
        <v>24BH-303MP0006.3</v>
      </c>
      <c r="E3" s="119" t="str">
        <f>'Run Record'!F35</f>
        <v>Missing</v>
      </c>
      <c r="F3" s="119" t="str">
        <f>'Run Record'!G35</f>
        <v>Male</v>
      </c>
      <c r="G3" s="119" t="s">
        <v>315</v>
      </c>
      <c r="K3" s="121" t="str">
        <f>'Patient List'!D2</f>
        <v>24BH-303MP0006</v>
      </c>
    </row>
    <row r="4" spans="1:11" ht="14.4" x14ac:dyDescent="0.3">
      <c r="A4" s="120">
        <v>2</v>
      </c>
      <c r="B4" s="117" t="str">
        <f>'Run Record'!C36</f>
        <v>CP212-DNA2-24BH-303MP0005</v>
      </c>
      <c r="C4" s="118" t="str" cm="1">
        <f t="array" ref="C4">INDEX(Samples[#Data], MATCH(K4, Samples[Accession], 0), COLUMN(Samples[DNA Number]))</f>
        <v>24BH-303MP0005.2</v>
      </c>
      <c r="D4" s="113" t="str" cm="1">
        <f t="array" ref="D4">INDEX(Samples2[#Data], MATCH(K4, Samples2[Accession], 0), COLUMN(Samples2[RNA Number]))</f>
        <v>24BH-303MP0005.3</v>
      </c>
      <c r="E4" s="119" t="str">
        <f>'Run Record'!F36</f>
        <v>Missing</v>
      </c>
      <c r="F4" s="119" t="str">
        <f>'Run Record'!G36</f>
        <v>Male</v>
      </c>
      <c r="G4" s="119" t="s">
        <v>315</v>
      </c>
      <c r="K4" s="121" t="str">
        <f>'Patient List'!D4</f>
        <v>24BH-303MP0005</v>
      </c>
    </row>
    <row r="5" spans="1:11" ht="14.4" x14ac:dyDescent="0.3">
      <c r="A5" s="116">
        <v>3</v>
      </c>
      <c r="B5" s="117" t="str">
        <f>'Run Record'!C37</f>
        <v>CP212-DNA3-F6496</v>
      </c>
      <c r="C5" s="118" t="str" cm="1">
        <f t="array" ref="C5">INDEX(Samples[#Data], MATCH(K5, Samples[Accession], 0), COLUMN(Samples[DNA Number]))</f>
        <v>F6496.2</v>
      </c>
      <c r="D5" s="113" t="str" cm="1">
        <f t="array" ref="D5">INDEX(Samples2[#Data], MATCH(K5, Samples2[Accession], 0), COLUMN(Samples2[RNA Number]))</f>
        <v>F6496.3</v>
      </c>
      <c r="E5" s="119" t="str">
        <f>'Run Record'!F37</f>
        <v>90</v>
      </c>
      <c r="F5" s="119" t="str">
        <f>'Run Record'!G37</f>
        <v>Female</v>
      </c>
      <c r="G5" s="119" t="s">
        <v>315</v>
      </c>
      <c r="K5" s="121" t="str">
        <f>'Patient List'!D6</f>
        <v>F6496</v>
      </c>
    </row>
    <row r="6" spans="1:11" ht="14.4" x14ac:dyDescent="0.3">
      <c r="A6" s="116">
        <v>4</v>
      </c>
      <c r="B6" s="117" t="str">
        <f>'Run Record'!C38</f>
        <v>CP212-DNA4-M7797</v>
      </c>
      <c r="C6" s="118" t="str" cm="1">
        <f t="array" ref="C6">INDEX(Samples[#Data], MATCH(K6, Samples[Accession], 0), COLUMN(Samples[DNA Number]))</f>
        <v>M7797.2</v>
      </c>
      <c r="D6" s="113" t="str" cm="1">
        <f t="array" ref="D6">INDEX(Samples2[#Data], MATCH(K6, Samples2[Accession], 0), COLUMN(Samples2[RNA Number]))</f>
        <v>M7797.3</v>
      </c>
      <c r="E6" s="119" t="str">
        <f>'Run Record'!F38</f>
        <v>75</v>
      </c>
      <c r="F6" s="119" t="str">
        <f>'Run Record'!G38</f>
        <v>Male</v>
      </c>
      <c r="G6" s="119" t="s">
        <v>315</v>
      </c>
      <c r="K6" s="121" t="str">
        <f>'Patient List'!D8</f>
        <v>M7797</v>
      </c>
    </row>
    <row r="7" spans="1:11" ht="14.4" x14ac:dyDescent="0.3">
      <c r="A7" s="116">
        <v>5</v>
      </c>
      <c r="B7" s="117" t="str">
        <f>'Run Record'!C39</f>
        <v>CP212-DNA5-M7289</v>
      </c>
      <c r="C7" s="118" t="str" cm="1">
        <f t="array" ref="C7">INDEX(Samples[#Data], MATCH(K7, Samples[Accession], 0), COLUMN(Samples[DNA Number]))</f>
        <v>M7289.2</v>
      </c>
      <c r="D7" s="113" t="str" cm="1">
        <f t="array" ref="D7">INDEX(Samples2[#Data], MATCH(K7, Samples2[Accession], 0), COLUMN(Samples2[RNA Number]))</f>
        <v>M7289.3</v>
      </c>
      <c r="E7" s="119" t="str">
        <f>'Run Record'!F39</f>
        <v>10</v>
      </c>
      <c r="F7" s="119" t="str">
        <f>'Run Record'!G39</f>
        <v>Female</v>
      </c>
      <c r="G7" s="119" t="s">
        <v>315</v>
      </c>
      <c r="K7" s="121" t="str">
        <f>'Patient List'!D10</f>
        <v>M7289</v>
      </c>
    </row>
    <row r="8" spans="1:11" ht="14.4" x14ac:dyDescent="0.3">
      <c r="A8" s="116">
        <v>6</v>
      </c>
      <c r="B8" s="117" t="str">
        <f>'Run Record'!C40</f>
        <v>CP212-DNA6-T74301</v>
      </c>
      <c r="C8" s="118" t="str" cm="1">
        <f t="array" ref="C8">INDEX(Samples[#Data], MATCH(K8, Samples[Accession], 0), COLUMN(Samples[DNA Number]))</f>
        <v>T74301.2</v>
      </c>
      <c r="D8" s="113" t="str" cm="1">
        <f t="array" ref="D8">INDEX(Samples2[#Data], MATCH(K8, Samples2[Accession], 0), COLUMN(Samples2[RNA Number]))</f>
        <v>T74301.3</v>
      </c>
      <c r="E8" s="119" t="str">
        <f>'Run Record'!F40</f>
        <v>50</v>
      </c>
      <c r="F8" s="119" t="str">
        <f>'Run Record'!G40</f>
        <v>Male</v>
      </c>
      <c r="G8" s="119" t="s">
        <v>315</v>
      </c>
      <c r="K8" s="121" t="str">
        <f>'Patient List'!D12</f>
        <v>T74301</v>
      </c>
    </row>
    <row r="9" spans="1:11" ht="14.4" x14ac:dyDescent="0.3">
      <c r="A9" s="116">
        <v>7</v>
      </c>
      <c r="B9" s="117" t="str">
        <f>'Run Record'!C41</f>
        <v>CP212-DNA7-PC</v>
      </c>
      <c r="C9" s="118" t="str" cm="1">
        <f t="array" ref="C9">INDEX(Samples[#Data], MATCH(K9, Samples[Accession], 0), COLUMN(Samples[DNA Number]))</f>
        <v>Acrometrix</v>
      </c>
      <c r="D9" s="113" t="str" cm="1">
        <f t="array" ref="D9">INDEX(Samples2[#Data], MATCH(K9, Samples2[Accession], 0), COLUMN(Samples2[RNA Number]))</f>
        <v>C18 RNA</v>
      </c>
      <c r="E9" s="119">
        <f>'Run Record'!F41</f>
        <v>95</v>
      </c>
      <c r="F9" s="119" t="str">
        <f>'Run Record'!G41</f>
        <v>Female</v>
      </c>
      <c r="G9" s="119" t="s">
        <v>315</v>
      </c>
      <c r="K9" s="107" t="str">
        <f>TRIM(RIGHT(Step2[[#This Row],[Sample Name]], LEN(Step2[[#This Row],[Sample Name]])-SEARCH("-", Step2[[#This Row],[Sample Name]], LEN(Step2[[#This Row],[Sample Name]])-SEARCH("-", Step2[[#This Row],[Sample Name]]))))</f>
        <v>PC</v>
      </c>
    </row>
    <row r="10" spans="1:11" ht="14.4" x14ac:dyDescent="0.3">
      <c r="A10" s="120">
        <v>8</v>
      </c>
      <c r="B10" s="117" t="str">
        <f>'Run Record'!C42</f>
        <v>CP212-DNA8-NTC</v>
      </c>
      <c r="C10" s="118" t="str" cm="1">
        <f t="array" ref="C10">INDEX(Samples[#Data], MATCH(K10, Samples[Accession], 0), COLUMN(Samples[DNA Number]))</f>
        <v>NTC</v>
      </c>
      <c r="D10" s="113" t="str" cm="1">
        <f t="array" ref="D10">INDEX(Samples2[#Data], MATCH(K10, Samples2[Accession], 0), COLUMN(Samples2[RNA Number]))</f>
        <v>NTC</v>
      </c>
      <c r="E10" s="119">
        <f>'Run Record'!F42</f>
        <v>100</v>
      </c>
      <c r="F10" s="119" t="str">
        <f>'Run Record'!G42</f>
        <v>Female</v>
      </c>
      <c r="G10" s="119" t="s">
        <v>315</v>
      </c>
      <c r="K10" s="107" t="str">
        <f>TRIM(RIGHT(Step2[[#This Row],[Sample Name]], LEN(Step2[[#This Row],[Sample Name]])-SEARCH("-", Step2[[#This Row],[Sample Name]], LEN(Step2[[#This Row],[Sample Name]])-SEARCH("-", Step2[[#This Row],[Sample Name]]))))</f>
        <v>NTC</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785C3-E7DE-4751-807E-BC402CD7C776}">
  <sheetPr codeName="Sheet11"/>
  <dimension ref="A1:W10"/>
  <sheetViews>
    <sheetView workbookViewId="0">
      <selection activeCell="Q4" sqref="Q4"/>
    </sheetView>
  </sheetViews>
  <sheetFormatPr defaultRowHeight="13.8" x14ac:dyDescent="0.25"/>
  <cols>
    <col min="1" max="1" width="21.375" bestFit="1" customWidth="1"/>
    <col min="2" max="2" width="9.5" bestFit="1" customWidth="1"/>
    <col min="6" max="6" width="28.125" customWidth="1"/>
  </cols>
  <sheetData>
    <row r="1" spans="1:23" x14ac:dyDescent="0.25">
      <c r="A1" t="s">
        <v>271</v>
      </c>
      <c r="B1">
        <v>2</v>
      </c>
    </row>
    <row r="2" spans="1:23" x14ac:dyDescent="0.25">
      <c r="A2" t="s">
        <v>272</v>
      </c>
      <c r="B2" t="s">
        <v>161</v>
      </c>
      <c r="C2" t="s">
        <v>273</v>
      </c>
      <c r="D2" t="s">
        <v>274</v>
      </c>
      <c r="E2" t="s">
        <v>275</v>
      </c>
      <c r="F2" t="s">
        <v>276</v>
      </c>
      <c r="G2" t="s">
        <v>5</v>
      </c>
      <c r="H2" t="s">
        <v>277</v>
      </c>
      <c r="I2" t="s">
        <v>278</v>
      </c>
      <c r="J2" t="s">
        <v>279</v>
      </c>
      <c r="K2" t="s">
        <v>280</v>
      </c>
      <c r="L2" t="s">
        <v>281</v>
      </c>
      <c r="M2" t="s">
        <v>282</v>
      </c>
      <c r="N2" t="s">
        <v>283</v>
      </c>
      <c r="O2" t="s">
        <v>284</v>
      </c>
      <c r="P2" t="s">
        <v>285</v>
      </c>
      <c r="Q2" t="s">
        <v>286</v>
      </c>
      <c r="R2" t="s">
        <v>287</v>
      </c>
      <c r="S2" t="s">
        <v>288</v>
      </c>
      <c r="T2" t="s">
        <v>289</v>
      </c>
      <c r="U2" t="s">
        <v>290</v>
      </c>
      <c r="V2" t="s">
        <v>291</v>
      </c>
      <c r="W2" t="s">
        <v>292</v>
      </c>
    </row>
    <row r="3" spans="1:23" x14ac:dyDescent="0.25">
      <c r="A3" t="str">
        <f>'Run Record'!C35</f>
        <v>CP212-DNA1-24BH-303MP0006</v>
      </c>
      <c r="B3" t="str">
        <f>'Run Record'!D35</f>
        <v>24BH-303MP0006.2</v>
      </c>
      <c r="D3" t="s">
        <v>293</v>
      </c>
      <c r="E3" t="s">
        <v>294</v>
      </c>
      <c r="F3" t="str">
        <f>"IonCode_"&amp;'Run Record'!M35</f>
        <v>IonCode_0125</v>
      </c>
      <c r="G3" t="str">
        <f>'Run Record'!G35</f>
        <v>Male</v>
      </c>
      <c r="M3" t="s">
        <v>295</v>
      </c>
      <c r="Q3" t="str">
        <f>'Run Record'!F35</f>
        <v>Missing</v>
      </c>
    </row>
    <row r="4" spans="1:23" x14ac:dyDescent="0.25">
      <c r="A4" t="str">
        <f>'Run Record'!C36</f>
        <v>CP212-DNA2-24BH-303MP0005</v>
      </c>
      <c r="B4" t="str">
        <f>'Run Record'!D36</f>
        <v>24BH-303MP0005.2</v>
      </c>
      <c r="D4" t="s">
        <v>296</v>
      </c>
      <c r="E4" t="s">
        <v>294</v>
      </c>
      <c r="F4" t="str">
        <f>"IonCode_"&amp;'Run Record'!M36</f>
        <v>IonCode_0126</v>
      </c>
      <c r="G4" t="str">
        <f>'Run Record'!G36</f>
        <v>Male</v>
      </c>
      <c r="M4" t="s">
        <v>295</v>
      </c>
      <c r="Q4" t="str">
        <f>'Run Record'!F36</f>
        <v>Missing</v>
      </c>
    </row>
    <row r="5" spans="1:23" x14ac:dyDescent="0.25">
      <c r="A5" t="str">
        <f>'Run Record'!C37</f>
        <v>CP212-DNA3-F6496</v>
      </c>
      <c r="B5" t="str">
        <f>'Run Record'!D37</f>
        <v>F6496.2</v>
      </c>
      <c r="D5" t="s">
        <v>297</v>
      </c>
      <c r="E5" t="s">
        <v>294</v>
      </c>
      <c r="F5" t="str">
        <f>"IonCode_"&amp;'Run Record'!M37</f>
        <v>IonCode_0127</v>
      </c>
      <c r="G5" t="str">
        <f>'Run Record'!G37</f>
        <v>Female</v>
      </c>
      <c r="M5" t="s">
        <v>295</v>
      </c>
      <c r="Q5" t="str">
        <f>'Run Record'!F37</f>
        <v>90</v>
      </c>
    </row>
    <row r="6" spans="1:23" x14ac:dyDescent="0.25">
      <c r="A6" t="str">
        <f>'Run Record'!C38</f>
        <v>CP212-DNA4-M7797</v>
      </c>
      <c r="B6" t="str">
        <f>'Run Record'!D38</f>
        <v>M7797.2</v>
      </c>
      <c r="D6" t="s">
        <v>298</v>
      </c>
      <c r="E6" t="s">
        <v>294</v>
      </c>
      <c r="F6" t="str">
        <f>"IonCode_"&amp;'Run Record'!M38</f>
        <v>IonCode_0128</v>
      </c>
      <c r="G6" t="str">
        <f>'Run Record'!G38</f>
        <v>Male</v>
      </c>
      <c r="M6" t="s">
        <v>295</v>
      </c>
      <c r="Q6" t="str">
        <f>'Run Record'!F38</f>
        <v>75</v>
      </c>
    </row>
    <row r="7" spans="1:23" x14ac:dyDescent="0.25">
      <c r="A7" t="str">
        <f>'Run Record'!C39</f>
        <v>CP212-DNA5-M7289</v>
      </c>
      <c r="B7" t="str">
        <f>'Run Record'!D39</f>
        <v>M7289.2</v>
      </c>
      <c r="D7" t="s">
        <v>299</v>
      </c>
      <c r="E7" t="s">
        <v>294</v>
      </c>
      <c r="F7" t="str">
        <f>"IonCode_"&amp;'Run Record'!M39</f>
        <v>IonCode_0129</v>
      </c>
      <c r="G7" t="str">
        <f>'Run Record'!G39</f>
        <v>Female</v>
      </c>
      <c r="M7" t="s">
        <v>295</v>
      </c>
      <c r="Q7" t="str">
        <f>'Run Record'!F39</f>
        <v>10</v>
      </c>
    </row>
    <row r="8" spans="1:23" x14ac:dyDescent="0.25">
      <c r="A8" t="str">
        <f>'Run Record'!C40</f>
        <v>CP212-DNA6-T74301</v>
      </c>
      <c r="B8" t="str">
        <f>'Run Record'!D40</f>
        <v>T74301.2</v>
      </c>
      <c r="D8" t="s">
        <v>300</v>
      </c>
      <c r="E8" t="s">
        <v>294</v>
      </c>
      <c r="F8" t="str">
        <f>"IonCode_"&amp;'Run Record'!M40</f>
        <v>IonCode_0130</v>
      </c>
      <c r="G8" t="str">
        <f>'Run Record'!G40</f>
        <v>Male</v>
      </c>
      <c r="M8" t="s">
        <v>295</v>
      </c>
      <c r="Q8" t="str">
        <f>'Run Record'!F40</f>
        <v>50</v>
      </c>
    </row>
    <row r="9" spans="1:23" x14ac:dyDescent="0.25">
      <c r="A9" t="str">
        <f>'Run Record'!C41</f>
        <v>CP212-DNA7-PC</v>
      </c>
      <c r="B9" t="str">
        <f>'Run Record'!D41</f>
        <v>Acrometrix</v>
      </c>
      <c r="D9" t="s">
        <v>301</v>
      </c>
      <c r="E9" t="s">
        <v>294</v>
      </c>
      <c r="F9" t="str">
        <f>"IonCode_"&amp;'Run Record'!M41</f>
        <v>IonCode_0131</v>
      </c>
      <c r="G9" t="str">
        <f>'Run Record'!G41</f>
        <v>Female</v>
      </c>
      <c r="M9" t="s">
        <v>295</v>
      </c>
      <c r="Q9" s="179">
        <f>'Run Record'!F41</f>
        <v>95</v>
      </c>
    </row>
    <row r="10" spans="1:23" x14ac:dyDescent="0.25">
      <c r="A10" t="str">
        <f>'Run Record'!C42</f>
        <v>CP212-DNA8-NTC</v>
      </c>
      <c r="B10" t="str">
        <f>'Run Record'!D42</f>
        <v>NTC</v>
      </c>
      <c r="D10" t="s">
        <v>302</v>
      </c>
      <c r="E10" t="s">
        <v>294</v>
      </c>
      <c r="F10" t="str">
        <f>"IonCode_"&amp;'Run Record'!M42</f>
        <v>IonCode_0132</v>
      </c>
      <c r="G10" t="str">
        <f>'Run Record'!G42</f>
        <v>Female</v>
      </c>
      <c r="M10" t="s">
        <v>295</v>
      </c>
      <c r="Q10" s="179">
        <f>'Run Record'!F42</f>
        <v>100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712324-2ADE-4A2D-88D1-DAB98CB92529}">
  <sheetPr codeName="Sheet12"/>
  <dimension ref="A1:W11"/>
  <sheetViews>
    <sheetView workbookViewId="0">
      <selection activeCell="Q4" sqref="Q4"/>
    </sheetView>
  </sheetViews>
  <sheetFormatPr defaultRowHeight="13.8" x14ac:dyDescent="0.25"/>
  <cols>
    <col min="1" max="1" width="21.375" bestFit="1" customWidth="1"/>
    <col min="6" max="6" width="21.625" customWidth="1"/>
  </cols>
  <sheetData>
    <row r="1" spans="1:23" x14ac:dyDescent="0.25">
      <c r="A1" t="s">
        <v>271</v>
      </c>
      <c r="B1">
        <v>2</v>
      </c>
    </row>
    <row r="2" spans="1:23" x14ac:dyDescent="0.25">
      <c r="A2" t="s">
        <v>272</v>
      </c>
      <c r="B2" t="s">
        <v>161</v>
      </c>
      <c r="C2" t="s">
        <v>273</v>
      </c>
      <c r="D2" t="s">
        <v>274</v>
      </c>
      <c r="E2" t="s">
        <v>275</v>
      </c>
      <c r="F2" t="s">
        <v>276</v>
      </c>
      <c r="G2" t="s">
        <v>5</v>
      </c>
      <c r="H2" t="s">
        <v>277</v>
      </c>
      <c r="I2" t="s">
        <v>278</v>
      </c>
      <c r="J2" t="s">
        <v>279</v>
      </c>
      <c r="K2" t="s">
        <v>280</v>
      </c>
      <c r="L2" t="s">
        <v>281</v>
      </c>
      <c r="M2" t="s">
        <v>282</v>
      </c>
      <c r="N2" t="s">
        <v>283</v>
      </c>
      <c r="O2" t="s">
        <v>284</v>
      </c>
      <c r="P2" t="s">
        <v>285</v>
      </c>
      <c r="Q2" t="s">
        <v>286</v>
      </c>
      <c r="R2" t="s">
        <v>287</v>
      </c>
      <c r="S2" t="s">
        <v>288</v>
      </c>
      <c r="T2" t="s">
        <v>289</v>
      </c>
      <c r="U2" t="s">
        <v>290</v>
      </c>
      <c r="V2" t="s">
        <v>291</v>
      </c>
      <c r="W2" t="s">
        <v>292</v>
      </c>
    </row>
    <row r="3" spans="1:23" x14ac:dyDescent="0.25">
      <c r="A3" t="str">
        <f>'Run Record'!C45</f>
        <v>CP212-RNA1-24BH-303MP0006</v>
      </c>
      <c r="B3" t="str">
        <f>'Run Record'!D45</f>
        <v>24BH-303MP0006.3</v>
      </c>
      <c r="D3" t="s">
        <v>293</v>
      </c>
      <c r="E3" t="s">
        <v>294</v>
      </c>
      <c r="F3" t="str">
        <f>"IonCode_"&amp;'Run Record'!M45</f>
        <v>IonCode_0117</v>
      </c>
      <c r="G3" t="str">
        <f>'Run Record'!G45</f>
        <v>Male</v>
      </c>
      <c r="M3" t="s">
        <v>303</v>
      </c>
      <c r="Q3" s="85" t="str">
        <f>'Run Record'!F45</f>
        <v>Missing</v>
      </c>
    </row>
    <row r="4" spans="1:23" x14ac:dyDescent="0.25">
      <c r="A4" t="str">
        <f>'Run Record'!C46</f>
        <v>CP212-RNA2-24BH-303MP0005</v>
      </c>
      <c r="B4" t="str">
        <f>'Run Record'!D46</f>
        <v>24BH-303MP0005.3</v>
      </c>
      <c r="D4" t="s">
        <v>296</v>
      </c>
      <c r="E4" t="s">
        <v>294</v>
      </c>
      <c r="F4" t="str">
        <f>"IonCode_"&amp;'Run Record'!M46</f>
        <v>IonCode_0118</v>
      </c>
      <c r="G4" t="str">
        <f>'Run Record'!G46</f>
        <v>Male</v>
      </c>
      <c r="M4" t="s">
        <v>303</v>
      </c>
      <c r="Q4" s="85" t="str">
        <f>'Run Record'!F46</f>
        <v>Missing</v>
      </c>
    </row>
    <row r="5" spans="1:23" x14ac:dyDescent="0.25">
      <c r="A5" t="str">
        <f>'Run Record'!C47</f>
        <v>CP212-RNA3-F6496</v>
      </c>
      <c r="B5" t="str">
        <f>'Run Record'!D47</f>
        <v>F6496.3</v>
      </c>
      <c r="D5" t="s">
        <v>297</v>
      </c>
      <c r="E5" t="s">
        <v>294</v>
      </c>
      <c r="F5" t="str">
        <f>"IonCode_"&amp;'Run Record'!M47</f>
        <v>IonCode_0119</v>
      </c>
      <c r="G5" t="str">
        <f>'Run Record'!G47</f>
        <v>Female</v>
      </c>
      <c r="M5" t="s">
        <v>303</v>
      </c>
      <c r="Q5" s="85" t="str">
        <f>'Run Record'!F47</f>
        <v>90</v>
      </c>
    </row>
    <row r="6" spans="1:23" x14ac:dyDescent="0.25">
      <c r="A6" t="str">
        <f>'Run Record'!C48</f>
        <v>CP212-RNA4-M7797</v>
      </c>
      <c r="B6" t="str">
        <f>'Run Record'!D48</f>
        <v>M7797.3</v>
      </c>
      <c r="D6" t="s">
        <v>298</v>
      </c>
      <c r="E6" t="s">
        <v>294</v>
      </c>
      <c r="F6" t="str">
        <f>"IonCode_"&amp;'Run Record'!M48</f>
        <v>IonCode_0120</v>
      </c>
      <c r="G6" t="str">
        <f>'Run Record'!G48</f>
        <v>Male</v>
      </c>
      <c r="M6" t="s">
        <v>303</v>
      </c>
      <c r="Q6" s="85" t="str">
        <f>'Run Record'!F48</f>
        <v>75</v>
      </c>
    </row>
    <row r="7" spans="1:23" x14ac:dyDescent="0.25">
      <c r="A7" t="str">
        <f>'Run Record'!C49</f>
        <v>CP212-RNA5-M7289</v>
      </c>
      <c r="B7" t="str">
        <f>'Run Record'!D49</f>
        <v>M7289.3</v>
      </c>
      <c r="D7" t="s">
        <v>299</v>
      </c>
      <c r="E7" t="s">
        <v>294</v>
      </c>
      <c r="F7" t="str">
        <f>"IonCode_"&amp;'Run Record'!M49</f>
        <v>IonCode_0121</v>
      </c>
      <c r="G7" t="str">
        <f>'Run Record'!G49</f>
        <v>Female</v>
      </c>
      <c r="M7" t="s">
        <v>303</v>
      </c>
      <c r="Q7" s="85" t="str">
        <f>'Run Record'!F49</f>
        <v>10</v>
      </c>
    </row>
    <row r="8" spans="1:23" x14ac:dyDescent="0.25">
      <c r="A8" t="str">
        <f>'Run Record'!C50</f>
        <v>CP212-RNA6-T74301</v>
      </c>
      <c r="B8" t="str">
        <f>'Run Record'!D50</f>
        <v>T74301.3</v>
      </c>
      <c r="D8" t="s">
        <v>300</v>
      </c>
      <c r="E8" t="s">
        <v>294</v>
      </c>
      <c r="F8" t="str">
        <f>"IonCode_"&amp;'Run Record'!M50</f>
        <v>IonCode_0122</v>
      </c>
      <c r="G8" t="str">
        <f>'Run Record'!G50</f>
        <v>Male</v>
      </c>
      <c r="M8" t="s">
        <v>303</v>
      </c>
      <c r="Q8" s="85" t="str">
        <f>'Run Record'!F50</f>
        <v>50</v>
      </c>
    </row>
    <row r="9" spans="1:23" x14ac:dyDescent="0.25">
      <c r="A9" t="str">
        <f>'Run Record'!C51</f>
        <v>CP212-RNA7-PC</v>
      </c>
      <c r="B9" t="str">
        <f>'Run Record'!D51</f>
        <v>C18 RNA</v>
      </c>
      <c r="D9" t="s">
        <v>301</v>
      </c>
      <c r="E9" t="s">
        <v>294</v>
      </c>
      <c r="F9" t="str">
        <f>"IonCode_"&amp;'Run Record'!M51</f>
        <v>IonCode_0123</v>
      </c>
      <c r="G9" t="str">
        <f>'Run Record'!G51</f>
        <v>Female</v>
      </c>
      <c r="M9" t="s">
        <v>303</v>
      </c>
      <c r="Q9" s="178">
        <f>'Run Record'!F51</f>
        <v>95</v>
      </c>
    </row>
    <row r="10" spans="1:23" x14ac:dyDescent="0.25">
      <c r="A10" t="str">
        <f>'Run Record'!C52</f>
        <v>CP212-RNA8-NTC</v>
      </c>
      <c r="B10" t="str">
        <f>'Run Record'!D52</f>
        <v>NTC</v>
      </c>
      <c r="D10" t="s">
        <v>302</v>
      </c>
      <c r="E10" t="s">
        <v>294</v>
      </c>
      <c r="F10" t="str">
        <f>"IonCode_"&amp;'Run Record'!M52</f>
        <v>IonCode_0124</v>
      </c>
      <c r="G10" t="str">
        <f>'Run Record'!G52</f>
        <v>Female</v>
      </c>
      <c r="M10" t="s">
        <v>303</v>
      </c>
      <c r="Q10" s="178">
        <f>'Run Record'!F52</f>
        <v>100</v>
      </c>
    </row>
    <row r="11" spans="1:23" x14ac:dyDescent="0.25">
      <c r="Q11" s="8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00DAF-CD46-425C-AC8C-3E29C0FB6858}">
  <sheetPr codeName="Sheet10"/>
  <dimension ref="A1:O16"/>
  <sheetViews>
    <sheetView workbookViewId="0">
      <selection activeCell="H2" sqref="H2"/>
    </sheetView>
  </sheetViews>
  <sheetFormatPr defaultRowHeight="13.8" x14ac:dyDescent="0.25"/>
  <cols>
    <col min="1" max="1" width="16.875" bestFit="1" customWidth="1"/>
    <col min="2" max="2" width="17.75" bestFit="1" customWidth="1"/>
    <col min="3" max="3" width="11.375" bestFit="1" customWidth="1"/>
    <col min="4" max="4" width="17.75" bestFit="1" customWidth="1"/>
    <col min="5" max="5" width="11" bestFit="1" customWidth="1"/>
    <col min="6" max="6" width="13.625" bestFit="1" customWidth="1"/>
  </cols>
  <sheetData>
    <row r="1" spans="1:15" x14ac:dyDescent="0.25">
      <c r="A1" t="s">
        <v>162</v>
      </c>
      <c r="B1" t="s">
        <v>7</v>
      </c>
      <c r="C1" t="s">
        <v>163</v>
      </c>
      <c r="D1" t="s">
        <v>164</v>
      </c>
      <c r="E1" t="s">
        <v>165</v>
      </c>
      <c r="F1" t="s">
        <v>166</v>
      </c>
      <c r="G1" t="s">
        <v>6</v>
      </c>
      <c r="H1" t="s">
        <v>154</v>
      </c>
      <c r="I1" t="s">
        <v>159</v>
      </c>
      <c r="J1" t="s">
        <v>317</v>
      </c>
      <c r="K1" t="s">
        <v>316</v>
      </c>
      <c r="L1" t="s">
        <v>318</v>
      </c>
      <c r="N1" t="s">
        <v>35</v>
      </c>
      <c r="O1" t="s">
        <v>0</v>
      </c>
    </row>
    <row r="2" spans="1:15" x14ac:dyDescent="0.25">
      <c r="A2" t="str" cm="1">
        <f t="array" ref="A2:A7">_xlfn.UNIQUE('Patient List'!D$2:D$13, FALSE, FALSE)</f>
        <v>24BH-303MP0006</v>
      </c>
      <c r="B2" t="str" cm="1">
        <f t="array" ref="B2">IFERROR(LOOKUP(2, 1/(('Patient List'!D$2:D$13='Helper Table'!A2)*(RIGHT('Patient List'!I$2:I$13, 2)=".2")), 'Patient List'!I$2:I$13), "")</f>
        <v>24BH-303MP0006.2</v>
      </c>
      <c r="C2" t="str" cm="1">
        <f t="array" ref="C2">IFERROR(INDEX(PatientList[#Data], MATCH(B2, PatientList[DNA Number], 0), COLUMN(PatientList[Gender])), "")</f>
        <v>Male</v>
      </c>
      <c r="D2" t="str" cm="1">
        <f t="array" ref="D2">IFERROR(LOOKUP(2, 1/(('Patient List'!D$2:D$13='Helper Table'!A2)*(RIGHT('Patient List'!I$2:I$13, 2)=".3")), 'Patient List'!I$2:I$13), "")</f>
        <v>24BH-303MP0006.3</v>
      </c>
      <c r="E2" t="str" cm="1">
        <f t="array" ref="E2">IFERROR(INDEX(PatientList[#Data], MATCH(D2, PatientList[DNA Number], 0), COLUMN(PatientList[Gender])), "")</f>
        <v>Male</v>
      </c>
      <c r="F2" t="str">
        <f>IF(AND(C2="", E2=""), "", IF(TRIM(C2)=TRIM(E2), "Y", "CHECK"))</f>
        <v>Y</v>
      </c>
      <c r="H2" t="str" cm="1">
        <f t="array" ref="H2">IF(B2="", "", IFERROR(LEFT(INDEX(PatientList[#Data], MATCH(B2, PatientList[DNA Number], 0), COLUMN(PatientList[Notes])), SEARCH("%", INDEX(PatientList[#Data], MATCH(B2, PatientList[DNA Number], 0), COLUMN(PatientList[Notes])))-1), "Missing"))</f>
        <v>Missing</v>
      </c>
      <c r="I2" t="str" cm="1">
        <f t="array" ref="I2">IFERROR(LOOKUP(2, 1/(('Patient List'!D$2:D$13='Helper Table'!A2)*(RIGHT('Patient List'!I$2:I$13, 2)=".2")), 'Patient List'!J$2:J$13), "")</f>
        <v>Blue</v>
      </c>
      <c r="J2" t="str" cm="1">
        <f t="array" ref="J2">INDEX(Color[#Data], MATCH(I2, Color[Color], 0), COLUMN(Color[Abbr]))</f>
        <v>BL</v>
      </c>
      <c r="K2" t="str" cm="1">
        <f t="array" ref="K2">IFERROR(LOOKUP(2, 1/(('Patient List'!D$2:D$13='Helper Table'!A2)*(RIGHT('Patient List'!I$2:I$13, 2)=".3")), 'Patient List'!J$2:J$13), "")</f>
        <v>Purple</v>
      </c>
      <c r="L2" t="str" cm="1">
        <f t="array" ref="L2">INDEX(Color[#Data], MATCH(K2, Color[Color], 0), COLUMN(Color[Abbr]))</f>
        <v>PP</v>
      </c>
      <c r="N2" t="str" cm="1">
        <f t="array" ref="N2">INDEX(PatientList[#Data], MATCH(B2, PatientList[DNA Number], 0), COLUMN(PatientList[Last Name]))</f>
        <v>Bkrccv</v>
      </c>
      <c r="O2" t="str" cm="1">
        <f t="array" ref="O2">INDEX(PatientList[#Data], MATCH(B2, PatientList[DNA Number], 0), COLUMN(PatientList[First Name]))</f>
        <v xml:space="preserve"> Bh Cmol</v>
      </c>
    </row>
    <row r="3" spans="1:15" x14ac:dyDescent="0.25">
      <c r="A3" t="str">
        <v>24BH-303MP0005</v>
      </c>
      <c r="B3" s="121" t="str" cm="1">
        <f t="array" ref="B3">IFERROR(LOOKUP(2, 1/(('Patient List'!D$2:D$13='Helper Table'!A3)*(RIGHT('Patient List'!I$2:I$13, 2)=".2")), 'Patient List'!I$2:I$13), "")</f>
        <v>24BH-303MP0005.2</v>
      </c>
      <c r="C3" t="str" cm="1">
        <f t="array" ref="C3">IFERROR(INDEX(PatientList[#Data], MATCH(B3, PatientList[DNA Number], 0), COLUMN(PatientList[Gender])), "")</f>
        <v>Male</v>
      </c>
      <c r="D3" s="121" t="str" cm="1">
        <f t="array" ref="D3">IFERROR(LOOKUP(2, 1/(('Patient List'!D$2:D$13='Helper Table'!A3)*(RIGHT('Patient List'!I$2:I$13, 2)=".3")), 'Patient List'!I$2:I$13), "")</f>
        <v>24BH-303MP0005.3</v>
      </c>
      <c r="E3" t="str" cm="1">
        <f t="array" ref="E3">IFERROR(INDEX(PatientList[#Data], MATCH(D3, PatientList[DNA Number], 0), COLUMN(PatientList[Gender])), "")</f>
        <v>Male</v>
      </c>
      <c r="F3" t="str">
        <f t="shared" ref="F3" si="0">IF(AND(C3="", E3=""), "", IF(TRIM(C3)=TRIM(E3), "Y", "CHECK"))</f>
        <v>Y</v>
      </c>
      <c r="H3" t="str" cm="1">
        <f t="array" ref="H3">IF(B3="", "", IFERROR(LEFT(INDEX(PatientList[#Data], MATCH(B3, PatientList[DNA Number], 0), COLUMN(PatientList[Notes])), SEARCH("%", INDEX(PatientList[#Data], MATCH(B3, PatientList[DNA Number], 0), COLUMN(PatientList[Notes])))-1), "Missing"))</f>
        <v>Missing</v>
      </c>
      <c r="I3" s="121" t="str" cm="1">
        <f t="array" ref="I3">IFERROR(LOOKUP(2, 1/(('Patient List'!D$2:D$13='Helper Table'!A3)*(RIGHT('Patient List'!I$2:I$13, 2)=".2")), 'Patient List'!J$2:J$13), "")</f>
        <v>Blue</v>
      </c>
      <c r="J3" s="107" t="str" cm="1">
        <f t="array" ref="J3">INDEX(Color[#Data], MATCH(I3, Color[Color], 0), COLUMN(Color[Abbr]))</f>
        <v>BL</v>
      </c>
      <c r="K3" s="121" t="str" cm="1">
        <f t="array" ref="K3">IFERROR(LOOKUP(2, 1/(('Patient List'!D$2:D$13='Helper Table'!A3)*(RIGHT('Patient List'!I$2:I$13, 2)=".3")), 'Patient List'!J$2:J$13), "")</f>
        <v>Purple</v>
      </c>
      <c r="L3" s="107" t="str" cm="1">
        <f t="array" ref="L3">INDEX(Color[#Data], MATCH(K3, Color[Color], 0), COLUMN(Color[Abbr]))</f>
        <v>PP</v>
      </c>
      <c r="N3" s="121" t="str" cm="1">
        <f t="array" ref="N3">INDEX(PatientList[#Data], MATCH(B3, PatientList[DNA Number], 0), COLUMN(PatientList[Last Name]))</f>
        <v>CCVThree-CMOL</v>
      </c>
      <c r="O3" s="121" t="str" cm="1">
        <f t="array" ref="O3">INDEX(PatientList[#Data], MATCH(B3, PatientList[DNA Number], 0), COLUMN(PatientList[First Name]))</f>
        <v xml:space="preserve"> Randall Stg</v>
      </c>
    </row>
    <row r="4" spans="1:15" x14ac:dyDescent="0.25">
      <c r="A4" t="str">
        <v>F6496</v>
      </c>
      <c r="B4" s="121" t="str" cm="1">
        <f t="array" ref="B4">IFERROR(LOOKUP(2, 1/(('Patient List'!D$2:D$13='Helper Table'!A4)*(RIGHT('Patient List'!I$2:I$13, 2)=".2")), 'Patient List'!I$2:I$13), "")</f>
        <v>F6496.2</v>
      </c>
      <c r="C4" t="str" cm="1">
        <f t="array" ref="C4">IFERROR(INDEX(PatientList[#Data], MATCH(B4, PatientList[DNA Number], 0), COLUMN(PatientList[Gender])), "")</f>
        <v>Female</v>
      </c>
      <c r="D4" s="121" t="str" cm="1">
        <f t="array" ref="D4">IFERROR(LOOKUP(2, 1/(('Patient List'!D$2:D$13='Helper Table'!A4)*(RIGHT('Patient List'!I$2:I$13, 2)=".3")), 'Patient List'!I$2:I$13), "")</f>
        <v>F6496.3</v>
      </c>
      <c r="E4" t="str" cm="1">
        <f t="array" ref="E4">IFERROR(INDEX(PatientList[#Data], MATCH(D4, PatientList[DNA Number], 0), COLUMN(PatientList[Gender])), "")</f>
        <v>Female</v>
      </c>
      <c r="F4" t="str">
        <f>IF(AND(C4="", E4=""), "", IF(TRIM(C4)=TRIM(E4), "Y", "Check Patient List"))</f>
        <v>Y</v>
      </c>
      <c r="H4" t="str" cm="1">
        <f t="array" ref="H4">IF(B4="", "", IFERROR(LEFT(INDEX(PatientList[#Data], MATCH(B4, PatientList[DNA Number], 0), COLUMN(PatientList[Notes])), SEARCH("%", INDEX(PatientList[#Data], MATCH(B4, PatientList[DNA Number], 0), COLUMN(PatientList[Notes])))-1), "Missing"))</f>
        <v>90</v>
      </c>
      <c r="I4" s="121" t="str" cm="1">
        <f t="array" ref="I4">IFERROR(LOOKUP(2, 1/(('Patient List'!D$2:D$13='Helper Table'!A4)*(RIGHT('Patient List'!I$2:I$13, 2)=".2")), 'Patient List'!J$2:J$13), "")</f>
        <v>Orange</v>
      </c>
      <c r="J4" s="107" t="str" cm="1">
        <f t="array" ref="J4">INDEX(Color[#Data], MATCH(I4, Color[Color], 0), COLUMN(Color[Abbr]))</f>
        <v>OR</v>
      </c>
      <c r="K4" s="121" t="str" cm="1">
        <f t="array" ref="K4">IFERROR(LOOKUP(2, 1/(('Patient List'!D$2:D$13='Helper Table'!A4)*(RIGHT('Patient List'!I$2:I$13, 2)=".3")), 'Patient List'!J$2:J$13), "")</f>
        <v>Yellow</v>
      </c>
      <c r="L4" s="107" t="str" cm="1">
        <f t="array" ref="L4">INDEX(Color[#Data], MATCH(K4, Color[Color], 0), COLUMN(Color[Abbr]))</f>
        <v>YW</v>
      </c>
      <c r="N4" s="121" t="str" cm="1">
        <f t="array" ref="N4">INDEX(PatientList[#Data], MATCH(B4, PatientList[DNA Number], 0), COLUMN(PatientList[Last Name]))</f>
        <v>Backus</v>
      </c>
      <c r="O4" s="121" t="str" cm="1">
        <f t="array" ref="O4">INDEX(PatientList[#Data], MATCH(B4, PatientList[DNA Number], 0), COLUMN(PatientList[First Name]))</f>
        <v>Joyce</v>
      </c>
    </row>
    <row r="5" spans="1:15" x14ac:dyDescent="0.25">
      <c r="A5" t="str">
        <v>M7797</v>
      </c>
      <c r="B5" s="121" t="str" cm="1">
        <f t="array" ref="B5">IFERROR(LOOKUP(2, 1/(('Patient List'!D$2:D$13='Helper Table'!A5)*(RIGHT('Patient List'!I$2:I$13, 2)=".2")), 'Patient List'!I$2:I$13), "")</f>
        <v>M7797.2</v>
      </c>
      <c r="C5" t="str" cm="1">
        <f t="array" ref="C5">IFERROR(INDEX(PatientList[#Data], MATCH(B5, PatientList[DNA Number], 0), COLUMN(PatientList[Gender])), "")</f>
        <v>Male</v>
      </c>
      <c r="D5" s="121" t="str" cm="1">
        <f t="array" ref="D5">IFERROR(LOOKUP(2, 1/(('Patient List'!D$2:D$13='Helper Table'!A5)*(RIGHT('Patient List'!I$2:I$13, 2)=".3")), 'Patient List'!I$2:I$13), "")</f>
        <v>M7797.3</v>
      </c>
      <c r="E5" t="str" cm="1">
        <f t="array" ref="E5">IFERROR(INDEX(PatientList[#Data], MATCH(D5, PatientList[DNA Number], 0), COLUMN(PatientList[Gender])), "")</f>
        <v>Male</v>
      </c>
      <c r="F5" t="str">
        <f t="shared" ref="F5:F9" si="1">IF(AND(C5="", E5=""), "", IF(TRIM(C5)=TRIM(E5), "Y", "Check Patient List"))</f>
        <v>Y</v>
      </c>
      <c r="H5" t="str" cm="1">
        <f t="array" ref="H5">IF(B5="", "", IFERROR(LEFT(INDEX(PatientList[#Data], MATCH(B5, PatientList[DNA Number], 0), COLUMN(PatientList[Notes])), SEARCH("%", INDEX(PatientList[#Data], MATCH(B5, PatientList[DNA Number], 0), COLUMN(PatientList[Notes])))-1), "Missing"))</f>
        <v>75</v>
      </c>
      <c r="I5" s="121" t="str" cm="1">
        <f t="array" ref="I5">IFERROR(LOOKUP(2, 1/(('Patient List'!D$2:D$13='Helper Table'!A5)*(RIGHT('Patient List'!I$2:I$13, 2)=".2")), 'Patient List'!J$2:J$13), "")</f>
        <v>Brown</v>
      </c>
      <c r="J5" s="107" t="str" cm="1">
        <f t="array" ref="J5">INDEX(Color[#Data], MATCH(I5, Color[Color], 0), COLUMN(Color[Abbr]))</f>
        <v>BN</v>
      </c>
      <c r="K5" s="121" t="str" cm="1">
        <f t="array" ref="K5">IFERROR(LOOKUP(2, 1/(('Patient List'!D$2:D$13='Helper Table'!A5)*(RIGHT('Patient List'!I$2:I$13, 2)=".3")), 'Patient List'!J$2:J$13), "")</f>
        <v>Black</v>
      </c>
      <c r="L5" s="107" t="str" cm="1">
        <f t="array" ref="L5">INDEX(Color[#Data], MATCH(K5, Color[Color], 0), COLUMN(Color[Abbr]))</f>
        <v>BK</v>
      </c>
      <c r="N5" s="121" t="str" cm="1">
        <f t="array" ref="N5">INDEX(PatientList[#Data], MATCH(B5, PatientList[DNA Number], 0), COLUMN(PatientList[Last Name]))</f>
        <v>Berg</v>
      </c>
      <c r="O5" s="121" t="str" cm="1">
        <f t="array" ref="O5">INDEX(PatientList[#Data], MATCH(B5, PatientList[DNA Number], 0), COLUMN(PatientList[First Name]))</f>
        <v>Jerry</v>
      </c>
    </row>
    <row r="6" spans="1:15" x14ac:dyDescent="0.25">
      <c r="A6" t="str">
        <v>M7289</v>
      </c>
      <c r="B6" s="121" t="str" cm="1">
        <f t="array" ref="B6">IFERROR(LOOKUP(2, 1/(('Patient List'!D$2:D$13='Helper Table'!A6)*(RIGHT('Patient List'!I$2:I$13, 2)=".2")), 'Patient List'!I$2:I$13), "")</f>
        <v>M7289.2</v>
      </c>
      <c r="C6" t="str" cm="1">
        <f t="array" ref="C6">IFERROR(INDEX(PatientList[#Data], MATCH(B6, PatientList[DNA Number], 0), COLUMN(PatientList[Gender])), "")</f>
        <v>Female</v>
      </c>
      <c r="D6" s="121" t="str" cm="1">
        <f t="array" ref="D6">IFERROR(LOOKUP(2, 1/(('Patient List'!D$2:D$13='Helper Table'!A6)*(RIGHT('Patient List'!I$2:I$13, 2)=".3")), 'Patient List'!I$2:I$13), "")</f>
        <v>M7289.3</v>
      </c>
      <c r="E6" t="str" cm="1">
        <f t="array" ref="E6">IFERROR(INDEX(PatientList[#Data], MATCH(D6, PatientList[DNA Number], 0), COLUMN(PatientList[Gender])), "")</f>
        <v>Female</v>
      </c>
      <c r="F6" t="str">
        <f t="shared" si="1"/>
        <v>Y</v>
      </c>
      <c r="H6" t="str" cm="1">
        <f t="array" ref="H6">IF(B6="", "", IFERROR(LEFT(INDEX(PatientList[#Data], MATCH(B6, PatientList[DNA Number], 0), COLUMN(PatientList[Notes])), SEARCH("%", INDEX(PatientList[#Data], MATCH(B6, PatientList[DNA Number], 0), COLUMN(PatientList[Notes])))-1), "Missing"))</f>
        <v>10</v>
      </c>
      <c r="I6" s="121" t="str" cm="1">
        <f t="array" ref="I6">IFERROR(LOOKUP(2, 1/(('Patient List'!D$2:D$13='Helper Table'!A6)*(RIGHT('Patient List'!I$2:I$13, 2)=".2")), 'Patient List'!J$2:J$13), "")</f>
        <v>Purple</v>
      </c>
      <c r="J6" s="107" t="str" cm="1">
        <f t="array" ref="J6">INDEX(Color[#Data], MATCH(I6, Color[Color], 0), COLUMN(Color[Abbr]))</f>
        <v>PP</v>
      </c>
      <c r="K6" s="121" t="str" cm="1">
        <f t="array" ref="K6">IFERROR(LOOKUP(2, 1/(('Patient List'!D$2:D$13='Helper Table'!A6)*(RIGHT('Patient List'!I$2:I$13, 2)=".3")), 'Patient List'!J$2:J$13), "")</f>
        <v>Yellow</v>
      </c>
      <c r="L6" s="107" t="str" cm="1">
        <f t="array" ref="L6">INDEX(Color[#Data], MATCH(K6, Color[Color], 0), COLUMN(Color[Abbr]))</f>
        <v>YW</v>
      </c>
      <c r="N6" s="121" t="str" cm="1">
        <f t="array" ref="N6">INDEX(PatientList[#Data], MATCH(B6, PatientList[DNA Number], 0), COLUMN(PatientList[Last Name]))</f>
        <v>Rizer</v>
      </c>
      <c r="O6" s="121" t="str" cm="1">
        <f t="array" ref="O6">INDEX(PatientList[#Data], MATCH(B6, PatientList[DNA Number], 0), COLUMN(PatientList[First Name]))</f>
        <v>Ruth</v>
      </c>
    </row>
    <row r="7" spans="1:15" x14ac:dyDescent="0.25">
      <c r="A7" t="str">
        <v>T74301</v>
      </c>
      <c r="B7" s="121" t="str" cm="1">
        <f t="array" ref="B7">IFERROR(LOOKUP(2, 1/(('Patient List'!D$2:D$13='Helper Table'!A7)*(RIGHT('Patient List'!I$2:I$13, 2)=".2")), 'Patient List'!I$2:I$13), "")</f>
        <v>T74301.2</v>
      </c>
      <c r="C7" t="str" cm="1">
        <f t="array" ref="C7">IFERROR(INDEX(PatientList[#Data], MATCH(B7, PatientList[DNA Number], 0), COLUMN(PatientList[Gender])), "")</f>
        <v>Female</v>
      </c>
      <c r="D7" s="121" t="str" cm="1">
        <f t="array" ref="D7">IFERROR(LOOKUP(2, 1/(('Patient List'!D$2:D$13='Helper Table'!A7)*(RIGHT('Patient List'!I$2:I$13, 2)=".3")), 'Patient List'!I$2:I$13), "")</f>
        <v>T74301.3</v>
      </c>
      <c r="E7" t="str" cm="1">
        <f t="array" ref="E7">IFERROR(INDEX(PatientList[#Data], MATCH(D7, PatientList[DNA Number], 0), COLUMN(PatientList[Gender])), "")</f>
        <v>Female</v>
      </c>
      <c r="F7" t="str">
        <f t="shared" si="1"/>
        <v>Y</v>
      </c>
      <c r="H7" t="str" cm="1">
        <f t="array" ref="H7">IF(B7="", "", IFERROR(LEFT(INDEX(PatientList[#Data], MATCH(B7, PatientList[DNA Number], 0), COLUMN(PatientList[Notes])), SEARCH("%", INDEX(PatientList[#Data], MATCH(B7, PatientList[DNA Number], 0), COLUMN(PatientList[Notes])))-1), "Missing"))</f>
        <v>50</v>
      </c>
      <c r="I7" s="121" t="str" cm="1">
        <f t="array" ref="I7">IFERROR(LOOKUP(2, 1/(('Patient List'!D$2:D$13='Helper Table'!A7)*(RIGHT('Patient List'!I$2:I$13, 2)=".2")), 'Patient List'!J$2:J$13), "")</f>
        <v>Blue</v>
      </c>
      <c r="J7" s="107" t="str" cm="1">
        <f t="array" ref="J7">INDEX(Color[#Data], MATCH(I7, Color[Color], 0), COLUMN(Color[Abbr]))</f>
        <v>BL</v>
      </c>
      <c r="K7" s="121" t="str" cm="1">
        <f t="array" ref="K7">IFERROR(LOOKUP(2, 1/(('Patient List'!D$2:D$13='Helper Table'!A7)*(RIGHT('Patient List'!I$2:I$13, 2)=".3")), 'Patient List'!J$2:J$13), "")</f>
        <v>Orange</v>
      </c>
      <c r="L7" s="107" t="str" cm="1">
        <f t="array" ref="L7">INDEX(Color[#Data], MATCH(K7, Color[Color], 0), COLUMN(Color[Abbr]))</f>
        <v>OR</v>
      </c>
      <c r="N7" s="121" t="str" cm="1">
        <f t="array" ref="N7">INDEX(PatientList[#Data], MATCH(B7, PatientList[DNA Number], 0), COLUMN(PatientList[Last Name]))</f>
        <v>Saunders</v>
      </c>
      <c r="O7" s="121" t="str" cm="1">
        <f t="array" ref="O7">INDEX(PatientList[#Data], MATCH(B7, PatientList[DNA Number], 0), COLUMN(PatientList[First Name]))</f>
        <v>Kelley</v>
      </c>
    </row>
    <row r="8" spans="1:15" x14ac:dyDescent="0.25">
      <c r="B8" t="str" cm="1">
        <f t="array" ref="B8">IFERROR(LOOKUP(2, 1/(('Patient List'!D$2:D$13='Helper Table'!A8)*(LEFT('Patient List'!I$2:I$13, 1)="D")), 'Patient List'!I$2:I$13), "")</f>
        <v/>
      </c>
      <c r="C8" t="str" cm="1">
        <f t="array" ref="C8">IFERROR(INDEX(PatientList[#Data], MATCH(B8, PatientList[DNA Number], 0), COLUMN(PatientList[Gender])), "")</f>
        <v/>
      </c>
      <c r="D8" t="str" cm="1">
        <f t="array" ref="D8">IFERROR(LOOKUP(2, 1/(('Patient List'!D$2:D$13='Helper Table'!A8)*(LEFT('Patient List'!I$2:I$13, 1)="R")), 'Patient List'!I$2:I$13), "")</f>
        <v/>
      </c>
      <c r="E8" t="str" cm="1">
        <f t="array" ref="E8">IFERROR(INDEX(PatientList[#Data], MATCH(D8, PatientList[DNA Number], 0), COLUMN(PatientList[Gender])), "")</f>
        <v/>
      </c>
      <c r="F8" t="str">
        <f t="shared" si="1"/>
        <v/>
      </c>
      <c r="H8" t="str" cm="1">
        <f t="array" ref="H8">IF(B8="", "", IFERROR(LEFT(INDEX(PatientList[#Data], MATCH(B8, PatientList[DNA Number], 0), COLUMN(PatientList[Notes])), SEARCH("%", INDEX(PatientList[#Data], MATCH(B8, PatientList[DNA Number], 0), COLUMN(PatientList[Notes])))-1), "Missing"))</f>
        <v/>
      </c>
      <c r="I8" t="str">
        <f>'Run Record'!E25</f>
        <v>Black</v>
      </c>
      <c r="J8" s="107" t="str" cm="1">
        <f t="array" ref="J8">INDEX(Color[#Data], MATCH(I8, Color[Color], 0), COLUMN(Color[Abbr]))</f>
        <v>BK</v>
      </c>
      <c r="K8" t="str">
        <f>'Run Record'!E26</f>
        <v>Black</v>
      </c>
      <c r="L8" s="107" t="str" cm="1">
        <f t="array" ref="L8">INDEX(Color[#Data], MATCH(K8, Color[Color], 0), COLUMN(Color[Abbr]))</f>
        <v>BK</v>
      </c>
      <c r="N8" s="121"/>
      <c r="O8" s="121"/>
    </row>
    <row r="9" spans="1:15" x14ac:dyDescent="0.25">
      <c r="B9" t="str" cm="1">
        <f t="array" ref="B9">IFERROR(LOOKUP(2, 1/(('Patient List'!D$2:D$13='Helper Table'!A9)*(LEFT('Patient List'!I$2:I$13, 1)="D")), 'Patient List'!I$2:I$13), "")</f>
        <v/>
      </c>
      <c r="C9" t="str" cm="1">
        <f t="array" ref="C9">IFERROR(INDEX(PatientList[#Data], MATCH(B9, PatientList[DNA Number], 0), COLUMN(PatientList[Gender])), "")</f>
        <v/>
      </c>
      <c r="D9" t="str" cm="1">
        <f t="array" ref="D9">IFERROR(LOOKUP(2, 1/(('Patient List'!D$2:D$13='Helper Table'!A9)*(LEFT('Patient List'!I$2:I$13, 1)="R")), 'Patient List'!I$2:I$13), "")</f>
        <v/>
      </c>
      <c r="E9" t="str" cm="1">
        <f t="array" ref="E9">IFERROR(INDEX(PatientList[#Data], MATCH(D9, PatientList[DNA Number], 0), COLUMN(PatientList[Gender])), "")</f>
        <v/>
      </c>
      <c r="F9" t="str">
        <f t="shared" si="1"/>
        <v/>
      </c>
      <c r="H9" t="str" cm="1">
        <f t="array" ref="H9">IF(B9="", "", IFERROR(LEFT(INDEX(PatientList[#Data], MATCH(B9, PatientList[DNA Number], 0), COLUMN(PatientList[Notes])), SEARCH("%", INDEX(PatientList[#Data], MATCH(B9, PatientList[DNA Number], 0), COLUMN(PatientList[Notes])))-1), "Missing"))</f>
        <v/>
      </c>
    </row>
    <row r="10" spans="1:15" x14ac:dyDescent="0.25">
      <c r="B10" t="str" cm="1">
        <f t="array" ref="B10">IF(OR(A10=0, ISBLANK(A10)), "", IFERROR(INDEX('Patient List'!I$2:I$13, SUMPRODUCT(('Patient List'!D$2:D$13=A10)*(LEFT('Patient List'!I$2:I$13, 1)="D")*ROW('Patient List'!I$2:I$13))), "CHECK"))</f>
        <v/>
      </c>
    </row>
    <row r="11" spans="1:15" x14ac:dyDescent="0.25">
      <c r="B11" t="str" cm="1">
        <f t="array" ref="B11">IF(OR(A11=0, ISBLANK(A11)), "", IFERROR(INDEX('Patient List'!I$2:I$13, SUMPRODUCT(('Patient List'!D$2:D$13=A11)*(LEFT('Patient List'!I$2:I$13, 1)="D")*ROW('Patient List'!I$2:I$13))), "CHECK"))</f>
        <v/>
      </c>
    </row>
    <row r="12" spans="1:15" x14ac:dyDescent="0.25">
      <c r="B12" t="str" cm="1">
        <f t="array" ref="B12">IF(OR(A12=0, ISBLANK(A12)), "", IFERROR(INDEX('Patient List'!I$2:I$13, SUMPRODUCT(('Patient List'!D$2:D$13=A12)*(LEFT('Patient List'!I$2:I$13, 1)="D")*ROW('Patient List'!I$2:I$13))), "CHECK"))</f>
        <v/>
      </c>
    </row>
    <row r="13" spans="1:15" x14ac:dyDescent="0.25">
      <c r="B13" t="str" cm="1">
        <f t="array" ref="B13">IF(OR(A13=0, ISBLANK(A13)), "", IFERROR(INDEX('Patient List'!I$2:I$13, SUMPRODUCT(('Patient List'!D$2:D$13=A13)*(LEFT('Patient List'!I$2:I$13, 1)="D")*ROW('Patient List'!I$2:I$13))), "CHECK"))</f>
        <v/>
      </c>
    </row>
    <row r="14" spans="1:15" x14ac:dyDescent="0.25">
      <c r="B14" t="str" cm="1">
        <f t="array" ref="B14">IF(OR(A14=0, ISBLANK(A14)), "", IFERROR(INDEX('Patient List'!I$2:I$13, SUMPRODUCT(('Patient List'!D$2:D$13=A14)*(LEFT('Patient List'!I$2:I$13, 1)="D")*ROW('Patient List'!I$2:I$13))), "CHECK"))</f>
        <v/>
      </c>
    </row>
    <row r="15" spans="1:15" x14ac:dyDescent="0.25">
      <c r="B15" t="str" cm="1">
        <f t="array" ref="B15">IF(OR(A15=0, ISBLANK(A15)), "", IFERROR(INDEX('Patient List'!I$2:I$13, SUMPRODUCT(('Patient List'!D$2:D$13=A15)*(LEFT('Patient List'!I$2:I$13, 1)="D")*ROW('Patient List'!I$2:I$13))), "CHECK"))</f>
        <v/>
      </c>
    </row>
    <row r="16" spans="1:15" x14ac:dyDescent="0.25">
      <c r="B16" t="str" cm="1">
        <f t="array" ref="B16">IF(OR(A16=0, ISBLANK(A16)), "", IFERROR(INDEX('Patient List'!I$2:I$13, SUMPRODUCT(('Patient List'!D$2:D$13=A16)*(LEFT('Patient List'!I$2:I$13, 1)="D")*ROW('Patient List'!I$2:I$13))), "CHECK"))</f>
        <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099A2-3B1E-4D00-8830-CAACE5B273F4}">
  <sheetPr codeName="Sheet15"/>
  <dimension ref="A1:B9"/>
  <sheetViews>
    <sheetView workbookViewId="0">
      <selection activeCell="E7" sqref="E7"/>
    </sheetView>
  </sheetViews>
  <sheetFormatPr defaultRowHeight="13.8" x14ac:dyDescent="0.25"/>
  <sheetData>
    <row r="1" spans="1:2" x14ac:dyDescent="0.25">
      <c r="A1" t="s">
        <v>8</v>
      </c>
      <c r="B1" t="s">
        <v>319</v>
      </c>
    </row>
    <row r="2" spans="1:2" x14ac:dyDescent="0.25">
      <c r="A2" t="s">
        <v>215</v>
      </c>
      <c r="B2" t="s">
        <v>320</v>
      </c>
    </row>
    <row r="3" spans="1:2" x14ac:dyDescent="0.25">
      <c r="A3" t="s">
        <v>249</v>
      </c>
      <c r="B3" t="s">
        <v>321</v>
      </c>
    </row>
    <row r="4" spans="1:2" x14ac:dyDescent="0.25">
      <c r="A4" t="s">
        <v>157</v>
      </c>
      <c r="B4" t="s">
        <v>323</v>
      </c>
    </row>
    <row r="5" spans="1:2" x14ac:dyDescent="0.25">
      <c r="A5" t="s">
        <v>270</v>
      </c>
      <c r="B5" t="s">
        <v>324</v>
      </c>
    </row>
    <row r="6" spans="1:2" x14ac:dyDescent="0.25">
      <c r="A6" t="s">
        <v>187</v>
      </c>
      <c r="B6" t="s">
        <v>325</v>
      </c>
    </row>
    <row r="7" spans="1:2" x14ac:dyDescent="0.25">
      <c r="A7" t="s">
        <v>269</v>
      </c>
      <c r="B7" t="s">
        <v>326</v>
      </c>
    </row>
    <row r="8" spans="1:2" x14ac:dyDescent="0.25">
      <c r="A8" t="s">
        <v>160</v>
      </c>
      <c r="B8" t="s">
        <v>322</v>
      </c>
    </row>
    <row r="9" spans="1:2" x14ac:dyDescent="0.25">
      <c r="A9" t="s">
        <v>186</v>
      </c>
      <c r="B9" t="s">
        <v>327</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39EFC-3068-40E1-BA1E-084DE3454176}">
  <sheetPr codeName="Sheet16"/>
  <dimension ref="A1:A6"/>
  <sheetViews>
    <sheetView workbookViewId="0">
      <selection activeCell="A3" sqref="A3"/>
    </sheetView>
  </sheetViews>
  <sheetFormatPr defaultColWidth="9.125" defaultRowHeight="13.8" x14ac:dyDescent="0.25"/>
  <cols>
    <col min="1" max="1" width="15" style="121" bestFit="1" customWidth="1"/>
    <col min="2" max="16384" width="9.125" style="121"/>
  </cols>
  <sheetData>
    <row r="1" spans="1:1" x14ac:dyDescent="0.25">
      <c r="A1" s="121" t="str">
        <f>IF(ISBLANK('Helper Table'!A2), ,  'Helper Table'!B2&amp;"_"&amp;'Helper Table'!A2)</f>
        <v>24BH-303MP0006.2_24BH-303MP0006</v>
      </c>
    </row>
    <row r="2" spans="1:1" x14ac:dyDescent="0.25">
      <c r="A2" s="121" t="str">
        <f>IF(ISBLANK('Helper Table'!A3), ,  'Helper Table'!B3&amp;"_"&amp;'Helper Table'!A3)</f>
        <v>24BH-303MP0005.2_24BH-303MP0005</v>
      </c>
    </row>
    <row r="3" spans="1:1" x14ac:dyDescent="0.25">
      <c r="A3" s="121" t="str">
        <f>IF(ISBLANK('Helper Table'!A4), ,  'Helper Table'!B4&amp;"_"&amp;'Helper Table'!A4)</f>
        <v>F6496.2_F6496</v>
      </c>
    </row>
    <row r="4" spans="1:1" x14ac:dyDescent="0.25">
      <c r="A4" s="121" t="str">
        <f>IF(ISBLANK('Helper Table'!A5), ,  'Helper Table'!B5&amp;"_"&amp;'Helper Table'!A5)</f>
        <v>M7797.2_M7797</v>
      </c>
    </row>
    <row r="5" spans="1:1" x14ac:dyDescent="0.25">
      <c r="A5" s="121" t="str">
        <f>IF(ISBLANK('Helper Table'!A6), ,  'Helper Table'!B6&amp;"_"&amp;'Helper Table'!A6)</f>
        <v>M7289.2_M7289</v>
      </c>
    </row>
    <row r="6" spans="1:1" x14ac:dyDescent="0.25">
      <c r="A6" s="121" t="str">
        <f>IF(ISBLANK('Helper Table'!A7), ,  'Helper Table'!B7&amp;"_"&amp;'Helper Table'!A7)</f>
        <v>T74301.2_T74301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E4DF9-F6A7-4E6D-8D8B-4A6B4BDFCCD9}">
  <sheetPr codeName="Sheet17"/>
  <dimension ref="A1:A6"/>
  <sheetViews>
    <sheetView workbookViewId="0">
      <selection activeCell="A5" sqref="A5"/>
    </sheetView>
  </sheetViews>
  <sheetFormatPr defaultColWidth="9.125" defaultRowHeight="13.8" x14ac:dyDescent="0.25"/>
  <cols>
    <col min="1" max="16384" width="9.125" style="121"/>
  </cols>
  <sheetData>
    <row r="1" spans="1:1" x14ac:dyDescent="0.25">
      <c r="A1" s="121" t="str">
        <f>"CCPGP_"&amp;'Helper Table'!B2&amp;"-"&amp;'Helper Table'!N2&amp;", "&amp;'Helper Table'!O2</f>
        <v>CCPGP_24BH-303MP0006.2-Bkrccv,  Bh Cmol</v>
      </c>
    </row>
    <row r="2" spans="1:1" x14ac:dyDescent="0.25">
      <c r="A2" s="121" t="str">
        <f>"CCPGP_"&amp;'Helper Table'!B3&amp;"-"&amp;'Helper Table'!N3&amp;", "&amp;'Helper Table'!O3</f>
        <v>CCPGP_24BH-303MP0005.2-CCVThree-CMOL,  Randall Stg</v>
      </c>
    </row>
    <row r="3" spans="1:1" x14ac:dyDescent="0.25">
      <c r="A3" s="121" t="str">
        <f>"CCPGP_"&amp;'Helper Table'!B4&amp;"-"&amp;'Helper Table'!N4&amp;", "&amp;'Helper Table'!O4</f>
        <v>CCPGP_F6496.2-Backus, Joyce</v>
      </c>
    </row>
    <row r="4" spans="1:1" x14ac:dyDescent="0.25">
      <c r="A4" s="121" t="str">
        <f>"CCPGP_"&amp;'Helper Table'!B5&amp;"-"&amp;'Helper Table'!N5&amp;", "&amp;'Helper Table'!O5</f>
        <v>CCPGP_M7797.2-Berg, Jerry</v>
      </c>
    </row>
    <row r="5" spans="1:1" x14ac:dyDescent="0.25">
      <c r="A5" s="121" t="str">
        <f>"CCPGP_"&amp;'Helper Table'!B6&amp;"-"&amp;'Helper Table'!N6&amp;", "&amp;'Helper Table'!O6</f>
        <v>CCPGP_M7289.2-Rizer, Ruth</v>
      </c>
    </row>
    <row r="6" spans="1:1" x14ac:dyDescent="0.25">
      <c r="A6" s="121" t="str">
        <f>"CCPGP_"&amp;'Helper Table'!B7&amp;"-"&amp;'Helper Table'!N7&amp;", "&amp;'Helper Table'!O7</f>
        <v>CCPGP_T74301.2-Saunders, Kelley</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AE065-ED9D-4D20-A43C-C1527897A3DA}">
  <sheetPr codeName="Sheet6"/>
  <dimension ref="A1:D4"/>
  <sheetViews>
    <sheetView workbookViewId="0">
      <selection activeCell="B8" sqref="B8"/>
    </sheetView>
  </sheetViews>
  <sheetFormatPr defaultRowHeight="13.8" x14ac:dyDescent="0.25"/>
  <cols>
    <col min="2" max="2" width="124" bestFit="1" customWidth="1"/>
    <col min="3" max="3" width="14.25" bestFit="1" customWidth="1"/>
  </cols>
  <sheetData>
    <row r="1" spans="1:4" x14ac:dyDescent="0.25">
      <c r="A1" t="s">
        <v>142</v>
      </c>
      <c r="B1" t="s">
        <v>143</v>
      </c>
      <c r="C1" t="s">
        <v>144</v>
      </c>
      <c r="D1" t="s">
        <v>145</v>
      </c>
    </row>
    <row r="2" spans="1:4" x14ac:dyDescent="0.25">
      <c r="A2" t="s">
        <v>332</v>
      </c>
      <c r="B2" t="s">
        <v>146</v>
      </c>
    </row>
    <row r="3" spans="1:4" x14ac:dyDescent="0.25">
      <c r="A3" t="s">
        <v>331</v>
      </c>
      <c r="B3" t="s">
        <v>181</v>
      </c>
      <c r="C3" s="57">
        <v>44838</v>
      </c>
      <c r="D3" t="s">
        <v>182</v>
      </c>
    </row>
    <row r="4" spans="1:4" x14ac:dyDescent="0.25">
      <c r="A4" t="s">
        <v>330</v>
      </c>
      <c r="B4" t="s">
        <v>329</v>
      </c>
      <c r="C4" s="57">
        <v>45180</v>
      </c>
      <c r="D4" t="s">
        <v>182</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277ECE-EA1B-4D40-8D76-490946D6E32C}">
  <sheetPr codeName="Sheet13"/>
  <dimension ref="A1:AW51"/>
  <sheetViews>
    <sheetView workbookViewId="0">
      <selection activeCell="L45" sqref="L45"/>
    </sheetView>
  </sheetViews>
  <sheetFormatPr defaultRowHeight="13.8" x14ac:dyDescent="0.25"/>
  <cols>
    <col min="2" max="2" width="18.375" customWidth="1"/>
    <col min="4" max="4" width="11.625" customWidth="1"/>
    <col min="8" max="8" width="19.75" customWidth="1"/>
    <col min="11" max="11" width="16.875" customWidth="1"/>
    <col min="12" max="12" width="22.875" customWidth="1"/>
    <col min="21" max="21" width="37.75" customWidth="1"/>
    <col min="22" max="22" width="21.875" customWidth="1"/>
    <col min="23" max="23" width="20.75" customWidth="1"/>
    <col min="24" max="24" width="19.125" customWidth="1"/>
    <col min="41" max="41" width="21.375" customWidth="1"/>
  </cols>
  <sheetData>
    <row r="1" spans="1:49" x14ac:dyDescent="0.25">
      <c r="A1" t="s">
        <v>188</v>
      </c>
    </row>
    <row r="3" spans="1:49" x14ac:dyDescent="0.25">
      <c r="H3" t="s">
        <v>214</v>
      </c>
    </row>
    <row r="4" spans="1:49" x14ac:dyDescent="0.25">
      <c r="H4" t="s">
        <v>189</v>
      </c>
    </row>
    <row r="6" spans="1:49" ht="29.25" customHeight="1" x14ac:dyDescent="0.25">
      <c r="A6" t="s">
        <v>35</v>
      </c>
      <c r="B6" t="s">
        <v>0</v>
      </c>
      <c r="C6" t="s">
        <v>1</v>
      </c>
      <c r="D6" t="s">
        <v>2</v>
      </c>
      <c r="E6" t="s">
        <v>3</v>
      </c>
      <c r="F6" t="s">
        <v>4</v>
      </c>
      <c r="G6" t="s">
        <v>5</v>
      </c>
      <c r="H6" t="s">
        <v>6</v>
      </c>
      <c r="I6" t="s">
        <v>190</v>
      </c>
      <c r="J6" t="s">
        <v>8</v>
      </c>
      <c r="K6" t="s">
        <v>9</v>
      </c>
      <c r="L6" t="s">
        <v>10</v>
      </c>
      <c r="M6" t="s">
        <v>11</v>
      </c>
      <c r="N6" t="s">
        <v>12</v>
      </c>
      <c r="O6" t="s">
        <v>13</v>
      </c>
      <c r="P6" t="s">
        <v>14</v>
      </c>
      <c r="Q6" t="s">
        <v>191</v>
      </c>
      <c r="R6" t="s">
        <v>16</v>
      </c>
      <c r="S6" t="s">
        <v>17</v>
      </c>
      <c r="T6" t="s">
        <v>192</v>
      </c>
      <c r="U6" t="s">
        <v>19</v>
      </c>
      <c r="V6" t="s">
        <v>20</v>
      </c>
      <c r="W6" t="s">
        <v>22</v>
      </c>
      <c r="X6" t="s">
        <v>193</v>
      </c>
      <c r="Y6" t="s">
        <v>21</v>
      </c>
      <c r="Z6" t="s">
        <v>24</v>
      </c>
      <c r="AA6" t="s">
        <v>25</v>
      </c>
      <c r="AB6" t="s">
        <v>194</v>
      </c>
      <c r="AC6" t="s">
        <v>195</v>
      </c>
      <c r="AD6" t="s">
        <v>196</v>
      </c>
      <c r="AE6" t="s">
        <v>197</v>
      </c>
      <c r="AF6" t="s">
        <v>198</v>
      </c>
      <c r="AG6" t="s">
        <v>199</v>
      </c>
      <c r="AH6" t="s">
        <v>200</v>
      </c>
      <c r="AI6" t="s">
        <v>201</v>
      </c>
      <c r="AJ6" t="s">
        <v>202</v>
      </c>
      <c r="AK6" t="s">
        <v>203</v>
      </c>
      <c r="AL6" t="s">
        <v>204</v>
      </c>
      <c r="AM6" t="s">
        <v>205</v>
      </c>
      <c r="AN6" t="s">
        <v>206</v>
      </c>
      <c r="AO6" t="s">
        <v>207</v>
      </c>
      <c r="AP6" t="s">
        <v>208</v>
      </c>
      <c r="AQ6" t="s">
        <v>111</v>
      </c>
      <c r="AR6" t="s">
        <v>209</v>
      </c>
      <c r="AS6" t="s">
        <v>32</v>
      </c>
      <c r="AT6" t="s">
        <v>88</v>
      </c>
      <c r="AU6" t="s">
        <v>210</v>
      </c>
      <c r="AV6" t="s">
        <v>211</v>
      </c>
      <c r="AW6" t="s">
        <v>212</v>
      </c>
    </row>
    <row r="7" spans="1:49" s="128" customFormat="1" x14ac:dyDescent="0.25">
      <c r="A7" s="127" t="s">
        <v>261</v>
      </c>
      <c r="B7" s="127" t="s">
        <v>261</v>
      </c>
      <c r="D7" s="128" t="s">
        <v>221</v>
      </c>
      <c r="G7" s="128" t="s">
        <v>169</v>
      </c>
      <c r="H7" s="128" t="s">
        <v>222</v>
      </c>
      <c r="I7" s="128" t="s">
        <v>223</v>
      </c>
      <c r="J7" s="128" t="s">
        <v>187</v>
      </c>
      <c r="M7" s="128" t="s">
        <v>224</v>
      </c>
      <c r="N7" s="128" t="s">
        <v>151</v>
      </c>
      <c r="O7" s="128" t="s">
        <v>178</v>
      </c>
      <c r="P7" s="128" t="s">
        <v>152</v>
      </c>
      <c r="Q7" s="128" t="s">
        <v>175</v>
      </c>
      <c r="R7" s="128" t="s">
        <v>225</v>
      </c>
      <c r="S7" s="128" t="s">
        <v>226</v>
      </c>
      <c r="U7" s="128" t="s">
        <v>176</v>
      </c>
      <c r="AA7" s="128" t="s">
        <v>227</v>
      </c>
      <c r="AF7" s="128" t="s">
        <v>228</v>
      </c>
      <c r="AG7" s="128" t="s">
        <v>229</v>
      </c>
      <c r="AH7" s="128" t="s">
        <v>230</v>
      </c>
      <c r="AO7" s="128">
        <v>44977</v>
      </c>
      <c r="AP7" s="128" t="s">
        <v>177</v>
      </c>
      <c r="AQ7" s="128">
        <v>55.3</v>
      </c>
    </row>
    <row r="8" spans="1:49" s="128" customFormat="1" x14ac:dyDescent="0.25">
      <c r="A8" s="127" t="s">
        <v>262</v>
      </c>
      <c r="B8" s="127" t="s">
        <v>262</v>
      </c>
      <c r="D8" s="128" t="s">
        <v>221</v>
      </c>
      <c r="G8" s="128" t="s">
        <v>169</v>
      </c>
      <c r="H8" s="128" t="s">
        <v>222</v>
      </c>
      <c r="I8" s="128" t="s">
        <v>231</v>
      </c>
      <c r="J8" s="128" t="s">
        <v>215</v>
      </c>
      <c r="M8" s="128" t="s">
        <v>224</v>
      </c>
      <c r="N8" s="128" t="s">
        <v>151</v>
      </c>
      <c r="O8" s="128" t="s">
        <v>178</v>
      </c>
      <c r="P8" s="128" t="s">
        <v>152</v>
      </c>
      <c r="Q8" s="128" t="s">
        <v>175</v>
      </c>
      <c r="R8" s="128" t="s">
        <v>225</v>
      </c>
      <c r="S8" s="128" t="s">
        <v>226</v>
      </c>
      <c r="U8" s="128" t="s">
        <v>176</v>
      </c>
      <c r="AA8" s="128" t="s">
        <v>227</v>
      </c>
      <c r="AF8" s="128" t="s">
        <v>228</v>
      </c>
      <c r="AG8" s="128" t="s">
        <v>229</v>
      </c>
      <c r="AH8" s="128" t="s">
        <v>230</v>
      </c>
      <c r="AO8" s="128">
        <v>44977</v>
      </c>
      <c r="AP8" s="128" t="s">
        <v>177</v>
      </c>
      <c r="AQ8" s="128">
        <v>171</v>
      </c>
    </row>
    <row r="9" spans="1:49" s="130" customFormat="1" x14ac:dyDescent="0.25">
      <c r="A9" s="129" t="s">
        <v>263</v>
      </c>
      <c r="B9" s="129" t="s">
        <v>263</v>
      </c>
      <c r="D9" s="130" t="s">
        <v>232</v>
      </c>
      <c r="G9" s="130" t="s">
        <v>169</v>
      </c>
      <c r="H9" s="130" t="s">
        <v>233</v>
      </c>
      <c r="I9" s="130" t="s">
        <v>234</v>
      </c>
      <c r="J9" s="130" t="s">
        <v>186</v>
      </c>
      <c r="M9" s="130" t="s">
        <v>224</v>
      </c>
      <c r="N9" s="130" t="s">
        <v>151</v>
      </c>
      <c r="O9" s="130" t="s">
        <v>178</v>
      </c>
      <c r="P9" s="130" t="s">
        <v>152</v>
      </c>
      <c r="Q9" s="130" t="s">
        <v>175</v>
      </c>
      <c r="R9" s="130" t="s">
        <v>184</v>
      </c>
      <c r="S9" s="130" t="s">
        <v>185</v>
      </c>
      <c r="U9" s="130" t="s">
        <v>176</v>
      </c>
      <c r="AA9" s="130" t="s">
        <v>235</v>
      </c>
      <c r="AF9" s="130" t="s">
        <v>236</v>
      </c>
      <c r="AG9" s="130" t="s">
        <v>237</v>
      </c>
      <c r="AH9" s="130" t="s">
        <v>238</v>
      </c>
      <c r="AO9" s="130">
        <v>44977</v>
      </c>
      <c r="AP9" s="130" t="s">
        <v>177</v>
      </c>
      <c r="AQ9" s="130">
        <v>36.799999999999997</v>
      </c>
    </row>
    <row r="10" spans="1:49" s="130" customFormat="1" x14ac:dyDescent="0.25">
      <c r="A10" s="129" t="s">
        <v>264</v>
      </c>
      <c r="B10" s="129" t="s">
        <v>264</v>
      </c>
      <c r="D10" s="130" t="s">
        <v>232</v>
      </c>
      <c r="G10" s="130" t="s">
        <v>169</v>
      </c>
      <c r="H10" s="130" t="s">
        <v>233</v>
      </c>
      <c r="I10" s="130" t="s">
        <v>239</v>
      </c>
      <c r="J10" s="130" t="s">
        <v>157</v>
      </c>
      <c r="M10" s="130" t="s">
        <v>224</v>
      </c>
      <c r="N10" s="130" t="s">
        <v>151</v>
      </c>
      <c r="O10" s="130" t="s">
        <v>178</v>
      </c>
      <c r="P10" s="130" t="s">
        <v>152</v>
      </c>
      <c r="Q10" s="130" t="s">
        <v>175</v>
      </c>
      <c r="R10" s="130" t="s">
        <v>184</v>
      </c>
      <c r="S10" s="130" t="s">
        <v>185</v>
      </c>
      <c r="U10" s="130" t="s">
        <v>176</v>
      </c>
      <c r="AA10" s="130" t="s">
        <v>235</v>
      </c>
      <c r="AF10" s="130" t="s">
        <v>236</v>
      </c>
      <c r="AG10" s="130" t="s">
        <v>237</v>
      </c>
      <c r="AH10" s="130" t="s">
        <v>238</v>
      </c>
      <c r="AO10" s="130">
        <v>44977</v>
      </c>
      <c r="AP10" s="130" t="s">
        <v>177</v>
      </c>
      <c r="AQ10" s="130">
        <v>116</v>
      </c>
    </row>
    <row r="11" spans="1:49" s="132" customFormat="1" x14ac:dyDescent="0.25">
      <c r="A11" s="131" t="s">
        <v>265</v>
      </c>
      <c r="B11" s="131" t="s">
        <v>265</v>
      </c>
      <c r="D11" s="132" t="s">
        <v>240</v>
      </c>
      <c r="G11" s="132" t="s">
        <v>169</v>
      </c>
      <c r="H11" s="132" t="s">
        <v>241</v>
      </c>
      <c r="I11" s="132" t="s">
        <v>242</v>
      </c>
      <c r="J11" s="132" t="s">
        <v>186</v>
      </c>
      <c r="M11" s="132" t="s">
        <v>224</v>
      </c>
      <c r="N11" s="132" t="s">
        <v>213</v>
      </c>
      <c r="O11" s="132" t="s">
        <v>178</v>
      </c>
      <c r="P11" s="132" t="s">
        <v>152</v>
      </c>
      <c r="Q11" s="132" t="s">
        <v>175</v>
      </c>
      <c r="R11" s="132" t="s">
        <v>184</v>
      </c>
      <c r="S11" s="132" t="s">
        <v>185</v>
      </c>
      <c r="U11" s="132" t="s">
        <v>176</v>
      </c>
      <c r="AA11" s="132" t="s">
        <v>227</v>
      </c>
      <c r="AG11" s="132" t="s">
        <v>243</v>
      </c>
      <c r="AH11" s="132" t="s">
        <v>244</v>
      </c>
      <c r="AO11" s="132">
        <v>44977</v>
      </c>
      <c r="AP11" s="132" t="s">
        <v>177</v>
      </c>
      <c r="AQ11" s="132">
        <v>31.4</v>
      </c>
    </row>
    <row r="12" spans="1:49" s="132" customFormat="1" x14ac:dyDescent="0.25">
      <c r="A12" s="131" t="s">
        <v>266</v>
      </c>
      <c r="B12" s="131" t="s">
        <v>266</v>
      </c>
      <c r="D12" s="132" t="s">
        <v>240</v>
      </c>
      <c r="G12" s="132" t="s">
        <v>169</v>
      </c>
      <c r="H12" s="132" t="s">
        <v>241</v>
      </c>
      <c r="I12" s="132" t="s">
        <v>245</v>
      </c>
      <c r="J12" s="132" t="s">
        <v>160</v>
      </c>
      <c r="M12" s="132" t="s">
        <v>224</v>
      </c>
      <c r="N12" s="132" t="s">
        <v>213</v>
      </c>
      <c r="O12" s="132" t="s">
        <v>178</v>
      </c>
      <c r="P12" s="132" t="s">
        <v>152</v>
      </c>
      <c r="Q12" s="132" t="s">
        <v>175</v>
      </c>
      <c r="R12" s="132" t="s">
        <v>184</v>
      </c>
      <c r="S12" s="132" t="s">
        <v>185</v>
      </c>
      <c r="U12" s="132" t="s">
        <v>176</v>
      </c>
      <c r="AA12" s="132" t="s">
        <v>227</v>
      </c>
      <c r="AG12" s="132" t="s">
        <v>243</v>
      </c>
      <c r="AH12" s="132" t="s">
        <v>244</v>
      </c>
      <c r="AO12" s="132">
        <v>44977</v>
      </c>
      <c r="AP12" s="132" t="s">
        <v>177</v>
      </c>
      <c r="AQ12" s="132">
        <v>72.400000000000006</v>
      </c>
    </row>
    <row r="13" spans="1:49" s="134" customFormat="1" x14ac:dyDescent="0.25">
      <c r="A13" s="133" t="s">
        <v>267</v>
      </c>
      <c r="B13" s="133" t="s">
        <v>267</v>
      </c>
      <c r="D13" s="134" t="s">
        <v>246</v>
      </c>
      <c r="G13" s="134" t="s">
        <v>183</v>
      </c>
      <c r="H13" s="134" t="s">
        <v>247</v>
      </c>
      <c r="I13" s="134" t="s">
        <v>248</v>
      </c>
      <c r="J13" s="134" t="s">
        <v>249</v>
      </c>
      <c r="M13" s="134" t="s">
        <v>250</v>
      </c>
      <c r="N13" s="134" t="s">
        <v>151</v>
      </c>
      <c r="O13" s="134" t="s">
        <v>178</v>
      </c>
      <c r="P13" s="134" t="s">
        <v>251</v>
      </c>
      <c r="Q13" s="134" t="s">
        <v>175</v>
      </c>
      <c r="R13" s="134" t="s">
        <v>252</v>
      </c>
      <c r="S13" s="134" t="s">
        <v>253</v>
      </c>
      <c r="U13" s="134" t="s">
        <v>176</v>
      </c>
      <c r="AA13" s="134" t="s">
        <v>254</v>
      </c>
      <c r="AF13" s="134" t="s">
        <v>255</v>
      </c>
      <c r="AG13" s="134" t="s">
        <v>256</v>
      </c>
      <c r="AH13" s="134" t="s">
        <v>257</v>
      </c>
      <c r="AI13" s="134" t="s">
        <v>258</v>
      </c>
      <c r="AJ13" s="134" t="s">
        <v>259</v>
      </c>
      <c r="AO13" s="134">
        <v>44984</v>
      </c>
      <c r="AP13" s="134" t="s">
        <v>177</v>
      </c>
      <c r="AQ13" s="134">
        <v>9.6</v>
      </c>
    </row>
    <row r="14" spans="1:49" s="134" customFormat="1" x14ac:dyDescent="0.25">
      <c r="A14" s="133" t="s">
        <v>268</v>
      </c>
      <c r="B14" s="133" t="s">
        <v>268</v>
      </c>
      <c r="D14" s="134" t="s">
        <v>246</v>
      </c>
      <c r="G14" s="134" t="s">
        <v>183</v>
      </c>
      <c r="H14" s="134" t="s">
        <v>247</v>
      </c>
      <c r="I14" s="134" t="s">
        <v>260</v>
      </c>
      <c r="J14" s="134" t="s">
        <v>157</v>
      </c>
      <c r="M14" s="134" t="s">
        <v>250</v>
      </c>
      <c r="N14" s="134" t="s">
        <v>151</v>
      </c>
      <c r="O14" s="134" t="s">
        <v>178</v>
      </c>
      <c r="P14" s="134" t="s">
        <v>251</v>
      </c>
      <c r="Q14" s="134" t="s">
        <v>175</v>
      </c>
      <c r="R14" s="134" t="s">
        <v>252</v>
      </c>
      <c r="S14" s="134" t="s">
        <v>253</v>
      </c>
      <c r="U14" s="134" t="s">
        <v>176</v>
      </c>
      <c r="AA14" s="134" t="s">
        <v>254</v>
      </c>
      <c r="AF14" s="134" t="s">
        <v>255</v>
      </c>
      <c r="AG14" s="134" t="s">
        <v>256</v>
      </c>
      <c r="AH14" s="134" t="s">
        <v>257</v>
      </c>
      <c r="AI14" s="134" t="s">
        <v>258</v>
      </c>
      <c r="AJ14" s="134" t="s">
        <v>259</v>
      </c>
      <c r="AO14" s="134">
        <v>44984</v>
      </c>
      <c r="AP14" s="134" t="s">
        <v>177</v>
      </c>
      <c r="AQ14" s="134">
        <v>35.700000000000003</v>
      </c>
    </row>
    <row r="15" spans="1:49" s="9" customFormat="1" x14ac:dyDescent="0.25"/>
    <row r="16" spans="1:49" s="140" customFormat="1" ht="14.4" x14ac:dyDescent="0.3">
      <c r="A16" s="133" t="s">
        <v>344</v>
      </c>
      <c r="B16" s="133" t="s">
        <v>344</v>
      </c>
      <c r="C16" s="135"/>
      <c r="D16" s="136" t="s">
        <v>338</v>
      </c>
      <c r="E16" s="137">
        <v>45152</v>
      </c>
      <c r="F16" s="137">
        <v>21611</v>
      </c>
      <c r="G16" s="136" t="s">
        <v>183</v>
      </c>
      <c r="H16" s="136" t="s">
        <v>339</v>
      </c>
      <c r="I16" s="136" t="s">
        <v>340</v>
      </c>
      <c r="J16" s="136" t="s">
        <v>157</v>
      </c>
      <c r="K16" s="137">
        <v>45163</v>
      </c>
      <c r="L16" s="138">
        <v>0.35416666666666669</v>
      </c>
      <c r="M16" s="136" t="s">
        <v>182</v>
      </c>
      <c r="N16" s="136" t="s">
        <v>151</v>
      </c>
      <c r="O16" s="136" t="s">
        <v>178</v>
      </c>
      <c r="P16" s="136" t="s">
        <v>152</v>
      </c>
      <c r="Q16" s="136" t="s">
        <v>175</v>
      </c>
      <c r="R16" s="136" t="s">
        <v>335</v>
      </c>
      <c r="S16" s="136" t="s">
        <v>336</v>
      </c>
      <c r="T16" s="137"/>
      <c r="U16" s="136" t="s">
        <v>176</v>
      </c>
      <c r="V16" s="136" t="s">
        <v>341</v>
      </c>
      <c r="W16" s="137">
        <v>45180</v>
      </c>
      <c r="X16" s="137">
        <v>45183</v>
      </c>
      <c r="Y16" s="136" t="s">
        <v>177</v>
      </c>
      <c r="Z16" s="136" t="s">
        <v>334</v>
      </c>
      <c r="AA16" s="136" t="s">
        <v>254</v>
      </c>
      <c r="AB16" s="136"/>
      <c r="AC16" s="137"/>
      <c r="AD16" s="136" t="s">
        <v>337</v>
      </c>
      <c r="AE16" s="136"/>
      <c r="AF16" s="136" t="s">
        <v>342</v>
      </c>
      <c r="AG16" s="136"/>
      <c r="AH16" s="136"/>
      <c r="AI16" s="136"/>
      <c r="AJ16" s="136"/>
      <c r="AK16" s="136"/>
      <c r="AL16" s="136"/>
      <c r="AM16" s="136"/>
      <c r="AN16" s="136"/>
      <c r="AO16" s="137">
        <v>45174</v>
      </c>
      <c r="AP16" s="136" t="s">
        <v>177</v>
      </c>
      <c r="AQ16" s="136">
        <v>4.03</v>
      </c>
      <c r="AR16" s="136"/>
      <c r="AS16" s="136"/>
      <c r="AT16" s="136"/>
      <c r="AU16" s="136"/>
      <c r="AV16" s="136"/>
      <c r="AW16" s="139"/>
    </row>
    <row r="17" spans="1:49" s="140" customFormat="1" ht="14.4" x14ac:dyDescent="0.3">
      <c r="A17" s="133" t="s">
        <v>345</v>
      </c>
      <c r="B17" s="133" t="s">
        <v>345</v>
      </c>
      <c r="C17" s="135"/>
      <c r="D17" s="136" t="s">
        <v>338</v>
      </c>
      <c r="E17" s="137">
        <v>45152</v>
      </c>
      <c r="F17" s="137">
        <v>21611</v>
      </c>
      <c r="G17" s="136" t="s">
        <v>183</v>
      </c>
      <c r="H17" s="136" t="s">
        <v>339</v>
      </c>
      <c r="I17" s="136" t="s">
        <v>343</v>
      </c>
      <c r="J17" s="136" t="s">
        <v>157</v>
      </c>
      <c r="K17" s="137">
        <v>45163</v>
      </c>
      <c r="L17" s="138">
        <v>0.35416666666666669</v>
      </c>
      <c r="M17" s="136" t="s">
        <v>182</v>
      </c>
      <c r="N17" s="136" t="s">
        <v>151</v>
      </c>
      <c r="O17" s="136" t="s">
        <v>178</v>
      </c>
      <c r="P17" s="136" t="s">
        <v>152</v>
      </c>
      <c r="Q17" s="136" t="s">
        <v>175</v>
      </c>
      <c r="R17" s="136" t="s">
        <v>335</v>
      </c>
      <c r="S17" s="136" t="s">
        <v>336</v>
      </c>
      <c r="T17" s="137" t="str">
        <f>IFERROR(IF(ISBLANK([4]!OncoCompLog[[#This Row],[Received Date]]), "", IF(ISNUMBER(SEARCH("CAP*PT",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17" s="136" t="s">
        <v>176</v>
      </c>
      <c r="V17" s="136" t="s">
        <v>341</v>
      </c>
      <c r="W17" s="137">
        <v>45180</v>
      </c>
      <c r="X17" s="137">
        <v>45183</v>
      </c>
      <c r="Y17" s="136" t="s">
        <v>177</v>
      </c>
      <c r="Z17" s="136" t="s">
        <v>334</v>
      </c>
      <c r="AA17" s="136" t="s">
        <v>254</v>
      </c>
      <c r="AB17" s="136"/>
      <c r="AC17" s="137"/>
      <c r="AD17" s="136" t="s">
        <v>337</v>
      </c>
      <c r="AE17" s="136"/>
      <c r="AF17" s="136" t="s">
        <v>342</v>
      </c>
      <c r="AG17" s="136"/>
      <c r="AH17" s="136"/>
      <c r="AI17" s="136"/>
      <c r="AJ17" s="136"/>
      <c r="AK17" s="136"/>
      <c r="AL17" s="136"/>
      <c r="AM17" s="136"/>
      <c r="AN17" s="136"/>
      <c r="AO17" s="137">
        <v>45174</v>
      </c>
      <c r="AP17" s="136" t="s">
        <v>177</v>
      </c>
      <c r="AQ17" s="136">
        <v>5.69</v>
      </c>
      <c r="AR17" s="136"/>
      <c r="AS17" s="136"/>
      <c r="AT17" s="136"/>
      <c r="AU17" s="136"/>
      <c r="AV17" s="136"/>
      <c r="AW17" s="139"/>
    </row>
    <row r="18" spans="1:49" s="140" customFormat="1" ht="14.4" x14ac:dyDescent="0.3">
      <c r="A18" s="136" t="s">
        <v>359</v>
      </c>
      <c r="B18" s="136" t="s">
        <v>359</v>
      </c>
      <c r="C18" s="135"/>
      <c r="D18" s="136" t="s">
        <v>347</v>
      </c>
      <c r="E18" s="137"/>
      <c r="F18" s="137"/>
      <c r="G18" s="136" t="s">
        <v>183</v>
      </c>
      <c r="H18" s="136" t="s">
        <v>348</v>
      </c>
      <c r="I18" s="136" t="s">
        <v>349</v>
      </c>
      <c r="J18" s="136" t="s">
        <v>270</v>
      </c>
      <c r="K18" s="137">
        <v>45218</v>
      </c>
      <c r="L18" s="138">
        <v>0.625</v>
      </c>
      <c r="M18" s="136" t="s">
        <v>350</v>
      </c>
      <c r="N18" s="136" t="s">
        <v>151</v>
      </c>
      <c r="O18" s="136" t="s">
        <v>351</v>
      </c>
      <c r="P18" s="136" t="s">
        <v>152</v>
      </c>
      <c r="Q18" s="136" t="s">
        <v>175</v>
      </c>
      <c r="R18" s="136" t="s">
        <v>352</v>
      </c>
      <c r="S18" s="136" t="s">
        <v>353</v>
      </c>
      <c r="T18" s="137" t="str">
        <f>IFERROR(IF(ISBLANK([4]!OncoCompLog[[#This Row],[Received Date]]), "", IF(ISNUMBER(SEARCH("CAP*PT",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18" s="136" t="s">
        <v>176</v>
      </c>
      <c r="V18" s="136" t="s">
        <v>354</v>
      </c>
      <c r="W18" s="153">
        <v>45226</v>
      </c>
      <c r="X18" s="154">
        <v>45231</v>
      </c>
      <c r="Y18" s="155" t="s">
        <v>177</v>
      </c>
      <c r="Z18" s="136" t="s">
        <v>334</v>
      </c>
      <c r="AA18" s="136" t="s">
        <v>355</v>
      </c>
      <c r="AB18" s="136"/>
      <c r="AC18" s="137"/>
      <c r="AD18" s="136" t="s">
        <v>337</v>
      </c>
      <c r="AE18" s="136"/>
      <c r="AF18" s="136"/>
      <c r="AG18" s="136" t="s">
        <v>356</v>
      </c>
      <c r="AH18" s="136" t="s">
        <v>357</v>
      </c>
      <c r="AI18" s="136"/>
      <c r="AJ18" s="136"/>
      <c r="AK18" s="136"/>
      <c r="AL18" s="136"/>
      <c r="AM18" s="136"/>
      <c r="AN18" s="136"/>
      <c r="AO18" s="153">
        <v>45224</v>
      </c>
      <c r="AP18" s="156" t="s">
        <v>177</v>
      </c>
      <c r="AQ18" s="136">
        <v>23.8</v>
      </c>
      <c r="AR18" s="136"/>
      <c r="AS18" s="136"/>
      <c r="AT18" s="136"/>
      <c r="AU18" s="136"/>
      <c r="AV18" s="136"/>
      <c r="AW18" s="136"/>
    </row>
    <row r="19" spans="1:49" s="140" customFormat="1" ht="14.4" x14ac:dyDescent="0.3">
      <c r="A19" s="136" t="s">
        <v>360</v>
      </c>
      <c r="B19" s="136" t="s">
        <v>360</v>
      </c>
      <c r="C19" s="135"/>
      <c r="D19" s="136" t="s">
        <v>347</v>
      </c>
      <c r="E19" s="137"/>
      <c r="F19" s="137"/>
      <c r="G19" s="136" t="s">
        <v>183</v>
      </c>
      <c r="H19" s="136" t="s">
        <v>348</v>
      </c>
      <c r="I19" s="136" t="s">
        <v>358</v>
      </c>
      <c r="J19" s="136" t="s">
        <v>249</v>
      </c>
      <c r="K19" s="137">
        <v>45218</v>
      </c>
      <c r="L19" s="138">
        <v>0.625</v>
      </c>
      <c r="M19" s="136" t="s">
        <v>350</v>
      </c>
      <c r="N19" s="136" t="s">
        <v>151</v>
      </c>
      <c r="O19" s="136" t="s">
        <v>351</v>
      </c>
      <c r="P19" s="136" t="s">
        <v>152</v>
      </c>
      <c r="Q19" s="136" t="s">
        <v>175</v>
      </c>
      <c r="R19" s="136" t="s">
        <v>352</v>
      </c>
      <c r="S19" s="136" t="s">
        <v>353</v>
      </c>
      <c r="T19" s="137" t="str">
        <f>IFERROR(IF(ISBLANK([4]!OncoCompLog[[#This Row],[Received Date]]), "", IF(ISNUMBER(SEARCH("CAP*PT", [4]!OncoCompLog[[#This Row],[Last Name]])), IFERROR(MID([4]!OncoCompLog[[#This Row],[Notes]], SEARCH("Due", [4]!OncoCompLog[[#This Row],[Notes]])+4, SEARCH(".", [4]!OncoCompLog[[#This Row],[Notes]])-5), "PT-See Notes"), WORKDAY([4]!OncoCompLog[[#This Row],[Received Date]], INDEX([4]!Tests[#Data], MATCH([4]!OncoCompLog[[#This Row],[Test Requested]],[4]!Tests[Assay], 0), COLUMN([4]!Tests[TAT])-COLUMN([4]!Tests[#Data])+1), [4]!Holidays[Holidays]))), "N/A")</f>
        <v>N/A</v>
      </c>
      <c r="U19" s="136" t="s">
        <v>176</v>
      </c>
      <c r="V19" s="136" t="s">
        <v>354</v>
      </c>
      <c r="W19" s="153">
        <v>45226</v>
      </c>
      <c r="X19" s="154">
        <v>45231</v>
      </c>
      <c r="Y19" s="155" t="s">
        <v>177</v>
      </c>
      <c r="Z19" s="136" t="s">
        <v>334</v>
      </c>
      <c r="AA19" s="136" t="s">
        <v>355</v>
      </c>
      <c r="AB19" s="136"/>
      <c r="AC19" s="137"/>
      <c r="AD19" s="136" t="s">
        <v>337</v>
      </c>
      <c r="AE19" s="136"/>
      <c r="AF19" s="136"/>
      <c r="AG19" s="136" t="s">
        <v>356</v>
      </c>
      <c r="AH19" s="136" t="s">
        <v>357</v>
      </c>
      <c r="AI19" s="136"/>
      <c r="AJ19" s="136"/>
      <c r="AK19" s="136"/>
      <c r="AL19" s="136"/>
      <c r="AM19" s="136"/>
      <c r="AN19" s="136"/>
      <c r="AO19" s="153">
        <v>45224</v>
      </c>
      <c r="AP19" s="156" t="s">
        <v>177</v>
      </c>
      <c r="AQ19" s="136">
        <v>7.84</v>
      </c>
      <c r="AR19" s="136"/>
      <c r="AS19" s="136"/>
      <c r="AT19" s="136"/>
      <c r="AU19" s="136"/>
      <c r="AV19" s="136"/>
      <c r="AW19" s="136"/>
    </row>
    <row r="20" spans="1:49" x14ac:dyDescent="0.25">
      <c r="A20" t="s">
        <v>361</v>
      </c>
      <c r="B20" t="s">
        <v>361</v>
      </c>
      <c r="D20" s="157" t="s">
        <v>362</v>
      </c>
      <c r="G20" s="157" t="s">
        <v>363</v>
      </c>
      <c r="I20" s="157" t="s">
        <v>364</v>
      </c>
      <c r="AQ20" s="157">
        <v>12.2</v>
      </c>
    </row>
    <row r="21" spans="1:49" x14ac:dyDescent="0.25">
      <c r="A21" t="s">
        <v>365</v>
      </c>
      <c r="B21" s="121" t="s">
        <v>365</v>
      </c>
      <c r="D21" s="157" t="s">
        <v>366</v>
      </c>
      <c r="G21" s="157" t="s">
        <v>363</v>
      </c>
      <c r="I21" s="157" t="s">
        <v>367</v>
      </c>
      <c r="AQ21" s="157">
        <v>40.5</v>
      </c>
    </row>
    <row r="23" spans="1:49" s="163" customFormat="1" ht="14.4" x14ac:dyDescent="0.3">
      <c r="A23" s="158" t="s">
        <v>374</v>
      </c>
      <c r="B23" s="158" t="s">
        <v>374</v>
      </c>
      <c r="C23" s="161"/>
      <c r="D23" s="158" t="s">
        <v>376</v>
      </c>
      <c r="E23" s="159">
        <v>45422</v>
      </c>
      <c r="F23" s="159">
        <v>28340</v>
      </c>
      <c r="G23" s="158" t="s">
        <v>183</v>
      </c>
      <c r="H23" s="158" t="s">
        <v>368</v>
      </c>
      <c r="I23" s="158" t="s">
        <v>369</v>
      </c>
      <c r="J23" s="158" t="s">
        <v>186</v>
      </c>
      <c r="K23" s="159">
        <v>45428</v>
      </c>
      <c r="L23" s="162">
        <v>0.375</v>
      </c>
      <c r="M23" s="158" t="s">
        <v>182</v>
      </c>
      <c r="N23" s="158" t="s">
        <v>151</v>
      </c>
      <c r="O23" s="158" t="s">
        <v>178</v>
      </c>
      <c r="P23" s="158" t="s">
        <v>152</v>
      </c>
      <c r="Q23" s="158" t="s">
        <v>175</v>
      </c>
      <c r="R23" s="158"/>
      <c r="S23" s="158"/>
      <c r="T23" s="159" t="str">
        <f>IFERROR(IF(ISBLANK([3]!OncoCompLog[[#This Row],[Received Date]]), "", IF(ISNUMBER(SEARCH("CAP *", [3]!OncoCompLog[[#This Row],[Last Name]])), IFERROR(MID([3]!OncoCompLog[[#This Row],[Notes]], SEARCH("Due", [3]!OncoCompLog[[#This Row],[Notes]])+4, SEARCH(".",[3]!OncoCompLog[[#This Row],[Notes]])-5), "PT-See Notes"), WORKDAY([3]!OncoCompLog[[#This Row],[Received Date]], INDEX([3]!Tests[#Data], MATCH([3]!OncoCompLog[[#This Row],[Test Requested]],[3]!Tests[Assay], 0), COLUMN([3]!Tests[TAT])-COLUMN([3]!Tests[#Data])+1), [3]!Holidays[Holidays]))), "N/A")</f>
        <v>N/A</v>
      </c>
      <c r="U23" s="158" t="s">
        <v>176</v>
      </c>
      <c r="V23" s="158" t="s">
        <v>370</v>
      </c>
      <c r="W23" s="160">
        <v>45435</v>
      </c>
      <c r="X23" s="158"/>
      <c r="Y23" s="158" t="s">
        <v>177</v>
      </c>
      <c r="Z23" s="158"/>
      <c r="AA23" s="136" t="s">
        <v>355</v>
      </c>
      <c r="AB23" s="158"/>
      <c r="AC23" s="159"/>
      <c r="AD23" s="158"/>
      <c r="AE23" s="158"/>
      <c r="AF23" s="158"/>
      <c r="AG23" s="158" t="s">
        <v>371</v>
      </c>
      <c r="AH23" s="158" t="s">
        <v>372</v>
      </c>
      <c r="AI23" s="158"/>
      <c r="AJ23" s="158"/>
      <c r="AK23" s="158"/>
      <c r="AL23" s="158"/>
      <c r="AM23" s="158"/>
      <c r="AN23" s="158"/>
      <c r="AO23" s="159">
        <v>45432</v>
      </c>
      <c r="AP23" s="158" t="s">
        <v>177</v>
      </c>
      <c r="AQ23" s="158">
        <v>44.8</v>
      </c>
      <c r="AR23" s="158"/>
      <c r="AS23" s="158"/>
      <c r="AT23" s="158"/>
      <c r="AU23" s="158"/>
      <c r="AV23" s="158"/>
      <c r="AW23" s="158"/>
    </row>
    <row r="24" spans="1:49" s="163" customFormat="1" ht="14.4" x14ac:dyDescent="0.3">
      <c r="A24" s="158" t="s">
        <v>375</v>
      </c>
      <c r="B24" s="158" t="s">
        <v>375</v>
      </c>
      <c r="C24" s="161"/>
      <c r="D24" s="158" t="s">
        <v>376</v>
      </c>
      <c r="E24" s="159">
        <v>45422</v>
      </c>
      <c r="F24" s="159">
        <v>28340</v>
      </c>
      <c r="G24" s="158" t="s">
        <v>183</v>
      </c>
      <c r="H24" s="158" t="s">
        <v>368</v>
      </c>
      <c r="I24" s="158" t="s">
        <v>373</v>
      </c>
      <c r="J24" s="158" t="s">
        <v>186</v>
      </c>
      <c r="K24" s="159">
        <v>45428</v>
      </c>
      <c r="L24" s="162">
        <v>0.375</v>
      </c>
      <c r="M24" s="158" t="s">
        <v>182</v>
      </c>
      <c r="N24" s="158" t="s">
        <v>151</v>
      </c>
      <c r="O24" s="158" t="s">
        <v>178</v>
      </c>
      <c r="P24" s="158" t="s">
        <v>152</v>
      </c>
      <c r="Q24" s="158" t="s">
        <v>175</v>
      </c>
      <c r="R24" s="158"/>
      <c r="S24" s="158"/>
      <c r="T24" s="159" t="str">
        <f>IFERROR(IF(ISBLANK([3]!OncoCompLog[[#This Row],[Received Date]]), "", IF(ISNUMBER(SEARCH("CAP *", [3]!OncoCompLog[[#This Row],[Last Name]])), IFERROR(MID([3]!OncoCompLog[[#This Row],[Notes]], SEARCH("Due", [3]!OncoCompLog[[#This Row],[Notes]])+4, SEARCH(".",[3]!OncoCompLog[[#This Row],[Notes]])-5), "PT-See Notes"), WORKDAY([3]!OncoCompLog[[#This Row],[Received Date]], INDEX([3]!Tests[#Data], MATCH([3]!OncoCompLog[[#This Row],[Test Requested]],[3]!Tests[Assay], 0), COLUMN([3]!Tests[TAT])-COLUMN([3]!Tests[#Data])+1), [3]!Holidays[Holidays]))), "N/A")</f>
        <v>N/A</v>
      </c>
      <c r="U24" s="158" t="s">
        <v>176</v>
      </c>
      <c r="V24" s="158" t="s">
        <v>370</v>
      </c>
      <c r="W24" s="160">
        <v>45435</v>
      </c>
      <c r="X24" s="158"/>
      <c r="Y24" s="158" t="s">
        <v>177</v>
      </c>
      <c r="Z24" s="158"/>
      <c r="AA24" s="136" t="s">
        <v>355</v>
      </c>
      <c r="AB24" s="158"/>
      <c r="AC24" s="159"/>
      <c r="AD24" s="158"/>
      <c r="AE24" s="158"/>
      <c r="AF24" s="158"/>
      <c r="AG24" s="158" t="s">
        <v>371</v>
      </c>
      <c r="AH24" s="158" t="s">
        <v>372</v>
      </c>
      <c r="AI24" s="158"/>
      <c r="AJ24" s="158"/>
      <c r="AK24" s="158"/>
      <c r="AL24" s="158"/>
      <c r="AM24" s="158"/>
      <c r="AN24" s="158"/>
      <c r="AO24" s="159">
        <v>45432</v>
      </c>
      <c r="AP24" s="158" t="s">
        <v>177</v>
      </c>
      <c r="AQ24" s="158">
        <v>87.8</v>
      </c>
      <c r="AR24" s="158"/>
      <c r="AS24" s="158"/>
      <c r="AT24" s="158"/>
      <c r="AU24" s="158"/>
      <c r="AV24" s="158"/>
      <c r="AW24" s="158"/>
    </row>
    <row r="25" spans="1:49" x14ac:dyDescent="0.25">
      <c r="B25" s="121"/>
    </row>
    <row r="26" spans="1:49" x14ac:dyDescent="0.25">
      <c r="A26" t="s">
        <v>378</v>
      </c>
      <c r="B26" s="121" t="s">
        <v>378</v>
      </c>
      <c r="D26" t="s">
        <v>379</v>
      </c>
      <c r="G26" t="s">
        <v>183</v>
      </c>
      <c r="I26" t="s">
        <v>380</v>
      </c>
    </row>
    <row r="51" spans="24:24" x14ac:dyDescent="0.25">
      <c r="X51">
        <v>44852</v>
      </c>
    </row>
  </sheetData>
  <dataValidations count="2">
    <dataValidation type="list" allowBlank="1" showInputMessage="1" showErrorMessage="1" sqref="AG16:AG19 AK16:AK19 AI16:AI19 R16:R19 AM16:AM19 AG23:AG24 AI23:AI24 R23:R24" xr:uid="{202BD25A-9798-4561-A294-19CD00CB21D6}">
      <formula1>rPhysLastName</formula1>
    </dataValidation>
    <dataValidation type="list" allowBlank="1" showInputMessage="1" showErrorMessage="1" sqref="AH16:AH19 AL16:AL19 AJ16:AJ19 S16:S19 AN16:AN19 AH23:AH24 AJ23:AJ24 S23:S24" xr:uid="{DA95991A-A773-456C-BD7F-009087B44CE9}">
      <formula1>rPhysFirstName_DNA</formula1>
    </dataValidation>
  </dataValidations>
  <pageMargins left="0.7" right="0.7" top="0.75" bottom="0.75" header="0.3" footer="0.3"/>
  <pageSetup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2" tint="-0.749992370372631"/>
  </sheetPr>
  <dimension ref="A1:H12"/>
  <sheetViews>
    <sheetView workbookViewId="0">
      <selection activeCell="D3" sqref="D3"/>
    </sheetView>
  </sheetViews>
  <sheetFormatPr defaultRowHeight="13.8" x14ac:dyDescent="0.25"/>
  <cols>
    <col min="1" max="1" width="16" customWidth="1"/>
    <col min="2" max="2" width="19.125" customWidth="1"/>
    <col min="3" max="4" width="15" customWidth="1"/>
  </cols>
  <sheetData>
    <row r="1" spans="1:8" x14ac:dyDescent="0.25">
      <c r="A1" t="s">
        <v>125</v>
      </c>
    </row>
    <row r="2" spans="1:8" ht="27.6" x14ac:dyDescent="0.25">
      <c r="A2" s="46" t="s">
        <v>32</v>
      </c>
      <c r="B2" s="47" t="s">
        <v>116</v>
      </c>
      <c r="C2" s="47" t="s">
        <v>117</v>
      </c>
      <c r="D2" s="48" t="s">
        <v>118</v>
      </c>
    </row>
    <row r="3" spans="1:8" ht="27.6" x14ac:dyDescent="0.25">
      <c r="A3" s="12" t="s">
        <v>119</v>
      </c>
      <c r="B3" s="49" t="s">
        <v>122</v>
      </c>
      <c r="C3" s="49">
        <f>IF('Run Record'!$E$75&lt;6,0.5+'Run Record'!$E$75, 1+'Run Record'!$E$75)</f>
        <v>7</v>
      </c>
      <c r="D3" s="50" t="str">
        <f>TEXT(LEFT(B3, (LEN(B3)-(SEARCH(" ",B3, 1))+1))*C3, "0.00")</f>
        <v>136.50</v>
      </c>
    </row>
    <row r="4" spans="1:8" ht="14.4" thickBot="1" x14ac:dyDescent="0.3">
      <c r="A4" s="51" t="s">
        <v>120</v>
      </c>
      <c r="B4" s="52" t="s">
        <v>123</v>
      </c>
      <c r="C4" s="52">
        <f>IF('Run Record'!$E$75&lt;6,0.5+'Run Record'!$E$75, 1+'Run Record'!$E$75)</f>
        <v>7</v>
      </c>
      <c r="D4" s="50" t="str">
        <f t="shared" ref="D4:D5" si="0">TEXT(LEFT(B4, (LEN(B4)-(SEARCH(" ",B4, 1))+1))*C4, "0.00")</f>
        <v>3.50</v>
      </c>
    </row>
    <row r="5" spans="1:8" x14ac:dyDescent="0.25">
      <c r="A5" s="53" t="s">
        <v>121</v>
      </c>
      <c r="B5" s="54" t="s">
        <v>124</v>
      </c>
      <c r="C5" s="54">
        <f>IF('Run Record'!$E$75&lt;6,0.5+'Run Record'!$E$75, 1+'Run Record'!$E$75)</f>
        <v>7</v>
      </c>
      <c r="D5" s="50" t="str">
        <f t="shared" si="0"/>
        <v>140.00</v>
      </c>
    </row>
    <row r="8" spans="1:8" x14ac:dyDescent="0.25">
      <c r="A8" t="s">
        <v>126</v>
      </c>
    </row>
    <row r="9" spans="1:8" ht="27.6" x14ac:dyDescent="0.25">
      <c r="A9" s="46" t="s">
        <v>32</v>
      </c>
      <c r="B9" s="47" t="s">
        <v>116</v>
      </c>
      <c r="C9" s="47" t="s">
        <v>117</v>
      </c>
      <c r="D9" s="48" t="s">
        <v>118</v>
      </c>
    </row>
    <row r="10" spans="1:8" ht="27.6" x14ac:dyDescent="0.25">
      <c r="A10" s="12" t="s">
        <v>119</v>
      </c>
      <c r="B10" s="49" t="s">
        <v>122</v>
      </c>
      <c r="C10" s="49">
        <f>IF('Run Record'!$E$75&lt;6,0.5+'Run Record'!$E$75, 1+'Run Record'!$E$75)</f>
        <v>7</v>
      </c>
      <c r="D10" s="50" t="str">
        <f t="shared" ref="D10:D12" si="1">TEXT(LEFT(B10, (LEN(B10)-(SEARCH(" ",B10, 1))+1))*C10, "0.00")</f>
        <v>136.50</v>
      </c>
    </row>
    <row r="11" spans="1:8" ht="14.4" thickBot="1" x14ac:dyDescent="0.3">
      <c r="A11" s="51" t="s">
        <v>120</v>
      </c>
      <c r="B11" s="52" t="s">
        <v>123</v>
      </c>
      <c r="C11" s="52">
        <f>IF('Run Record'!$E$75&lt;6,0.5+'Run Record'!$E$75, 1+'Run Record'!$E$75)</f>
        <v>7</v>
      </c>
      <c r="D11" s="50" t="str">
        <f t="shared" si="1"/>
        <v>3.50</v>
      </c>
      <c r="H11">
        <v>2</v>
      </c>
    </row>
    <row r="12" spans="1:8" x14ac:dyDescent="0.25">
      <c r="A12" s="53" t="s">
        <v>121</v>
      </c>
      <c r="B12" s="54" t="s">
        <v>124</v>
      </c>
      <c r="C12" s="54">
        <f>IF('Run Record'!$E$75&lt;6,0.5+'Run Record'!$E$75, 1+'Run Record'!$E$75)</f>
        <v>7</v>
      </c>
      <c r="D12" s="50" t="str">
        <f t="shared" si="1"/>
        <v>140.00</v>
      </c>
    </row>
  </sheetData>
  <pageMargins left="0.7" right="0.7" top="0.75" bottom="0.75" header="0.3" footer="0.3"/>
  <tableParts count="2">
    <tablePart r:id="rId1"/>
    <tablePart r:id="rId2"/>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E14"/>
  <sheetViews>
    <sheetView workbookViewId="0">
      <selection activeCell="D3" sqref="D3"/>
    </sheetView>
  </sheetViews>
  <sheetFormatPr defaultRowHeight="13.8" x14ac:dyDescent="0.25"/>
  <cols>
    <col min="1" max="1" width="14.625" bestFit="1" customWidth="1"/>
    <col min="2" max="2" width="21.75" bestFit="1" customWidth="1"/>
    <col min="4" max="4" width="17.75" bestFit="1" customWidth="1"/>
  </cols>
  <sheetData>
    <row r="1" spans="1:5" s="8" customFormat="1" x14ac:dyDescent="0.25">
      <c r="A1" s="8" t="s">
        <v>73</v>
      </c>
      <c r="B1" s="8" t="s">
        <v>86</v>
      </c>
      <c r="D1" s="8" t="s">
        <v>82</v>
      </c>
      <c r="E1" s="8" t="s">
        <v>113</v>
      </c>
    </row>
    <row r="2" spans="1:5" x14ac:dyDescent="0.25">
      <c r="A2" t="s">
        <v>74</v>
      </c>
      <c r="B2" t="s">
        <v>83</v>
      </c>
      <c r="D2" t="s">
        <v>80</v>
      </c>
    </row>
    <row r="3" spans="1:5" x14ac:dyDescent="0.25">
      <c r="A3" t="s">
        <v>76</v>
      </c>
      <c r="B3" t="s">
        <v>83</v>
      </c>
      <c r="D3" t="s">
        <v>78</v>
      </c>
    </row>
    <row r="4" spans="1:5" x14ac:dyDescent="0.25">
      <c r="A4" t="s">
        <v>33</v>
      </c>
      <c r="B4" t="s">
        <v>83</v>
      </c>
      <c r="D4" t="s">
        <v>75</v>
      </c>
    </row>
    <row r="5" spans="1:5" x14ac:dyDescent="0.25">
      <c r="A5" t="s">
        <v>77</v>
      </c>
      <c r="B5" t="s">
        <v>83</v>
      </c>
      <c r="D5" t="s">
        <v>33</v>
      </c>
    </row>
    <row r="6" spans="1:5" x14ac:dyDescent="0.25">
      <c r="A6" t="s">
        <v>78</v>
      </c>
      <c r="B6" t="s">
        <v>83</v>
      </c>
      <c r="D6" t="s">
        <v>77</v>
      </c>
    </row>
    <row r="7" spans="1:5" x14ac:dyDescent="0.25">
      <c r="A7" t="s">
        <v>79</v>
      </c>
      <c r="B7" t="s">
        <v>83</v>
      </c>
      <c r="D7" t="s">
        <v>114</v>
      </c>
    </row>
    <row r="8" spans="1:5" x14ac:dyDescent="0.25">
      <c r="A8" t="s">
        <v>80</v>
      </c>
      <c r="B8" t="s">
        <v>83</v>
      </c>
      <c r="D8" t="s">
        <v>84</v>
      </c>
    </row>
    <row r="9" spans="1:5" x14ac:dyDescent="0.25">
      <c r="A9" t="s">
        <v>81</v>
      </c>
      <c r="B9" t="s">
        <v>83</v>
      </c>
      <c r="D9" t="s">
        <v>115</v>
      </c>
    </row>
    <row r="10" spans="1:5" x14ac:dyDescent="0.25">
      <c r="A10" t="s">
        <v>103</v>
      </c>
      <c r="B10" t="s">
        <v>87</v>
      </c>
      <c r="D10" t="s">
        <v>85</v>
      </c>
    </row>
    <row r="11" spans="1:5" x14ac:dyDescent="0.25">
      <c r="A11" t="s">
        <v>75</v>
      </c>
      <c r="B11" t="s">
        <v>87</v>
      </c>
    </row>
    <row r="12" spans="1:5" x14ac:dyDescent="0.25">
      <c r="A12" t="s">
        <v>84</v>
      </c>
      <c r="B12" t="s">
        <v>87</v>
      </c>
    </row>
    <row r="13" spans="1:5" x14ac:dyDescent="0.25">
      <c r="A13" t="s">
        <v>85</v>
      </c>
      <c r="B13" t="s">
        <v>87</v>
      </c>
    </row>
    <row r="14" spans="1:5" x14ac:dyDescent="0.25">
      <c r="A14" t="s">
        <v>104</v>
      </c>
      <c r="B14" t="s">
        <v>87</v>
      </c>
    </row>
  </sheetData>
  <conditionalFormatting sqref="A2:A14 D2:D14">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PrintBookmarks">
                <anchor moveWithCells="1" sizeWithCells="1">
                  <from>
                    <xdr:col>5</xdr:col>
                    <xdr:colOff>342900</xdr:colOff>
                    <xdr:row>2</xdr:row>
                    <xdr:rowOff>0</xdr:rowOff>
                  </from>
                  <to>
                    <xdr:col>9</xdr:col>
                    <xdr:colOff>335280</xdr:colOff>
                    <xdr:row>3</xdr:row>
                    <xdr:rowOff>7620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24</vt:i4>
      </vt:variant>
    </vt:vector>
  </HeadingPairs>
  <TitlesOfParts>
    <vt:vector size="38" baseType="lpstr">
      <vt:lpstr>Instructions - NEW ASSAY</vt:lpstr>
      <vt:lpstr>Patient List</vt:lpstr>
      <vt:lpstr>Run Record</vt:lpstr>
      <vt:lpstr>Step 2 Table</vt:lpstr>
      <vt:lpstr>CSV DNA Template</vt:lpstr>
      <vt:lpstr>CSV RNA Template</vt:lpstr>
      <vt:lpstr>Helper Table</vt:lpstr>
      <vt:lpstr>Color Table</vt:lpstr>
      <vt:lpstr>Assay Result Files</vt:lpstr>
      <vt:lpstr>Patient Result Files</vt:lpstr>
      <vt:lpstr>Version Control</vt:lpstr>
      <vt:lpstr>Control-filler samples</vt:lpstr>
      <vt:lpstr>Master Mix Calculators</vt:lpstr>
      <vt:lpstr>Bookmarks List</vt:lpstr>
      <vt:lpstr>AssayID</vt:lpstr>
      <vt:lpstr>DB</vt:lpstr>
      <vt:lpstr>DG</vt:lpstr>
      <vt:lpstr>DNACodePlate</vt:lpstr>
      <vt:lpstr>DNACodes</vt:lpstr>
      <vt:lpstr>DocName</vt:lpstr>
      <vt:lpstr>DR</vt:lpstr>
      <vt:lpstr>DY</vt:lpstr>
      <vt:lpstr>LPC</vt:lpstr>
      <vt:lpstr>NCRunID</vt:lpstr>
      <vt:lpstr>Notes</vt:lpstr>
      <vt:lpstr>PCRunID</vt:lpstr>
      <vt:lpstr>RB</vt:lpstr>
      <vt:lpstr>RG</vt:lpstr>
      <vt:lpstr>RNACodePlate</vt:lpstr>
      <vt:lpstr>RNACodes</vt:lpstr>
      <vt:lpstr>RR</vt:lpstr>
      <vt:lpstr>RunDate</vt:lpstr>
      <vt:lpstr>RY</vt:lpstr>
      <vt:lpstr>SampleID</vt:lpstr>
      <vt:lpstr>SavePath</vt:lpstr>
      <vt:lpstr>Technician</vt:lpstr>
      <vt:lpstr>TemplateFile</vt:lpstr>
      <vt:lpstr>TemplateFileS2</vt:lpstr>
    </vt:vector>
  </TitlesOfParts>
  <Company>The University of Kansas Medical Center</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Sarah Schmitt</dc:creator>
  <cp:lastModifiedBy>Ronald Ayoub</cp:lastModifiedBy>
  <cp:lastPrinted>2022-10-25T14:43:25Z</cp:lastPrinted>
  <dcterms:created xsi:type="dcterms:W3CDTF">2016-01-27T17:23:39Z</dcterms:created>
  <dcterms:modified xsi:type="dcterms:W3CDTF">2024-11-09T21:02:22Z</dcterms:modified>
</cp:coreProperties>
</file>
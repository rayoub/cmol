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SingleCells1.xml" ContentType="application/vnd.openxmlformats-officedocument.spreadsheetml.tableSingleCell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updateLinks="never" codeName="ThisWorkbook" defaultThemeVersion="124226"/>
  <mc:AlternateContent xmlns:mc="http://schemas.openxmlformats.org/markup-compatibility/2006">
    <mc:Choice Requires="x15">
      <x15ac:absPath xmlns:x15ac="http://schemas.microsoft.com/office/spreadsheetml/2010/11/ac" url="R:\CANCTR RSCH\CMOL\Personal Data\Zara\shortcuts\"/>
    </mc:Choice>
  </mc:AlternateContent>
  <xr:revisionPtr revIDLastSave="0" documentId="13_ncr:1_{EB0836D9-CA71-4D5E-93ED-965D72F38157}" xr6:coauthVersionLast="44" xr6:coauthVersionMax="44" xr10:uidLastSave="{00000000-0000-0000-0000-000000000000}"/>
  <bookViews>
    <workbookView xWindow="810" yWindow="-120" windowWidth="28110" windowHeight="18240" activeTab="2" xr2:uid="{00000000-000D-0000-FFFF-FFFF00000000}"/>
  </bookViews>
  <sheets>
    <sheet name="Patient_Info" sheetId="5" r:id="rId1"/>
    <sheet name="Summary" sheetId="15" r:id="rId2"/>
    <sheet name="XML" sheetId="14" r:id="rId3"/>
    <sheet name="Data entry" sheetId="4" state="hidden" r:id="rId4"/>
    <sheet name="letter head zp" sheetId="3" state="hidden" r:id="rId5"/>
    <sheet name="Date" sheetId="6" state="hidden" r:id="rId6"/>
    <sheet name="yes_no" sheetId="8" state="hidden" r:id="rId7"/>
    <sheet name="report_data" sheetId="9" state="hidden" r:id="rId8"/>
    <sheet name="report_type" sheetId="10" state="hidden" r:id="rId9"/>
  </sheets>
  <externalReferences>
    <externalReference r:id="rId10"/>
    <externalReference r:id="rId11"/>
    <externalReference r:id="rId12"/>
    <externalReference r:id="rId13"/>
  </externalReferences>
  <definedNames>
    <definedName name="_ENREF_1" localSheetId="4">'letter head zp'!#REF!</definedName>
    <definedName name="_ENREF_2" localSheetId="4">'letter head zp'!$A$18</definedName>
    <definedName name="DNA_Receipt_Log_MASTER_Test_List">[3]!DNAReceiptLogTestList[[#Data],[DNA Receipt Log-MASTER Test List]]</definedName>
    <definedName name="NGS_Comprehensive_Test_List">[3]!NGSComprehensiveTestList[[#Data],[NGS Comprehensive Test List]]</definedName>
    <definedName name="NGS_Heme_Log">[3]!NGSHemeTestList[[#Data],[NGS Heme Log]]</definedName>
    <definedName name="Ordering_Location">[3]!OrderingLocation[[#Data],[Ordering Location]]</definedName>
    <definedName name="PhysFirstName">[1]!Providers[First Name]</definedName>
    <definedName name="PhysLastName">[1]!Providers[Last Name]</definedName>
    <definedName name="report_type">report_type!$A$1:$A$2</definedName>
    <definedName name="ReportDate">Date!$A$1:$A$2</definedName>
    <definedName name="rPhysFirstName_DNA">OFFSET(OFFSET(PhysFirstName,0,0,1,1),MATCH('[1]DNA Receipt Log-MASTER'!XFD1, PhysLastName, 0)-1,0,COUNTIF(PhysLastName,'[1]DNA Receipt Log-MASTER'!XFD1))</definedName>
    <definedName name="rPhysFirstName_RNA">OFFSET(OFFSET(PhysFirstName,0,0,1,1),MATCH(#REF!, PhysLastName, 0)-1,0,COUNTIF(PhysLastName,#REF!))</definedName>
    <definedName name="rPhysLastName">OFFSET(PhysLastName, 0,0,COUNTA(PhysLastName),1)</definedName>
    <definedName name="TestList">[3]!Tests[Assay]</definedName>
    <definedName name="Today">Date!$A$1:$A$2</definedName>
    <definedName name="type">report_type!$A$1:$A$2</definedName>
    <definedName name="type1">report_type!$A$1:$A$1</definedName>
    <definedName name="yes_no">yes_no!$A$1:$A$2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V4" i="5" l="1"/>
  <c r="AU4" i="5"/>
  <c r="T4" i="5"/>
  <c r="S2" i="14" l="1"/>
  <c r="P2" i="14" l="1"/>
  <c r="G2" i="14" l="1"/>
  <c r="B9" i="15" l="1"/>
  <c r="B11" i="15"/>
  <c r="B10" i="15"/>
  <c r="B8" i="15"/>
  <c r="D10" i="15"/>
  <c r="D9" i="15"/>
  <c r="D8" i="15"/>
  <c r="D6" i="15"/>
  <c r="D5" i="15"/>
  <c r="B5" i="15"/>
  <c r="B6" i="15"/>
  <c r="C31" i="15"/>
  <c r="A31" i="15"/>
  <c r="C29" i="15"/>
  <c r="A29" i="15"/>
  <c r="C11" i="15"/>
  <c r="M2" i="14" l="1"/>
  <c r="E2" i="14"/>
  <c r="R2" i="14"/>
  <c r="O2" i="14"/>
  <c r="N2" i="14"/>
  <c r="T2" i="14"/>
  <c r="H2" i="14"/>
  <c r="K2" i="14"/>
  <c r="L2" i="14" s="1"/>
  <c r="J2" i="14"/>
  <c r="C25" i="3" l="1"/>
  <c r="A25" i="3"/>
  <c r="A16" i="3"/>
  <c r="A15" i="3"/>
  <c r="A14" i="3"/>
  <c r="A13" i="3"/>
  <c r="B11" i="3"/>
  <c r="D9" i="3"/>
  <c r="B9" i="3"/>
  <c r="D11" i="15" s="1"/>
  <c r="D8" i="3"/>
  <c r="B8" i="3"/>
  <c r="D7" i="3"/>
  <c r="B7" i="3"/>
  <c r="D6" i="3"/>
  <c r="B6" i="3"/>
  <c r="D5" i="3"/>
  <c r="D4" i="3"/>
  <c r="B4" i="3"/>
  <c r="A25" i="4"/>
  <c r="A23" i="4"/>
  <c r="A22" i="4"/>
  <c r="A19" i="4"/>
  <c r="B13" i="4"/>
  <c r="B12" i="4"/>
  <c r="B11" i="4"/>
  <c r="B10" i="4"/>
  <c r="B9" i="4"/>
  <c r="B8" i="4"/>
  <c r="B7" i="4"/>
  <c r="B6" i="4"/>
  <c r="B5" i="4"/>
  <c r="B3" i="4"/>
  <c r="A55" i="5"/>
  <c r="A17" i="5"/>
  <c r="AC12" i="5"/>
  <c r="AC11" i="5"/>
  <c r="AC10" i="5"/>
  <c r="AC9" i="5"/>
  <c r="AC8" i="5"/>
  <c r="A12" i="9" l="1"/>
  <c r="A8" i="5"/>
  <c r="Q2" i="14" s="1"/>
  <c r="B7" i="15" l="1"/>
  <c r="B5" i="3"/>
  <c r="B4" i="4"/>
  <c r="D7" i="1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7342469-2C06-4139-B91B-C4C100340F81}" name="D08726" type="4" refreshedVersion="0" background="1">
    <webPr xml="1" sourceData="1" url="C:\Users\zwang\Desktop\test\D08726.xml" htmlTables="1" htmlFormat="all"/>
  </connection>
  <connection id="2" xr16:uid="{54A2DE00-582E-480C-9F0A-C7C5285BAF0E}" name="D08726-2" type="4" refreshedVersion="0" background="1">
    <webPr xml="1" sourceData="1" url="C:\Users\zwang\Desktop\test\D08726-2.xml" htmlTables="1" htmlFormat="all"/>
  </connection>
  <connection id="3" xr16:uid="{9F212763-D454-4D6C-93A1-1D295259CC25}" name="input" type="4" refreshedVersion="0" background="1">
    <webPr xml="1" sourceData="1" url="C:\Users\zwang\Desktop\test\input.xml" htmlTables="1" htmlFormat="all"/>
  </connection>
  <connection id="4" xr16:uid="{AA65A3B1-E3C9-430B-BA28-C1FB7260C7CB}" name="input schema example" type="4" refreshedVersion="0" background="1">
    <webPr xml="1" sourceData="1" url="C:\Users\zwang\Desktop\test\input schema example.xml" htmlTables="1" htmlFormat="all"/>
  </connection>
  <connection id="5" xr16:uid="{A13C9769-BC78-42BE-B42F-C991D45E6267}" name="input1" type="4" refreshedVersion="0" background="1">
    <webPr xml="1" sourceData="1" url="C:\Users\zwang\Desktop\test\input.xml" htmlTables="1" htmlFormat="all"/>
  </connection>
  <connection id="6" xr16:uid="{E5BD37DC-3D11-4B60-B461-0305B7794A86}" name="input2" type="4" refreshedVersion="0" background="1">
    <webPr xml="1" sourceData="1" url="C:\Users\zwang\Desktop\test\input.xml" htmlTables="1" htmlFormat="all"/>
  </connection>
  <connection id="7" xr16:uid="{F73E28EA-AA9D-411A-81EB-1EFE4DE40171}" name="input21" type="4" refreshedVersion="0" background="1">
    <webPr xml="1" sourceData="1" url="C:\Users\zwang\Desktop\test\input2.xml" htmlTables="1" htmlFormat="all"/>
  </connection>
  <connection id="8" xr16:uid="{11DCD864-2413-4011-BF85-1225C3C38487}" name="input22" type="4" refreshedVersion="0" background="1">
    <webPr xml="1" sourceData="1" url="C:\Users\zwang\Desktop\test\input2.xml" htmlTables="1" htmlFormat="all"/>
  </connection>
  <connection id="9" xr16:uid="{D3957585-5771-4B3D-B840-27430EB3E290}" name="input23" type="4" refreshedVersion="0" background="1">
    <webPr xml="1" sourceData="1" url="C:\Users\zwang\Desktop\test\input2.xml" htmlTables="1" htmlFormat="all"/>
  </connection>
  <connection id="10" xr16:uid="{D66723A4-EF3C-4116-B0F2-F7AF452E2AE2}" name="Input3" type="4" refreshedVersion="0" background="1">
    <webPr xml="1" sourceData="1" url="C:\Users\zwang\Desktop\test\Input3.xml" htmlTables="1" htmlFormat="all"/>
  </connection>
  <connection id="11" xr16:uid="{75E01106-5C7E-42F5-9A4E-78847272257F}" name="Input31" type="4" refreshedVersion="0" background="1">
    <webPr xml="1" sourceData="1" url="C:\Users\zwang\Desktop\test\Input3.xml" htmlTables="1" htmlFormat="all"/>
  </connection>
  <connection id="12" xr16:uid="{233AA075-C0B2-489B-94A4-228FCE196736}" name="QCISomaticKUMC" type="4" refreshedVersion="0" background="1">
    <webPr xml="1" sourceData="1" url="C:\Users\zwang\Desktop\test\QCISomaticKUMC.xml" htmlTables="1" htmlFormat="all"/>
  </connection>
  <connection id="13" xr16:uid="{59E84DB1-FBB8-49FF-B019-FD8D3677619C}" name="QCISomaticKUMC1" type="4" refreshedVersion="0" background="1">
    <webPr xml="1" sourceData="1" url="C:\Users\zwang\Desktop\test\QCISomaticKUMC.xml" htmlTables="1" htmlFormat="all"/>
  </connection>
</connections>
</file>

<file path=xl/sharedStrings.xml><?xml version="1.0" encoding="utf-8"?>
<sst xmlns="http://schemas.openxmlformats.org/spreadsheetml/2006/main" count="209" uniqueCount="176">
  <si>
    <t>Assay ID:</t>
  </si>
  <si>
    <t>Date of Birth, Sex:</t>
  </si>
  <si>
    <t>Patient Name:</t>
  </si>
  <si>
    <t>Collection Date:</t>
  </si>
  <si>
    <t>Ordering Physician:</t>
  </si>
  <si>
    <t>Received Date:</t>
  </si>
  <si>
    <t>Report Date:</t>
  </si>
  <si>
    <t>Ordering Facility:</t>
  </si>
  <si>
    <t>CMOL Reference #:</t>
  </si>
  <si>
    <t>Medical Record #:</t>
  </si>
  <si>
    <t>Accession #:</t>
  </si>
  <si>
    <t>Last Name</t>
  </si>
  <si>
    <t>First Name</t>
  </si>
  <si>
    <t>MRN</t>
  </si>
  <si>
    <t>Accession #</t>
  </si>
  <si>
    <t>Color</t>
  </si>
  <si>
    <t>Ordering Location</t>
  </si>
  <si>
    <t>Location Code (BMT, CCC, etc)</t>
  </si>
  <si>
    <t>Due Date (10 working days from receipt)</t>
  </si>
  <si>
    <t>Test Requested</t>
  </si>
  <si>
    <t>Assay ID</t>
  </si>
  <si>
    <t>Test Run Date</t>
  </si>
  <si>
    <t>Reported Date</t>
  </si>
  <si>
    <t>Invoice Number</t>
  </si>
  <si>
    <t>Notes</t>
  </si>
  <si>
    <t>Specimen Type:</t>
  </si>
  <si>
    <t>Gender</t>
  </si>
  <si>
    <t>Collection Date</t>
  </si>
  <si>
    <t xml:space="preserve">Patient Name: </t>
  </si>
  <si>
    <t xml:space="preserve">Ordering Facility: </t>
  </si>
  <si>
    <t xml:space="preserve">Date of Birth, Sex: </t>
  </si>
  <si>
    <t xml:space="preserve">Collection Date: </t>
  </si>
  <si>
    <t xml:space="preserve">Report Date: </t>
  </si>
  <si>
    <t>Holidays (2012-2014)</t>
  </si>
  <si>
    <t>Birth Date</t>
  </si>
  <si>
    <t>Results:</t>
  </si>
  <si>
    <t>Notes:</t>
  </si>
  <si>
    <t xml:space="preserve">Physician(s): </t>
  </si>
  <si>
    <t xml:space="preserve">Medical Record #: </t>
  </si>
  <si>
    <t>Test Performed</t>
  </si>
  <si>
    <t xml:space="preserve">Received Date: </t>
  </si>
  <si>
    <t xml:space="preserve">CMOL Reference #: </t>
  </si>
  <si>
    <t xml:space="preserve">Accession #: </t>
  </si>
  <si>
    <t>Analytical Results:</t>
  </si>
  <si>
    <t>Interpretation:</t>
  </si>
  <si>
    <t>Methodology:</t>
  </si>
  <si>
    <t>Intended Use:</t>
  </si>
  <si>
    <t>Disclaimer:</t>
  </si>
  <si>
    <t>This test was performed by the Clinical Molecular Oncology Laboratory. This test was developed and its performance characteristics determined by the Clinical Molecular Oncology Laboratory. It has not been cleared nor approved by the U.S. Food and Drug Administration. The FDA has determined that such clearance is not necessary. This test is used for clinical purposes. It should not be regarded as investigational or for research. This laboratory is certified under the Clinical Laboratory Improvement Amendments of 1988 (CLIA-88) as qualified to perform high complexity clinical laboratory testing. Clinical Molecular Oncology Laboratory, Department of Pathology and Laboratory Medicine, University of Kansas Cancer Center, 4005 Wall Hall East, Mail Stop 3040, 3901 Rainbow Blvd, Kansas City, KS, 66160. Tel: (913)-945-6373; Fax: (913)-945-6327.</t>
  </si>
  <si>
    <r>
      <t>References</t>
    </r>
    <r>
      <rPr>
        <sz val="10"/>
        <color theme="1"/>
        <rFont val="Arial Narrow"/>
        <family val="2"/>
      </rPr>
      <t>:</t>
    </r>
  </si>
  <si>
    <t>Lowell Tilzer, MD, PhD
Medical Director of the Clinical Molecular Oncology Laboratory</t>
  </si>
  <si>
    <t>YES</t>
  </si>
  <si>
    <t>NO</t>
  </si>
  <si>
    <t>Case ID</t>
  </si>
  <si>
    <t>DNA Number</t>
  </si>
  <si>
    <t>Test Run By</t>
  </si>
  <si>
    <t>Today</t>
  </si>
  <si>
    <t>Tomorrow</t>
  </si>
  <si>
    <t>Choose Report Date (today or tomorrow):</t>
  </si>
  <si>
    <t>Pathology Case #:</t>
  </si>
  <si>
    <t xml:space="preserve">Pathology Case #: </t>
  </si>
  <si>
    <t>BRAF gene mutation detection</t>
  </si>
  <si>
    <t>Genomic DNA is extracted from a formalin-fixed paraffin-embedded (FFPE) specimen containing tumor cells. Extracted DNA is then analyzed using ARMS and Taqman probe technologies to identify the presence of the V600E (GAG) and V600K (AAG) (co-detected but not distinguished) BRAF gene mutations in exons 15.</t>
  </si>
  <si>
    <t>Approximately 50% of melanomas have an activating mutation in the BRAF oncogene [1]. The majority of these genetic alterations are the V600E (1799 T&gt;A) mutation. Recent studies have shown that the drug Zelboraf (TM) (Vemurafenib) has clinical efficacy in tumors with the V600E mutation [2]. This assay is designed to detect V600E mutation in formalin-fixed paraffin-embedded tissue samples of malignant melanoma.</t>
  </si>
  <si>
    <t>Invalid Study Reports:</t>
  </si>
  <si>
    <t>Invalid Study-</t>
  </si>
  <si>
    <t>Invalid Study</t>
  </si>
  <si>
    <r>
      <t xml:space="preserve">1. Davies, H., et al., </t>
    </r>
    <r>
      <rPr>
        <i/>
        <sz val="9"/>
        <color theme="1"/>
        <rFont val="Arial Narrow"/>
        <family val="2"/>
      </rPr>
      <t>Mutations of the BRAF gene in human cancer.</t>
    </r>
    <r>
      <rPr>
        <sz val="9"/>
        <color theme="1"/>
        <rFont val="Arial Narrow"/>
        <family val="2"/>
      </rPr>
      <t xml:space="preserve"> Nature, 2002. 417(6892): p. 949-54.
2. Chapman, P.B., et al., Improved survival with vemurafenib in melanoma with BRAF V600E mutation. N Engl J Med, 2011. 364(26): p. 2507-16.</t>
    </r>
  </si>
  <si>
    <t>Received Date</t>
  </si>
  <si>
    <t>Received Time</t>
  </si>
  <si>
    <t>Received By</t>
  </si>
  <si>
    <t>Sample Type</t>
  </si>
  <si>
    <t>Sample Amount</t>
  </si>
  <si>
    <t>Provider Last Name</t>
  </si>
  <si>
    <t>Provider First Name</t>
  </si>
  <si>
    <t>ICD-9 Code 1</t>
  </si>
  <si>
    <t>ICD-9 Code 2</t>
  </si>
  <si>
    <t>ICD-9 Code 3</t>
  </si>
  <si>
    <t>ICD-9 Code 4</t>
  </si>
  <si>
    <t>Diagnosis notes (if no ICD-9 Present)</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</si>
  <si>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</si>
  <si>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</si>
  <si>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</si>
  <si>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</si>
  <si>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</si>
  <si>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</si>
  <si>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</si>
  <si>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</si>
  <si>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Additional Physicians (do not edit):</t>
  </si>
  <si>
    <t>Physicians</t>
  </si>
  <si>
    <r>
      <t xml:space="preserve">Physicians </t>
    </r>
    <r>
      <rPr>
        <b/>
        <sz val="10"/>
        <color theme="1"/>
        <rFont val="Calibri"/>
        <family val="2"/>
        <scheme val="minor"/>
      </rPr>
      <t>(</t>
    </r>
    <r>
      <rPr>
        <b/>
        <sz val="10"/>
        <color rgb="FFC00000"/>
        <rFont val="Calibri"/>
        <family val="2"/>
        <scheme val="minor"/>
      </rPr>
      <t>IMPORTANT!</t>
    </r>
    <r>
      <rPr>
        <b/>
        <sz val="10"/>
        <color theme="1"/>
        <rFont val="Calibri"/>
        <family val="2"/>
        <scheme val="minor"/>
      </rPr>
      <t xml:space="preserve"> If changes need to be made to the list of physicians, modify the Sa</t>
    </r>
    <r>
      <rPr>
        <b/>
        <sz val="10"/>
        <rFont val="Calibri"/>
        <family val="2"/>
        <scheme val="minor"/>
      </rPr>
      <t>mple Receipt Log entry (above) - please do not make changes directly in cell below</t>
    </r>
    <r>
      <rPr>
        <b/>
        <sz val="10"/>
        <color theme="1"/>
        <rFont val="Calibri"/>
        <family val="2"/>
        <scheme val="minor"/>
      </rPr>
      <t>)</t>
    </r>
  </si>
  <si>
    <t>Provider List temp cells DO NOT DELETE</t>
  </si>
  <si>
    <t>Primary provider</t>
  </si>
  <si>
    <t>Additional provider #1</t>
  </si>
  <si>
    <t>Additional provider #2</t>
  </si>
  <si>
    <t>Additional provider #3</t>
  </si>
  <si>
    <t>Additional provider #4</t>
  </si>
  <si>
    <t>Standard</t>
  </si>
  <si>
    <t>Choose Report Type (Standard (for successful run) or Invalid Study (for any failure)):</t>
  </si>
  <si>
    <t>This test methodology has been approved by the U.S. Food and Drug Administration. Its performance characteristics have been verified by the Clinical Molecular Oncology Laboratory. This test is used for clinical purposes. It should not be regarded as investigational or for research. This laboratory is certified under the Clinical Laboratory Improvement Amendments of 1988 (CLIA-88) as qualified to perform high complexity clinical laboratory testing. Clinical Molecular Oncology Laboratory, Department of Pathology and Laboratory Medicine, University of Kansas Cancer Center, 4005 Wall Hall East, Mail Stop 3040, 3901 Rainbow Blvd, Kansas City, KS, 66160. Tel: (913)-945-6373; Fax: (913)-945-6327.</t>
  </si>
  <si>
    <t>Invalid Study due to lack of hybridization to target RNA and/or internal control(s).</t>
  </si>
  <si>
    <t>Invalid study due to lack of hybridizaiton to target RNA and/or internal control(s). This suggests that minimal target/total RNA is present, or that RNA is not of sufficient quality for assay performance. These results should be interpreted only in the context of total clinical information. Therapeutic action should not be taken based solely on these results.</t>
  </si>
  <si>
    <t>Standard Study (positive or negative)</t>
  </si>
  <si>
    <t>Hematologic Neoplasms Targeted Gene Panel (65) by NGS</t>
  </si>
  <si>
    <t>Age:</t>
  </si>
  <si>
    <t>See attached report.</t>
  </si>
  <si>
    <r>
      <t>Ziyan Pessetto, PhD, MB (ASCP)</t>
    </r>
    <r>
      <rPr>
        <vertAlign val="superscript"/>
        <sz val="9"/>
        <color theme="1"/>
        <rFont val="Arial"/>
        <family val="2"/>
      </rPr>
      <t>CM</t>
    </r>
    <r>
      <rPr>
        <sz val="9"/>
        <color theme="1"/>
        <rFont val="Arial"/>
        <family val="2"/>
      </rPr>
      <t xml:space="preserve">
Assistant Director of the Clinical Molecular Oncology Laboratory</t>
    </r>
  </si>
  <si>
    <t xml:space="preserve"> </t>
  </si>
  <si>
    <t>CL</t>
  </si>
  <si>
    <t>The University of Kansas Hospital</t>
  </si>
  <si>
    <t>Name</t>
  </si>
  <si>
    <t>Code</t>
  </si>
  <si>
    <t>Profile</t>
  </si>
  <si>
    <t>test date</t>
  </si>
  <si>
    <t>Diagnosis</t>
  </si>
  <si>
    <t>Client name</t>
  </si>
  <si>
    <t>The University of Kansas</t>
  </si>
  <si>
    <t>Client ID</t>
  </si>
  <si>
    <t>Physician Name</t>
  </si>
  <si>
    <t>Pathologist name</t>
  </si>
  <si>
    <t>tumor site</t>
  </si>
  <si>
    <t>Specimen ID</t>
  </si>
  <si>
    <t>collection date</t>
  </si>
  <si>
    <t>Report template</t>
  </si>
  <si>
    <t>KUMC_HemOnc_v2</t>
  </si>
  <si>
    <t>Reviewer</t>
  </si>
  <si>
    <t>KUMC_IAD_User_Group</t>
  </si>
  <si>
    <t>File name</t>
  </si>
  <si>
    <t>Specimen type</t>
  </si>
  <si>
    <t>Accession ID</t>
  </si>
  <si>
    <t>birth date</t>
  </si>
  <si>
    <t>Age</t>
  </si>
  <si>
    <t>Unknown</t>
  </si>
  <si>
    <t>ns1:Reviewer</t>
  </si>
  <si>
    <t>Version</t>
  </si>
  <si>
    <t>ns1:Name</t>
  </si>
  <si>
    <t>ns1:Reviewer2</t>
  </si>
  <si>
    <t>1.12.0</t>
  </si>
  <si>
    <t>Comprehensive Cancer Targeted Gene Panel (275) by NGS</t>
  </si>
  <si>
    <t>Comprehensive_Cancer_Panel_275</t>
  </si>
  <si>
    <t>Comprehensive 275</t>
  </si>
  <si>
    <t>FFPE</t>
  </si>
  <si>
    <t>HCCGP</t>
  </si>
  <si>
    <t>NGS Comprehensive Panel</t>
  </si>
  <si>
    <t>DR</t>
  </si>
  <si>
    <t xml:space="preserve"> (50% tumor content)</t>
  </si>
  <si>
    <t>Sanders</t>
  </si>
  <si>
    <t>Christine</t>
  </si>
  <si>
    <t>1599570</t>
  </si>
  <si>
    <t>T25752</t>
  </si>
  <si>
    <t>F</t>
  </si>
  <si>
    <t>N20-4677 A1</t>
  </si>
  <si>
    <t>D10571</t>
  </si>
  <si>
    <t>Brown</t>
  </si>
  <si>
    <t>MN</t>
  </si>
  <si>
    <t>25+1</t>
  </si>
  <si>
    <t>O'Neil</t>
  </si>
  <si>
    <t>Maura</t>
  </si>
  <si>
    <t>NGS 580</t>
  </si>
  <si>
    <t>50% tumor</t>
  </si>
  <si>
    <t>Metastatic lung adenocarcinoma</t>
  </si>
  <si>
    <t>Gupta</t>
  </si>
  <si>
    <t>Kamal</t>
  </si>
  <si>
    <t>Gheith</t>
  </si>
  <si>
    <t>Zaid H</t>
  </si>
  <si>
    <t>Reda</t>
  </si>
  <si>
    <t>Eyad</t>
  </si>
  <si>
    <t>Cannon</t>
  </si>
  <si>
    <t>Chad M</t>
  </si>
  <si>
    <t>D10571-N580_S10_L001_R1_001 (paired) 5%.vcf</t>
  </si>
  <si>
    <t>2020-12-22</t>
  </si>
  <si>
    <t>Sanders, Christine</t>
  </si>
  <si>
    <t>1964-07-27</t>
  </si>
  <si>
    <t>female</t>
  </si>
  <si>
    <t>2020-12-16</t>
  </si>
  <si>
    <t>Dr. Maura O'Neil, Dr. Kamal Gupta, Dr. Zaid H Gheith, Dr. Eyad Reda, Dr. Chad M Cannon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</si>
</sst>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0.000"/>
    <numFmt numFmtId="165" formatCode="[$-F400]h:mm:ss\ AM/PM"/>
  </numFmts>
  <fonts count="58" x14ac:knownFonts="1">
    <font>
      <sz val="11"/>
      <color theme="1"/>
      <name val="Calibri"/>
      <family val="2"/>
      <scheme val="minor"/>
    </font>
    <font>
      <sz val="9"/>
      <color theme="1"/>
      <name val="Arial Narrow"/>
      <family val="2"/>
    </font>
    <font>
      <u/>
      <sz val="11"/>
      <color theme="10"/>
      <name val="Calibri"/>
      <family val="2"/>
      <scheme val="minor"/>
    </font>
    <font>
      <sz val="10"/>
      <color theme="1"/>
      <name val="Arial Narrow"/>
      <family val="2"/>
    </font>
    <font>
      <b/>
      <sz val="10"/>
      <color theme="1"/>
      <name val="Arial Narrow"/>
      <family val="2"/>
    </font>
    <font>
      <sz val="11"/>
      <color theme="1"/>
      <name val="Calibri"/>
      <family val="2"/>
      <scheme val="minor"/>
    </font>
    <font>
      <b/>
      <sz val="11"/>
      <color theme="1"/>
      <name val="Calibri"/>
      <family val="2"/>
      <scheme val="minor"/>
    </font>
    <font>
      <b/>
      <u/>
      <sz val="11"/>
      <color theme="1"/>
      <name val="Calibri"/>
      <family val="2"/>
      <scheme val="minor"/>
    </font>
    <font>
      <sz val="11"/>
      <color rgb="FFFFFFFF"/>
      <name val="Calibri"/>
      <family val="2"/>
      <scheme val="minor"/>
    </font>
    <font>
      <sz val="11"/>
      <color rgb="FF000000"/>
      <name val="Calibri"/>
      <family val="2"/>
      <scheme val="minor"/>
    </font>
    <font>
      <sz val="11"/>
      <color rgb="FF000000"/>
      <name val="Consolas"/>
      <family val="3"/>
    </font>
    <font>
      <sz val="9"/>
      <color theme="1"/>
      <name val="Calibri"/>
      <family val="2"/>
      <scheme val="minor"/>
    </font>
    <font>
      <b/>
      <sz val="9"/>
      <color theme="1"/>
      <name val="Calibri"/>
      <family val="2"/>
      <scheme val="minor"/>
    </font>
    <font>
      <sz val="10"/>
      <name val="Arial"/>
      <family val="2"/>
    </font>
    <font>
      <sz val="11"/>
      <color indexed="9"/>
      <name val="Calibri"/>
      <family val="2"/>
    </font>
    <font>
      <b/>
      <sz val="11"/>
      <color indexed="8"/>
      <name val="Calibri"/>
      <family val="2"/>
    </font>
    <font>
      <sz val="11"/>
      <color rgb="FF000000"/>
      <name val="Calibri"/>
      <family val="2"/>
    </font>
    <font>
      <i/>
      <sz val="9"/>
      <color theme="1"/>
      <name val="Arial Narrow"/>
      <family val="2"/>
    </font>
    <font>
      <b/>
      <sz val="10"/>
      <color theme="1"/>
      <name val="Calibri"/>
      <family val="2"/>
      <scheme val="minor"/>
    </font>
    <font>
      <b/>
      <sz val="10"/>
      <color rgb="FFC00000"/>
      <name val="Calibri"/>
      <family val="2"/>
      <scheme val="minor"/>
    </font>
    <font>
      <b/>
      <sz val="10"/>
      <name val="Calibri"/>
      <family val="2"/>
      <scheme val="minor"/>
    </font>
    <font>
      <sz val="10"/>
      <color theme="1"/>
      <name val="Arial"/>
      <family val="2"/>
    </font>
    <font>
      <sz val="11"/>
      <color theme="1"/>
      <name val="Arial"/>
      <family val="2"/>
    </font>
    <font>
      <b/>
      <i/>
      <sz val="9"/>
      <color theme="1"/>
      <name val="Arial"/>
      <family val="2"/>
    </font>
    <font>
      <sz val="9"/>
      <color theme="1"/>
      <name val="Arial"/>
      <family val="2"/>
    </font>
    <font>
      <b/>
      <i/>
      <sz val="11"/>
      <color theme="1"/>
      <name val="Arial"/>
      <family val="2"/>
    </font>
    <font>
      <b/>
      <sz val="10"/>
      <color theme="1"/>
      <name val="Arial"/>
      <family val="2"/>
    </font>
    <font>
      <b/>
      <sz val="9"/>
      <color theme="1"/>
      <name val="Arial"/>
      <family val="2"/>
    </font>
    <font>
      <u/>
      <sz val="9"/>
      <color theme="10"/>
      <name val="Arial"/>
      <family val="2"/>
    </font>
    <font>
      <b/>
      <sz val="11"/>
      <color theme="1"/>
      <name val="Arial"/>
      <family val="2"/>
    </font>
    <font>
      <b/>
      <i/>
      <sz val="10"/>
      <color theme="1"/>
      <name val="Arial"/>
      <family val="2"/>
    </font>
    <font>
      <u/>
      <sz val="10"/>
      <color theme="10"/>
      <name val="Arial"/>
      <family val="2"/>
    </font>
    <font>
      <sz val="9.5"/>
      <color theme="1"/>
      <name val="Arial"/>
      <family val="2"/>
    </font>
    <font>
      <sz val="8"/>
      <color theme="1"/>
      <name val="Arial"/>
      <family val="2"/>
    </font>
    <font>
      <b/>
      <sz val="8"/>
      <color theme="1"/>
      <name val="Arial"/>
      <family val="2"/>
    </font>
    <font>
      <vertAlign val="superscript"/>
      <sz val="9"/>
      <color theme="1"/>
      <name val="Arial"/>
      <family val="2"/>
    </font>
    <font>
      <b/>
      <sz val="14"/>
      <color theme="1"/>
      <name val="Arial"/>
      <family val="2"/>
    </font>
    <font>
      <u/>
      <sz val="11"/>
      <color theme="1"/>
      <name val="Arial"/>
      <family val="2"/>
    </font>
    <font>
      <b/>
      <sz val="16"/>
      <color theme="1"/>
      <name val="Arial"/>
      <family val="2"/>
    </font>
    <font>
      <sz val="11"/>
      <color rgb="FF00000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sz val="18"/>
      <color theme="3"/>
      <name val="Cambria"/>
      <family val="2"/>
      <scheme val="major"/>
    </font>
    <font>
      <sz val="11"/>
      <color rgb="FF9C6500"/>
      <name val="Calibri"/>
      <family val="2"/>
      <scheme val="minor"/>
    </font>
    <font>
      <sz val="10"/>
      <color indexed="0"/>
      <name val="MS Sans Serif"/>
      <family val="2"/>
    </font>
    <font>
      <sz val="9"/>
      <name val="Calibri"/>
      <family val="2"/>
      <scheme val="minor"/>
    </font>
    <font>
      <sz val="8"/>
      <name val="Calibri"/>
      <family val="2"/>
      <scheme val="minor"/>
    </font>
  </fonts>
  <fills count="51">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FF0000"/>
        <bgColor indexed="64"/>
      </patternFill>
    </fill>
    <fill>
      <patternFill patternType="solid">
        <fgColor rgb="FF00FF00"/>
        <bgColor indexed="64"/>
      </patternFill>
    </fill>
    <fill>
      <patternFill patternType="solid">
        <fgColor rgb="FFADD8E6"/>
        <bgColor indexed="64"/>
      </patternFill>
    </fill>
    <fill>
      <patternFill patternType="solid">
        <fgColor rgb="FFADFF2F"/>
        <bgColor indexed="64"/>
      </patternFill>
    </fill>
    <fill>
      <patternFill patternType="solid">
        <fgColor rgb="FFB0C4DE"/>
        <bgColor indexed="64"/>
      </patternFill>
    </fill>
    <fill>
      <patternFill patternType="solid">
        <fgColor rgb="FFFFFFFF"/>
        <bgColor indexed="64"/>
      </patternFill>
    </fill>
    <fill>
      <patternFill patternType="solid">
        <fgColor indexed="36"/>
      </patternFill>
    </fill>
    <fill>
      <patternFill patternType="solid">
        <fgColor indexed="49"/>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n">
        <color indexed="62"/>
      </top>
      <bottom style="double">
        <color indexed="62"/>
      </bottom>
      <diagonal/>
    </border>
    <border>
      <left style="medium">
        <color indexed="64"/>
      </left>
      <right style="medium">
        <color indexed="64"/>
      </right>
      <top/>
      <bottom style="medium">
        <color indexed="64"/>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2246">
    <xf numFmtId="0" fontId="0" fillId="0" borderId="0"/>
    <xf numFmtId="0" fontId="2" fillId="0" borderId="0" applyNumberFormat="0" applyFill="0" applyBorder="0" applyAlignment="0" applyProtection="0"/>
    <xf numFmtId="0" fontId="8" fillId="6" borderId="0"/>
    <xf numFmtId="0" fontId="9" fillId="2" borderId="0"/>
    <xf numFmtId="0" fontId="9" fillId="7" borderId="0"/>
    <xf numFmtId="0" fontId="9" fillId="8" borderId="0"/>
    <xf numFmtId="0" fontId="9" fillId="9" borderId="0"/>
    <xf numFmtId="0" fontId="9" fillId="10" borderId="0"/>
    <xf numFmtId="0" fontId="9" fillId="11" borderId="0"/>
    <xf numFmtId="0" fontId="9" fillId="8" borderId="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13" fillId="0" borderId="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14" fillId="17" borderId="0" applyNumberFormat="0" applyBorder="0" applyAlignment="0" applyProtection="0"/>
    <xf numFmtId="0" fontId="13" fillId="0" borderId="0"/>
    <xf numFmtId="0" fontId="15" fillId="0" borderId="6" applyNumberFormat="0" applyFill="0" applyAlignment="0" applyProtection="0"/>
    <xf numFmtId="0" fontId="21" fillId="0" borderId="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0" fillId="0" borderId="15" applyNumberFormat="0" applyFill="0" applyAlignment="0" applyProtection="0"/>
    <xf numFmtId="0" fontId="41" fillId="0" borderId="16" applyNumberFormat="0" applyFill="0" applyAlignment="0" applyProtection="0"/>
    <xf numFmtId="0" fontId="42" fillId="0" borderId="17" applyNumberFormat="0" applyFill="0" applyAlignment="0" applyProtection="0"/>
    <xf numFmtId="0" fontId="42" fillId="0" borderId="0" applyNumberFormat="0" applyFill="0" applyBorder="0" applyAlignment="0" applyProtection="0"/>
    <xf numFmtId="0" fontId="43" fillId="19" borderId="0" applyNumberFormat="0" applyBorder="0" applyAlignment="0" applyProtection="0"/>
    <xf numFmtId="0" fontId="44" fillId="20" borderId="0" applyNumberFormat="0" applyBorder="0" applyAlignment="0" applyProtection="0"/>
    <xf numFmtId="0" fontId="45" fillId="22" borderId="18" applyNumberFormat="0" applyAlignment="0" applyProtection="0"/>
    <xf numFmtId="0" fontId="46" fillId="23" borderId="19" applyNumberFormat="0" applyAlignment="0" applyProtection="0"/>
    <xf numFmtId="0" fontId="47" fillId="23" borderId="18" applyNumberFormat="0" applyAlignment="0" applyProtection="0"/>
    <xf numFmtId="0" fontId="48" fillId="0" borderId="20" applyNumberFormat="0" applyFill="0" applyAlignment="0" applyProtection="0"/>
    <xf numFmtId="0" fontId="49" fillId="24" borderId="21" applyNumberFormat="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6" fillId="0" borderId="23" applyNumberFormat="0" applyFill="0" applyAlignment="0" applyProtection="0"/>
    <xf numFmtId="0" fontId="52" fillId="26" borderId="0" applyNumberFormat="0" applyBorder="0" applyAlignment="0" applyProtection="0"/>
    <xf numFmtId="0" fontId="5" fillId="27" borderId="0" applyNumberFormat="0" applyBorder="0" applyAlignment="0" applyProtection="0"/>
    <xf numFmtId="0" fontId="5" fillId="28" borderId="0" applyNumberFormat="0" applyBorder="0" applyAlignment="0" applyProtection="0"/>
    <xf numFmtId="0" fontId="52" fillId="30" borderId="0" applyNumberFormat="0" applyBorder="0" applyAlignment="0" applyProtection="0"/>
    <xf numFmtId="0" fontId="5" fillId="31" borderId="0" applyNumberFormat="0" applyBorder="0" applyAlignment="0" applyProtection="0"/>
    <xf numFmtId="0" fontId="5" fillId="32" borderId="0" applyNumberFormat="0" applyBorder="0" applyAlignment="0" applyProtection="0"/>
    <xf numFmtId="0" fontId="52" fillId="34" borderId="0" applyNumberFormat="0" applyBorder="0" applyAlignment="0" applyProtection="0"/>
    <xf numFmtId="0" fontId="5" fillId="35" borderId="0" applyNumberFormat="0" applyBorder="0" applyAlignment="0" applyProtection="0"/>
    <xf numFmtId="0" fontId="5" fillId="36" borderId="0" applyNumberFormat="0" applyBorder="0" applyAlignment="0" applyProtection="0"/>
    <xf numFmtId="0" fontId="52" fillId="38" borderId="0" applyNumberFormat="0" applyBorder="0" applyAlignment="0" applyProtection="0"/>
    <xf numFmtId="0" fontId="5" fillId="39" borderId="0" applyNumberFormat="0" applyBorder="0" applyAlignment="0" applyProtection="0"/>
    <xf numFmtId="0" fontId="5" fillId="40" borderId="0" applyNumberFormat="0" applyBorder="0" applyAlignment="0" applyProtection="0"/>
    <xf numFmtId="0" fontId="52" fillId="42" borderId="0" applyNumberFormat="0" applyBorder="0" applyAlignment="0" applyProtection="0"/>
    <xf numFmtId="0" fontId="5" fillId="43" borderId="0" applyNumberFormat="0" applyBorder="0" applyAlignment="0" applyProtection="0"/>
    <xf numFmtId="0" fontId="5" fillId="44" borderId="0" applyNumberFormat="0" applyBorder="0" applyAlignment="0" applyProtection="0"/>
    <xf numFmtId="0" fontId="52" fillId="46" borderId="0" applyNumberFormat="0" applyBorder="0" applyAlignment="0" applyProtection="0"/>
    <xf numFmtId="0" fontId="5" fillId="47" borderId="0" applyNumberFormat="0" applyBorder="0" applyAlignment="0" applyProtection="0"/>
    <xf numFmtId="0" fontId="5" fillId="48" borderId="0" applyNumberFormat="0" applyBorder="0" applyAlignment="0" applyProtection="0"/>
    <xf numFmtId="0" fontId="53" fillId="0" borderId="0" applyNumberFormat="0" applyFill="0" applyBorder="0" applyAlignment="0" applyProtection="0"/>
    <xf numFmtId="0" fontId="54" fillId="21" borderId="0" applyNumberFormat="0" applyBorder="0" applyAlignment="0" applyProtection="0"/>
    <xf numFmtId="0" fontId="52" fillId="29" borderId="0" applyNumberFormat="0" applyBorder="0" applyAlignment="0" applyProtection="0"/>
    <xf numFmtId="0" fontId="52" fillId="33" borderId="0" applyNumberFormat="0" applyBorder="0" applyAlignment="0" applyProtection="0"/>
    <xf numFmtId="0" fontId="52" fillId="37" borderId="0" applyNumberFormat="0" applyBorder="0" applyAlignment="0" applyProtection="0"/>
    <xf numFmtId="0" fontId="52" fillId="41" borderId="0" applyNumberFormat="0" applyBorder="0" applyAlignment="0" applyProtection="0"/>
    <xf numFmtId="0" fontId="52" fillId="45" borderId="0" applyNumberFormat="0" applyBorder="0" applyAlignment="0" applyProtection="0"/>
    <xf numFmtId="0" fontId="52" fillId="49" borderId="0" applyNumberFormat="0" applyBorder="0" applyAlignment="0" applyProtection="0"/>
    <xf numFmtId="0" fontId="3" fillId="0" borderId="0"/>
    <xf numFmtId="0" fontId="5" fillId="27" borderId="0" applyNumberFormat="0" applyBorder="0" applyAlignment="0" applyProtection="0"/>
    <xf numFmtId="0" fontId="5" fillId="31" borderId="0" applyNumberFormat="0" applyBorder="0" applyAlignment="0" applyProtection="0"/>
    <xf numFmtId="0" fontId="5" fillId="35" borderId="0" applyNumberFormat="0" applyBorder="0" applyAlignment="0" applyProtection="0"/>
    <xf numFmtId="0" fontId="5" fillId="39" borderId="0" applyNumberFormat="0" applyBorder="0" applyAlignment="0" applyProtection="0"/>
    <xf numFmtId="0" fontId="5" fillId="43" borderId="0" applyNumberFormat="0" applyBorder="0" applyAlignment="0" applyProtection="0"/>
    <xf numFmtId="0" fontId="5" fillId="47" borderId="0" applyNumberFormat="0" applyBorder="0" applyAlignment="0" applyProtection="0"/>
    <xf numFmtId="0" fontId="5" fillId="28" borderId="0" applyNumberFormat="0" applyBorder="0" applyAlignment="0" applyProtection="0"/>
    <xf numFmtId="0" fontId="5" fillId="32" borderId="0" applyNumberFormat="0" applyBorder="0" applyAlignment="0" applyProtection="0"/>
    <xf numFmtId="0" fontId="5" fillId="36" borderId="0" applyNumberFormat="0" applyBorder="0" applyAlignment="0" applyProtection="0"/>
    <xf numFmtId="0" fontId="5" fillId="40" borderId="0" applyNumberFormat="0" applyBorder="0" applyAlignment="0" applyProtection="0"/>
    <xf numFmtId="0" fontId="5" fillId="44" borderId="0" applyNumberFormat="0" applyBorder="0" applyAlignment="0" applyProtection="0"/>
    <xf numFmtId="0" fontId="5" fillId="48" borderId="0" applyNumberFormat="0" applyBorder="0" applyAlignment="0" applyProtection="0"/>
    <xf numFmtId="0" fontId="52" fillId="29" borderId="0" applyNumberFormat="0" applyBorder="0" applyAlignment="0" applyProtection="0"/>
    <xf numFmtId="0" fontId="52" fillId="33" borderId="0" applyNumberFormat="0" applyBorder="0" applyAlignment="0" applyProtection="0"/>
    <xf numFmtId="0" fontId="52" fillId="37" borderId="0" applyNumberFormat="0" applyBorder="0" applyAlignment="0" applyProtection="0"/>
    <xf numFmtId="0" fontId="52" fillId="41" borderId="0" applyNumberFormat="0" applyBorder="0" applyAlignment="0" applyProtection="0"/>
    <xf numFmtId="0" fontId="52" fillId="45" borderId="0" applyNumberFormat="0" applyBorder="0" applyAlignment="0" applyProtection="0"/>
    <xf numFmtId="0" fontId="52" fillId="49" borderId="0" applyNumberFormat="0" applyBorder="0" applyAlignment="0" applyProtection="0"/>
    <xf numFmtId="0" fontId="52" fillId="26" borderId="0" applyNumberFormat="0" applyBorder="0" applyAlignment="0" applyProtection="0"/>
    <xf numFmtId="0" fontId="14" fillId="14" borderId="0" applyNumberFormat="0" applyBorder="0" applyAlignment="0" applyProtection="0"/>
    <xf numFmtId="0" fontId="52" fillId="30" borderId="0" applyNumberFormat="0" applyBorder="0" applyAlignment="0" applyProtection="0"/>
    <xf numFmtId="0" fontId="14" fillId="15" borderId="0" applyNumberFormat="0" applyBorder="0" applyAlignment="0" applyProtection="0"/>
    <xf numFmtId="0" fontId="52" fillId="34" borderId="0" applyNumberFormat="0" applyBorder="0" applyAlignment="0" applyProtection="0"/>
    <xf numFmtId="0" fontId="14" fillId="16" borderId="0" applyNumberFormat="0" applyBorder="0" applyAlignment="0" applyProtection="0"/>
    <xf numFmtId="0" fontId="52" fillId="38" borderId="0" applyNumberFormat="0" applyBorder="0" applyAlignment="0" applyProtection="0"/>
    <xf numFmtId="0" fontId="14" fillId="12" borderId="0" applyNumberFormat="0" applyBorder="0" applyAlignment="0" applyProtection="0"/>
    <xf numFmtId="0" fontId="52" fillId="42" borderId="0" applyNumberFormat="0" applyBorder="0" applyAlignment="0" applyProtection="0"/>
    <xf numFmtId="0" fontId="14" fillId="13" borderId="0" applyNumberFormat="0" applyBorder="0" applyAlignment="0" applyProtection="0"/>
    <xf numFmtId="0" fontId="52" fillId="46" borderId="0" applyNumberFormat="0" applyBorder="0" applyAlignment="0" applyProtection="0"/>
    <xf numFmtId="0" fontId="14" fillId="17" borderId="0" applyNumberFormat="0" applyBorder="0" applyAlignment="0" applyProtection="0"/>
    <xf numFmtId="0" fontId="44" fillId="20" borderId="0" applyNumberFormat="0" applyBorder="0" applyAlignment="0" applyProtection="0"/>
    <xf numFmtId="0" fontId="47" fillId="23" borderId="18" applyNumberFormat="0" applyAlignment="0" applyProtection="0"/>
    <xf numFmtId="0" fontId="49" fillId="24" borderId="21" applyNumberFormat="0" applyAlignment="0" applyProtection="0"/>
    <xf numFmtId="0" fontId="51" fillId="0" borderId="0" applyNumberFormat="0" applyFill="0" applyBorder="0" applyAlignment="0" applyProtection="0"/>
    <xf numFmtId="0" fontId="43" fillId="19" borderId="0" applyNumberFormat="0" applyBorder="0" applyAlignment="0" applyProtection="0"/>
    <xf numFmtId="0" fontId="40" fillId="0" borderId="15" applyNumberFormat="0" applyFill="0" applyAlignment="0" applyProtection="0"/>
    <xf numFmtId="0" fontId="41" fillId="0" borderId="16" applyNumberFormat="0" applyFill="0" applyAlignment="0" applyProtection="0"/>
    <xf numFmtId="0" fontId="42" fillId="0" borderId="17" applyNumberFormat="0" applyFill="0" applyAlignment="0" applyProtection="0"/>
    <xf numFmtId="0" fontId="42" fillId="0" borderId="0" applyNumberFormat="0" applyFill="0" applyBorder="0" applyAlignment="0" applyProtection="0"/>
    <xf numFmtId="0" fontId="45" fillId="22" borderId="18" applyNumberFormat="0" applyAlignment="0" applyProtection="0"/>
    <xf numFmtId="0" fontId="48" fillId="0" borderId="20" applyNumberFormat="0" applyFill="0" applyAlignment="0" applyProtection="0"/>
    <xf numFmtId="0" fontId="54" fillId="21" borderId="0" applyNumberFormat="0" applyBorder="0" applyAlignment="0" applyProtection="0"/>
    <xf numFmtId="0" fontId="13" fillId="0" borderId="0"/>
    <xf numFmtId="0" fontId="13" fillId="0" borderId="0"/>
    <xf numFmtId="0" fontId="5" fillId="25" borderId="22" applyNumberFormat="0" applyFont="0" applyAlignment="0" applyProtection="0"/>
    <xf numFmtId="0" fontId="46" fillId="23" borderId="19" applyNumberFormat="0" applyAlignment="0" applyProtection="0"/>
    <xf numFmtId="0" fontId="53" fillId="0" borderId="0" applyNumberFormat="0" applyFill="0" applyBorder="0" applyAlignment="0" applyProtection="0"/>
    <xf numFmtId="0" fontId="6" fillId="0" borderId="23" applyNumberFormat="0" applyFill="0" applyAlignment="0" applyProtection="0"/>
    <xf numFmtId="0" fontId="15" fillId="0" borderId="24" applyNumberFormat="0" applyFill="0" applyAlignment="0" applyProtection="0"/>
    <xf numFmtId="0" fontId="50" fillId="0" borderId="0" applyNumberFormat="0" applyFill="0" applyBorder="0" applyAlignment="0" applyProtection="0"/>
    <xf numFmtId="0" fontId="5" fillId="27" borderId="0" applyNumberFormat="0" applyBorder="0" applyAlignment="0" applyProtection="0"/>
    <xf numFmtId="0" fontId="5" fillId="31" borderId="0" applyNumberFormat="0" applyBorder="0" applyAlignment="0" applyProtection="0"/>
    <xf numFmtId="0" fontId="5" fillId="35" borderId="0" applyNumberFormat="0" applyBorder="0" applyAlignment="0" applyProtection="0"/>
    <xf numFmtId="0" fontId="5" fillId="39" borderId="0" applyNumberFormat="0" applyBorder="0" applyAlignment="0" applyProtection="0"/>
    <xf numFmtId="0" fontId="5" fillId="43" borderId="0" applyNumberFormat="0" applyBorder="0" applyAlignment="0" applyProtection="0"/>
    <xf numFmtId="0" fontId="5" fillId="47" borderId="0" applyNumberFormat="0" applyBorder="0" applyAlignment="0" applyProtection="0"/>
    <xf numFmtId="0" fontId="5" fillId="28" borderId="0" applyNumberFormat="0" applyBorder="0" applyAlignment="0" applyProtection="0"/>
    <xf numFmtId="0" fontId="5" fillId="32" borderId="0" applyNumberFormat="0" applyBorder="0" applyAlignment="0" applyProtection="0"/>
    <xf numFmtId="0" fontId="5" fillId="36" borderId="0" applyNumberFormat="0" applyBorder="0" applyAlignment="0" applyProtection="0"/>
    <xf numFmtId="0" fontId="5" fillId="40" borderId="0" applyNumberFormat="0" applyBorder="0" applyAlignment="0" applyProtection="0"/>
    <xf numFmtId="0" fontId="5" fillId="44" borderId="0" applyNumberFormat="0" applyBorder="0" applyAlignment="0" applyProtection="0"/>
    <xf numFmtId="0" fontId="5" fillId="48" borderId="0" applyNumberFormat="0" applyBorder="0" applyAlignment="0" applyProtection="0"/>
    <xf numFmtId="0" fontId="52" fillId="29" borderId="0" applyNumberFormat="0" applyBorder="0" applyAlignment="0" applyProtection="0"/>
    <xf numFmtId="0" fontId="52" fillId="33" borderId="0" applyNumberFormat="0" applyBorder="0" applyAlignment="0" applyProtection="0"/>
    <xf numFmtId="0" fontId="52" fillId="37" borderId="0" applyNumberFormat="0" applyBorder="0" applyAlignment="0" applyProtection="0"/>
    <xf numFmtId="0" fontId="52" fillId="41" borderId="0" applyNumberFormat="0" applyBorder="0" applyAlignment="0" applyProtection="0"/>
    <xf numFmtId="0" fontId="52" fillId="45" borderId="0" applyNumberFormat="0" applyBorder="0" applyAlignment="0" applyProtection="0"/>
    <xf numFmtId="0" fontId="52" fillId="49" borderId="0" applyNumberFormat="0" applyBorder="0" applyAlignment="0" applyProtection="0"/>
    <xf numFmtId="0" fontId="14" fillId="14" borderId="0" applyNumberFormat="0" applyBorder="0" applyAlignment="0" applyProtection="0"/>
    <xf numFmtId="0" fontId="52" fillId="26" borderId="0" applyNumberFormat="0" applyBorder="0" applyAlignment="0" applyProtection="0"/>
    <xf numFmtId="0" fontId="14" fillId="15" borderId="0" applyNumberFormat="0" applyBorder="0" applyAlignment="0" applyProtection="0"/>
    <xf numFmtId="0" fontId="52" fillId="30" borderId="0" applyNumberFormat="0" applyBorder="0" applyAlignment="0" applyProtection="0"/>
    <xf numFmtId="0" fontId="14" fillId="16" borderId="0" applyNumberFormat="0" applyBorder="0" applyAlignment="0" applyProtection="0"/>
    <xf numFmtId="0" fontId="52" fillId="34" borderId="0" applyNumberFormat="0" applyBorder="0" applyAlignment="0" applyProtection="0"/>
    <xf numFmtId="0" fontId="14" fillId="12" borderId="0" applyNumberFormat="0" applyBorder="0" applyAlignment="0" applyProtection="0"/>
    <xf numFmtId="0" fontId="52" fillId="38" borderId="0" applyNumberFormat="0" applyBorder="0" applyAlignment="0" applyProtection="0"/>
    <xf numFmtId="0" fontId="14" fillId="13" borderId="0" applyNumberFormat="0" applyBorder="0" applyAlignment="0" applyProtection="0"/>
    <xf numFmtId="0" fontId="52" fillId="42" borderId="0" applyNumberFormat="0" applyBorder="0" applyAlignment="0" applyProtection="0"/>
    <xf numFmtId="0" fontId="14" fillId="17" borderId="0" applyNumberFormat="0" applyBorder="0" applyAlignment="0" applyProtection="0"/>
    <xf numFmtId="0" fontId="52" fillId="46" borderId="0" applyNumberFormat="0" applyBorder="0" applyAlignment="0" applyProtection="0"/>
    <xf numFmtId="0" fontId="50" fillId="0" borderId="0" applyNumberFormat="0" applyFill="0" applyBorder="0" applyAlignment="0" applyProtection="0"/>
    <xf numFmtId="0" fontId="47" fillId="23" borderId="18" applyNumberFormat="0" applyAlignment="0" applyProtection="0"/>
    <xf numFmtId="0" fontId="48" fillId="0" borderId="20" applyNumberFormat="0" applyFill="0" applyAlignment="0" applyProtection="0"/>
    <xf numFmtId="0" fontId="5" fillId="25" borderId="22" applyNumberFormat="0" applyFont="0" applyAlignment="0" applyProtection="0"/>
    <xf numFmtId="0" fontId="45" fillId="22" borderId="18" applyNumberFormat="0" applyAlignment="0" applyProtection="0"/>
    <xf numFmtId="0" fontId="44" fillId="20" borderId="0" applyNumberFormat="0" applyBorder="0" applyAlignment="0" applyProtection="0"/>
    <xf numFmtId="0" fontId="54" fillId="21" borderId="0" applyNumberFormat="0" applyBorder="0" applyAlignment="0" applyProtection="0"/>
    <xf numFmtId="0" fontId="13" fillId="0" borderId="0"/>
    <xf numFmtId="0" fontId="5" fillId="0" borderId="0"/>
    <xf numFmtId="0" fontId="13" fillId="0" borderId="0"/>
    <xf numFmtId="0" fontId="43" fillId="19" borderId="0" applyNumberFormat="0" applyBorder="0" applyAlignment="0" applyProtection="0"/>
    <xf numFmtId="0" fontId="46" fillId="23" borderId="19" applyNumberFormat="0" applyAlignment="0" applyProtection="0"/>
    <xf numFmtId="0" fontId="51" fillId="0" borderId="0" applyNumberFormat="0" applyFill="0" applyBorder="0" applyAlignment="0" applyProtection="0"/>
    <xf numFmtId="0" fontId="53" fillId="0" borderId="0" applyNumberFormat="0" applyFill="0" applyBorder="0" applyAlignment="0" applyProtection="0"/>
    <xf numFmtId="0" fontId="40" fillId="0" borderId="15" applyNumberFormat="0" applyFill="0" applyAlignment="0" applyProtection="0"/>
    <xf numFmtId="0" fontId="41" fillId="0" borderId="16" applyNumberFormat="0" applyFill="0" applyAlignment="0" applyProtection="0"/>
    <xf numFmtId="0" fontId="42" fillId="0" borderId="17" applyNumberFormat="0" applyFill="0" applyAlignment="0" applyProtection="0"/>
    <xf numFmtId="0" fontId="42" fillId="0" borderId="0" applyNumberFormat="0" applyFill="0" applyBorder="0" applyAlignment="0" applyProtection="0"/>
    <xf numFmtId="0" fontId="15" fillId="0" borderId="24" applyNumberFormat="0" applyFill="0" applyAlignment="0" applyProtection="0"/>
    <xf numFmtId="0" fontId="6" fillId="0" borderId="23" applyNumberFormat="0" applyFill="0" applyAlignment="0" applyProtection="0"/>
    <xf numFmtId="0" fontId="49" fillId="24" borderId="21" applyNumberFormat="0" applyAlignment="0" applyProtection="0"/>
    <xf numFmtId="0" fontId="13" fillId="0" borderId="0"/>
    <xf numFmtId="0" fontId="13" fillId="0" borderId="0"/>
    <xf numFmtId="9" fontId="5" fillId="0" borderId="0" applyFont="0" applyFill="0" applyBorder="0" applyAlignment="0" applyProtection="0"/>
    <xf numFmtId="0" fontId="3" fillId="0" borderId="0"/>
    <xf numFmtId="0" fontId="5" fillId="0" borderId="0"/>
    <xf numFmtId="0" fontId="3" fillId="0" borderId="0"/>
    <xf numFmtId="0" fontId="13" fillId="0" borderId="0"/>
    <xf numFmtId="9" fontId="5" fillId="0" borderId="0" applyFont="0" applyFill="0" applyBorder="0" applyAlignment="0" applyProtection="0"/>
    <xf numFmtId="0" fontId="3" fillId="0" borderId="0"/>
    <xf numFmtId="0" fontId="5" fillId="0" borderId="0"/>
    <xf numFmtId="0" fontId="5" fillId="0" borderId="0"/>
    <xf numFmtId="0" fontId="5" fillId="0" borderId="0"/>
    <xf numFmtId="0" fontId="5" fillId="0" borderId="0"/>
    <xf numFmtId="0" fontId="3" fillId="25" borderId="22" applyNumberFormat="0" applyFont="0" applyAlignment="0" applyProtection="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3" fillId="0" borderId="0"/>
    <xf numFmtId="0" fontId="5" fillId="0" borderId="0"/>
    <xf numFmtId="0" fontId="5" fillId="0" borderId="0" applyProtection="0"/>
    <xf numFmtId="0" fontId="5" fillId="28" borderId="0" applyNumberFormat="0" applyBorder="0" applyAlignment="0" applyProtection="0"/>
    <xf numFmtId="0" fontId="5" fillId="32" borderId="0" applyNumberFormat="0" applyBorder="0" applyAlignment="0" applyProtection="0"/>
    <xf numFmtId="0" fontId="5" fillId="43" borderId="0" applyNumberFormat="0" applyBorder="0" applyAlignment="0" applyProtection="0"/>
    <xf numFmtId="0" fontId="5" fillId="40" borderId="0" applyNumberFormat="0" applyBorder="0" applyAlignment="0" applyProtection="0"/>
    <xf numFmtId="0" fontId="5" fillId="27" borderId="0" applyNumberFormat="0" applyBorder="0" applyAlignment="0" applyProtection="0"/>
    <xf numFmtId="0" fontId="5" fillId="39" borderId="0" applyNumberFormat="0" applyBorder="0" applyAlignment="0" applyProtection="0"/>
    <xf numFmtId="0" fontId="5" fillId="36" borderId="0" applyNumberFormat="0" applyBorder="0" applyAlignment="0" applyProtection="0"/>
    <xf numFmtId="0" fontId="5" fillId="43" borderId="0" applyNumberFormat="0" applyBorder="0" applyAlignment="0" applyProtection="0"/>
    <xf numFmtId="0" fontId="5" fillId="35" borderId="0" applyNumberFormat="0" applyBorder="0" applyAlignment="0" applyProtection="0"/>
    <xf numFmtId="0" fontId="5" fillId="47" borderId="0" applyNumberFormat="0" applyBorder="0" applyAlignment="0" applyProtection="0"/>
    <xf numFmtId="0" fontId="5" fillId="47" borderId="0" applyNumberFormat="0" applyBorder="0" applyAlignment="0" applyProtection="0"/>
    <xf numFmtId="0" fontId="5" fillId="31" borderId="0" applyNumberFormat="0" applyBorder="0" applyAlignment="0" applyProtection="0"/>
    <xf numFmtId="0" fontId="5" fillId="39" borderId="0" applyNumberFormat="0" applyBorder="0" applyAlignment="0" applyProtection="0"/>
    <xf numFmtId="0" fontId="5" fillId="44" borderId="0" applyNumberFormat="0" applyBorder="0" applyAlignment="0" applyProtection="0"/>
    <xf numFmtId="0" fontId="5" fillId="35" borderId="0" applyNumberFormat="0" applyBorder="0" applyAlignment="0" applyProtection="0"/>
    <xf numFmtId="0" fontId="5" fillId="31" borderId="0" applyNumberFormat="0" applyBorder="0" applyAlignment="0" applyProtection="0"/>
    <xf numFmtId="0" fontId="5" fillId="27" borderId="0" applyNumberFormat="0" applyBorder="0" applyAlignment="0" applyProtection="0"/>
    <xf numFmtId="0" fontId="5" fillId="48" borderId="0" applyNumberFormat="0" applyBorder="0" applyAlignment="0" applyProtection="0"/>
    <xf numFmtId="0" fontId="5" fillId="28" borderId="0" applyNumberFormat="0" applyBorder="0" applyAlignment="0" applyProtection="0"/>
    <xf numFmtId="0" fontId="5" fillId="32" borderId="0" applyNumberFormat="0" applyBorder="0" applyAlignment="0" applyProtection="0"/>
    <xf numFmtId="0" fontId="5" fillId="36" borderId="0" applyNumberFormat="0" applyBorder="0" applyAlignment="0" applyProtection="0"/>
    <xf numFmtId="0" fontId="5" fillId="40" borderId="0" applyNumberFormat="0" applyBorder="0" applyAlignment="0" applyProtection="0"/>
    <xf numFmtId="0" fontId="5" fillId="44" borderId="0" applyNumberFormat="0" applyBorder="0" applyAlignment="0" applyProtection="0"/>
    <xf numFmtId="0" fontId="5" fillId="48" borderId="0" applyNumberFormat="0" applyBorder="0" applyAlignment="0" applyProtection="0"/>
    <xf numFmtId="0" fontId="5" fillId="25" borderId="22" applyNumberFormat="0" applyFont="0" applyAlignment="0" applyProtection="0"/>
    <xf numFmtId="0" fontId="5" fillId="25" borderId="22" applyNumberFormat="0" applyFont="0" applyAlignment="0" applyProtection="0"/>
    <xf numFmtId="0" fontId="2" fillId="0" borderId="0" applyNumberFormat="0" applyFill="0" applyBorder="0" applyAlignment="0" applyProtection="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25" borderId="22" applyNumberFormat="0" applyFont="0" applyAlignment="0" applyProtection="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applyProtection="0"/>
    <xf numFmtId="0" fontId="5" fillId="0" borderId="0" applyProtection="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Protection="0"/>
    <xf numFmtId="0" fontId="5" fillId="0" borderId="0"/>
    <xf numFmtId="0" fontId="5" fillId="0" borderId="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3" fillId="0" borderId="0"/>
    <xf numFmtId="0" fontId="5" fillId="0" borderId="0"/>
    <xf numFmtId="0" fontId="5" fillId="0" borderId="0"/>
    <xf numFmtId="0" fontId="5" fillId="0" borderId="0"/>
  </cellStyleXfs>
  <cellXfs count="191">
    <xf numFmtId="0" fontId="0" fillId="0" borderId="0" xfId="0"/>
    <xf numFmtId="0" fontId="3" fillId="0" borderId="0" xfId="0" applyFont="1" applyAlignment="1">
      <alignment vertical="center"/>
    </xf>
    <xf numFmtId="0" fontId="4" fillId="0" borderId="0" xfId="0" applyFont="1" applyAlignment="1">
      <alignment vertical="center"/>
    </xf>
    <xf numFmtId="0" fontId="3" fillId="0" borderId="0" xfId="0" applyFont="1" applyAlignment="1">
      <alignment horizontal="left"/>
    </xf>
    <xf numFmtId="0" fontId="3" fillId="0" borderId="0" xfId="0" applyFont="1" applyFill="1" applyBorder="1"/>
    <xf numFmtId="0" fontId="3" fillId="0" borderId="0" xfId="0" applyFont="1" applyFill="1"/>
    <xf numFmtId="2" fontId="3" fillId="0" borderId="0" xfId="0" applyNumberFormat="1" applyFont="1" applyFill="1" applyBorder="1" applyAlignment="1">
      <alignment horizontal="center"/>
    </xf>
    <xf numFmtId="0" fontId="3" fillId="0" borderId="0" xfId="0" applyFont="1" applyFill="1" applyAlignment="1">
      <alignment horizontal="left"/>
    </xf>
    <xf numFmtId="14" fontId="3" fillId="0" borderId="0" xfId="0" applyNumberFormat="1" applyFont="1" applyFill="1" applyAlignment="1">
      <alignment horizontal="left" vertical="center"/>
    </xf>
    <xf numFmtId="14" fontId="3" fillId="0" borderId="0" xfId="0" applyNumberFormat="1" applyFont="1" applyFill="1" applyAlignment="1">
      <alignment horizontal="left"/>
    </xf>
    <xf numFmtId="0" fontId="3" fillId="0" borderId="0" xfId="0" applyFont="1" applyBorder="1" applyAlignment="1">
      <alignment horizontal="center" vertical="center" wrapText="1"/>
    </xf>
    <xf numFmtId="0" fontId="3" fillId="0" borderId="0" xfId="0" applyFont="1"/>
    <xf numFmtId="0" fontId="4" fillId="0" borderId="0" xfId="0" applyFont="1" applyAlignment="1">
      <alignment horizontal="left" vertical="center"/>
    </xf>
    <xf numFmtId="0" fontId="3" fillId="0" borderId="0" xfId="0" applyFont="1" applyAlignment="1">
      <alignment horizontal="justify" vertical="center" wrapText="1"/>
    </xf>
    <xf numFmtId="14" fontId="3" fillId="0" borderId="0" xfId="0" applyNumberFormat="1" applyFont="1" applyAlignment="1">
      <alignment horizontal="justify" vertical="center" wrapText="1"/>
    </xf>
    <xf numFmtId="0" fontId="3" fillId="0" borderId="0" xfId="0" applyFont="1" applyBorder="1"/>
    <xf numFmtId="0" fontId="4" fillId="0" borderId="0" xfId="0" applyFont="1" applyAlignment="1">
      <alignment horizontal="right" vertical="center" wrapText="1"/>
    </xf>
    <xf numFmtId="49" fontId="3" fillId="0" borderId="0" xfId="0" applyNumberFormat="1" applyFont="1" applyAlignment="1">
      <alignment horizontal="left"/>
    </xf>
    <xf numFmtId="14" fontId="3" fillId="0" borderId="0" xfId="0" applyNumberFormat="1" applyFont="1" applyAlignment="1">
      <alignment horizontal="left"/>
    </xf>
    <xf numFmtId="0" fontId="4" fillId="0" borderId="0" xfId="0" applyFont="1" applyAlignment="1">
      <alignment horizontal="justify" vertical="center"/>
    </xf>
    <xf numFmtId="0" fontId="3" fillId="0" borderId="0" xfId="0" applyFont="1" applyAlignment="1">
      <alignment vertical="justify" wrapText="1"/>
    </xf>
    <xf numFmtId="0" fontId="3" fillId="0" borderId="0" xfId="0" applyFont="1" applyFill="1" applyAlignment="1">
      <alignment wrapText="1"/>
    </xf>
    <xf numFmtId="0" fontId="3" fillId="0" borderId="0" xfId="0" applyFont="1" applyAlignment="1">
      <alignment horizontal="left" vertical="top" wrapText="1"/>
    </xf>
    <xf numFmtId="1" fontId="3" fillId="0" borderId="0" xfId="0" applyNumberFormat="1" applyFont="1" applyFill="1" applyAlignment="1">
      <alignment horizontal="left"/>
    </xf>
    <xf numFmtId="0" fontId="4" fillId="3" borderId="0" xfId="0" applyFont="1" applyFill="1" applyAlignment="1">
      <alignment vertical="center"/>
    </xf>
    <xf numFmtId="14" fontId="0" fillId="0" borderId="0" xfId="0" applyNumberFormat="1"/>
    <xf numFmtId="0" fontId="4" fillId="0" borderId="0" xfId="0" applyFont="1" applyAlignment="1">
      <alignment horizontal="left" vertical="center"/>
    </xf>
    <xf numFmtId="0" fontId="10" fillId="0" borderId="0" xfId="0" applyFont="1" applyAlignment="1">
      <alignment horizontal="left" vertical="center"/>
    </xf>
    <xf numFmtId="0" fontId="0" fillId="0" borderId="0" xfId="0" applyFont="1"/>
    <xf numFmtId="0" fontId="3" fillId="0" borderId="0" xfId="0" applyFont="1" applyAlignment="1">
      <alignment wrapText="1"/>
    </xf>
    <xf numFmtId="0" fontId="0" fillId="0" borderId="0" xfId="0" applyFont="1" applyFill="1" applyBorder="1" applyAlignment="1">
      <alignment horizontal="center"/>
    </xf>
    <xf numFmtId="49" fontId="0" fillId="0" borderId="0" xfId="0" applyNumberFormat="1" applyFont="1" applyFill="1" applyBorder="1" applyAlignment="1">
      <alignment horizontal="center"/>
    </xf>
    <xf numFmtId="0" fontId="0" fillId="0" borderId="0" xfId="0" applyFont="1" applyFill="1" applyBorder="1" applyAlignment="1">
      <alignment horizontal="center" wrapText="1"/>
    </xf>
    <xf numFmtId="14" fontId="0" fillId="0" borderId="0" xfId="0" applyNumberFormat="1" applyFont="1" applyFill="1" applyBorder="1" applyAlignment="1">
      <alignment horizontal="center" wrapText="1"/>
    </xf>
    <xf numFmtId="0" fontId="0" fillId="0" borderId="0" xfId="0" applyFont="1" applyFill="1" applyAlignment="1">
      <alignment horizontal="center" wrapText="1"/>
    </xf>
    <xf numFmtId="0" fontId="6" fillId="0" borderId="0" xfId="0" applyFont="1" applyFill="1" applyBorder="1" applyAlignment="1">
      <alignment horizontal="left"/>
    </xf>
    <xf numFmtId="0" fontId="6" fillId="5" borderId="5" xfId="0" applyFont="1" applyFill="1" applyBorder="1" applyAlignment="1">
      <alignment horizontal="left" vertical="center"/>
    </xf>
    <xf numFmtId="0" fontId="0" fillId="0" borderId="0" xfId="0" applyFont="1" applyFill="1" applyAlignment="1">
      <alignment horizontal="center"/>
    </xf>
    <xf numFmtId="0" fontId="0" fillId="0" borderId="0" xfId="0" applyFont="1" applyFill="1" applyBorder="1" applyAlignment="1">
      <alignment horizontal="left"/>
    </xf>
    <xf numFmtId="0" fontId="0" fillId="0" borderId="0" xfId="0" applyFont="1" applyFill="1"/>
    <xf numFmtId="0" fontId="0" fillId="0" borderId="0" xfId="0" applyFont="1" applyFill="1" applyBorder="1"/>
    <xf numFmtId="2" fontId="0" fillId="0" borderId="0" xfId="0" applyNumberFormat="1" applyFont="1" applyFill="1" applyBorder="1" applyAlignment="1">
      <alignment horizontal="center"/>
    </xf>
    <xf numFmtId="0" fontId="7" fillId="0" borderId="0" xfId="0" applyFont="1" applyFill="1" applyBorder="1" applyAlignment="1">
      <alignment horizontal="center" vertical="center" wrapText="1"/>
    </xf>
    <xf numFmtId="0" fontId="6" fillId="0" borderId="0" xfId="0" applyFont="1" applyFill="1" applyBorder="1"/>
    <xf numFmtId="0" fontId="0" fillId="0" borderId="0" xfId="0" applyNumberFormat="1" applyFont="1" applyFill="1" applyBorder="1" applyAlignment="1">
      <alignment vertical="justify"/>
    </xf>
    <xf numFmtId="0" fontId="6" fillId="0" borderId="0" xfId="0" applyFont="1" applyFill="1" applyBorder="1" applyAlignment="1">
      <alignment horizontal="left" vertical="center" wrapText="1"/>
    </xf>
    <xf numFmtId="3" fontId="0" fillId="0" borderId="0" xfId="0" applyNumberFormat="1" applyFont="1" applyFill="1" applyBorder="1" applyAlignment="1">
      <alignment horizontal="left"/>
    </xf>
    <xf numFmtId="14" fontId="0" fillId="4" borderId="4" xfId="0" applyNumberFormat="1" applyFont="1" applyFill="1" applyBorder="1" applyAlignment="1">
      <alignment horizontal="left" wrapText="1"/>
    </xf>
    <xf numFmtId="0" fontId="0" fillId="4" borderId="4" xfId="0" applyFont="1" applyFill="1" applyBorder="1"/>
    <xf numFmtId="0" fontId="6" fillId="5" borderId="3" xfId="0" applyFont="1" applyFill="1" applyBorder="1" applyAlignment="1">
      <alignment horizontal="left"/>
    </xf>
    <xf numFmtId="0" fontId="6" fillId="5" borderId="5" xfId="0" applyFont="1" applyFill="1" applyBorder="1" applyAlignment="1">
      <alignment horizontal="left"/>
    </xf>
    <xf numFmtId="0" fontId="16" fillId="4" borderId="7" xfId="0" applyFont="1" applyFill="1" applyBorder="1"/>
    <xf numFmtId="0" fontId="11" fillId="5" borderId="0" xfId="0" applyFont="1" applyFill="1" applyBorder="1" applyAlignment="1">
      <alignment horizontal="center"/>
    </xf>
    <xf numFmtId="0" fontId="11" fillId="5" borderId="0" xfId="0" applyFont="1" applyFill="1" applyBorder="1" applyAlignment="1">
      <alignment horizontal="left"/>
    </xf>
    <xf numFmtId="0" fontId="12" fillId="5" borderId="0" xfId="0" applyFont="1" applyFill="1" applyBorder="1" applyAlignment="1">
      <alignment horizontal="center" wrapText="1"/>
    </xf>
    <xf numFmtId="0" fontId="11" fillId="0" borderId="0" xfId="0" applyFont="1" applyBorder="1" applyAlignment="1" applyProtection="1">
      <alignment horizontal="center"/>
      <protection locked="0"/>
    </xf>
    <xf numFmtId="0" fontId="11" fillId="0" borderId="0" xfId="0" applyFont="1" applyBorder="1" applyAlignment="1" applyProtection="1">
      <alignment horizontal="center" wrapText="1"/>
      <protection locked="0"/>
    </xf>
    <xf numFmtId="49" fontId="12" fillId="5" borderId="0" xfId="0" applyNumberFormat="1" applyFont="1" applyFill="1" applyBorder="1" applyAlignment="1">
      <alignment horizontal="center" wrapText="1"/>
    </xf>
    <xf numFmtId="0" fontId="12" fillId="0" borderId="14" xfId="0" applyFont="1" applyBorder="1" applyAlignment="1">
      <alignment horizontal="center" vertical="center" wrapText="1"/>
    </xf>
    <xf numFmtId="49" fontId="12" fillId="0" borderId="14" xfId="0" applyNumberFormat="1" applyFont="1" applyBorder="1" applyAlignment="1">
      <alignment horizontal="center" vertical="center" wrapText="1"/>
    </xf>
    <xf numFmtId="0" fontId="16" fillId="4" borderId="7" xfId="0" applyFont="1" applyFill="1" applyBorder="1" applyAlignment="1">
      <alignment vertical="top" wrapText="1"/>
    </xf>
    <xf numFmtId="0" fontId="6" fillId="5" borderId="5" xfId="0" applyFont="1" applyFill="1" applyBorder="1" applyAlignment="1">
      <alignment horizontal="left" vertical="center" wrapText="1"/>
    </xf>
    <xf numFmtId="0" fontId="0" fillId="18" borderId="0" xfId="0" applyFill="1" applyProtection="1"/>
    <xf numFmtId="0" fontId="6" fillId="18" borderId="0" xfId="0" applyFont="1" applyFill="1" applyProtection="1"/>
    <xf numFmtId="0" fontId="6" fillId="18" borderId="0" xfId="0" applyFont="1" applyFill="1" applyAlignment="1" applyProtection="1">
      <alignment wrapText="1"/>
    </xf>
    <xf numFmtId="0" fontId="0" fillId="18" borderId="0" xfId="0" applyNumberFormat="1" applyFill="1" applyProtection="1"/>
    <xf numFmtId="0" fontId="6" fillId="18" borderId="0" xfId="0" applyFont="1" applyFill="1" applyBorder="1" applyAlignment="1" applyProtection="1">
      <alignment wrapText="1"/>
    </xf>
    <xf numFmtId="0" fontId="6" fillId="0" borderId="0" xfId="0" applyFont="1" applyFill="1" applyBorder="1" applyAlignment="1">
      <alignment horizontal="left" vertical="center"/>
    </xf>
    <xf numFmtId="14" fontId="0" fillId="0" borderId="0" xfId="0" applyNumberFormat="1" applyFont="1" applyFill="1" applyBorder="1"/>
    <xf numFmtId="0" fontId="22" fillId="0" borderId="0" xfId="0" applyFont="1"/>
    <xf numFmtId="0" fontId="21" fillId="0" borderId="0" xfId="0" applyFont="1" applyAlignment="1">
      <alignment vertical="center"/>
    </xf>
    <xf numFmtId="0" fontId="23" fillId="0" borderId="1" xfId="0" applyFont="1" applyBorder="1" applyAlignment="1">
      <alignment horizontal="center" vertical="center" wrapText="1"/>
    </xf>
    <xf numFmtId="0" fontId="24" fillId="0" borderId="1" xfId="0" applyFont="1" applyBorder="1" applyAlignment="1">
      <alignment horizontal="center" vertical="center" wrapText="1"/>
    </xf>
    <xf numFmtId="14" fontId="24" fillId="0" borderId="1" xfId="0" applyNumberFormat="1" applyFont="1" applyBorder="1" applyAlignment="1">
      <alignment horizontal="center" vertical="center" wrapText="1"/>
    </xf>
    <xf numFmtId="49" fontId="24" fillId="0" borderId="1" xfId="0" applyNumberFormat="1" applyFont="1" applyBorder="1" applyAlignment="1">
      <alignment horizontal="center" vertical="center" wrapText="1"/>
    </xf>
    <xf numFmtId="0" fontId="23" fillId="0" borderId="1" xfId="0" applyFont="1" applyBorder="1" applyAlignment="1">
      <alignment horizontal="center"/>
    </xf>
    <xf numFmtId="0" fontId="24" fillId="0" borderId="1" xfId="0" applyFont="1" applyBorder="1" applyAlignment="1">
      <alignment horizontal="center"/>
    </xf>
    <xf numFmtId="0" fontId="21" fillId="0" borderId="0" xfId="0" applyFont="1" applyBorder="1" applyAlignment="1">
      <alignment vertical="center"/>
    </xf>
    <xf numFmtId="0" fontId="22" fillId="0" borderId="0" xfId="0" applyFont="1" applyBorder="1"/>
    <xf numFmtId="0" fontId="27" fillId="0" borderId="0" xfId="0" applyFont="1" applyAlignment="1">
      <alignment horizontal="left" vertical="center"/>
    </xf>
    <xf numFmtId="0" fontId="22" fillId="0" borderId="0" xfId="0" applyFont="1" applyAlignment="1">
      <alignment horizontal="justify" vertical="center" wrapText="1"/>
    </xf>
    <xf numFmtId="14" fontId="22" fillId="0" borderId="0" xfId="0" applyNumberFormat="1" applyFont="1" applyAlignment="1">
      <alignment horizontal="justify" vertical="center" wrapText="1"/>
    </xf>
    <xf numFmtId="0" fontId="22" fillId="0" borderId="0" xfId="0" applyFont="1" applyAlignment="1">
      <alignment vertical="center"/>
    </xf>
    <xf numFmtId="0" fontId="28" fillId="0" borderId="0" xfId="1" applyFont="1" applyAlignment="1">
      <alignment horizontal="left" vertical="center"/>
    </xf>
    <xf numFmtId="0" fontId="22" fillId="0" borderId="0" xfId="0" applyFont="1" applyAlignment="1">
      <alignment horizontal="right"/>
    </xf>
    <xf numFmtId="0" fontId="29" fillId="0" borderId="0" xfId="0" applyFont="1" applyAlignment="1">
      <alignment horizontal="right" vertical="center" wrapText="1"/>
    </xf>
    <xf numFmtId="0" fontId="22" fillId="0" borderId="0" xfId="0" applyFont="1" applyAlignment="1">
      <alignment horizontal="left"/>
    </xf>
    <xf numFmtId="49" fontId="22" fillId="0" borderId="0" xfId="0" applyNumberFormat="1" applyFont="1" applyAlignment="1">
      <alignment horizontal="left"/>
    </xf>
    <xf numFmtId="14" fontId="22" fillId="0" borderId="0" xfId="0" applyNumberFormat="1" applyFont="1" applyAlignment="1">
      <alignment horizontal="left"/>
    </xf>
    <xf numFmtId="0" fontId="21" fillId="0" borderId="0" xfId="0" applyFont="1" applyFill="1" applyBorder="1"/>
    <xf numFmtId="2" fontId="21" fillId="0" borderId="0" xfId="0" applyNumberFormat="1" applyFont="1" applyFill="1" applyBorder="1" applyAlignment="1">
      <alignment horizontal="center"/>
    </xf>
    <xf numFmtId="0" fontId="21" fillId="0" borderId="0" xfId="0" applyFont="1" applyFill="1"/>
    <xf numFmtId="2" fontId="26" fillId="0" borderId="0" xfId="0" applyNumberFormat="1" applyFont="1" applyFill="1" applyBorder="1" applyAlignment="1">
      <alignment horizontal="center"/>
    </xf>
    <xf numFmtId="0" fontId="21" fillId="0" borderId="0" xfId="0" applyFont="1"/>
    <xf numFmtId="0" fontId="21" fillId="0" borderId="0" xfId="0" applyFont="1" applyBorder="1" applyAlignment="1">
      <alignment horizontal="center" vertical="center" wrapText="1"/>
    </xf>
    <xf numFmtId="0" fontId="26" fillId="0" borderId="0" xfId="0" applyFont="1" applyAlignment="1">
      <alignment horizontal="left" vertical="center"/>
    </xf>
    <xf numFmtId="0" fontId="24" fillId="0" borderId="0" xfId="0" applyFont="1" applyBorder="1" applyAlignment="1">
      <alignment horizontal="left" vertical="center" wrapText="1"/>
    </xf>
    <xf numFmtId="14" fontId="24" fillId="0" borderId="0" xfId="0" applyNumberFormat="1" applyFont="1" applyBorder="1" applyAlignment="1">
      <alignment horizontal="left" vertical="center" wrapText="1"/>
    </xf>
    <xf numFmtId="0" fontId="21" fillId="0" borderId="0" xfId="0" applyFont="1" applyAlignment="1">
      <alignment horizontal="justify" vertical="center" wrapText="1"/>
    </xf>
    <xf numFmtId="0" fontId="24" fillId="0" borderId="0" xfId="0" applyFont="1" applyBorder="1" applyAlignment="1">
      <alignment vertical="top"/>
    </xf>
    <xf numFmtId="14" fontId="21" fillId="0" borderId="0" xfId="0" applyNumberFormat="1" applyFont="1" applyAlignment="1">
      <alignment horizontal="justify" vertical="center" wrapText="1"/>
    </xf>
    <xf numFmtId="0" fontId="24" fillId="0" borderId="0" xfId="0" applyNumberFormat="1" applyFont="1" applyBorder="1" applyAlignment="1">
      <alignment horizontal="left" vertical="center" wrapText="1"/>
    </xf>
    <xf numFmtId="1" fontId="24" fillId="0" borderId="0" xfId="0" applyNumberFormat="1" applyFont="1" applyBorder="1" applyAlignment="1">
      <alignment horizontal="left" vertical="center" wrapText="1"/>
    </xf>
    <xf numFmtId="0" fontId="21" fillId="0" borderId="2" xfId="0" applyFont="1" applyBorder="1" applyAlignment="1">
      <alignment horizontal="left"/>
    </xf>
    <xf numFmtId="0" fontId="24" fillId="0" borderId="2" xfId="0" applyFont="1" applyBorder="1" applyAlignment="1">
      <alignment horizontal="left" vertical="center" wrapText="1"/>
    </xf>
    <xf numFmtId="0" fontId="21" fillId="0" borderId="0" xfId="0" applyFont="1" applyBorder="1"/>
    <xf numFmtId="0" fontId="30" fillId="0" borderId="0" xfId="0" applyFont="1" applyBorder="1" applyAlignment="1">
      <alignment horizontal="center" vertical="center" wrapText="1"/>
    </xf>
    <xf numFmtId="14" fontId="21" fillId="0" borderId="0" xfId="0" applyNumberFormat="1" applyFont="1" applyBorder="1"/>
    <xf numFmtId="0" fontId="31" fillId="0" borderId="0" xfId="1" applyFont="1" applyBorder="1" applyAlignment="1">
      <alignment horizontal="left" vertical="center"/>
    </xf>
    <xf numFmtId="0" fontId="26" fillId="0" borderId="8" xfId="0" applyFont="1" applyBorder="1"/>
    <xf numFmtId="0" fontId="21" fillId="0" borderId="9" xfId="0" applyFont="1" applyBorder="1"/>
    <xf numFmtId="0" fontId="21" fillId="0" borderId="10" xfId="0" applyFont="1" applyBorder="1"/>
    <xf numFmtId="0" fontId="26" fillId="0" borderId="0" xfId="0" applyFont="1"/>
    <xf numFmtId="0" fontId="26" fillId="0" borderId="0" xfId="0" applyFont="1" applyAlignment="1">
      <alignment vertical="center"/>
    </xf>
    <xf numFmtId="0" fontId="26" fillId="0" borderId="0" xfId="0" applyFont="1" applyAlignment="1">
      <alignment horizontal="right" vertical="center" wrapText="1"/>
    </xf>
    <xf numFmtId="0" fontId="21" fillId="0" borderId="0" xfId="0" applyFont="1" applyAlignment="1">
      <alignment horizontal="left"/>
    </xf>
    <xf numFmtId="0" fontId="26" fillId="0" borderId="0" xfId="0" applyFont="1" applyAlignment="1">
      <alignment horizontal="justify" vertical="center"/>
    </xf>
    <xf numFmtId="0" fontId="21" fillId="0" borderId="0" xfId="0" applyFont="1" applyBorder="1" applyAlignment="1">
      <alignment horizontal="right"/>
    </xf>
    <xf numFmtId="0" fontId="21" fillId="0" borderId="0" xfId="0" applyFont="1" applyAlignment="1">
      <alignment horizontal="right" vertical="center"/>
    </xf>
    <xf numFmtId="49" fontId="21" fillId="0" borderId="0" xfId="0" applyNumberFormat="1" applyFont="1" applyAlignment="1">
      <alignment horizontal="left"/>
    </xf>
    <xf numFmtId="14" fontId="21" fillId="0" borderId="0" xfId="0" applyNumberFormat="1" applyFont="1" applyAlignment="1">
      <alignment horizontal="left"/>
    </xf>
    <xf numFmtId="0" fontId="34" fillId="0" borderId="0" xfId="0" applyFont="1" applyAlignment="1">
      <alignment horizontal="justify" vertical="top"/>
    </xf>
    <xf numFmtId="0" fontId="21" fillId="0" borderId="0" xfId="0" applyFont="1" applyAlignment="1">
      <alignment horizontal="center" wrapText="1"/>
    </xf>
    <xf numFmtId="0" fontId="27" fillId="0" borderId="0" xfId="0" applyFont="1" applyBorder="1" applyAlignment="1">
      <alignment horizontal="left" vertical="center" wrapText="1"/>
    </xf>
    <xf numFmtId="0" fontId="27" fillId="0" borderId="2" xfId="0" applyFont="1" applyBorder="1" applyAlignment="1">
      <alignment horizontal="left" vertical="center" wrapText="1"/>
    </xf>
    <xf numFmtId="0" fontId="36" fillId="0" borderId="0" xfId="0" applyFont="1"/>
    <xf numFmtId="0" fontId="37" fillId="0" borderId="0" xfId="0" applyFont="1" applyAlignment="1">
      <alignment vertical="center" wrapText="1"/>
    </xf>
    <xf numFmtId="0" fontId="21" fillId="0" borderId="0" xfId="0" applyFont="1" applyAlignment="1">
      <alignment horizontal="justify" vertical="center"/>
    </xf>
    <xf numFmtId="0" fontId="21" fillId="0" borderId="0" xfId="0" applyFont="1" applyAlignment="1">
      <alignment horizontal="justify" vertical="top"/>
    </xf>
    <xf numFmtId="0" fontId="21" fillId="0" borderId="0" xfId="0" applyFont="1" applyAlignment="1">
      <alignment wrapText="1"/>
    </xf>
    <xf numFmtId="0" fontId="37" fillId="0" borderId="0" xfId="0" applyFont="1"/>
    <xf numFmtId="0" fontId="38" fillId="0" borderId="0" xfId="0" applyFont="1" applyAlignment="1">
      <alignment wrapText="1"/>
    </xf>
    <xf numFmtId="0" fontId="21" fillId="0" borderId="0" xfId="0" applyFont="1" applyFill="1" applyBorder="1" applyAlignment="1">
      <alignment horizontal="left" vertical="center"/>
    </xf>
    <xf numFmtId="0" fontId="39" fillId="0" borderId="0" xfId="0" applyFont="1" applyFill="1" applyBorder="1"/>
    <xf numFmtId="0" fontId="21" fillId="0" borderId="0" xfId="0" applyFont="1" applyAlignment="1">
      <alignment horizontal="left" wrapText="1"/>
    </xf>
    <xf numFmtId="14" fontId="11" fillId="0" borderId="1" xfId="0" applyNumberFormat="1" applyFont="1" applyBorder="1" applyAlignment="1" applyProtection="1">
      <alignment horizontal="center"/>
      <protection locked="0"/>
    </xf>
    <xf numFmtId="0" fontId="11" fillId="0" borderId="1" xfId="0" applyFont="1" applyBorder="1" applyAlignment="1" applyProtection="1">
      <alignment horizontal="center"/>
      <protection locked="0"/>
    </xf>
    <xf numFmtId="49" fontId="11" fillId="0" borderId="1" xfId="0" applyNumberFormat="1" applyFont="1" applyBorder="1" applyAlignment="1" applyProtection="1">
      <alignment horizontal="center"/>
      <protection locked="0"/>
    </xf>
    <xf numFmtId="1" fontId="11" fillId="0" borderId="1" xfId="0" applyNumberFormat="1" applyFont="1" applyBorder="1" applyAlignment="1">
      <alignment horizontal="center"/>
    </xf>
    <xf numFmtId="0" fontId="11" fillId="0" borderId="1" xfId="0" applyFont="1" applyBorder="1" applyAlignment="1">
      <alignment horizontal="center"/>
    </xf>
    <xf numFmtId="14" fontId="11" fillId="0" borderId="0" xfId="0" applyNumberFormat="1" applyFont="1" applyAlignment="1" applyProtection="1">
      <alignment horizontal="center"/>
      <protection locked="0"/>
    </xf>
    <xf numFmtId="0" fontId="11" fillId="0" borderId="0" xfId="0" applyFont="1" applyAlignment="1" applyProtection="1">
      <alignment horizontal="center"/>
      <protection locked="0"/>
    </xf>
    <xf numFmtId="0" fontId="0" fillId="0" borderId="0" xfId="0" applyAlignment="1">
      <alignment wrapText="1"/>
    </xf>
    <xf numFmtId="49" fontId="0" fillId="0" borderId="0" xfId="0" applyNumberFormat="1" applyAlignment="1">
      <alignment wrapText="1"/>
    </xf>
    <xf numFmtId="14" fontId="0" fillId="0" borderId="0" xfId="0" applyNumberFormat="1" applyAlignment="1">
      <alignment wrapText="1"/>
    </xf>
    <xf numFmtId="49" fontId="50" fillId="3" borderId="0" xfId="0" applyNumberFormat="1" applyFont="1" applyFill="1" applyAlignment="1">
      <alignment wrapText="1"/>
    </xf>
    <xf numFmtId="49" fontId="0" fillId="0" borderId="1" xfId="0" applyNumberFormat="1" applyBorder="1" applyAlignment="1">
      <alignment wrapText="1"/>
    </xf>
    <xf numFmtId="49" fontId="0" fillId="2" borderId="1" xfId="0" applyNumberFormat="1" applyFill="1" applyBorder="1" applyAlignment="1">
      <alignment wrapText="1"/>
    </xf>
    <xf numFmtId="49" fontId="0" fillId="0" borderId="26" xfId="0" applyNumberFormat="1" applyBorder="1" applyAlignment="1">
      <alignment wrapText="1"/>
    </xf>
    <xf numFmtId="0" fontId="22" fillId="0" borderId="0" xfId="0" applyFont="1" applyAlignment="1">
      <alignment horizontal="center" vertical="center" wrapText="1"/>
    </xf>
    <xf numFmtId="0" fontId="22" fillId="0" borderId="0" xfId="0" applyFont="1" applyAlignment="1">
      <alignment horizontal="left" vertical="center" wrapText="1"/>
    </xf>
    <xf numFmtId="0" fontId="25" fillId="0" borderId="0" xfId="0" applyFont="1" applyAlignment="1">
      <alignment horizontal="left" vertical="center" wrapText="1"/>
    </xf>
    <xf numFmtId="0" fontId="26" fillId="0" borderId="0" xfId="0" applyFont="1" applyAlignment="1">
      <alignment vertical="center" wrapText="1"/>
    </xf>
    <xf numFmtId="2" fontId="24" fillId="0" borderId="0" xfId="0" applyNumberFormat="1" applyFont="1" applyAlignment="1">
      <alignment horizontal="center"/>
    </xf>
    <xf numFmtId="164" fontId="26" fillId="0" borderId="0" xfId="0" applyNumberFormat="1" applyFont="1" applyAlignment="1">
      <alignment vertical="center" wrapText="1"/>
    </xf>
    <xf numFmtId="14" fontId="22" fillId="0" borderId="0" xfId="0" applyNumberFormat="1" applyFont="1"/>
    <xf numFmtId="0" fontId="24" fillId="0" borderId="0" xfId="0" applyFont="1"/>
    <xf numFmtId="0" fontId="25" fillId="0" borderId="0" xfId="0" applyFont="1" applyAlignment="1">
      <alignment horizontal="center" vertical="center" wrapText="1"/>
    </xf>
    <xf numFmtId="49" fontId="22" fillId="0" borderId="0" xfId="0" applyNumberFormat="1" applyFont="1"/>
    <xf numFmtId="49" fontId="24" fillId="0" borderId="0" xfId="0" applyNumberFormat="1" applyFont="1" applyAlignment="1">
      <alignment horizontal="center" vertical="center"/>
    </xf>
    <xf numFmtId="2" fontId="11" fillId="0" borderId="1" xfId="0" applyNumberFormat="1" applyFont="1" applyBorder="1" applyAlignment="1" applyProtection="1">
      <alignment horizontal="center" vertical="center"/>
      <protection locked="0"/>
    </xf>
    <xf numFmtId="0" fontId="11" fillId="0" borderId="1" xfId="0" applyFont="1" applyBorder="1" applyAlignment="1" applyProtection="1">
      <alignment horizontal="center" wrapText="1"/>
      <protection locked="0"/>
    </xf>
    <xf numFmtId="0" fontId="0" fillId="2" borderId="1" xfId="0" applyNumberFormat="1" applyFill="1" applyBorder="1" applyAlignment="1">
      <alignment wrapText="1"/>
    </xf>
    <xf numFmtId="49" fontId="0" fillId="2" borderId="0" xfId="0" applyNumberFormat="1" applyFill="1" applyAlignment="1">
      <alignment wrapText="1"/>
    </xf>
    <xf numFmtId="14" fontId="0" fillId="2" borderId="0" xfId="0" applyNumberFormat="1" applyFill="1" applyAlignment="1">
      <alignment wrapText="1"/>
    </xf>
    <xf numFmtId="0" fontId="50" fillId="3" borderId="0" xfId="0" applyNumberFormat="1" applyFont="1" applyFill="1" applyAlignment="1">
      <alignment wrapText="1"/>
    </xf>
    <xf numFmtId="0" fontId="0" fillId="0" borderId="0" xfId="0" applyNumberFormat="1" applyAlignment="1">
      <alignment wrapText="1"/>
    </xf>
    <xf numFmtId="0" fontId="0" fillId="2" borderId="0" xfId="0" applyNumberFormat="1" applyFill="1" applyAlignment="1">
      <alignment wrapText="1"/>
    </xf>
    <xf numFmtId="0" fontId="22" fillId="0" borderId="0" xfId="0" applyFont="1" applyAlignment="1">
      <alignment horizontal="left" vertical="center"/>
    </xf>
    <xf numFmtId="0" fontId="4" fillId="0" borderId="0" xfId="0" applyFont="1" applyAlignment="1">
      <alignment horizontal="left" vertical="center"/>
    </xf>
    <xf numFmtId="0" fontId="3" fillId="0" borderId="0" xfId="0" applyFont="1" applyAlignment="1">
      <alignment horizontal="left" vertical="top" wrapText="1"/>
    </xf>
    <xf numFmtId="0" fontId="1" fillId="0" borderId="0" xfId="0" applyFont="1" applyAlignment="1">
      <alignment horizontal="left" vertical="top" wrapText="1"/>
    </xf>
    <xf numFmtId="0" fontId="1" fillId="0" borderId="0" xfId="0" applyFont="1" applyAlignment="1">
      <alignment horizontal="left" vertical="top"/>
    </xf>
    <xf numFmtId="0" fontId="3" fillId="0" borderId="0" xfId="0" applyFont="1" applyBorder="1" applyAlignment="1">
      <alignment horizontal="left" vertical="center" wrapText="1"/>
    </xf>
    <xf numFmtId="0" fontId="3" fillId="0" borderId="0" xfId="0" applyNumberFormat="1" applyFont="1" applyFill="1" applyAlignment="1">
      <alignment horizontal="left"/>
    </xf>
    <xf numFmtId="0" fontId="3" fillId="0" borderId="0" xfId="0" applyNumberFormat="1" applyFont="1" applyAlignment="1">
      <alignment horizontal="left" vertical="top" wrapText="1"/>
    </xf>
    <xf numFmtId="0" fontId="3" fillId="0" borderId="0" xfId="0" applyFont="1" applyAlignment="1">
      <alignment horizontal="left" vertical="center"/>
    </xf>
    <xf numFmtId="0" fontId="21" fillId="0" borderId="11" xfId="0" applyFont="1" applyBorder="1" applyAlignment="1">
      <alignment horizontal="left" vertical="top" wrapText="1"/>
    </xf>
    <xf numFmtId="0" fontId="21" fillId="0" borderId="12" xfId="0" applyFont="1" applyBorder="1" applyAlignment="1">
      <alignment horizontal="left" vertical="top" wrapText="1"/>
    </xf>
    <xf numFmtId="0" fontId="21" fillId="0" borderId="13" xfId="0" applyFont="1" applyBorder="1" applyAlignment="1">
      <alignment horizontal="left" vertical="top" wrapText="1"/>
    </xf>
    <xf numFmtId="0" fontId="32" fillId="0" borderId="0" xfId="0" applyFont="1" applyAlignment="1">
      <alignment horizontal="left" vertical="top" wrapText="1"/>
    </xf>
    <xf numFmtId="0" fontId="24" fillId="0" borderId="0" xfId="0" applyFont="1" applyBorder="1" applyAlignment="1">
      <alignment horizontal="left" vertical="top" wrapText="1"/>
    </xf>
    <xf numFmtId="0" fontId="33" fillId="0" borderId="0" xfId="0" applyFont="1" applyAlignment="1">
      <alignment horizontal="left" vertical="top" wrapText="1"/>
    </xf>
    <xf numFmtId="0" fontId="21" fillId="0" borderId="0" xfId="0" applyFont="1" applyAlignment="1">
      <alignment horizontal="left" vertical="center"/>
    </xf>
    <xf numFmtId="0" fontId="11" fillId="50" borderId="25" xfId="0" applyFont="1" applyFill="1" applyBorder="1" applyAlignment="1" applyProtection="1">
      <alignment horizontal="center"/>
      <protection locked="0"/>
    </xf>
    <xf numFmtId="0" fontId="11" fillId="50" borderId="1" xfId="0" applyFont="1" applyFill="1" applyBorder="1" applyAlignment="1" applyProtection="1">
      <alignment horizontal="center"/>
      <protection locked="0"/>
    </xf>
    <xf numFmtId="49" fontId="11" fillId="50" borderId="1" xfId="0" applyNumberFormat="1" applyFont="1" applyFill="1" applyBorder="1" applyAlignment="1" applyProtection="1">
      <alignment horizontal="center"/>
      <protection locked="0"/>
    </xf>
    <xf numFmtId="14" fontId="11" fillId="50" borderId="1" xfId="0" applyNumberFormat="1" applyFont="1" applyFill="1" applyBorder="1" applyAlignment="1" applyProtection="1">
      <alignment horizontal="center"/>
      <protection locked="0"/>
    </xf>
    <xf numFmtId="165" fontId="11" fillId="50" borderId="1" xfId="0" applyNumberFormat="1" applyFont="1" applyFill="1" applyBorder="1" applyAlignment="1" applyProtection="1">
      <alignment horizontal="center"/>
      <protection locked="0"/>
    </xf>
    <xf numFmtId="49" fontId="56" fillId="50" borderId="1" xfId="0" applyNumberFormat="1" applyFont="1" applyFill="1" applyBorder="1" applyAlignment="1" applyProtection="1">
      <alignment horizontal="center"/>
      <protection locked="0"/>
    </xf>
    <xf numFmtId="14" fontId="11" fillId="50" borderId="1" xfId="0" applyNumberFormat="1" applyFont="1" applyFill="1" applyBorder="1" applyAlignment="1">
      <alignment horizontal="center"/>
    </xf>
  </cellXfs>
  <cellStyles count="2246">
    <cellStyle name="20 % - Accent1 2" xfId="299" xr:uid="{99889614-C92D-49F1-9507-CBC00BB5C13F}"/>
    <cellStyle name="20 % - Accent1 2 2" xfId="415" xr:uid="{BFB3AF3D-A149-4728-B393-05A693FD74E2}"/>
    <cellStyle name="20 % - Accent2 2" xfId="300" xr:uid="{CB021E10-3B4B-445F-B854-DED10CF6F0C6}"/>
    <cellStyle name="20 % - Accent2 2 2" xfId="414" xr:uid="{48169B8B-7A6D-4114-8BED-45BE13F2FD13}"/>
    <cellStyle name="20 % - Accent3 2" xfId="301" xr:uid="{5D0693F6-1C4F-4A37-AE3C-401CFEE186CD}"/>
    <cellStyle name="20 % - Accent3 2 2" xfId="413" xr:uid="{1EE56BE0-16B9-45AB-AA9A-E245826635B1}"/>
    <cellStyle name="20 % - Accent4 2" xfId="302" xr:uid="{3D7BB2D9-3C91-4FAB-B0D9-E2E718B76C3B}"/>
    <cellStyle name="20 % - Accent4 2 2" xfId="411" xr:uid="{7A60E46A-429B-4B8E-8CDA-B003F1DCB777}"/>
    <cellStyle name="20 % - Accent5 2" xfId="303" xr:uid="{63FED53B-C8AD-467A-B0CA-8ABE400A77B1}"/>
    <cellStyle name="20 % - Accent5 2 2" xfId="401" xr:uid="{465D39F4-DD7C-4E7F-ADBC-52A0F2620509}"/>
    <cellStyle name="20 % - Accent6 2" xfId="304" xr:uid="{62C6885B-ACD2-486A-8E9C-DE8B49890C8C}"/>
    <cellStyle name="20 % - Accent6 2 2" xfId="409" xr:uid="{5195A407-B803-46BC-8934-3F6E9F08B385}"/>
    <cellStyle name="20% - Accent1" xfId="223" builtinId="30" customBuiltin="1"/>
    <cellStyle name="20% - Accent1 2" xfId="249" xr:uid="{12B5336C-B28E-4C76-A13F-6C7F9C1DE961}"/>
    <cellStyle name="20% - Accent1 2 2" xfId="403" xr:uid="{4929BBE7-B9EE-473F-856A-77B1AE900AB6}"/>
    <cellStyle name="20% - Accent2" xfId="226" builtinId="34" customBuiltin="1"/>
    <cellStyle name="20% - Accent2 2" xfId="250" xr:uid="{D7CEB8FE-9496-402F-B5D5-3244B17E2DA2}"/>
    <cellStyle name="20% - Accent2 2 2" xfId="410" xr:uid="{B5526E01-744B-43F6-AD91-59ABB28DB913}"/>
    <cellStyle name="20% - Accent3" xfId="229" builtinId="38" customBuiltin="1"/>
    <cellStyle name="20% - Accent3 2" xfId="251" xr:uid="{B4FE09FC-D067-4E64-AD84-BA00A7406196}"/>
    <cellStyle name="20% - Accent3 2 2" xfId="407" xr:uid="{A8917EE4-2F24-4298-B959-28AC008A545D}"/>
    <cellStyle name="20% - Accent4" xfId="232" builtinId="42" customBuiltin="1"/>
    <cellStyle name="20% - Accent4 2" xfId="252" xr:uid="{315A5DD9-56EE-4C17-944F-0F3082F317F2}"/>
    <cellStyle name="20% - Accent4 2 2" xfId="404" xr:uid="{ED36421D-48FB-417A-A32A-94110A0B9691}"/>
    <cellStyle name="20% - Accent5" xfId="235" builtinId="46" customBuiltin="1"/>
    <cellStyle name="20% - Accent5 2" xfId="253" xr:uid="{EC63ACED-18DD-4623-BDC4-C3D8A010300F}"/>
    <cellStyle name="20% - Accent5 2 2" xfId="406" xr:uid="{0280D5CB-FAEE-4040-B8B3-0ACDAE2988EE}"/>
    <cellStyle name="20% - Accent6" xfId="238" builtinId="50" customBuiltin="1"/>
    <cellStyle name="20% - Accent6 2" xfId="254" xr:uid="{DDBA9D2D-408A-4FC7-8D34-66FDB56B1D64}"/>
    <cellStyle name="20% - Accent6 2 2" xfId="408" xr:uid="{D5A005E6-8B90-4EED-B1FF-C0BC85407FC5}"/>
    <cellStyle name="40 % - Accent1 2" xfId="305" xr:uid="{F7F7770E-13D2-49F3-8222-F96B4A18D782}"/>
    <cellStyle name="40 % - Accent1 2 2" xfId="399" xr:uid="{82288EA4-E88D-4EA4-B17A-55202861F125}"/>
    <cellStyle name="40 % - Accent2 2" xfId="306" xr:uid="{EAC821D0-7837-4312-B34B-8FF40CE1D0E5}"/>
    <cellStyle name="40 % - Accent2 2 2" xfId="400" xr:uid="{A76E8E34-1EB8-4692-8DD1-A67E4D9B8516}"/>
    <cellStyle name="40 % - Accent3 2" xfId="307" xr:uid="{4DAB2D18-8D8A-4ACC-8895-49F3788824D0}"/>
    <cellStyle name="40 % - Accent3 2 2" xfId="405" xr:uid="{24B73923-B941-474B-99A7-8CCA11869D62}"/>
    <cellStyle name="40 % - Accent4 2" xfId="308" xr:uid="{935A52F3-7EBB-4F62-8633-87A9645E67B9}"/>
    <cellStyle name="40 % - Accent4 2 2" xfId="402" xr:uid="{73524F5F-206E-4D38-86B2-2D1C7337E3D5}"/>
    <cellStyle name="40 % - Accent5 2" xfId="309" xr:uid="{1E0E68A2-2289-4635-999F-28BBBD243E16}"/>
    <cellStyle name="40 % - Accent5 2 2" xfId="412" xr:uid="{D6BE5B2E-0709-497A-9BDC-1788738A67B3}"/>
    <cellStyle name="40 % - Accent6 2" xfId="310" xr:uid="{99F04B11-EA1C-40FD-945E-48D5096EAAEC}"/>
    <cellStyle name="40 % - Accent6 2 2" xfId="416" xr:uid="{26EF73C7-1F35-4501-B50D-8EB8E384468B}"/>
    <cellStyle name="40% - Accent1" xfId="224" builtinId="31" customBuiltin="1"/>
    <cellStyle name="40% - Accent1 2" xfId="255" xr:uid="{2424D348-F56B-4252-8BFF-AE871BC566D1}"/>
    <cellStyle name="40% - Accent1 2 2" xfId="417" xr:uid="{F00C8032-91F3-44FE-8836-CE1ACBD29265}"/>
    <cellStyle name="40% - Accent2" xfId="227" builtinId="35" customBuiltin="1"/>
    <cellStyle name="40% - Accent2 2" xfId="256" xr:uid="{55304D2F-A7DD-4B7E-98CA-B9A5BDEDC42B}"/>
    <cellStyle name="40% - Accent2 2 2" xfId="418" xr:uid="{D68F0FFE-3D87-4032-8716-FAB0862CDEA0}"/>
    <cellStyle name="40% - Accent3" xfId="230" builtinId="39" customBuiltin="1"/>
    <cellStyle name="40% - Accent3 2" xfId="257" xr:uid="{B776D56B-5C00-435F-A9E6-DEE674ADA3B4}"/>
    <cellStyle name="40% - Accent3 2 2" xfId="419" xr:uid="{4D04E487-E2FB-4076-941C-C991BD236D9D}"/>
    <cellStyle name="40% - Accent4" xfId="233" builtinId="43" customBuiltin="1"/>
    <cellStyle name="40% - Accent4 2" xfId="258" xr:uid="{9CDD7C14-EF87-4036-B7B0-CE9C8047EAA9}"/>
    <cellStyle name="40% - Accent4 2 2" xfId="420" xr:uid="{3FFBAE85-F3F3-4062-BB89-E34AE992B0D3}"/>
    <cellStyle name="40% - Accent5" xfId="236" builtinId="47" customBuiltin="1"/>
    <cellStyle name="40% - Accent5 2" xfId="259" xr:uid="{0B6A9F99-A1FC-494F-ABDA-57860F3B0FD2}"/>
    <cellStyle name="40% - Accent5 2 2" xfId="421" xr:uid="{5246E241-FF50-46D5-BB5D-6C58F523B5DE}"/>
    <cellStyle name="40% - Accent6" xfId="239" builtinId="51" customBuiltin="1"/>
    <cellStyle name="40% - Accent6 2" xfId="260" xr:uid="{2648B784-D6F4-412B-B1F8-EC4AC660B7A9}"/>
    <cellStyle name="40% - Accent6 2 2" xfId="422" xr:uid="{751F0027-37F2-4B73-BD16-58B100FC9663}"/>
    <cellStyle name="60 % - Accent1 2" xfId="311" xr:uid="{D348B60D-B397-43A8-B5ED-76D7D1A971CA}"/>
    <cellStyle name="60 % - Accent2 2" xfId="312" xr:uid="{61DFC5E3-DA58-49F8-B603-CF549E26C936}"/>
    <cellStyle name="60 % - Accent3 2" xfId="313" xr:uid="{222316CD-6274-451E-9409-4CDACAF6A0B0}"/>
    <cellStyle name="60 % - Accent4 2" xfId="314" xr:uid="{A78C5A1D-85A6-40D4-B5CB-FAFA64DF9D76}"/>
    <cellStyle name="60 % - Accent5 2" xfId="315" xr:uid="{D4333DB1-094F-4376-BF47-905F33391F37}"/>
    <cellStyle name="60 % - Accent6 2" xfId="316" xr:uid="{AF4E2019-B16D-400C-B1BD-8810247C0BA0}"/>
    <cellStyle name="60% - Accent1 2" xfId="261" xr:uid="{496E0EF1-992E-45EB-9591-B95C74F606DE}"/>
    <cellStyle name="60% - Accent1 3" xfId="242" xr:uid="{FE72EF79-5AF9-44FD-B1FD-8ADD4F8A6553}"/>
    <cellStyle name="60% - Accent2 2" xfId="262" xr:uid="{8C8E0275-E989-45F5-B356-113D19A69CE4}"/>
    <cellStyle name="60% - Accent2 3" xfId="243" xr:uid="{97AC1D77-2D28-4A84-A46E-26B8DC6D87A7}"/>
    <cellStyle name="60% - Accent3 2" xfId="263" xr:uid="{2A27A899-5D55-4CED-8798-FB0171BB9B0A}"/>
    <cellStyle name="60% - Accent3 3" xfId="244" xr:uid="{4C54F46F-C348-4EDE-B265-48573460F6C3}"/>
    <cellStyle name="60% - Accent4 2" xfId="264" xr:uid="{B68EE5E3-8C5F-46F0-858E-C528FFC5D6BA}"/>
    <cellStyle name="60% - Accent4 3" xfId="245" xr:uid="{A9ACCE4F-093F-4964-A9EC-124263F86D3D}"/>
    <cellStyle name="60% - Accent5 2" xfId="265" xr:uid="{07EE2F6B-C22E-43A2-936E-BF3D08D2A487}"/>
    <cellStyle name="60% - Accent5 3" xfId="246" xr:uid="{C57E074C-8EE8-4812-89F2-8044D6730191}"/>
    <cellStyle name="60% - Accent6 2" xfId="266" xr:uid="{C7C0E243-8DE2-475E-B090-D3853A00D263}"/>
    <cellStyle name="60% - Accent6 3" xfId="247" xr:uid="{23F2CFB5-20AB-467C-AA45-DDCC54C549FB}"/>
    <cellStyle name="Accent1" xfId="222" builtinId="29" customBuiltin="1"/>
    <cellStyle name="Accent1 2" xfId="33" xr:uid="{00000000-0005-0000-0000-000000000000}"/>
    <cellStyle name="Accent1 2 2" xfId="317" xr:uid="{B3701EF0-0751-4E06-9A89-E844971D73C3}"/>
    <cellStyle name="Accent1 2 3" xfId="318" xr:uid="{D678CC40-8A2B-41BE-A26E-0D9D70892F0D}"/>
    <cellStyle name="Accent1 2 4" xfId="267" xr:uid="{9B967765-2AC9-4438-846E-727AAF8B064A}"/>
    <cellStyle name="Accent1 3" xfId="268" xr:uid="{EBACDFC3-0F45-4F7C-B4B5-FEF62B669BE4}"/>
    <cellStyle name="Accent2" xfId="225" builtinId="33" customBuiltin="1"/>
    <cellStyle name="Accent2 2" xfId="34" xr:uid="{00000000-0005-0000-0000-000001000000}"/>
    <cellStyle name="Accent2 2 2" xfId="319" xr:uid="{850B738E-D30B-4EDD-AA2F-AC9B7462DAE5}"/>
    <cellStyle name="Accent2 2 3" xfId="320" xr:uid="{87994B0A-E6BE-4569-B35F-F6E82BA09E78}"/>
    <cellStyle name="Accent2 2 4" xfId="269" xr:uid="{FE0744F1-9245-48C3-B76F-6AE76CF818C4}"/>
    <cellStyle name="Accent2 3" xfId="270" xr:uid="{F7C7F880-7549-4DD3-AB3B-201F47B63393}"/>
    <cellStyle name="Accent3" xfId="228" builtinId="37" customBuiltin="1"/>
    <cellStyle name="Accent3 2" xfId="35" xr:uid="{00000000-0005-0000-0000-000002000000}"/>
    <cellStyle name="Accent3 2 2" xfId="321" xr:uid="{2ED098FF-31A8-496B-9334-78480FEB8C15}"/>
    <cellStyle name="Accent3 2 3" xfId="322" xr:uid="{249F834A-8DE7-4D87-9CC8-E261EB9DE539}"/>
    <cellStyle name="Accent3 2 4" xfId="271" xr:uid="{0B3CD39F-7F18-4D70-B443-24EB213A076F}"/>
    <cellStyle name="Accent3 3" xfId="272" xr:uid="{132AABBD-044D-4C19-B7F3-AB5C4B55117D}"/>
    <cellStyle name="Accent4" xfId="231" builtinId="41" customBuiltin="1"/>
    <cellStyle name="Accent4 2" xfId="36" xr:uid="{00000000-0005-0000-0000-000003000000}"/>
    <cellStyle name="Accent4 2 2" xfId="323" xr:uid="{A11E7E58-73ED-4632-A3F4-B93BDFE77564}"/>
    <cellStyle name="Accent4 2 3" xfId="324" xr:uid="{3B1BF0DB-602C-4863-8B7A-9A2D766DF013}"/>
    <cellStyle name="Accent4 2 4" xfId="273" xr:uid="{DBC8D540-69F9-4B37-86A9-071A0CA1610E}"/>
    <cellStyle name="Accent4 3" xfId="274" xr:uid="{9D5B9AAA-E803-4949-8015-D0F9D07929EC}"/>
    <cellStyle name="Accent5" xfId="234" builtinId="45" customBuiltin="1"/>
    <cellStyle name="Accent5 2" xfId="37" xr:uid="{00000000-0005-0000-0000-000004000000}"/>
    <cellStyle name="Accent5 2 2" xfId="325" xr:uid="{F1303C93-4B7A-430A-BCB5-57E67C30FE2E}"/>
    <cellStyle name="Accent5 2 3" xfId="326" xr:uid="{9619ED36-94BD-4D34-85A2-C9A6A2AD7EE2}"/>
    <cellStyle name="Accent5 2 4" xfId="275" xr:uid="{62BCE436-89DB-4361-98AA-0A0BCBFCA9CB}"/>
    <cellStyle name="Accent5 3" xfId="276" xr:uid="{90F94733-5C31-4BF5-B50C-F7F040F49023}"/>
    <cellStyle name="Accent6" xfId="237" builtinId="49" customBuiltin="1"/>
    <cellStyle name="Accent6 2" xfId="38" xr:uid="{00000000-0005-0000-0000-000005000000}"/>
    <cellStyle name="Accent6 2 2" xfId="327" xr:uid="{205C280A-7A1C-4312-9E67-F351944080AB}"/>
    <cellStyle name="Accent6 2 3" xfId="328" xr:uid="{3D262802-1E6D-4DAB-BEFA-B29BA7180FD5}"/>
    <cellStyle name="Accent6 2 4" xfId="277" xr:uid="{5333E6C2-B17D-4C48-AE57-2256F641131D}"/>
    <cellStyle name="Accent6 3" xfId="278" xr:uid="{E786275B-6922-497B-BD7B-66BE3C280A06}"/>
    <cellStyle name="Avertissement 2" xfId="329" xr:uid="{2B0E34BC-01EE-4CA1-86B6-BB6CE9EBCC77}"/>
    <cellStyle name="Bad" xfId="213" builtinId="27" customBuiltin="1"/>
    <cellStyle name="Bad 2" xfId="279" xr:uid="{C89DEE3C-D5F5-4B78-BAA6-DC0F04DDF107}"/>
    <cellStyle name="Calcul 2" xfId="330" xr:uid="{6C4C253F-F1C3-4873-AB75-8D3570623835}"/>
    <cellStyle name="Calculation" xfId="216" builtinId="22" customBuiltin="1"/>
    <cellStyle name="Calculation 2" xfId="280" xr:uid="{DB196946-00BC-41C2-A1DC-A82D17320D22}"/>
    <cellStyle name="Cellule liée 2" xfId="331" xr:uid="{834B38D4-F90B-4C00-816E-18793BCC21AD}"/>
    <cellStyle name="Check Cell" xfId="218" builtinId="23" customBuiltin="1"/>
    <cellStyle name="Check Cell 2" xfId="281" xr:uid="{C7107CA9-75FB-4EF0-8FFA-5A249303716D}"/>
    <cellStyle name="Commentaire 2" xfId="332" xr:uid="{BECC71C7-C2F1-4D90-AA84-AD681E923FC1}"/>
    <cellStyle name="Commentaire 2 2" xfId="423" xr:uid="{53EF5AFF-5A7F-4277-81D1-FCA43624888A}"/>
    <cellStyle name="Currency 2" xfId="366" xr:uid="{0685EC4B-B782-4189-BAC6-E3495E3AB655}"/>
    <cellStyle name="Currency 3" xfId="472" xr:uid="{5DD26649-CE6C-4262-B8A0-73105F1F27CE}"/>
    <cellStyle name="Currency 4" xfId="505" xr:uid="{9220D09C-C201-42FE-BAC3-AD2497294E98}"/>
    <cellStyle name="Entrée 2" xfId="333" xr:uid="{71918177-7D9C-4754-AF04-718670251331}"/>
    <cellStyle name="Explanatory Text" xfId="220" builtinId="53" customBuiltin="1"/>
    <cellStyle name="Explanatory Text 2" xfId="282" xr:uid="{172D388B-5862-445E-B80A-96193C8E3785}"/>
    <cellStyle name="Good" xfId="212" builtinId="26" customBuiltin="1"/>
    <cellStyle name="Good 2" xfId="283" xr:uid="{20A5D61F-B16A-4B03-9A30-CA44933EF190}"/>
    <cellStyle name="Heading 1" xfId="208" builtinId="16" customBuiltin="1"/>
    <cellStyle name="Heading 1 2" xfId="284" xr:uid="{664586C7-B75E-4E93-87A0-36AF3433628C}"/>
    <cellStyle name="Heading 2" xfId="209" builtinId="17" customBuiltin="1"/>
    <cellStyle name="Heading 2 2" xfId="285" xr:uid="{9ACEEEE6-C370-47A9-B800-B1653F92067E}"/>
    <cellStyle name="Heading 3" xfId="210" builtinId="18" customBuiltin="1"/>
    <cellStyle name="Heading 3 2" xfId="286" xr:uid="{B6CC2002-EB43-43BE-8202-79A82E8DF488}"/>
    <cellStyle name="Heading 4" xfId="211" builtinId="19" customBuiltin="1"/>
    <cellStyle name="Heading 4 2" xfId="287" xr:uid="{3C4E85A5-1D24-4A3A-929A-69DB330963DD}"/>
    <cellStyle name="Hyperlink" xfId="1" builtinId="8"/>
    <cellStyle name="Hyperlink 2" xfId="425" xr:uid="{C8DE63DD-76A3-451B-B6F6-A0DDCB36A52D}"/>
    <cellStyle name="Input" xfId="214" builtinId="20" customBuiltin="1"/>
    <cellStyle name="Input 2" xfId="288" xr:uid="{8DFDFDBB-5032-4608-8141-D8C384D20AAD}"/>
    <cellStyle name="Insatisfaisant 2" xfId="334" xr:uid="{C680E83D-B0DA-48B9-8E6B-95C067DCC6F3}"/>
    <cellStyle name="Linked Cell" xfId="217" builtinId="24" customBuiltin="1"/>
    <cellStyle name="Linked Cell 2" xfId="289" xr:uid="{537A20E0-649D-4063-97D9-E88E3CC76409}"/>
    <cellStyle name="Neutral 2" xfId="290" xr:uid="{81B420F6-590F-4D45-A5EB-B492F1F39E03}"/>
    <cellStyle name="Neutral 3" xfId="241" xr:uid="{02092656-9047-499C-AFAA-C0A61C5D0F68}"/>
    <cellStyle name="Neutre 2" xfId="335" xr:uid="{759F6640-1F13-4062-BFA0-24DFFE01EDE1}"/>
    <cellStyle name="Normal" xfId="0" builtinId="0"/>
    <cellStyle name="Normal 10" xfId="21" xr:uid="{00000000-0005-0000-0000-000008000000}"/>
    <cellStyle name="Normal 10 10" xfId="941" xr:uid="{58D59693-4D3E-4F28-AAEA-FB6C2A329C6C}"/>
    <cellStyle name="Normal 10 11" xfId="1124" xr:uid="{E7236F76-FE3F-468F-9264-5FE4238063DE}"/>
    <cellStyle name="Normal 10 12" xfId="1309" xr:uid="{2E1BDE06-10EF-439E-A28F-0E11E404CAD0}"/>
    <cellStyle name="Normal 10 13" xfId="1497" xr:uid="{7F790D25-BAB3-45A7-9517-E120E0E65EAC}"/>
    <cellStyle name="Normal 10 14" xfId="1685" xr:uid="{1BB6C098-8D66-421A-9F0C-E97F157D2A98}"/>
    <cellStyle name="Normal 10 15" xfId="1873" xr:uid="{1D9B2613-32FF-4CD3-B34A-B6DB3BDBDB96}"/>
    <cellStyle name="Normal 10 2" xfId="369" xr:uid="{770E1BB6-F7E7-40CE-9C6B-4A541C7D2DBA}"/>
    <cellStyle name="Normal 10 3" xfId="437" xr:uid="{EC35A70C-B1AB-4976-AFF5-FB55FDCAC9BC}"/>
    <cellStyle name="Normal 10 4" xfId="459" xr:uid="{7B72BAC9-4428-4F52-85E0-60B73868D68C}"/>
    <cellStyle name="Normal 10 5" xfId="475" xr:uid="{693BE08C-D5B0-496A-8D38-76D39A0F43B6}"/>
    <cellStyle name="Normal 10 6" xfId="508" xr:uid="{BF854501-1149-4AF6-B101-3DDEAA0AEA74}"/>
    <cellStyle name="Normal 10 7" xfId="548" xr:uid="{C7705C82-889E-4655-8D7E-12D5A895C3A2}"/>
    <cellStyle name="Normal 10 8" xfId="577" xr:uid="{AB89DD16-B8F0-4803-96B6-83BA370C1384}"/>
    <cellStyle name="Normal 10 9" xfId="759" xr:uid="{5C7FC908-F5A7-44CA-98B9-4823A15F4F61}"/>
    <cellStyle name="Normal 100" xfId="120" xr:uid="{00000000-0005-0000-0000-000009000000}"/>
    <cellStyle name="Normal 100 2" xfId="666" xr:uid="{A1338F09-8248-41AD-9903-7D1E244D581A}"/>
    <cellStyle name="Normal 100 3" xfId="848" xr:uid="{0D1704AA-10D3-4597-A88A-74B4B7792F46}"/>
    <cellStyle name="Normal 100 4" xfId="1030" xr:uid="{89BEC165-FD70-47ED-BD7F-54B1A6BA928F}"/>
    <cellStyle name="Normal 100 5" xfId="1213" xr:uid="{DD32FB92-60B4-4E6D-AC14-77EA985B936F}"/>
    <cellStyle name="Normal 100 6" xfId="1398" xr:uid="{C76EFDEC-0AE2-466F-9945-61E6522AE6DB}"/>
    <cellStyle name="Normal 100 7" xfId="1586" xr:uid="{E313A28A-8AF3-42BA-83E6-89BBC086F339}"/>
    <cellStyle name="Normal 100 8" xfId="1774" xr:uid="{34E91C05-279A-4C18-BBDF-25A35B532B41}"/>
    <cellStyle name="Normal 100 9" xfId="1962" xr:uid="{18B5AA16-3537-4DBD-AF2A-7F1D2733DB0C}"/>
    <cellStyle name="Normal 101" xfId="121" xr:uid="{00000000-0005-0000-0000-00000A000000}"/>
    <cellStyle name="Normal 101 2" xfId="667" xr:uid="{BB75C782-3BE9-45E6-8738-970620968B0D}"/>
    <cellStyle name="Normal 101 3" xfId="849" xr:uid="{1B1EBBD6-7391-41D6-88BA-5F1D136639C2}"/>
    <cellStyle name="Normal 101 4" xfId="1031" xr:uid="{70334199-C475-499D-9D20-61C434442677}"/>
    <cellStyle name="Normal 101 5" xfId="1214" xr:uid="{A28E46E7-E3D0-4D46-9B6F-8EB7F2B66EFA}"/>
    <cellStyle name="Normal 101 6" xfId="1399" xr:uid="{F4032ABF-C0EA-449B-9A76-A907C52B32B0}"/>
    <cellStyle name="Normal 101 7" xfId="1587" xr:uid="{CDCFC4B4-6447-4063-8457-BFBDA87A4033}"/>
    <cellStyle name="Normal 101 8" xfId="1775" xr:uid="{36DBEFC8-528D-410A-BCAD-B4D26C9088F3}"/>
    <cellStyle name="Normal 101 9" xfId="1963" xr:uid="{D8E570D0-F4AE-4FE8-BCFC-CF81AD88C23B}"/>
    <cellStyle name="Normal 102" xfId="122" xr:uid="{00000000-0005-0000-0000-00000B000000}"/>
    <cellStyle name="Normal 102 2" xfId="668" xr:uid="{82FB9AE6-62E1-4D16-BECB-0C63C45A0B3B}"/>
    <cellStyle name="Normal 102 3" xfId="850" xr:uid="{6A1044F3-9C05-4593-852D-AD4E5EC44DF1}"/>
    <cellStyle name="Normal 102 4" xfId="1032" xr:uid="{23D1E564-ADC5-4B47-A185-3C0B215F0214}"/>
    <cellStyle name="Normal 102 5" xfId="1215" xr:uid="{17B5AA57-E578-4203-8517-8EC0ADFF5E64}"/>
    <cellStyle name="Normal 102 6" xfId="1400" xr:uid="{D733D4CF-C638-4BE4-BA38-53187810D0C5}"/>
    <cellStyle name="Normal 102 7" xfId="1588" xr:uid="{1C8FC11E-278F-4CC2-89C4-13474CC22CBC}"/>
    <cellStyle name="Normal 102 8" xfId="1776" xr:uid="{491D2B1A-397D-4487-953F-AA176DA0F225}"/>
    <cellStyle name="Normal 102 9" xfId="1964" xr:uid="{CA750007-5342-4D6D-8B1B-3EBD6F8259F0}"/>
    <cellStyle name="Normal 103" xfId="123" xr:uid="{00000000-0005-0000-0000-00000C000000}"/>
    <cellStyle name="Normal 103 2" xfId="669" xr:uid="{BE4C396B-DF41-4B4D-933F-33615AF646D0}"/>
    <cellStyle name="Normal 103 3" xfId="851" xr:uid="{48A3AEDD-B19D-411A-8E2C-6F7062E517CD}"/>
    <cellStyle name="Normal 103 4" xfId="1033" xr:uid="{577BAA09-11E7-4026-81E9-95A583BFDFF8}"/>
    <cellStyle name="Normal 103 5" xfId="1216" xr:uid="{AAAC2477-FA18-4313-92B0-B37C3046005F}"/>
    <cellStyle name="Normal 103 6" xfId="1401" xr:uid="{22E614F2-1C30-4432-883B-C18BD25702DA}"/>
    <cellStyle name="Normal 103 7" xfId="1589" xr:uid="{9E8EA4CB-96F7-473C-81F5-297DD7EE1174}"/>
    <cellStyle name="Normal 103 8" xfId="1777" xr:uid="{D7D2A492-D71B-4049-A5CD-CA1A5C190CD0}"/>
    <cellStyle name="Normal 103 9" xfId="1965" xr:uid="{C292FD07-C56D-4F03-B1A6-2F9C3A831C5B}"/>
    <cellStyle name="Normal 104" xfId="124" xr:uid="{00000000-0005-0000-0000-00000D000000}"/>
    <cellStyle name="Normal 104 2" xfId="670" xr:uid="{C00DF19D-924F-403C-B4A1-80378B6F7C11}"/>
    <cellStyle name="Normal 104 3" xfId="852" xr:uid="{EE4A43E6-D01C-40D3-8C63-88F2E3530315}"/>
    <cellStyle name="Normal 104 4" xfId="1034" xr:uid="{7C772EEF-97D0-4E21-916D-E0FABC928B07}"/>
    <cellStyle name="Normal 104 5" xfId="1217" xr:uid="{685F4BDE-7D1F-42FE-B123-05C48AD04D44}"/>
    <cellStyle name="Normal 104 6" xfId="1402" xr:uid="{CB5AAB3B-2CF4-4907-B22E-A270D022D2E6}"/>
    <cellStyle name="Normal 104 7" xfId="1590" xr:uid="{16F4E731-2258-4AFB-AD7F-6BFF92D4C988}"/>
    <cellStyle name="Normal 104 8" xfId="1778" xr:uid="{FF6F838D-3E53-48DE-80E3-3346BC711B9C}"/>
    <cellStyle name="Normal 104 9" xfId="1966" xr:uid="{4F0D668B-8AF3-4A3F-A112-EA0BE0AAB071}"/>
    <cellStyle name="Normal 105" xfId="125" xr:uid="{00000000-0005-0000-0000-00000E000000}"/>
    <cellStyle name="Normal 105 2" xfId="671" xr:uid="{84BA41F5-65B0-49B7-B0EA-37C3EF6F3F21}"/>
    <cellStyle name="Normal 105 3" xfId="853" xr:uid="{664D7D0E-30AA-4593-A7FC-CBD3E160B438}"/>
    <cellStyle name="Normal 105 4" xfId="1035" xr:uid="{DBD91F2D-E02A-4114-9D72-A7F5CB49B8F9}"/>
    <cellStyle name="Normal 105 5" xfId="1218" xr:uid="{72BBF845-2690-4FC0-8A81-197754199748}"/>
    <cellStyle name="Normal 105 6" xfId="1403" xr:uid="{6171B445-7999-4DE1-9927-15BDAAEC74D8}"/>
    <cellStyle name="Normal 105 7" xfId="1591" xr:uid="{1860E947-8AF3-4BE4-BA03-52BD62E5C006}"/>
    <cellStyle name="Normal 105 8" xfId="1779" xr:uid="{1CF3C248-868C-412F-854B-BE5554CDAA64}"/>
    <cellStyle name="Normal 105 9" xfId="1967" xr:uid="{72DC262E-E26A-471C-ABDF-762B2CFAF7F9}"/>
    <cellStyle name="Normal 106" xfId="126" xr:uid="{00000000-0005-0000-0000-00000F000000}"/>
    <cellStyle name="Normal 106 2" xfId="672" xr:uid="{6468D3FA-1401-46DA-9362-64BFC700CAE9}"/>
    <cellStyle name="Normal 106 3" xfId="854" xr:uid="{174A5F61-EC1C-4A14-BBB4-BF7144B61E62}"/>
    <cellStyle name="Normal 106 4" xfId="1036" xr:uid="{A4FAFA11-C174-4B6B-8D89-0C925F48C914}"/>
    <cellStyle name="Normal 106 5" xfId="1219" xr:uid="{A596476F-9FDC-44E1-9DA7-4FB36CAA6E9E}"/>
    <cellStyle name="Normal 106 6" xfId="1404" xr:uid="{BDF5B6D2-4428-455B-9A94-610F0D40A4F2}"/>
    <cellStyle name="Normal 106 7" xfId="1592" xr:uid="{D1555EA5-58A3-45E5-A78F-41BA50EB49AC}"/>
    <cellStyle name="Normal 106 8" xfId="1780" xr:uid="{74E540AC-2024-4E98-AD37-11A64533C8EA}"/>
    <cellStyle name="Normal 106 9" xfId="1968" xr:uid="{636757F4-4382-4BE3-BBB3-4F9BEE08EDB5}"/>
    <cellStyle name="Normal 107" xfId="127" xr:uid="{00000000-0005-0000-0000-000010000000}"/>
    <cellStyle name="Normal 107 2" xfId="673" xr:uid="{EC16FE9A-8042-41CF-9EA3-BC6E4AC31B73}"/>
    <cellStyle name="Normal 107 3" xfId="855" xr:uid="{4E152056-E961-4C7F-8A62-AC96547E3695}"/>
    <cellStyle name="Normal 107 4" xfId="1037" xr:uid="{B7501443-F32D-4E50-A991-05FACB2A8B0E}"/>
    <cellStyle name="Normal 107 5" xfId="1220" xr:uid="{ED25B62C-D34F-4EE6-A19E-F9AF1762E25A}"/>
    <cellStyle name="Normal 107 6" xfId="1405" xr:uid="{DACF8DD9-E7BB-4F92-8873-A7285CDF98D3}"/>
    <cellStyle name="Normal 107 7" xfId="1593" xr:uid="{30601C25-DBAC-4113-AA32-C3BFB25D3304}"/>
    <cellStyle name="Normal 107 8" xfId="1781" xr:uid="{EEC94B69-F42D-4793-AA0F-2983812EF168}"/>
    <cellStyle name="Normal 107 9" xfId="1969" xr:uid="{B3F41ABB-6725-4C37-8F62-1E7FCA8B6ACD}"/>
    <cellStyle name="Normal 108" xfId="128" xr:uid="{00000000-0005-0000-0000-000011000000}"/>
    <cellStyle name="Normal 108 2" xfId="674" xr:uid="{99A90669-4CA1-481F-945F-12A5217B8902}"/>
    <cellStyle name="Normal 108 3" xfId="856" xr:uid="{821D6467-C6B8-4170-AD9F-571F5D3CEEBD}"/>
    <cellStyle name="Normal 108 4" xfId="1038" xr:uid="{F38745C9-ED01-44CF-830D-53471764A86C}"/>
    <cellStyle name="Normal 108 5" xfId="1221" xr:uid="{8CF6E779-6767-4EF7-A8DB-B5298DD74407}"/>
    <cellStyle name="Normal 108 6" xfId="1406" xr:uid="{87D75AD0-DAD7-4199-9AA1-605D47460FDC}"/>
    <cellStyle name="Normal 108 7" xfId="1594" xr:uid="{1CCBB4A4-23AD-46B6-9472-94DD8AEB7794}"/>
    <cellStyle name="Normal 108 8" xfId="1782" xr:uid="{106B23EA-92D8-4D47-A03A-D3C2F06281DB}"/>
    <cellStyle name="Normal 108 9" xfId="1970" xr:uid="{8B74FDDF-8AFD-4F86-88EA-2A2C4F00E209}"/>
    <cellStyle name="Normal 109" xfId="129" xr:uid="{00000000-0005-0000-0000-000012000000}"/>
    <cellStyle name="Normal 109 2" xfId="675" xr:uid="{D8274C00-360A-4708-8E65-6A069E10370E}"/>
    <cellStyle name="Normal 109 3" xfId="857" xr:uid="{490EFAA3-DECA-470F-9857-1D92FDCF0993}"/>
    <cellStyle name="Normal 109 4" xfId="1039" xr:uid="{F4022E86-7104-453A-A377-031B81F6663A}"/>
    <cellStyle name="Normal 109 5" xfId="1222" xr:uid="{5FEFAD3D-B585-4769-B0A5-1F705DCF14E2}"/>
    <cellStyle name="Normal 109 6" xfId="1407" xr:uid="{C17C2EDA-1465-4462-915B-680528AC7ED1}"/>
    <cellStyle name="Normal 109 7" xfId="1595" xr:uid="{3A5C746C-C175-483D-9002-1BAF3E8252C0}"/>
    <cellStyle name="Normal 109 8" xfId="1783" xr:uid="{561085FB-A3E2-43FD-BF85-9B6B88E27D55}"/>
    <cellStyle name="Normal 109 9" xfId="1971" xr:uid="{A78F793C-CD1E-4F4B-96EC-8AD6E94312B8}"/>
    <cellStyle name="Normal 11" xfId="22" xr:uid="{00000000-0005-0000-0000-000013000000}"/>
    <cellStyle name="Normal 11 10" xfId="942" xr:uid="{DE8C41E6-3FD2-461B-BDDC-8DA4B71AD72A}"/>
    <cellStyle name="Normal 11 11" xfId="1125" xr:uid="{455B8980-BEC3-4789-BCF1-C53120B60CB8}"/>
    <cellStyle name="Normal 11 12" xfId="1310" xr:uid="{B21C5ABA-8FFF-4BC2-B1BF-D19476170B84}"/>
    <cellStyle name="Normal 11 13" xfId="1498" xr:uid="{71181434-D52F-460C-9C63-7CB24F208467}"/>
    <cellStyle name="Normal 11 14" xfId="1686" xr:uid="{ECD469A5-2D70-40FC-8C15-2D66A7198735}"/>
    <cellStyle name="Normal 11 15" xfId="1874" xr:uid="{D0BD3777-C04A-4339-90F6-AB85EA97B8AA}"/>
    <cellStyle name="Normal 11 2" xfId="378" xr:uid="{9EF2939A-37BD-4B22-BC4C-C806D05BC373}"/>
    <cellStyle name="Normal 11 3" xfId="438" xr:uid="{BEA8CBB6-5E9F-4343-B00A-BA53AC0DFCE8}"/>
    <cellStyle name="Normal 11 4" xfId="460" xr:uid="{A42F2272-15E4-49B6-A110-FC73F7B62173}"/>
    <cellStyle name="Normal 11 5" xfId="483" xr:uid="{11D27BBB-A395-4306-AD58-51BC7CE70343}"/>
    <cellStyle name="Normal 11 6" xfId="516" xr:uid="{377A5512-B383-4AD1-9157-11476DC8F08C}"/>
    <cellStyle name="Normal 11 7" xfId="549" xr:uid="{24DAB0A7-3261-42EF-A29B-E195D256AF2F}"/>
    <cellStyle name="Normal 11 8" xfId="578" xr:uid="{7803686C-36DB-4B3A-A434-FD77D89060D2}"/>
    <cellStyle name="Normal 11 9" xfId="760" xr:uid="{F5B13C92-FA0B-4F14-B953-8039B74FDB90}"/>
    <cellStyle name="Normal 110" xfId="130" xr:uid="{00000000-0005-0000-0000-000014000000}"/>
    <cellStyle name="Normal 110 2" xfId="676" xr:uid="{F5640DF8-A6F0-4648-BFD8-F6EFF80172CA}"/>
    <cellStyle name="Normal 110 3" xfId="858" xr:uid="{EB7F8533-894F-48CF-91C8-BC6079305C40}"/>
    <cellStyle name="Normal 110 4" xfId="1040" xr:uid="{12F812FC-8189-474F-BFEE-88C74255559E}"/>
    <cellStyle name="Normal 110 5" xfId="1223" xr:uid="{14CF7E2D-88B4-452D-A9C7-7F12FBB5F0D8}"/>
    <cellStyle name="Normal 110 6" xfId="1408" xr:uid="{9B9DA0EC-37D0-4A6F-B14C-49388B6B68DF}"/>
    <cellStyle name="Normal 110 7" xfId="1596" xr:uid="{E91B8460-8A9F-45A8-9382-3F2AC62766CD}"/>
    <cellStyle name="Normal 110 8" xfId="1784" xr:uid="{F8F2DF02-931B-442D-B724-E6F4F62D43C7}"/>
    <cellStyle name="Normal 110 9" xfId="1972" xr:uid="{6953631B-C17B-4CDC-A327-63FE1428C50C}"/>
    <cellStyle name="Normal 111" xfId="131" xr:uid="{00000000-0005-0000-0000-000015000000}"/>
    <cellStyle name="Normal 111 2" xfId="677" xr:uid="{A202581D-6290-4329-A784-99F07C9602F5}"/>
    <cellStyle name="Normal 111 3" xfId="859" xr:uid="{72F2CD15-2F9D-47A4-A1D4-7F36FEF00388}"/>
    <cellStyle name="Normal 111 4" xfId="1041" xr:uid="{527D5006-57CF-49A5-941E-256C98728532}"/>
    <cellStyle name="Normal 111 5" xfId="1224" xr:uid="{1F7AF528-F39D-4EAC-9506-CF08158E0B0E}"/>
    <cellStyle name="Normal 111 6" xfId="1409" xr:uid="{5A116054-6539-40DE-9CAC-293E9B6162A0}"/>
    <cellStyle name="Normal 111 7" xfId="1597" xr:uid="{E19E31CA-FA39-482F-A947-CF1EE0BF3DE6}"/>
    <cellStyle name="Normal 111 8" xfId="1785" xr:uid="{57CFC9D9-C9A7-49EA-9A45-3D989D164A11}"/>
    <cellStyle name="Normal 111 9" xfId="1973" xr:uid="{6997B736-004D-4147-97F9-382D9F8D1939}"/>
    <cellStyle name="Normal 112" xfId="132" xr:uid="{00000000-0005-0000-0000-000016000000}"/>
    <cellStyle name="Normal 112 2" xfId="678" xr:uid="{B9A6BA06-BE3A-4650-8ABF-BA24F1BAD51E}"/>
    <cellStyle name="Normal 112 3" xfId="860" xr:uid="{93186F3B-03D3-49A6-9D04-DA4C64CE57C5}"/>
    <cellStyle name="Normal 112 4" xfId="1042" xr:uid="{CB0F6382-CFBF-4E13-B83F-2B306F0A4874}"/>
    <cellStyle name="Normal 112 5" xfId="1225" xr:uid="{8ABE9C7A-7286-464E-8083-7685BA04395C}"/>
    <cellStyle name="Normal 112 6" xfId="1410" xr:uid="{23A139A9-4023-4F36-9BEB-0ED89E7E7161}"/>
    <cellStyle name="Normal 112 7" xfId="1598" xr:uid="{48B388F9-7E03-4ED3-8A95-93695C8A1C86}"/>
    <cellStyle name="Normal 112 8" xfId="1786" xr:uid="{60FE78BE-B680-4208-960B-666FCD7AD4C8}"/>
    <cellStyle name="Normal 112 9" xfId="1974" xr:uid="{C7941163-2EC3-4659-B23D-CAC9FBFF958D}"/>
    <cellStyle name="Normal 113" xfId="133" xr:uid="{00000000-0005-0000-0000-000017000000}"/>
    <cellStyle name="Normal 113 2" xfId="679" xr:uid="{24FB2450-EFB6-4859-AEE6-908085671D22}"/>
    <cellStyle name="Normal 113 3" xfId="861" xr:uid="{5BC39E84-4811-4284-85F0-CFC087BE8A90}"/>
    <cellStyle name="Normal 113 4" xfId="1043" xr:uid="{E0C77CE3-2D2B-41A4-89DC-75681FE54918}"/>
    <cellStyle name="Normal 113 5" xfId="1226" xr:uid="{705BEDAD-33BA-4E7F-B0D6-9238B92B313C}"/>
    <cellStyle name="Normal 113 6" xfId="1411" xr:uid="{4A802F30-B396-40E9-B1E4-F97F45FB6E65}"/>
    <cellStyle name="Normal 113 7" xfId="1599" xr:uid="{26C01727-1B66-46DE-A0AC-0CA76029C16F}"/>
    <cellStyle name="Normal 113 8" xfId="1787" xr:uid="{0C8A06AD-AE11-47C0-899B-872618495F65}"/>
    <cellStyle name="Normal 113 9" xfId="1975" xr:uid="{354B9697-6D05-4E20-A11F-05B505BF7034}"/>
    <cellStyle name="Normal 114" xfId="134" xr:uid="{00000000-0005-0000-0000-000018000000}"/>
    <cellStyle name="Normal 114 2" xfId="680" xr:uid="{FFADD67F-332E-4B8E-8A4A-AD015F0213AF}"/>
    <cellStyle name="Normal 114 3" xfId="862" xr:uid="{A26CCAFC-EE80-436B-9CDA-46156ED2D053}"/>
    <cellStyle name="Normal 114 4" xfId="1044" xr:uid="{7D1F8EF1-9A0A-4312-B542-C218A63CF892}"/>
    <cellStyle name="Normal 114 5" xfId="1227" xr:uid="{43CF6E25-5E40-4CA6-AAEF-1D2010050B40}"/>
    <cellStyle name="Normal 114 6" xfId="1412" xr:uid="{8220F224-F846-44AF-AE9C-CB88EF9ABC94}"/>
    <cellStyle name="Normal 114 7" xfId="1600" xr:uid="{1CB851FA-AD3F-49F6-9309-3ADF8366150F}"/>
    <cellStyle name="Normal 114 8" xfId="1788" xr:uid="{3EB009E4-ACF0-4225-93AA-E3666AFAFA81}"/>
    <cellStyle name="Normal 114 9" xfId="1976" xr:uid="{E6593D4A-B7C3-4E79-BEE1-397CC8EB410C}"/>
    <cellStyle name="Normal 115" xfId="135" xr:uid="{00000000-0005-0000-0000-000019000000}"/>
    <cellStyle name="Normal 115 2" xfId="681" xr:uid="{F51E31D5-5218-4F92-A948-460C90246C4C}"/>
    <cellStyle name="Normal 115 3" xfId="863" xr:uid="{26BB8142-DEDB-4BB8-9EC0-91E771340998}"/>
    <cellStyle name="Normal 115 4" xfId="1045" xr:uid="{1379337A-B578-4729-89C9-A2CF57F6B011}"/>
    <cellStyle name="Normal 115 5" xfId="1228" xr:uid="{C74B4839-E36A-4BE3-A9F5-9840B63433DC}"/>
    <cellStyle name="Normal 115 6" xfId="1413" xr:uid="{DB58CB4C-ABEE-4958-836D-F2B33A165975}"/>
    <cellStyle name="Normal 115 7" xfId="1601" xr:uid="{C0478E04-3D9F-476E-8DAB-1EB5B6EA8F2D}"/>
    <cellStyle name="Normal 115 8" xfId="1789" xr:uid="{DCA047F0-EDA5-4C30-BEC0-ED30A3496DFD}"/>
    <cellStyle name="Normal 115 9" xfId="1977" xr:uid="{69EE3DE3-7266-43B5-BE92-02C4B40EFD88}"/>
    <cellStyle name="Normal 116" xfId="136" xr:uid="{00000000-0005-0000-0000-00001A000000}"/>
    <cellStyle name="Normal 116 2" xfId="682" xr:uid="{B39DB97B-E72D-4473-829C-23DFA996070F}"/>
    <cellStyle name="Normal 116 3" xfId="864" xr:uid="{E0FBB28B-5C56-4315-8EE7-48ABCE618FBF}"/>
    <cellStyle name="Normal 116 4" xfId="1046" xr:uid="{AAED3A7B-8EE8-459B-9646-00A36630CC20}"/>
    <cellStyle name="Normal 116 5" xfId="1229" xr:uid="{5ED916B8-EEB1-4463-AB20-D9E6B832E29D}"/>
    <cellStyle name="Normal 116 6" xfId="1414" xr:uid="{0662BBCA-0C72-41BE-B9C8-98295C2B3836}"/>
    <cellStyle name="Normal 116 7" xfId="1602" xr:uid="{1B877773-63ED-4C68-841D-891CF5BDAD39}"/>
    <cellStyle name="Normal 116 8" xfId="1790" xr:uid="{CC8A8632-D9E5-46FA-B7C0-D9FF65CD89D4}"/>
    <cellStyle name="Normal 116 9" xfId="1978" xr:uid="{8BDF995B-FF8C-4EF6-BA24-FE88A7DB623E}"/>
    <cellStyle name="Normal 117" xfId="137" xr:uid="{00000000-0005-0000-0000-00001B000000}"/>
    <cellStyle name="Normal 117 2" xfId="683" xr:uid="{C4BCCC0C-8EE0-4D86-80E1-72A3D94DAF48}"/>
    <cellStyle name="Normal 117 3" xfId="865" xr:uid="{E55D97F4-5F9D-4E8D-903D-CEFA062288A1}"/>
    <cellStyle name="Normal 117 4" xfId="1047" xr:uid="{D2830D09-0EA0-4C3D-9DF9-218F7AE4E275}"/>
    <cellStyle name="Normal 117 5" xfId="1230" xr:uid="{7A4254ED-4B8E-4E10-916E-1C194728031C}"/>
    <cellStyle name="Normal 117 6" xfId="1415" xr:uid="{3F6BC7FA-C37C-4E66-A9D8-7E6DD8A349BF}"/>
    <cellStyle name="Normal 117 7" xfId="1603" xr:uid="{F1AA2D34-C09B-44AF-8104-40C15F879431}"/>
    <cellStyle name="Normal 117 8" xfId="1791" xr:uid="{D3721CFC-8BBC-4408-915C-DA4B0AEB38FD}"/>
    <cellStyle name="Normal 117 9" xfId="1979" xr:uid="{C8BAF1DD-4513-479F-AB2C-0C8704D4FA8D}"/>
    <cellStyle name="Normal 118" xfId="138" xr:uid="{00000000-0005-0000-0000-00001C000000}"/>
    <cellStyle name="Normal 118 2" xfId="684" xr:uid="{3275E0A2-E06B-4E65-868C-02F50AC77D70}"/>
    <cellStyle name="Normal 118 3" xfId="866" xr:uid="{59FBCD59-D1B5-46F3-B58D-129E2C6DDD4A}"/>
    <cellStyle name="Normal 118 4" xfId="1048" xr:uid="{8FA21BA9-108C-4E8E-91CA-48C3D552CB10}"/>
    <cellStyle name="Normal 118 5" xfId="1231" xr:uid="{1F8245FE-6323-41D7-97B3-308FE7D9BA3F}"/>
    <cellStyle name="Normal 118 6" xfId="1416" xr:uid="{22C86EC9-6F36-4D7B-8D7A-E9D2F1D25B2B}"/>
    <cellStyle name="Normal 118 7" xfId="1604" xr:uid="{13D72463-491B-42B7-8B85-7659074E2037}"/>
    <cellStyle name="Normal 118 8" xfId="1792" xr:uid="{CEB45AA3-8288-4F2F-AEED-58EB170C7967}"/>
    <cellStyle name="Normal 118 9" xfId="1980" xr:uid="{C3B70904-B5EA-4F20-93E4-1FB6DA8C2051}"/>
    <cellStyle name="Normal 119" xfId="139" xr:uid="{00000000-0005-0000-0000-00001D000000}"/>
    <cellStyle name="Normal 119 2" xfId="685" xr:uid="{94D08F0D-410F-48E8-9C4E-EFA0C283CB7A}"/>
    <cellStyle name="Normal 119 3" xfId="867" xr:uid="{602CC1AE-BEF5-4BD3-96B0-4ADA26F8A634}"/>
    <cellStyle name="Normal 119 4" xfId="1049" xr:uid="{7DE03DBE-0625-40B2-AEC0-3D7563C8518A}"/>
    <cellStyle name="Normal 119 5" xfId="1232" xr:uid="{55A2B81D-2AB3-4733-9093-78D1E72B67FD}"/>
    <cellStyle name="Normal 119 6" xfId="1417" xr:uid="{9634B8B3-FA61-4B24-BA26-4180F500CF94}"/>
    <cellStyle name="Normal 119 7" xfId="1605" xr:uid="{E6372DDE-CE96-44EA-8105-E64CBC0CF1C6}"/>
    <cellStyle name="Normal 119 8" xfId="1793" xr:uid="{970E0186-5412-4400-863E-14C095E2D24F}"/>
    <cellStyle name="Normal 119 9" xfId="1981" xr:uid="{BA320104-0D48-44D5-A866-9FA1FC6CA125}"/>
    <cellStyle name="Normal 12" xfId="23" xr:uid="{00000000-0005-0000-0000-00001E000000}"/>
    <cellStyle name="Normal 12 10" xfId="943" xr:uid="{ECE1BCD3-8AD1-4FB3-97AF-81FA10211FFD}"/>
    <cellStyle name="Normal 12 11" xfId="1126" xr:uid="{BAE1A619-98BB-4946-AA71-09395EC567DF}"/>
    <cellStyle name="Normal 12 12" xfId="1311" xr:uid="{75A664CC-099E-491A-91C0-0B6D011F3DBB}"/>
    <cellStyle name="Normal 12 13" xfId="1499" xr:uid="{29CD199A-A9E6-4AD8-A5C7-8AE27DAB02E5}"/>
    <cellStyle name="Normal 12 14" xfId="1687" xr:uid="{8F0FEEC3-0705-429F-9F17-ECF661C9B10A}"/>
    <cellStyle name="Normal 12 15" xfId="1875" xr:uid="{03544AED-074A-4E12-A9AA-FE70840A424E}"/>
    <cellStyle name="Normal 12 2" xfId="367" xr:uid="{4BAAFC01-4DC1-4624-8C58-22C96E823A7E}"/>
    <cellStyle name="Normal 12 3" xfId="439" xr:uid="{3379AA30-D11E-4A44-979C-7DDD1BC1F05D}"/>
    <cellStyle name="Normal 12 4" xfId="461" xr:uid="{CEB240E7-0A1D-47D3-8FB2-DD8AB05DBFFC}"/>
    <cellStyle name="Normal 12 5" xfId="473" xr:uid="{4790F12F-C790-4764-B347-17C83CA314BE}"/>
    <cellStyle name="Normal 12 6" xfId="506" xr:uid="{DB710C4B-0BF1-4DC1-8C72-73723BBF8D9A}"/>
    <cellStyle name="Normal 12 7" xfId="550" xr:uid="{1A752E48-6940-4FC0-90F4-C290382B2CB0}"/>
    <cellStyle name="Normal 12 8" xfId="579" xr:uid="{47CDE01F-B35A-4876-B81D-94B0F0D74FC6}"/>
    <cellStyle name="Normal 12 9" xfId="761" xr:uid="{9A63CD71-2B24-4F56-ACAB-57BFD32902C8}"/>
    <cellStyle name="Normal 120" xfId="140" xr:uid="{00000000-0005-0000-0000-00001F000000}"/>
    <cellStyle name="Normal 120 2" xfId="686" xr:uid="{D5955961-84A8-412C-8B8E-BD8E7B0FE2BA}"/>
    <cellStyle name="Normal 120 3" xfId="868" xr:uid="{30DFBD4E-27B0-4BE9-9786-8B119670350C}"/>
    <cellStyle name="Normal 120 4" xfId="1050" xr:uid="{EB26E1E6-ECC6-481E-8C3E-8514F2CA8A48}"/>
    <cellStyle name="Normal 120 5" xfId="1233" xr:uid="{A6A3FD31-706B-4DC9-9183-66A618FD6AD1}"/>
    <cellStyle name="Normal 120 6" xfId="1418" xr:uid="{C2F3C26B-9CE2-46E2-B2B4-A9E507670B97}"/>
    <cellStyle name="Normal 120 7" xfId="1606" xr:uid="{53ED6BC8-DCDE-484B-A1F1-10B135CCF5E9}"/>
    <cellStyle name="Normal 120 8" xfId="1794" xr:uid="{DA138B0F-FBC1-4FC2-8F84-7124D62F58C7}"/>
    <cellStyle name="Normal 120 9" xfId="1982" xr:uid="{F6C19975-2F7B-49BD-965B-69A159CADF61}"/>
    <cellStyle name="Normal 121" xfId="141" xr:uid="{00000000-0005-0000-0000-000020000000}"/>
    <cellStyle name="Normal 121 2" xfId="687" xr:uid="{F24B4E6F-9D27-4E96-BB72-51A69820756A}"/>
    <cellStyle name="Normal 121 3" xfId="869" xr:uid="{6E751B8A-2A6D-439D-B1DF-7457B4F3D1D6}"/>
    <cellStyle name="Normal 121 4" xfId="1051" xr:uid="{C2B6978D-A26B-4BB0-BE40-87BD7E32A86B}"/>
    <cellStyle name="Normal 121 5" xfId="1234" xr:uid="{53AA9BD1-A41E-46D3-AF92-7B074008B658}"/>
    <cellStyle name="Normal 121 6" xfId="1419" xr:uid="{3475560C-0918-4E55-BBF9-E3D1359AB868}"/>
    <cellStyle name="Normal 121 7" xfId="1607" xr:uid="{52217A31-21D7-4DCE-A67F-C7496D3D8D53}"/>
    <cellStyle name="Normal 121 8" xfId="1795" xr:uid="{69452BA2-E5C1-4580-A49D-24F921F6F0B6}"/>
    <cellStyle name="Normal 121 9" xfId="1983" xr:uid="{3E9BEFF6-717B-4D76-8824-059C2082E306}"/>
    <cellStyle name="Normal 122" xfId="142" xr:uid="{00000000-0005-0000-0000-000021000000}"/>
    <cellStyle name="Normal 122 2" xfId="688" xr:uid="{1B7FB380-A12B-4648-B00A-D23821FE37B6}"/>
    <cellStyle name="Normal 122 3" xfId="870" xr:uid="{665DCFB1-A5E8-4897-8B0B-5E5EFEE604FA}"/>
    <cellStyle name="Normal 122 4" xfId="1052" xr:uid="{B924AB82-2515-431B-AF00-AAD5A60DE348}"/>
    <cellStyle name="Normal 122 5" xfId="1235" xr:uid="{E6C083C3-51C7-4A37-A576-98A7E9206B73}"/>
    <cellStyle name="Normal 122 6" xfId="1420" xr:uid="{4EF124EE-6CDF-4BC8-8447-D502F8907005}"/>
    <cellStyle name="Normal 122 7" xfId="1608" xr:uid="{8AF11188-79C8-4817-9F50-D61F9B2FE152}"/>
    <cellStyle name="Normal 122 8" xfId="1796" xr:uid="{64303CA7-AE4E-4969-BE80-4CC4541B8824}"/>
    <cellStyle name="Normal 122 9" xfId="1984" xr:uid="{AD86C52A-1D8B-48B3-BEA5-6869DEDB0C67}"/>
    <cellStyle name="Normal 123" xfId="143" xr:uid="{00000000-0005-0000-0000-000022000000}"/>
    <cellStyle name="Normal 123 2" xfId="689" xr:uid="{399ACC67-BD65-4C5F-A15D-2F1CF5DEFFB8}"/>
    <cellStyle name="Normal 123 3" xfId="871" xr:uid="{06703584-E9C6-407E-869C-8216257EE3C5}"/>
    <cellStyle name="Normal 123 4" xfId="1053" xr:uid="{B195261C-5D55-45B0-A460-AAA1F9FDAB44}"/>
    <cellStyle name="Normal 123 5" xfId="1236" xr:uid="{5B6FBBD9-7552-48B8-B669-ACDAEC4A153A}"/>
    <cellStyle name="Normal 123 6" xfId="1421" xr:uid="{B602F9A8-31E5-4E0B-96FB-57106C8C4164}"/>
    <cellStyle name="Normal 123 7" xfId="1609" xr:uid="{B2FDF27F-9413-4F86-9AC3-338815606AE9}"/>
    <cellStyle name="Normal 123 8" xfId="1797" xr:uid="{C28E8AD9-CAB9-47D2-AFDD-ED82218A76EE}"/>
    <cellStyle name="Normal 123 9" xfId="1985" xr:uid="{CA594BEC-D877-4C75-BC46-A05B7C9214F9}"/>
    <cellStyle name="Normal 124" xfId="144" xr:uid="{00000000-0005-0000-0000-000023000000}"/>
    <cellStyle name="Normal 124 2" xfId="690" xr:uid="{3B5600D7-3368-4712-A333-A57596C16982}"/>
    <cellStyle name="Normal 124 3" xfId="872" xr:uid="{34C0829F-51BF-4FAA-9B40-D816F3903AE3}"/>
    <cellStyle name="Normal 124 4" xfId="1054" xr:uid="{83BE10CA-F2BA-4897-9152-1811CC64F8CE}"/>
    <cellStyle name="Normal 124 5" xfId="1237" xr:uid="{49603681-660B-4763-A303-8711BDF91CD2}"/>
    <cellStyle name="Normal 124 6" xfId="1422" xr:uid="{C59D6F45-A78E-4EA6-8DA6-EB9AC782DD47}"/>
    <cellStyle name="Normal 124 7" xfId="1610" xr:uid="{F2ACB621-F014-48D1-830A-40924282CA4E}"/>
    <cellStyle name="Normal 124 8" xfId="1798" xr:uid="{263E9B11-F3C4-4E2F-A383-9C81478BFB66}"/>
    <cellStyle name="Normal 124 9" xfId="1986" xr:uid="{7A63107F-5E88-4699-B17C-2B58B94D33F1}"/>
    <cellStyle name="Normal 125" xfId="145" xr:uid="{00000000-0005-0000-0000-000024000000}"/>
    <cellStyle name="Normal 125 2" xfId="691" xr:uid="{EBC5D18E-F157-4AC3-AF81-F426A66C4393}"/>
    <cellStyle name="Normal 125 3" xfId="873" xr:uid="{AB346624-364B-4F02-98BD-B36D14F7D980}"/>
    <cellStyle name="Normal 125 4" xfId="1055" xr:uid="{92B0150D-67D3-4681-9547-2B50A9453F40}"/>
    <cellStyle name="Normal 125 5" xfId="1238" xr:uid="{102F1585-6668-42BB-AF20-2C3CA8BBA209}"/>
    <cellStyle name="Normal 125 6" xfId="1423" xr:uid="{4EB47B8D-3774-4DD4-9BEE-140DD2588A1C}"/>
    <cellStyle name="Normal 125 7" xfId="1611" xr:uid="{81FD2FDC-13DC-4170-8CA9-B03CE28DAF2C}"/>
    <cellStyle name="Normal 125 8" xfId="1799" xr:uid="{97806571-FA24-4914-A89F-642F80136D4A}"/>
    <cellStyle name="Normal 125 9" xfId="1987" xr:uid="{86EAE9CB-8475-4985-8FC2-42C392AA6A8D}"/>
    <cellStyle name="Normal 126" xfId="146" xr:uid="{00000000-0005-0000-0000-000025000000}"/>
    <cellStyle name="Normal 126 2" xfId="692" xr:uid="{958C8FBA-78CD-442F-A49B-957B6822B5A8}"/>
    <cellStyle name="Normal 126 3" xfId="874" xr:uid="{EA9C9626-5525-4B04-A48D-60224C0773D1}"/>
    <cellStyle name="Normal 126 4" xfId="1056" xr:uid="{51141B42-B6BD-42DE-9DA6-F93FB5E77570}"/>
    <cellStyle name="Normal 126 5" xfId="1239" xr:uid="{31F585EC-2CE5-4974-A1F1-0442E3EB56D7}"/>
    <cellStyle name="Normal 126 6" xfId="1424" xr:uid="{F5D3688F-2846-465F-BDE4-53A2192FB722}"/>
    <cellStyle name="Normal 126 7" xfId="1612" xr:uid="{B94162D2-0FFA-4448-AC90-F5AE6EA80744}"/>
    <cellStyle name="Normal 126 8" xfId="1800" xr:uid="{8C57C829-B69C-4098-A73E-0081018B28F7}"/>
    <cellStyle name="Normal 126 9" xfId="1988" xr:uid="{498EAD95-0680-48B7-BB8C-8693A00326C7}"/>
    <cellStyle name="Normal 127" xfId="147" xr:uid="{00000000-0005-0000-0000-000026000000}"/>
    <cellStyle name="Normal 127 2" xfId="693" xr:uid="{2FA3021F-22B2-4C80-B892-2B51981A616F}"/>
    <cellStyle name="Normal 127 3" xfId="875" xr:uid="{517A0FA7-F3B9-4C36-A11D-098D24B27A2C}"/>
    <cellStyle name="Normal 127 4" xfId="1057" xr:uid="{5189FAEC-4E81-4624-BA83-AA1025ED5545}"/>
    <cellStyle name="Normal 127 5" xfId="1240" xr:uid="{442A623E-BD1D-49D3-AF61-92116095FDA7}"/>
    <cellStyle name="Normal 127 6" xfId="1425" xr:uid="{B14746D9-6DB2-479C-B09F-4E313D7ED3CC}"/>
    <cellStyle name="Normal 127 7" xfId="1613" xr:uid="{5D2108CC-8874-4E3B-A8C8-DDC9F5E26BB1}"/>
    <cellStyle name="Normal 127 8" xfId="1801" xr:uid="{6A4D54CD-585B-4BB9-B3D1-DCB366EA7A4D}"/>
    <cellStyle name="Normal 127 9" xfId="1989" xr:uid="{7141E9C9-84C1-43D6-BC0F-F26F3ED28DA8}"/>
    <cellStyle name="Normal 128" xfId="148" xr:uid="{00000000-0005-0000-0000-000027000000}"/>
    <cellStyle name="Normal 128 2" xfId="694" xr:uid="{67430BFE-FF09-43B3-B0D9-C1B7DF1D5C3E}"/>
    <cellStyle name="Normal 128 3" xfId="876" xr:uid="{6F933216-81DF-43AC-9353-61ABD5B5425A}"/>
    <cellStyle name="Normal 128 4" xfId="1058" xr:uid="{BA77A137-D398-4882-90BA-3239757452D4}"/>
    <cellStyle name="Normal 128 5" xfId="1241" xr:uid="{49020807-4B15-4D44-BE3C-4286E4B6D892}"/>
    <cellStyle name="Normal 128 6" xfId="1426" xr:uid="{92C49476-B09A-4397-AD6A-36BDB7BD7355}"/>
    <cellStyle name="Normal 128 7" xfId="1614" xr:uid="{CA22116D-131B-46FF-8F43-C6A431D2CBC0}"/>
    <cellStyle name="Normal 128 8" xfId="1802" xr:uid="{2AEC8FE8-E005-4302-90CF-1AA97BBFBF5A}"/>
    <cellStyle name="Normal 128 9" xfId="1990" xr:uid="{A05991CA-BA9D-4EB7-B53F-EFC649F67F4B}"/>
    <cellStyle name="Normal 129" xfId="149" xr:uid="{00000000-0005-0000-0000-000028000000}"/>
    <cellStyle name="Normal 129 2" xfId="695" xr:uid="{900A4C4F-30AE-470C-AFA8-6D31C82DBC6B}"/>
    <cellStyle name="Normal 129 3" xfId="877" xr:uid="{F001E16B-6BA0-478C-8EEB-2F046A7E4ACB}"/>
    <cellStyle name="Normal 129 4" xfId="1059" xr:uid="{E250131D-455F-496C-B2CC-A18E7C9AF5DE}"/>
    <cellStyle name="Normal 129 5" xfId="1242" xr:uid="{AD62886C-EC6A-4DA1-BEE3-2225C802FAEA}"/>
    <cellStyle name="Normal 129 6" xfId="1427" xr:uid="{24470468-7B62-420F-B59E-372DF90A63F9}"/>
    <cellStyle name="Normal 129 7" xfId="1615" xr:uid="{6D850BB1-5CEB-4592-ABFC-483746DC7E63}"/>
    <cellStyle name="Normal 129 8" xfId="1803" xr:uid="{5F93234C-4733-4782-B429-CA6DFE2E533A}"/>
    <cellStyle name="Normal 129 9" xfId="1991" xr:uid="{341BB388-8846-4EBB-948F-3080CEF49A33}"/>
    <cellStyle name="Normal 13" xfId="24" xr:uid="{00000000-0005-0000-0000-000029000000}"/>
    <cellStyle name="Normal 13 10" xfId="944" xr:uid="{C215220C-FED6-489C-B23D-BDDF18F6940D}"/>
    <cellStyle name="Normal 13 11" xfId="1127" xr:uid="{A2CB4D7F-7A07-43ED-BF5D-08B40CCC7F2B}"/>
    <cellStyle name="Normal 13 12" xfId="1312" xr:uid="{878F3531-09D3-4486-AA5D-6D18BBB2D78A}"/>
    <cellStyle name="Normal 13 13" xfId="1500" xr:uid="{BD467769-9FCE-4AFA-882A-4B4B4BE83992}"/>
    <cellStyle name="Normal 13 14" xfId="1688" xr:uid="{093F4CA8-1C16-48D1-8B00-CA5F3BFE73C1}"/>
    <cellStyle name="Normal 13 15" xfId="1876" xr:uid="{A79FDBC7-008F-426B-93E7-0306283C3658}"/>
    <cellStyle name="Normal 13 2" xfId="368" xr:uid="{0B00E81C-AA4E-443D-887A-CF4C2F3E5696}"/>
    <cellStyle name="Normal 13 3" xfId="440" xr:uid="{11A67688-E5DE-427F-B76F-96FA28365A53}"/>
    <cellStyle name="Normal 13 4" xfId="462" xr:uid="{A4CC94A1-92DE-40A6-8179-9C9F62B4514A}"/>
    <cellStyle name="Normal 13 5" xfId="474" xr:uid="{1C031D80-7185-4E5E-97FA-4C007B240588}"/>
    <cellStyle name="Normal 13 6" xfId="507" xr:uid="{5FEA432A-C4D1-4047-837D-D32AE3D91EC5}"/>
    <cellStyle name="Normal 13 7" xfId="551" xr:uid="{86B3C813-98E9-422E-9ABC-E53394DBF159}"/>
    <cellStyle name="Normal 13 8" xfId="580" xr:uid="{03EDE73D-EA22-4415-A30B-7E9B4196235D}"/>
    <cellStyle name="Normal 13 9" xfId="762" xr:uid="{EBEEBB6A-4221-4CCB-A204-639B42584A74}"/>
    <cellStyle name="Normal 130" xfId="150" xr:uid="{00000000-0005-0000-0000-00002A000000}"/>
    <cellStyle name="Normal 130 2" xfId="696" xr:uid="{54898EB6-D9E7-4C76-BCB5-B71269CD8FEA}"/>
    <cellStyle name="Normal 130 3" xfId="878" xr:uid="{AA0D2528-ECBD-4D70-B90D-82374F1C6F05}"/>
    <cellStyle name="Normal 130 4" xfId="1060" xr:uid="{3F2905C2-D43E-4EE3-A6C4-2B5F8A7D2FB5}"/>
    <cellStyle name="Normal 130 5" xfId="1243" xr:uid="{EAB7E178-1BE6-47CE-9754-1A165B3AB034}"/>
    <cellStyle name="Normal 130 6" xfId="1428" xr:uid="{F5290A52-33E0-4E89-B815-8BCBD4F8F255}"/>
    <cellStyle name="Normal 130 7" xfId="1616" xr:uid="{8543E237-2903-4549-A747-19B0CF232AE5}"/>
    <cellStyle name="Normal 130 8" xfId="1804" xr:uid="{B998C76D-738A-455B-B3AF-37A7CFEDF8B6}"/>
    <cellStyle name="Normal 130 9" xfId="1992" xr:uid="{B25147CC-09ED-48A3-A989-806DDD565E4D}"/>
    <cellStyle name="Normal 131" xfId="152" xr:uid="{00000000-0005-0000-0000-00002B000000}"/>
    <cellStyle name="Normal 131 2" xfId="697" xr:uid="{D6D8A8ED-E2A0-4A0B-89AC-D243D11826A7}"/>
    <cellStyle name="Normal 131 3" xfId="879" xr:uid="{161B6B1D-AE3D-495F-9207-7B5A34226ECB}"/>
    <cellStyle name="Normal 131 4" xfId="1061" xr:uid="{99E08402-0F7C-487A-8F32-D01ED1D29C5F}"/>
    <cellStyle name="Normal 131 5" xfId="1244" xr:uid="{145FDCDD-FDB0-4BDC-8967-64E189CD47B6}"/>
    <cellStyle name="Normal 131 6" xfId="1429" xr:uid="{6F56FC91-95BD-49B1-B65E-AC77086D4DAB}"/>
    <cellStyle name="Normal 131 7" xfId="1617" xr:uid="{B578D3D6-5444-46FD-B12D-C08BEA93B5D9}"/>
    <cellStyle name="Normal 131 8" xfId="1805" xr:uid="{9ED1B467-3BFA-4F8C-BA54-07B5785D167D}"/>
    <cellStyle name="Normal 131 9" xfId="1993" xr:uid="{EA70A0E8-D471-4F71-9FD2-E0BED463EE13}"/>
    <cellStyle name="Normal 132" xfId="153" xr:uid="{00000000-0005-0000-0000-00002C000000}"/>
    <cellStyle name="Normal 132 2" xfId="698" xr:uid="{22DDD673-A44C-416A-91BC-D73C91A1F44E}"/>
    <cellStyle name="Normal 132 3" xfId="880" xr:uid="{675FD4C2-34E6-4369-A98E-48CF83F00367}"/>
    <cellStyle name="Normal 132 4" xfId="1062" xr:uid="{D082B632-7AAE-4747-89A8-CCF501FB0577}"/>
    <cellStyle name="Normal 132 5" xfId="1245" xr:uid="{168D1163-A48C-4F3B-848C-F1287711FF88}"/>
    <cellStyle name="Normal 132 6" xfId="1430" xr:uid="{CEB72AC1-1053-468B-8762-9EE6790F9824}"/>
    <cellStyle name="Normal 132 7" xfId="1618" xr:uid="{C8CB817E-B5AB-4D18-B887-B741702CCA53}"/>
    <cellStyle name="Normal 132 8" xfId="1806" xr:uid="{A61C4F24-FA9B-4A69-A1FC-E5F3740B85AC}"/>
    <cellStyle name="Normal 132 9" xfId="1994" xr:uid="{8FEC4C97-2C52-4713-80D1-CF65CD179BCC}"/>
    <cellStyle name="Normal 133" xfId="154" xr:uid="{00000000-0005-0000-0000-00002D000000}"/>
    <cellStyle name="Normal 133 2" xfId="699" xr:uid="{891F55B5-2DB4-4F2B-A082-2D694D8FBF70}"/>
    <cellStyle name="Normal 133 3" xfId="881" xr:uid="{2707A911-92E1-4256-862E-A4F86140AB6B}"/>
    <cellStyle name="Normal 133 4" xfId="1063" xr:uid="{84A833C7-913D-4140-B3FD-9113D66520E3}"/>
    <cellStyle name="Normal 133 5" xfId="1246" xr:uid="{A46BF15E-0E2F-4D6B-9234-8B556E57367A}"/>
    <cellStyle name="Normal 133 6" xfId="1431" xr:uid="{A36F222A-1424-4157-979E-3255ECA7CBC7}"/>
    <cellStyle name="Normal 133 7" xfId="1619" xr:uid="{3EEFC367-30C8-42D9-A2BA-12F73B88BEA9}"/>
    <cellStyle name="Normal 133 8" xfId="1807" xr:uid="{CE172079-4B79-4E69-8799-34A79DD99C26}"/>
    <cellStyle name="Normal 133 9" xfId="1995" xr:uid="{C205B9ED-ADD0-4722-917C-141856D7DC88}"/>
    <cellStyle name="Normal 134" xfId="155" xr:uid="{00000000-0005-0000-0000-00002E000000}"/>
    <cellStyle name="Normal 134 2" xfId="700" xr:uid="{E577F767-AEAC-4625-844E-2332E07D165C}"/>
    <cellStyle name="Normal 134 3" xfId="882" xr:uid="{A338E46B-D4EC-460F-B0F8-71E865F408A0}"/>
    <cellStyle name="Normal 134 4" xfId="1064" xr:uid="{AA92B410-B860-4DEF-B092-F186D6E284AC}"/>
    <cellStyle name="Normal 134 5" xfId="1247" xr:uid="{219FF5B3-5B38-4DA9-8BD3-A8AAFF406110}"/>
    <cellStyle name="Normal 134 6" xfId="1432" xr:uid="{BFB047E7-A7C4-444E-BFF4-EB9CDE7BF84C}"/>
    <cellStyle name="Normal 134 7" xfId="1620" xr:uid="{DD09316A-7C79-4057-BC0B-57A9C4D5B952}"/>
    <cellStyle name="Normal 134 8" xfId="1808" xr:uid="{8B6B3243-E111-4E4A-8318-1A467C881741}"/>
    <cellStyle name="Normal 134 9" xfId="1996" xr:uid="{E21D87EC-C24A-46C3-9B1A-6FEDF6861951}"/>
    <cellStyle name="Normal 135" xfId="156" xr:uid="{00000000-0005-0000-0000-00002F000000}"/>
    <cellStyle name="Normal 135 2" xfId="701" xr:uid="{51E85F3D-4D79-4E1D-9D4B-DCC0903CBE82}"/>
    <cellStyle name="Normal 135 3" xfId="883" xr:uid="{C9506F68-FF52-4149-96D7-A8FAA095F69B}"/>
    <cellStyle name="Normal 135 4" xfId="1065" xr:uid="{C87927B1-263E-43CB-A559-9645B766F5A4}"/>
    <cellStyle name="Normal 135 5" xfId="1248" xr:uid="{73B025FC-D79A-4188-81CF-ED30864F80A5}"/>
    <cellStyle name="Normal 135 6" xfId="1433" xr:uid="{A762E073-47C1-4321-B4AB-45E35FD50033}"/>
    <cellStyle name="Normal 135 7" xfId="1621" xr:uid="{CFC2D841-DEB1-4F85-AB86-3D1FE2D15AFE}"/>
    <cellStyle name="Normal 135 8" xfId="1809" xr:uid="{667007E9-717D-43AB-92AA-8E280B0405E3}"/>
    <cellStyle name="Normal 135 9" xfId="1997" xr:uid="{199B7D77-2D19-4087-8348-D87CD847B106}"/>
    <cellStyle name="Normal 136" xfId="157" xr:uid="{00000000-0005-0000-0000-000030000000}"/>
    <cellStyle name="Normal 136 2" xfId="702" xr:uid="{E3CCFB2A-D091-4CB5-8E4D-36FC289E50D5}"/>
    <cellStyle name="Normal 136 3" xfId="884" xr:uid="{83C68C2C-B455-46B5-A75F-5AEB608D8917}"/>
    <cellStyle name="Normal 136 4" xfId="1066" xr:uid="{41428DC2-F2D8-4977-AE4E-3C65C6D6FFD9}"/>
    <cellStyle name="Normal 136 5" xfId="1249" xr:uid="{C297EBEE-E82A-4BF7-A104-F54325A9FC06}"/>
    <cellStyle name="Normal 136 6" xfId="1434" xr:uid="{A8CED4E1-83EC-426A-BF23-6BF9E424EF78}"/>
    <cellStyle name="Normal 136 7" xfId="1622" xr:uid="{27B17BAE-72AF-4934-B43D-BFC7F0901A78}"/>
    <cellStyle name="Normal 136 8" xfId="1810" xr:uid="{A765C576-6866-4461-A744-F77ECD08494C}"/>
    <cellStyle name="Normal 136 9" xfId="1998" xr:uid="{06129C73-DDD0-44F0-9DAC-632A10176BD1}"/>
    <cellStyle name="Normal 137" xfId="158" xr:uid="{00000000-0005-0000-0000-000031000000}"/>
    <cellStyle name="Normal 137 2" xfId="703" xr:uid="{1A4CF19A-17FD-460E-8C8C-A4A3A9C427CB}"/>
    <cellStyle name="Normal 137 3" xfId="885" xr:uid="{177D333D-031A-4C2F-BE02-B0EDFC98DC58}"/>
    <cellStyle name="Normal 137 4" xfId="1067" xr:uid="{F8351225-F241-4C70-8F81-E3E0F5DA4E4A}"/>
    <cellStyle name="Normal 137 5" xfId="1250" xr:uid="{DC2834BC-36A2-4145-8077-F0033A86B324}"/>
    <cellStyle name="Normal 137 6" xfId="1435" xr:uid="{0AF66F34-53FE-40AE-AC3A-ABF05C2B7C30}"/>
    <cellStyle name="Normal 137 7" xfId="1623" xr:uid="{AE7FCA57-E983-4E01-8022-5B984EB02394}"/>
    <cellStyle name="Normal 137 8" xfId="1811" xr:uid="{BA99CDA5-B1FD-46EC-B3A7-C7FCB92BD10A}"/>
    <cellStyle name="Normal 137 9" xfId="1999" xr:uid="{1594A32C-1A44-48D5-9FC8-FC07E8E684F1}"/>
    <cellStyle name="Normal 138" xfId="159" xr:uid="{00000000-0005-0000-0000-000032000000}"/>
    <cellStyle name="Normal 138 2" xfId="704" xr:uid="{BF92AC90-890C-44A2-986E-0EA35B292232}"/>
    <cellStyle name="Normal 138 3" xfId="886" xr:uid="{6BC6315B-2D27-4F72-8DBF-06845C1CF080}"/>
    <cellStyle name="Normal 138 4" xfId="1068" xr:uid="{4645E41D-83A0-4800-A2EB-89FE05F5B069}"/>
    <cellStyle name="Normal 138 5" xfId="1251" xr:uid="{D7333874-9E60-4EDC-8AF0-334EB958B13E}"/>
    <cellStyle name="Normal 138 6" xfId="1436" xr:uid="{C5CBC6C0-EC32-438B-994E-4F7BBFA14758}"/>
    <cellStyle name="Normal 138 7" xfId="1624" xr:uid="{2CE79685-58D3-4FF8-9643-0B61EE4BCC6E}"/>
    <cellStyle name="Normal 138 8" xfId="1812" xr:uid="{37260B7B-084D-4208-B0CD-46B9A0563901}"/>
    <cellStyle name="Normal 138 9" xfId="2000" xr:uid="{228B0DD9-17D0-43DE-82D1-A8F540491797}"/>
    <cellStyle name="Normal 139" xfId="160" xr:uid="{00000000-0005-0000-0000-000033000000}"/>
    <cellStyle name="Normal 139 2" xfId="705" xr:uid="{8CFA6196-50CD-4AB4-90C5-88E5020A6741}"/>
    <cellStyle name="Normal 139 3" xfId="887" xr:uid="{E6DB486D-5CAE-4727-B93D-803AF6E0ABFA}"/>
    <cellStyle name="Normal 139 4" xfId="1069" xr:uid="{41989044-A4C8-46AE-8DD2-4882F64B1217}"/>
    <cellStyle name="Normal 139 5" xfId="1252" xr:uid="{BCAEE771-E803-404C-9A3D-2B6322C6AEA3}"/>
    <cellStyle name="Normal 139 6" xfId="1437" xr:uid="{094853C1-E8C7-4E3C-9434-68D8EB166E8D}"/>
    <cellStyle name="Normal 139 7" xfId="1625" xr:uid="{462766B7-0A2E-4F87-AAE3-A3ED0D7181CC}"/>
    <cellStyle name="Normal 139 8" xfId="1813" xr:uid="{8C76A5B6-170C-4F07-AF21-86B3FBB061F7}"/>
    <cellStyle name="Normal 139 9" xfId="2001" xr:uid="{37DB3F61-7816-4F66-AFEF-AC63D7C0BF19}"/>
    <cellStyle name="Normal 14" xfId="25" xr:uid="{00000000-0005-0000-0000-000034000000}"/>
    <cellStyle name="Normal 14 10" xfId="945" xr:uid="{A6EEA06A-71F7-46E8-AA0E-FDB7352D3E2F}"/>
    <cellStyle name="Normal 14 11" xfId="1128" xr:uid="{A9D94473-2BC2-4F68-A075-615DFA7899F1}"/>
    <cellStyle name="Normal 14 12" xfId="1313" xr:uid="{F7FF7C2E-0040-4FB1-81FF-CFD52D065844}"/>
    <cellStyle name="Normal 14 13" xfId="1501" xr:uid="{B671D2C9-AA66-4DE2-BE79-C32809E83F0F}"/>
    <cellStyle name="Normal 14 14" xfId="1689" xr:uid="{AD9DE2FF-5A0D-4C4C-9598-0F0784E60407}"/>
    <cellStyle name="Normal 14 15" xfId="1877" xr:uid="{2FF32468-4DB3-4E68-88D9-036A5EE13924}"/>
    <cellStyle name="Normal 14 2" xfId="379" xr:uid="{56C541A3-E419-499A-B9B2-61A718C45E6B}"/>
    <cellStyle name="Normal 14 3" xfId="441" xr:uid="{4426786E-DFF0-4E29-B5FE-981DC56D0B28}"/>
    <cellStyle name="Normal 14 4" xfId="463" xr:uid="{0CA7B59B-A4D5-4463-B838-74501279DADB}"/>
    <cellStyle name="Normal 14 5" xfId="484" xr:uid="{811E469F-02C8-4D42-BD80-DB7380DAFCF7}"/>
    <cellStyle name="Normal 14 6" xfId="517" xr:uid="{8A61787B-F211-45B5-A856-D2B95C3019F1}"/>
    <cellStyle name="Normal 14 7" xfId="552" xr:uid="{526E4856-7292-48DB-BB79-83C480D30E1C}"/>
    <cellStyle name="Normal 14 8" xfId="581" xr:uid="{7BB28AAD-1A5F-40DD-A518-7D2EEEF3D22A}"/>
    <cellStyle name="Normal 14 9" xfId="763" xr:uid="{0BA48510-9880-4A36-8D69-4456650D2002}"/>
    <cellStyle name="Normal 140" xfId="161" xr:uid="{00000000-0005-0000-0000-000035000000}"/>
    <cellStyle name="Normal 140 2" xfId="706" xr:uid="{549AB772-8FDF-4D28-A50E-8C1C4170CE5C}"/>
    <cellStyle name="Normal 140 3" xfId="888" xr:uid="{277351B9-CCC5-4A9E-B54F-B8E595940978}"/>
    <cellStyle name="Normal 140 4" xfId="1070" xr:uid="{F088602E-DD42-454F-9914-6BE588FB05A1}"/>
    <cellStyle name="Normal 140 5" xfId="1253" xr:uid="{32BFAA79-92BB-4AC7-8892-24A75CBB9373}"/>
    <cellStyle name="Normal 140 6" xfId="1438" xr:uid="{62F9FEA5-ED4F-4240-A7C3-268D2B6247D4}"/>
    <cellStyle name="Normal 140 7" xfId="1626" xr:uid="{9D15101E-E856-4A3E-B5E9-D08DCCD63984}"/>
    <cellStyle name="Normal 140 8" xfId="1814" xr:uid="{0073CACA-A646-4C48-9F3E-3112DA3AC103}"/>
    <cellStyle name="Normal 140 9" xfId="2002" xr:uid="{8D59B23F-3344-4BCF-B3AD-EC194B1730DC}"/>
    <cellStyle name="Normal 141" xfId="162" xr:uid="{00000000-0005-0000-0000-000036000000}"/>
    <cellStyle name="Normal 141 2" xfId="707" xr:uid="{B9CBD497-7B48-4BC3-B2F7-174BB424113F}"/>
    <cellStyle name="Normal 141 3" xfId="889" xr:uid="{BDD39517-BCA3-403B-B1A6-AFE82138EA54}"/>
    <cellStyle name="Normal 141 4" xfId="1071" xr:uid="{D00235D8-4628-4AEA-B4D0-71E61CE346C0}"/>
    <cellStyle name="Normal 141 5" xfId="1254" xr:uid="{1C3522C0-407F-4F16-917B-B9DE26A42B3F}"/>
    <cellStyle name="Normal 141 6" xfId="1439" xr:uid="{DABD16EC-0552-45AE-971B-C5C039586DB5}"/>
    <cellStyle name="Normal 141 7" xfId="1627" xr:uid="{D04C2775-5FF6-4A3A-A327-071B2ED3F81E}"/>
    <cellStyle name="Normal 141 8" xfId="1815" xr:uid="{1B8F2EB4-0AD0-41A6-BC4B-D414D4C2069F}"/>
    <cellStyle name="Normal 141 9" xfId="2003" xr:uid="{5B4AE37B-B788-48CF-8B56-D8E8DB6A9A2D}"/>
    <cellStyle name="Normal 142" xfId="163" xr:uid="{00000000-0005-0000-0000-000037000000}"/>
    <cellStyle name="Normal 142 2" xfId="708" xr:uid="{09394DE8-375A-4E0D-848B-3149010BAD67}"/>
    <cellStyle name="Normal 142 3" xfId="890" xr:uid="{1FE5681D-D7DE-4DB3-AACF-AC246B302567}"/>
    <cellStyle name="Normal 142 4" xfId="1072" xr:uid="{7C9507CE-0B4F-408B-B796-7FC2F40F0CD2}"/>
    <cellStyle name="Normal 142 5" xfId="1255" xr:uid="{65285096-A36A-4994-9DD0-DE238E7D5131}"/>
    <cellStyle name="Normal 142 6" xfId="1440" xr:uid="{F0580DE5-1C71-414D-95EE-D17B2F21F9F8}"/>
    <cellStyle name="Normal 142 7" xfId="1628" xr:uid="{C90DD2FA-2CCA-41A7-885E-DEDD9162FEA6}"/>
    <cellStyle name="Normal 142 8" xfId="1816" xr:uid="{D7FE6703-AC59-4E48-A525-73F11AB83E34}"/>
    <cellStyle name="Normal 142 9" xfId="2004" xr:uid="{76738BF7-50DB-42BC-B7DC-BC8F220A6B05}"/>
    <cellStyle name="Normal 143" xfId="166" xr:uid="{00000000-0005-0000-0000-000038000000}"/>
    <cellStyle name="Normal 143 2" xfId="711" xr:uid="{7707B398-6119-4EEF-B0DA-E34747056B7E}"/>
    <cellStyle name="Normal 143 3" xfId="893" xr:uid="{03965BD3-68F9-423F-9AC6-96D21C3D9FC0}"/>
    <cellStyle name="Normal 143 4" xfId="1075" xr:uid="{AA364138-5740-4A7D-A6AC-BCD9D74E209F}"/>
    <cellStyle name="Normal 143 5" xfId="1258" xr:uid="{6799A900-27A7-4522-8713-4E50F26F7966}"/>
    <cellStyle name="Normal 143 6" xfId="1443" xr:uid="{D676695D-A30B-489A-A7EB-11157C386861}"/>
    <cellStyle name="Normal 143 7" xfId="1631" xr:uid="{AC1C3DD0-A75F-4E09-A7A4-E0F77179C01E}"/>
    <cellStyle name="Normal 143 8" xfId="1819" xr:uid="{41036489-FE09-4591-8E05-5D6D661E4D79}"/>
    <cellStyle name="Normal 143 9" xfId="2007" xr:uid="{F244F880-FE58-436B-8A3C-2F8D0370ED1D}"/>
    <cellStyle name="Normal 144" xfId="165" xr:uid="{00000000-0005-0000-0000-000039000000}"/>
    <cellStyle name="Normal 144 2" xfId="710" xr:uid="{5A86DA5F-25CE-4967-978A-8957C5417829}"/>
    <cellStyle name="Normal 144 3" xfId="892" xr:uid="{C61A9A2A-128D-4468-9028-576EE7340978}"/>
    <cellStyle name="Normal 144 4" xfId="1074" xr:uid="{95D3D5F1-B411-43FC-9504-251F65A51E16}"/>
    <cellStyle name="Normal 144 5" xfId="1257" xr:uid="{E51D103D-6AB8-42F8-AEF7-F48B2460FA91}"/>
    <cellStyle name="Normal 144 6" xfId="1442" xr:uid="{0964D2CB-C3DB-49BA-AE7B-F9E44E553CCD}"/>
    <cellStyle name="Normal 144 7" xfId="1630" xr:uid="{197E6F5A-B584-4A03-8257-29F24EBF4567}"/>
    <cellStyle name="Normal 144 8" xfId="1818" xr:uid="{941DF774-2592-49F3-ACA0-D9D48819A706}"/>
    <cellStyle name="Normal 144 9" xfId="2006" xr:uid="{EE638537-907A-4441-A2E8-BBBBF684F711}"/>
    <cellStyle name="Normal 145" xfId="164" xr:uid="{00000000-0005-0000-0000-00003A000000}"/>
    <cellStyle name="Normal 145 2" xfId="709" xr:uid="{78C1424B-98B3-492C-BFE8-C16C07C6D512}"/>
    <cellStyle name="Normal 145 3" xfId="891" xr:uid="{CC102D39-9487-4EF6-8949-C3845ABB6E41}"/>
    <cellStyle name="Normal 145 4" xfId="1073" xr:uid="{6FCF2315-557D-4273-A47D-260A201F7324}"/>
    <cellStyle name="Normal 145 5" xfId="1256" xr:uid="{08C423FA-4382-46C6-8734-AC2AF77E1C7A}"/>
    <cellStyle name="Normal 145 6" xfId="1441" xr:uid="{56F30C68-C7FD-4C57-B4C0-10A779AE404C}"/>
    <cellStyle name="Normal 145 7" xfId="1629" xr:uid="{636255F1-9663-4046-8726-9AD9839DAA2C}"/>
    <cellStyle name="Normal 145 8" xfId="1817" xr:uid="{1084F8E5-1A13-41DE-AC93-AA4FEF8BFC4F}"/>
    <cellStyle name="Normal 145 9" xfId="2005" xr:uid="{B45D936F-1509-4AA6-B313-2A04DFDD191C}"/>
    <cellStyle name="Normal 146" xfId="167" xr:uid="{00000000-0005-0000-0000-00003B000000}"/>
    <cellStyle name="Normal 146 2" xfId="712" xr:uid="{5869145D-4669-4112-A681-689CE95500E7}"/>
    <cellStyle name="Normal 146 3" xfId="894" xr:uid="{3E173219-B69E-4505-8A04-4F6FF1B92811}"/>
    <cellStyle name="Normal 146 4" xfId="1076" xr:uid="{3EA916C5-7FB6-4ADE-8E6F-AB6267309DF4}"/>
    <cellStyle name="Normal 146 5" xfId="1259" xr:uid="{78E2138D-3E3A-43BE-A72C-D3BBC6254703}"/>
    <cellStyle name="Normal 146 6" xfId="1444" xr:uid="{9BD28A4D-FA68-48B1-811A-328222E4217B}"/>
    <cellStyle name="Normal 146 7" xfId="1632" xr:uid="{D7DC082B-BF17-4096-8078-7135532942D6}"/>
    <cellStyle name="Normal 146 8" xfId="1820" xr:uid="{81CCEDA2-6909-4684-8798-05907B2B2849}"/>
    <cellStyle name="Normal 146 9" xfId="2008" xr:uid="{7995ADE6-46F0-4B0A-B15B-F274655AE98C}"/>
    <cellStyle name="Normal 147" xfId="168" xr:uid="{00000000-0005-0000-0000-00003C000000}"/>
    <cellStyle name="Normal 147 2" xfId="713" xr:uid="{54FF8B69-C335-49E8-B90E-799F27F3A937}"/>
    <cellStyle name="Normal 147 3" xfId="895" xr:uid="{F692E93B-CEE5-44EF-8354-061496C3082F}"/>
    <cellStyle name="Normal 147 4" xfId="1077" xr:uid="{8600A55C-5A74-495C-8396-3F7FCB1EF2D6}"/>
    <cellStyle name="Normal 147 5" xfId="1260" xr:uid="{AB0C8392-6417-4313-8DE3-71628EFB5F5F}"/>
    <cellStyle name="Normal 147 6" xfId="1445" xr:uid="{B8F00C33-23BA-41F6-A4EE-90F4412A4A4E}"/>
    <cellStyle name="Normal 147 7" xfId="1633" xr:uid="{840A91E7-E35B-4A82-9446-1CC0207A6C81}"/>
    <cellStyle name="Normal 147 8" xfId="1821" xr:uid="{36C9F089-32B4-425D-80C7-C0693081A7DF}"/>
    <cellStyle name="Normal 147 9" xfId="2009" xr:uid="{F46FC20C-F1F9-4B58-8E8D-637EA4EB521E}"/>
    <cellStyle name="Normal 148" xfId="169" xr:uid="{00000000-0005-0000-0000-00003D000000}"/>
    <cellStyle name="Normal 148 2" xfId="714" xr:uid="{B824972E-1EDD-4EA4-BAEC-C874D4C8C66C}"/>
    <cellStyle name="Normal 148 3" xfId="896" xr:uid="{518C71E3-2CDF-419A-8A31-975616A7EA20}"/>
    <cellStyle name="Normal 148 4" xfId="1078" xr:uid="{A019E265-5C9F-4FD7-A172-0747F4860AB3}"/>
    <cellStyle name="Normal 148 5" xfId="1261" xr:uid="{567BA0A8-7300-4022-A50D-45F22364152C}"/>
    <cellStyle name="Normal 148 6" xfId="1446" xr:uid="{0D1DEA8C-3C1C-44AF-AFC6-C10ECF57EBE2}"/>
    <cellStyle name="Normal 148 7" xfId="1634" xr:uid="{1F7A49D9-71A4-465B-A00B-B5ED547AD5BC}"/>
    <cellStyle name="Normal 148 8" xfId="1822" xr:uid="{788ECEC5-D39F-4ABD-90FF-1C7164698ABE}"/>
    <cellStyle name="Normal 148 9" xfId="2010" xr:uid="{C50994A4-C9E0-4C24-83EE-9AF0866B2ED3}"/>
    <cellStyle name="Normal 149" xfId="170" xr:uid="{00000000-0005-0000-0000-00003E000000}"/>
    <cellStyle name="Normal 149 2" xfId="715" xr:uid="{F94F4379-4DB3-43F4-86A2-C40CA1521B9B}"/>
    <cellStyle name="Normal 149 3" xfId="897" xr:uid="{511C1421-6B4D-41B4-8E25-9D4CC9D5E5C4}"/>
    <cellStyle name="Normal 149 4" xfId="1079" xr:uid="{791A7229-323F-42B7-B96D-313B1C9BC1A6}"/>
    <cellStyle name="Normal 149 5" xfId="1262" xr:uid="{4082DEEA-17C4-42B1-8B66-308D1F628012}"/>
    <cellStyle name="Normal 149 6" xfId="1447" xr:uid="{CCA71F92-A503-4815-96D2-8EF45913BF30}"/>
    <cellStyle name="Normal 149 7" xfId="1635" xr:uid="{7D0E2D8C-DD1E-46F1-99BC-9654A37395BC}"/>
    <cellStyle name="Normal 149 8" xfId="1823" xr:uid="{36584E4E-1D3C-48B6-A0AC-6F3F31A53A23}"/>
    <cellStyle name="Normal 149 9" xfId="2011" xr:uid="{BE7221DC-6A61-40E9-A4BB-6A839B985590}"/>
    <cellStyle name="Normal 15" xfId="26" xr:uid="{00000000-0005-0000-0000-00003F000000}"/>
    <cellStyle name="Normal 15 10" xfId="946" xr:uid="{A4422780-3113-42D4-AD4C-3B55584FC568}"/>
    <cellStyle name="Normal 15 11" xfId="1129" xr:uid="{F237606E-6AA6-4CAD-853A-9DF33706EC59}"/>
    <cellStyle name="Normal 15 12" xfId="1314" xr:uid="{2664A21E-739C-4975-8896-861EBA60B2C1}"/>
    <cellStyle name="Normal 15 13" xfId="1502" xr:uid="{62AD154E-1F8D-49A4-BA75-A422A2869E55}"/>
    <cellStyle name="Normal 15 14" xfId="1690" xr:uid="{D2132243-B9FB-48E8-A4F7-5868B2B08220}"/>
    <cellStyle name="Normal 15 15" xfId="1878" xr:uid="{5FDFC637-D5CE-4F05-850F-AE1A7C17F603}"/>
    <cellStyle name="Normal 15 2" xfId="380" xr:uid="{BBBC049C-2086-4A80-A446-F64399B33110}"/>
    <cellStyle name="Normal 15 3" xfId="442" xr:uid="{34114D79-75A8-4F28-82E6-41A0D0166CC3}"/>
    <cellStyle name="Normal 15 4" xfId="464" xr:uid="{5F995F8F-FB7F-4128-B2F8-A480F4817729}"/>
    <cellStyle name="Normal 15 5" xfId="485" xr:uid="{2EB463F0-31F2-47AA-9A02-7AD1248DEAD6}"/>
    <cellStyle name="Normal 15 6" xfId="518" xr:uid="{AC4D9C61-33BD-476E-8D8D-D82ABA96C75F}"/>
    <cellStyle name="Normal 15 7" xfId="553" xr:uid="{2CAD7B58-5AB5-4AE5-BF0E-3AE9CB88D32E}"/>
    <cellStyle name="Normal 15 8" xfId="582" xr:uid="{97828FCF-9C2B-4FA7-8061-7B5495F99E36}"/>
    <cellStyle name="Normal 15 9" xfId="764" xr:uid="{418DDFAE-9762-4102-851D-74B15B3ADC60}"/>
    <cellStyle name="Normal 150" xfId="171" xr:uid="{00000000-0005-0000-0000-000040000000}"/>
    <cellStyle name="Normal 150 2" xfId="716" xr:uid="{AD960C0A-767E-4DFD-B21F-714330D5EE07}"/>
    <cellStyle name="Normal 150 3" xfId="898" xr:uid="{DD825E3E-D7AA-464E-90E4-DD9B984A49A8}"/>
    <cellStyle name="Normal 150 4" xfId="1080" xr:uid="{7B07FF03-90F3-4412-811F-058A4676333A}"/>
    <cellStyle name="Normal 150 5" xfId="1263" xr:uid="{944DA4A6-0DE7-44CA-BFFB-148B547B98CF}"/>
    <cellStyle name="Normal 150 6" xfId="1448" xr:uid="{A830828D-E28E-4F2E-882B-E2BCC0D86870}"/>
    <cellStyle name="Normal 150 7" xfId="1636" xr:uid="{5DF0F613-7CF4-443A-9E4D-C0B1FE0D91CA}"/>
    <cellStyle name="Normal 150 8" xfId="1824" xr:uid="{247B7F53-14E5-4326-BCD5-BFD81A0BD6A0}"/>
    <cellStyle name="Normal 150 9" xfId="2012" xr:uid="{2409E99C-5A7A-4223-A5CC-4A7C8403A6F2}"/>
    <cellStyle name="Normal 151" xfId="172" xr:uid="{00000000-0005-0000-0000-000041000000}"/>
    <cellStyle name="Normal 151 2" xfId="717" xr:uid="{AFA8E26C-CD68-4641-822E-6749A34F515A}"/>
    <cellStyle name="Normal 151 3" xfId="899" xr:uid="{2980C887-2570-4334-842A-12E89EC4CACD}"/>
    <cellStyle name="Normal 151 4" xfId="1081" xr:uid="{9DF0927F-2A28-4D10-B712-36115EF9FEE3}"/>
    <cellStyle name="Normal 151 5" xfId="1264" xr:uid="{CD15A11B-994D-45BA-90A8-CC1D18F1FAF4}"/>
    <cellStyle name="Normal 151 6" xfId="1449" xr:uid="{BAA9E1AF-59B4-4C8F-A1CC-48716F2FA385}"/>
    <cellStyle name="Normal 151 7" xfId="1637" xr:uid="{B3FAAD0A-7ECF-4E73-99C4-EADE52267C7B}"/>
    <cellStyle name="Normal 151 8" xfId="1825" xr:uid="{5E67D86B-E172-4AFE-A6AB-6DDBB2437611}"/>
    <cellStyle name="Normal 151 9" xfId="2013" xr:uid="{AD0F2819-837D-492D-A2B5-B89ADC8B2A4F}"/>
    <cellStyle name="Normal 152" xfId="173" xr:uid="{00000000-0005-0000-0000-000042000000}"/>
    <cellStyle name="Normal 152 2" xfId="718" xr:uid="{C8DF6659-6A12-4EE5-8BC7-FA84ECBFD604}"/>
    <cellStyle name="Normal 152 3" xfId="900" xr:uid="{7DBA43C1-187D-4333-8FDD-89CF58BC0548}"/>
    <cellStyle name="Normal 152 4" xfId="1082" xr:uid="{95D84CC3-303B-49C4-B4AF-59781AEE892B}"/>
    <cellStyle name="Normal 152 5" xfId="1265" xr:uid="{1D4F4772-2E59-43B2-B912-EDED3788AD1E}"/>
    <cellStyle name="Normal 152 6" xfId="1450" xr:uid="{501C290D-9656-40EF-A59A-419B0848F564}"/>
    <cellStyle name="Normal 152 7" xfId="1638" xr:uid="{BFE6CF6E-E5B3-4363-B758-F8CAB0F5CCD5}"/>
    <cellStyle name="Normal 152 8" xfId="1826" xr:uid="{55FBC44F-5E84-4E1B-AF65-C5AA2C91343B}"/>
    <cellStyle name="Normal 152 9" xfId="2014" xr:uid="{D906F76E-1D43-47D1-9C82-CA8829F4AF67}"/>
    <cellStyle name="Normal 153" xfId="174" xr:uid="{00000000-0005-0000-0000-000043000000}"/>
    <cellStyle name="Normal 153 2" xfId="719" xr:uid="{234B5042-C710-4C3E-8120-7FDC55102872}"/>
    <cellStyle name="Normal 153 3" xfId="901" xr:uid="{ADED8342-3367-421F-94A0-E0AB82D95531}"/>
    <cellStyle name="Normal 153 4" xfId="1083" xr:uid="{C24C331A-583F-4361-97C8-5FAB8A0CDBC1}"/>
    <cellStyle name="Normal 153 5" xfId="1266" xr:uid="{7833260F-D7B1-4BE3-A69E-9BB7632081BE}"/>
    <cellStyle name="Normal 153 6" xfId="1451" xr:uid="{F9422147-9407-4195-BF2F-9D3E86F6B359}"/>
    <cellStyle name="Normal 153 7" xfId="1639" xr:uid="{0ADB9550-131E-440E-9931-DFC0125611C4}"/>
    <cellStyle name="Normal 153 8" xfId="1827" xr:uid="{A3940EB4-F886-4845-8C9E-0AEB64C9D6DB}"/>
    <cellStyle name="Normal 153 9" xfId="2015" xr:uid="{04FAAC0F-405F-4B6E-A048-8D3729CA128A}"/>
    <cellStyle name="Normal 154" xfId="175" xr:uid="{00000000-0005-0000-0000-000044000000}"/>
    <cellStyle name="Normal 154 2" xfId="720" xr:uid="{48A0C53B-181B-4E37-85BE-83177DFAFD25}"/>
    <cellStyle name="Normal 154 3" xfId="902" xr:uid="{2A1E42BC-6795-4B12-84EE-143A1B7EEE6F}"/>
    <cellStyle name="Normal 154 4" xfId="1084" xr:uid="{1822F0E4-0F16-4EC6-A1C6-4A9E112CCDE7}"/>
    <cellStyle name="Normal 154 5" xfId="1267" xr:uid="{D46265DE-3862-4D5B-A4D8-B5B3FDE27218}"/>
    <cellStyle name="Normal 154 6" xfId="1452" xr:uid="{8218E60A-D0B8-4306-9043-ECDC1F80DEA0}"/>
    <cellStyle name="Normal 154 7" xfId="1640" xr:uid="{B2A34FFD-BF8F-4783-83F5-BF92D2C21467}"/>
    <cellStyle name="Normal 154 8" xfId="1828" xr:uid="{5ADD11FD-1CCA-47BD-9500-CE150FE96608}"/>
    <cellStyle name="Normal 154 9" xfId="2016" xr:uid="{95EA42D0-1657-458B-AF3D-8AA0FD932B70}"/>
    <cellStyle name="Normal 155" xfId="176" xr:uid="{00000000-0005-0000-0000-000045000000}"/>
    <cellStyle name="Normal 155 2" xfId="721" xr:uid="{D1D9C396-AF15-4921-A77C-E3B740C230F9}"/>
    <cellStyle name="Normal 155 3" xfId="903" xr:uid="{2BCF2CC0-69DD-48CB-B558-029E58993374}"/>
    <cellStyle name="Normal 155 4" xfId="1085" xr:uid="{E15161BF-963D-483A-B5F8-199D458B4E3B}"/>
    <cellStyle name="Normal 155 5" xfId="1268" xr:uid="{0A0EA024-9BD2-4C0F-9227-F16FE73E0F01}"/>
    <cellStyle name="Normal 155 6" xfId="1453" xr:uid="{025CC497-A445-4DFD-87F9-E3B8FC5686BC}"/>
    <cellStyle name="Normal 155 7" xfId="1641" xr:uid="{3C596030-F02B-4F39-9E8E-875EF7CA35C4}"/>
    <cellStyle name="Normal 155 8" xfId="1829" xr:uid="{E89756AF-3CC5-4DCB-8F14-5A0386FED80B}"/>
    <cellStyle name="Normal 155 9" xfId="2017" xr:uid="{F5799574-AA28-4814-8F26-946B92F69EC1}"/>
    <cellStyle name="Normal 156" xfId="179" xr:uid="{00000000-0005-0000-0000-000046000000}"/>
    <cellStyle name="Normal 156 2" xfId="724" xr:uid="{44E7E5DC-4522-4353-86DD-0B5A3FB912C9}"/>
    <cellStyle name="Normal 156 3" xfId="906" xr:uid="{8EBD68C3-0854-4820-8A2F-39673A008D1C}"/>
    <cellStyle name="Normal 156 4" xfId="1088" xr:uid="{24D26139-0D8F-4BE4-8DC5-EAA105CFF6EE}"/>
    <cellStyle name="Normal 156 5" xfId="1271" xr:uid="{3D51C246-45B3-4D45-A7AD-7A54453F59A5}"/>
    <cellStyle name="Normal 156 6" xfId="1456" xr:uid="{09686568-2961-4013-AD0D-175D1D40290A}"/>
    <cellStyle name="Normal 156 7" xfId="1644" xr:uid="{C73530DD-412E-4233-B15B-8F8F5AFCBD64}"/>
    <cellStyle name="Normal 156 8" xfId="1832" xr:uid="{5B4580DE-3FEB-4359-B8CE-A725593A6042}"/>
    <cellStyle name="Normal 156 9" xfId="2020" xr:uid="{E51B83AF-C4E2-4D02-913C-953A7471A779}"/>
    <cellStyle name="Normal 157" xfId="178" xr:uid="{00000000-0005-0000-0000-000047000000}"/>
    <cellStyle name="Normal 157 2" xfId="723" xr:uid="{7D803A03-C945-4627-9722-61687A6213C9}"/>
    <cellStyle name="Normal 157 3" xfId="905" xr:uid="{A2115C3E-6FD2-42CF-8133-6696F3A0BA4A}"/>
    <cellStyle name="Normal 157 4" xfId="1087" xr:uid="{7BEAEEB3-A980-446B-B591-981D53834B5B}"/>
    <cellStyle name="Normal 157 5" xfId="1270" xr:uid="{2B6F8CC1-234A-4BCF-A18C-78FD7DE9E523}"/>
    <cellStyle name="Normal 157 6" xfId="1455" xr:uid="{CB23558C-8803-476C-95DA-8C75FAFA8AAF}"/>
    <cellStyle name="Normal 157 7" xfId="1643" xr:uid="{61FA99D6-89B6-4A68-A18D-314D3A146B7D}"/>
    <cellStyle name="Normal 157 8" xfId="1831" xr:uid="{755E416D-6883-4FDE-B05D-E6AB082ED9AF}"/>
    <cellStyle name="Normal 157 9" xfId="2019" xr:uid="{8A4C086E-1702-4A79-9823-9C9EDBDBF0D8}"/>
    <cellStyle name="Normal 158" xfId="177" xr:uid="{00000000-0005-0000-0000-000048000000}"/>
    <cellStyle name="Normal 158 2" xfId="722" xr:uid="{8792129B-9A79-407B-8058-EAF516377ABE}"/>
    <cellStyle name="Normal 158 3" xfId="904" xr:uid="{85B624D3-9B36-4E68-8B3D-89E7B4D5FE68}"/>
    <cellStyle name="Normal 158 4" xfId="1086" xr:uid="{024039D5-9ADC-46CB-81E0-D97A5EAE3283}"/>
    <cellStyle name="Normal 158 5" xfId="1269" xr:uid="{130EBD2A-E8D7-49A1-B6D0-D398D8AC6F1D}"/>
    <cellStyle name="Normal 158 6" xfId="1454" xr:uid="{E23C8B88-F0F0-45E3-98B9-CE828B15CC1F}"/>
    <cellStyle name="Normal 158 7" xfId="1642" xr:uid="{3024B32E-F066-475D-92D8-13B3645F1C5A}"/>
    <cellStyle name="Normal 158 8" xfId="1830" xr:uid="{85C4EC78-1F1F-495F-8F39-B34B31161B2B}"/>
    <cellStyle name="Normal 158 9" xfId="2018" xr:uid="{705E98C0-B626-4C9F-9402-84DFE08EB6CE}"/>
    <cellStyle name="Normal 159" xfId="180" xr:uid="{00000000-0005-0000-0000-000049000000}"/>
    <cellStyle name="Normal 159 2" xfId="725" xr:uid="{D42EDD4F-A312-4AD3-8E54-9FE9C697A813}"/>
    <cellStyle name="Normal 159 3" xfId="907" xr:uid="{91905678-AD69-415A-B8DF-BA11281A79FA}"/>
    <cellStyle name="Normal 159 4" xfId="1089" xr:uid="{4074FEDC-A381-40DB-AB12-19FCA73006A0}"/>
    <cellStyle name="Normal 159 5" xfId="1272" xr:uid="{DB02C5F2-4B4E-4FE3-903E-B903F7E8AF2F}"/>
    <cellStyle name="Normal 159 6" xfId="1457" xr:uid="{F96B6FB5-C370-438D-9747-47BA706D0F7C}"/>
    <cellStyle name="Normal 159 7" xfId="1645" xr:uid="{D4DC59B0-E5D6-4FC3-8604-02FDF1544E61}"/>
    <cellStyle name="Normal 159 8" xfId="1833" xr:uid="{26009697-7222-490B-B57A-848E2924126F}"/>
    <cellStyle name="Normal 159 9" xfId="2021" xr:uid="{A0376C35-3DB1-4DCC-93B0-A9E6B604526A}"/>
    <cellStyle name="Normal 16" xfId="27" xr:uid="{00000000-0005-0000-0000-00004A000000}"/>
    <cellStyle name="Normal 16 10" xfId="947" xr:uid="{2CCC8C3C-9F38-4A39-8126-E9508CB3A440}"/>
    <cellStyle name="Normal 16 11" xfId="1130" xr:uid="{3ED0EADE-CA74-48C7-80F6-03A79E550444}"/>
    <cellStyle name="Normal 16 12" xfId="1315" xr:uid="{9872E8CC-9542-4707-B624-70CBB54180C6}"/>
    <cellStyle name="Normal 16 13" xfId="1503" xr:uid="{29C6D739-2188-41AB-AA5C-E68BB3460DAC}"/>
    <cellStyle name="Normal 16 14" xfId="1691" xr:uid="{5CB33C36-3771-42C9-BC2C-1CB17434E915}"/>
    <cellStyle name="Normal 16 15" xfId="1879" xr:uid="{1A6A13AD-6960-46B9-8F53-4F9DD8AA46D8}"/>
    <cellStyle name="Normal 16 2" xfId="376" xr:uid="{671988A0-1111-45B8-B942-3A71A332F02B}"/>
    <cellStyle name="Normal 16 3" xfId="443" xr:uid="{2B3DCDB8-C536-44CF-BADF-F1471676DEB2}"/>
    <cellStyle name="Normal 16 4" xfId="465" xr:uid="{FE05D6F9-FE61-4D32-AE0F-CABCB483B280}"/>
    <cellStyle name="Normal 16 5" xfId="482" xr:uid="{C21F5D7B-B44A-44B5-B3CF-512D97F0D815}"/>
    <cellStyle name="Normal 16 6" xfId="515" xr:uid="{FA16DEDE-4A41-45C8-8256-645CD81AD53A}"/>
    <cellStyle name="Normal 16 7" xfId="554" xr:uid="{52A9CF73-CB16-419E-B2F9-37A28D2BC8F1}"/>
    <cellStyle name="Normal 16 8" xfId="583" xr:uid="{136C3469-B1C4-4047-AC7A-810D04C812B6}"/>
    <cellStyle name="Normal 16 9" xfId="765" xr:uid="{6F9A442B-BD3E-433E-BD5D-8B45830B74BF}"/>
    <cellStyle name="Normal 160" xfId="181" xr:uid="{00000000-0005-0000-0000-00004B000000}"/>
    <cellStyle name="Normal 160 2" xfId="726" xr:uid="{25B72042-43D0-4DCC-BB61-59A54E763A34}"/>
    <cellStyle name="Normal 160 3" xfId="908" xr:uid="{0B981FD5-CBC3-4F88-8FB2-B09CC3031F3C}"/>
    <cellStyle name="Normal 160 4" xfId="1090" xr:uid="{9327F755-5969-469E-9ED9-984AA4E7802C}"/>
    <cellStyle name="Normal 160 5" xfId="1273" xr:uid="{F16918B9-9EB4-4723-9BEC-63436DCCEAEF}"/>
    <cellStyle name="Normal 160 6" xfId="1458" xr:uid="{3B569311-ABFC-40F9-9126-CEE158ADDF7A}"/>
    <cellStyle name="Normal 160 7" xfId="1646" xr:uid="{FDC6E65A-A5DD-49E8-8ED1-559E41A0EA4A}"/>
    <cellStyle name="Normal 160 8" xfId="1834" xr:uid="{5F01440B-2A1D-4572-9747-00F65188773E}"/>
    <cellStyle name="Normal 160 9" xfId="2022" xr:uid="{E974B612-8146-48DB-9AF7-BE349AD54CB9}"/>
    <cellStyle name="Normal 161" xfId="182" xr:uid="{00000000-0005-0000-0000-00004C000000}"/>
    <cellStyle name="Normal 161 2" xfId="727" xr:uid="{1BD3C02E-9D3F-4662-9115-31E266A4C5E7}"/>
    <cellStyle name="Normal 161 3" xfId="909" xr:uid="{240CD307-79C2-43F5-BFCB-7A753C9B5433}"/>
    <cellStyle name="Normal 161 4" xfId="1091" xr:uid="{206578FA-5D5F-497B-9B2E-970DA84CE67D}"/>
    <cellStyle name="Normal 161 5" xfId="1274" xr:uid="{AB36E6AD-94D1-4B9D-9418-A58761A86322}"/>
    <cellStyle name="Normal 161 6" xfId="1459" xr:uid="{93AAF919-1E12-42A3-8AF9-43247250378D}"/>
    <cellStyle name="Normal 161 7" xfId="1647" xr:uid="{FA70FD89-5CFE-4E4C-9F47-DB55012FD21A}"/>
    <cellStyle name="Normal 161 8" xfId="1835" xr:uid="{A39E0FB2-68A2-4E40-A09E-E14A7321D724}"/>
    <cellStyle name="Normal 161 9" xfId="2023" xr:uid="{D8A4C838-F3C7-42AE-A2E3-3EC55A93AE78}"/>
    <cellStyle name="Normal 162" xfId="183" xr:uid="{00000000-0005-0000-0000-00004D000000}"/>
    <cellStyle name="Normal 162 2" xfId="728" xr:uid="{40EE0802-49AF-4128-AC67-30D912BDFC79}"/>
    <cellStyle name="Normal 162 3" xfId="910" xr:uid="{BF579227-C08F-4B76-9D9C-4BF21E5FA518}"/>
    <cellStyle name="Normal 162 4" xfId="1092" xr:uid="{1B153749-8EB4-40CE-8F42-55E82B4F2A86}"/>
    <cellStyle name="Normal 162 5" xfId="1275" xr:uid="{F1802071-DC36-413F-A58B-A6C768E56DDF}"/>
    <cellStyle name="Normal 162 6" xfId="1460" xr:uid="{4099CFC1-FD8A-4073-816E-A3EF0ACA2A69}"/>
    <cellStyle name="Normal 162 7" xfId="1648" xr:uid="{0D6D6F7B-1049-4E80-BFDC-496B844322F7}"/>
    <cellStyle name="Normal 162 8" xfId="1836" xr:uid="{8E5C10A4-96E1-430A-875A-74D27FA527A1}"/>
    <cellStyle name="Normal 162 9" xfId="2024" xr:uid="{FFDBF531-F8E7-4727-B4EA-E882828CB204}"/>
    <cellStyle name="Normal 163" xfId="184" xr:uid="{00000000-0005-0000-0000-00004E000000}"/>
    <cellStyle name="Normal 163 2" xfId="729" xr:uid="{45A09C3C-A550-4016-9460-4C1796DD5357}"/>
    <cellStyle name="Normal 163 3" xfId="911" xr:uid="{A136079C-2A06-4F95-A3E5-0CB78A5809E2}"/>
    <cellStyle name="Normal 163 4" xfId="1093" xr:uid="{1787F8AC-3747-4563-B6FE-9BF72DBD4499}"/>
    <cellStyle name="Normal 163 5" xfId="1276" xr:uid="{0D634772-DE6C-42DD-BE09-693A71EDC2C7}"/>
    <cellStyle name="Normal 163 6" xfId="1461" xr:uid="{C1FCE2DC-ED1D-425A-BD94-2F7DAF48331C}"/>
    <cellStyle name="Normal 163 7" xfId="1649" xr:uid="{3F9529DE-6FE6-4992-A65F-D7CF9B258DE4}"/>
    <cellStyle name="Normal 163 8" xfId="1837" xr:uid="{FFE2C883-6599-4EA1-B052-451CACFBC9FF}"/>
    <cellStyle name="Normal 163 9" xfId="2025" xr:uid="{9B4F93C2-78E0-41B7-88D0-0EAB2C2E3B56}"/>
    <cellStyle name="Normal 164" xfId="185" xr:uid="{00000000-0005-0000-0000-00004F000000}"/>
    <cellStyle name="Normal 164 2" xfId="730" xr:uid="{DB59AF71-6CC2-4A21-8676-93A8499D8851}"/>
    <cellStyle name="Normal 164 3" xfId="912" xr:uid="{3F52049B-2DDB-42CE-9907-0EF2D3F1E2A1}"/>
    <cellStyle name="Normal 164 4" xfId="1094" xr:uid="{CC2B5781-40B0-493D-AAE4-019FB0EBDD1B}"/>
    <cellStyle name="Normal 164 5" xfId="1277" xr:uid="{421B9495-9ACE-4070-9536-F1175C1F32C9}"/>
    <cellStyle name="Normal 164 6" xfId="1462" xr:uid="{BCE824D1-DD2D-42FA-A591-2F5D994B4640}"/>
    <cellStyle name="Normal 164 7" xfId="1650" xr:uid="{7C01EC8A-7D9A-4422-9559-03A9810A0216}"/>
    <cellStyle name="Normal 164 8" xfId="1838" xr:uid="{E4ACA707-9D7F-42D2-B856-FBEE52234B91}"/>
    <cellStyle name="Normal 164 9" xfId="2026" xr:uid="{59F8528A-52C8-46F9-AC26-7A516EEE79CB}"/>
    <cellStyle name="Normal 165" xfId="42" xr:uid="{00000000-0005-0000-0000-000050000000}"/>
    <cellStyle name="Normal 165 2" xfId="588" xr:uid="{9C55637F-B9D0-447B-B7F9-FE130850710C}"/>
    <cellStyle name="Normal 165 3" xfId="770" xr:uid="{782FFDF7-75F6-4FBC-BDDD-0FE83FD3B6F7}"/>
    <cellStyle name="Normal 165 4" xfId="952" xr:uid="{62BA3BDB-B11A-4B89-9685-71D2D8C073DF}"/>
    <cellStyle name="Normal 165 5" xfId="1135" xr:uid="{BA83DC4C-A330-4FC5-A38D-C3EEB0CFDBFD}"/>
    <cellStyle name="Normal 165 6" xfId="1320" xr:uid="{93DA2DB7-100E-43A7-A3D2-EF6E31E7C12F}"/>
    <cellStyle name="Normal 165 7" xfId="1508" xr:uid="{0C29F401-56B1-45D3-831D-BC344F82F945}"/>
    <cellStyle name="Normal 165 8" xfId="1696" xr:uid="{FA9089A8-C2F0-4868-A932-07C2EC5D04B8}"/>
    <cellStyle name="Normal 165 9" xfId="1884" xr:uid="{73496375-EAA4-4E27-9322-961F927FD26C}"/>
    <cellStyle name="Normal 166" xfId="186" xr:uid="{00000000-0005-0000-0000-000051000000}"/>
    <cellStyle name="Normal 166 2" xfId="731" xr:uid="{B40452B0-C2BC-42BB-8BEE-01CCE5041DC9}"/>
    <cellStyle name="Normal 166 3" xfId="913" xr:uid="{D30959D8-CC5D-4EB0-96BE-117515E395F1}"/>
    <cellStyle name="Normal 166 4" xfId="1095" xr:uid="{978763AF-7BB6-41C9-9E65-0E4C0FB578D1}"/>
    <cellStyle name="Normal 166 5" xfId="1278" xr:uid="{C8B3A707-063E-4B68-B11E-7BD9B84A9CD3}"/>
    <cellStyle name="Normal 166 6" xfId="1463" xr:uid="{4E5E3425-A9EF-4DBC-9C83-45D91151C7B8}"/>
    <cellStyle name="Normal 166 7" xfId="1651" xr:uid="{53B1CA5A-70FA-48E0-8F79-CC155E732160}"/>
    <cellStyle name="Normal 166 8" xfId="1839" xr:uid="{3BC242BF-4882-445F-9D1D-92FBB6750D26}"/>
    <cellStyle name="Normal 166 9" xfId="2027" xr:uid="{E3A5199D-C68F-42DE-8364-06A09F56B3AD}"/>
    <cellStyle name="Normal 167" xfId="187" xr:uid="{00000000-0005-0000-0000-000052000000}"/>
    <cellStyle name="Normal 167 2" xfId="732" xr:uid="{9A59BBC3-76F2-4511-A5BF-868D5E28E27B}"/>
    <cellStyle name="Normal 167 3" xfId="914" xr:uid="{864A9EDA-CD7B-4D3D-A4AB-8FDF28CE5703}"/>
    <cellStyle name="Normal 167 4" xfId="1096" xr:uid="{C5011A87-902C-4D23-A3B4-ED311F608BB8}"/>
    <cellStyle name="Normal 167 5" xfId="1279" xr:uid="{EA91E8AA-6D86-4293-AB08-2A8CE290B8A1}"/>
    <cellStyle name="Normal 167 6" xfId="1464" xr:uid="{457AB24E-1507-41EC-A56A-58548FDE98A1}"/>
    <cellStyle name="Normal 167 7" xfId="1652" xr:uid="{B32E8E69-69E0-4269-BA51-212E77698B74}"/>
    <cellStyle name="Normal 167 8" xfId="1840" xr:uid="{A50E8B08-29FC-4C2C-99F0-745B7016B7AB}"/>
    <cellStyle name="Normal 167 9" xfId="2028" xr:uid="{47235B4E-DD66-4E05-A9E8-D8DECB626F1B}"/>
    <cellStyle name="Normal 168" xfId="188" xr:uid="{00000000-0005-0000-0000-000053000000}"/>
    <cellStyle name="Normal 168 2" xfId="733" xr:uid="{7446B2BC-BEBD-42BE-BBE8-A482CDBC2541}"/>
    <cellStyle name="Normal 168 3" xfId="915" xr:uid="{9FD4588F-05FD-464F-901F-76D041CE77E7}"/>
    <cellStyle name="Normal 168 4" xfId="1097" xr:uid="{1344EA54-EF26-46BD-8751-366200DC1539}"/>
    <cellStyle name="Normal 168 5" xfId="1280" xr:uid="{E2038498-C5DE-401D-9C58-8F660F97CB39}"/>
    <cellStyle name="Normal 168 6" xfId="1465" xr:uid="{3A6E68C0-0C03-41C6-9C89-209A565D4CD4}"/>
    <cellStyle name="Normal 168 7" xfId="1653" xr:uid="{1777DD7A-F775-4703-985A-A350885BB660}"/>
    <cellStyle name="Normal 168 8" xfId="1841" xr:uid="{AE5E2AD8-C935-4054-B650-F2C36DA1B05C}"/>
    <cellStyle name="Normal 168 9" xfId="2029" xr:uid="{35164713-F582-4156-88D0-723D3CE469FE}"/>
    <cellStyle name="Normal 169" xfId="189" xr:uid="{00000000-0005-0000-0000-000054000000}"/>
    <cellStyle name="Normal 169 2" xfId="734" xr:uid="{4849678E-AEA1-4A33-A377-717293DE7B83}"/>
    <cellStyle name="Normal 169 3" xfId="916" xr:uid="{F92D86A0-6D99-415B-BA3A-B63E536DD2A9}"/>
    <cellStyle name="Normal 169 4" xfId="1098" xr:uid="{0D942EBA-ADCC-478B-BCBF-684A5554FBF0}"/>
    <cellStyle name="Normal 169 5" xfId="1281" xr:uid="{41698C62-4614-4135-86A8-86E59AC8775D}"/>
    <cellStyle name="Normal 169 6" xfId="1466" xr:uid="{818CFFD5-A272-42BD-BE63-C6A005958AAE}"/>
    <cellStyle name="Normal 169 7" xfId="1654" xr:uid="{1954AD5F-03CD-438B-AAE3-D3A934CE4913}"/>
    <cellStyle name="Normal 169 8" xfId="1842" xr:uid="{A9706726-E09E-4243-89E8-FEDF02BCC706}"/>
    <cellStyle name="Normal 169 9" xfId="2030" xr:uid="{10A25CED-5DC7-4A9E-8EE8-C6C36FDDB06C}"/>
    <cellStyle name="Normal 17" xfId="28" xr:uid="{00000000-0005-0000-0000-000055000000}"/>
    <cellStyle name="Normal 17 10" xfId="948" xr:uid="{9AB9D7DA-7581-4BA3-8F22-4C2B191BCB61}"/>
    <cellStyle name="Normal 17 11" xfId="1131" xr:uid="{F4665C61-44F6-441C-BAEA-8966DE621606}"/>
    <cellStyle name="Normal 17 12" xfId="1316" xr:uid="{1FE4B3B1-015B-449A-8A89-73680C2B74EF}"/>
    <cellStyle name="Normal 17 13" xfId="1504" xr:uid="{049F2972-06FB-453D-9BE0-7F8C4A80F58D}"/>
    <cellStyle name="Normal 17 14" xfId="1692" xr:uid="{66CDBD65-0AB8-4E6D-A00F-1143AB38387E}"/>
    <cellStyle name="Normal 17 15" xfId="1880" xr:uid="{60534992-E8B8-4285-BDA2-C0D15BADC26D}"/>
    <cellStyle name="Normal 17 2" xfId="381" xr:uid="{8BDF3531-C03B-462C-8E89-E6657D35FC67}"/>
    <cellStyle name="Normal 17 3" xfId="444" xr:uid="{00C81E7E-E62F-4301-B874-2572B5B55B62}"/>
    <cellStyle name="Normal 17 4" xfId="466" xr:uid="{DBC1BA84-98C6-4E0D-A4BB-35B5EE93CB33}"/>
    <cellStyle name="Normal 17 5" xfId="486" xr:uid="{3B6F1FF3-8B85-429C-A34C-09DBAFDE4A98}"/>
    <cellStyle name="Normal 17 6" xfId="519" xr:uid="{8D352182-8610-4927-92DA-58D297945CCB}"/>
    <cellStyle name="Normal 17 7" xfId="555" xr:uid="{E138A749-5139-40C8-921F-72C0D22306EE}"/>
    <cellStyle name="Normal 17 8" xfId="584" xr:uid="{B2F118E4-A4BD-45EE-AD74-A6590AF5BF29}"/>
    <cellStyle name="Normal 17 9" xfId="766" xr:uid="{F6432481-3D34-4F02-8920-773B6CB1B013}"/>
    <cellStyle name="Normal 170" xfId="190" xr:uid="{00000000-0005-0000-0000-000056000000}"/>
    <cellStyle name="Normal 170 2" xfId="735" xr:uid="{19CA0F56-D6A9-482A-98E1-431FF7924A56}"/>
    <cellStyle name="Normal 170 3" xfId="917" xr:uid="{77F226F1-6105-46BB-BFEC-36FEA9D319AA}"/>
    <cellStyle name="Normal 170 4" xfId="1099" xr:uid="{CF6CAC17-1BC8-48A3-826D-189F60165960}"/>
    <cellStyle name="Normal 170 5" xfId="1282" xr:uid="{005D9044-1A7F-4DB7-BE13-6F94FDDF6BF5}"/>
    <cellStyle name="Normal 170 6" xfId="1467" xr:uid="{07E6F921-EC9C-49F1-8065-59F27968C5A4}"/>
    <cellStyle name="Normal 170 7" xfId="1655" xr:uid="{906E688B-EB14-48E5-A46C-1F032A683B6B}"/>
    <cellStyle name="Normal 170 8" xfId="1843" xr:uid="{B6CD9304-6E09-4D08-867E-6AC5F0D30162}"/>
    <cellStyle name="Normal 170 9" xfId="2031" xr:uid="{D2B4D53C-EB1D-42F7-A708-AE66F2F91943}"/>
    <cellStyle name="Normal 171" xfId="191" xr:uid="{00000000-0005-0000-0000-000057000000}"/>
    <cellStyle name="Normal 171 2" xfId="736" xr:uid="{0A662FE0-4408-4559-9577-EF47B3025380}"/>
    <cellStyle name="Normal 171 3" xfId="918" xr:uid="{06F07E63-D0F5-483E-929C-5DBB843C0E9C}"/>
    <cellStyle name="Normal 171 4" xfId="1100" xr:uid="{E7AF5878-3A20-4502-82DC-28100FFC4F63}"/>
    <cellStyle name="Normal 171 5" xfId="1283" xr:uid="{8A73AD4A-4EB7-4D48-9769-E84F4BC6B849}"/>
    <cellStyle name="Normal 171 6" xfId="1468" xr:uid="{603E0B6C-BA7A-4788-AD0C-930AEF48B675}"/>
    <cellStyle name="Normal 171 7" xfId="1656" xr:uid="{90D47829-6415-4A9F-934F-C7BF6B702658}"/>
    <cellStyle name="Normal 171 8" xfId="1844" xr:uid="{2C085FA2-668C-4B32-BF77-9DAE6D8B9723}"/>
    <cellStyle name="Normal 171 9" xfId="2032" xr:uid="{594C8A2E-F3C7-4CDD-866E-6586C73930F1}"/>
    <cellStyle name="Normal 172" xfId="192" xr:uid="{00000000-0005-0000-0000-000058000000}"/>
    <cellStyle name="Normal 172 2" xfId="737" xr:uid="{9D82A6A0-7087-4156-B485-2619B2FC7D0A}"/>
    <cellStyle name="Normal 172 3" xfId="919" xr:uid="{BA26889F-A088-4BCC-8FB1-021CD7521E89}"/>
    <cellStyle name="Normal 172 4" xfId="1101" xr:uid="{F60924D9-B553-4A71-B1BA-B88788506A04}"/>
    <cellStyle name="Normal 172 5" xfId="1284" xr:uid="{D91147BE-62F1-41BE-8346-CFB51302B666}"/>
    <cellStyle name="Normal 172 6" xfId="1469" xr:uid="{7DF09296-D9D2-4A3A-976B-130C36659FC9}"/>
    <cellStyle name="Normal 172 7" xfId="1657" xr:uid="{9BB98793-0484-4973-BFBE-D422922BD005}"/>
    <cellStyle name="Normal 172 8" xfId="1845" xr:uid="{8DA84644-F878-4171-BB6D-03D6B1FEEB1C}"/>
    <cellStyle name="Normal 172 9" xfId="2033" xr:uid="{AEE788AA-1144-4D04-BFB5-71FAAD394A0B}"/>
    <cellStyle name="Normal 173" xfId="193" xr:uid="{00000000-0005-0000-0000-000059000000}"/>
    <cellStyle name="Normal 173 2" xfId="738" xr:uid="{4F5B424D-64F0-4FA8-A362-BD05338B9AE6}"/>
    <cellStyle name="Normal 173 3" xfId="920" xr:uid="{D896D9F8-20B4-4E3E-8726-EF7AE150585D}"/>
    <cellStyle name="Normal 173 4" xfId="1102" xr:uid="{55899D2F-E4AD-4537-95E0-234F39BFA323}"/>
    <cellStyle name="Normal 173 5" xfId="1285" xr:uid="{E7AA4449-395E-4F5E-B54A-C270C6CC3FEE}"/>
    <cellStyle name="Normal 173 6" xfId="1470" xr:uid="{A1C5CABF-EF88-4CD2-87F1-50649A7AC449}"/>
    <cellStyle name="Normal 173 7" xfId="1658" xr:uid="{A3C7983A-6813-4C7D-80CB-12F3F95B537A}"/>
    <cellStyle name="Normal 173 8" xfId="1846" xr:uid="{392999DD-10EB-46B5-84CF-D49DD5CF7C6D}"/>
    <cellStyle name="Normal 173 9" xfId="2034" xr:uid="{6A070915-1479-44BC-A41F-EDDFB5C3433F}"/>
    <cellStyle name="Normal 174" xfId="194" xr:uid="{00000000-0005-0000-0000-00005A000000}"/>
    <cellStyle name="Normal 174 2" xfId="739" xr:uid="{ED861369-F7CC-4D2E-8291-376D00F31367}"/>
    <cellStyle name="Normal 174 3" xfId="921" xr:uid="{068707A6-3C35-4CDD-BB1C-894A36D0FB55}"/>
    <cellStyle name="Normal 174 4" xfId="1103" xr:uid="{649E9DCF-DED7-45EC-9CC7-A9FECE4198FB}"/>
    <cellStyle name="Normal 174 5" xfId="1286" xr:uid="{2406DB49-86A2-4C02-AF16-FDC172D82E99}"/>
    <cellStyle name="Normal 174 6" xfId="1471" xr:uid="{1CB3F599-7519-4D01-A8FE-A704BC77BF47}"/>
    <cellStyle name="Normal 174 7" xfId="1659" xr:uid="{1D5DB455-3729-4F7A-A7D3-5538B5D2C06A}"/>
    <cellStyle name="Normal 174 8" xfId="1847" xr:uid="{CE3D0685-2157-48DE-876D-E5910ACCFD6B}"/>
    <cellStyle name="Normal 174 9" xfId="2035" xr:uid="{6AF7A7A2-EB10-4AFC-9C41-D625D490364D}"/>
    <cellStyle name="Normal 175" xfId="195" xr:uid="{00000000-0005-0000-0000-00005B000000}"/>
    <cellStyle name="Normal 175 2" xfId="740" xr:uid="{C9808DE8-B96A-4BF9-8F3E-5FD9EE7D7883}"/>
    <cellStyle name="Normal 175 3" xfId="922" xr:uid="{E55E902C-2711-490D-A760-C6240417EE37}"/>
    <cellStyle name="Normal 175 4" xfId="1104" xr:uid="{4A18D49C-C2E9-4FD1-9A5A-35AA77E88344}"/>
    <cellStyle name="Normal 175 5" xfId="1287" xr:uid="{CFA20D3A-5AA7-4BB6-A545-4A31B33F2614}"/>
    <cellStyle name="Normal 175 6" xfId="1472" xr:uid="{7D891AB3-26E1-403A-BB4C-E44498FB70D3}"/>
    <cellStyle name="Normal 175 7" xfId="1660" xr:uid="{1A29EB04-C490-4A40-919D-0A113B17C83B}"/>
    <cellStyle name="Normal 175 8" xfId="1848" xr:uid="{ECC0ECA7-2B3F-40C3-B585-EB41AAF34F86}"/>
    <cellStyle name="Normal 175 9" xfId="2036" xr:uid="{9EAB907B-C63A-439B-89DE-BC204A3403E1}"/>
    <cellStyle name="Normal 176" xfId="196" xr:uid="{00000000-0005-0000-0000-00005C000000}"/>
    <cellStyle name="Normal 176 2" xfId="741" xr:uid="{A4123342-26C4-4928-A5F0-0335A6970839}"/>
    <cellStyle name="Normal 176 3" xfId="923" xr:uid="{45F39DD6-3737-4FF1-A3BF-1951B2FE9C8E}"/>
    <cellStyle name="Normal 176 4" xfId="1105" xr:uid="{E8E1685C-3342-4F7C-A2BD-1D096EF6B66C}"/>
    <cellStyle name="Normal 176 5" xfId="1288" xr:uid="{204EEDD6-9EA9-41B3-A988-A160791E1280}"/>
    <cellStyle name="Normal 176 6" xfId="1473" xr:uid="{4F2167C0-738E-4CDB-803B-6EAB8B1BAF9D}"/>
    <cellStyle name="Normal 176 7" xfId="1661" xr:uid="{B9B35A25-3E9C-43FA-A687-3B9EAAA48084}"/>
    <cellStyle name="Normal 176 8" xfId="1849" xr:uid="{1F2A1FB2-3C19-4A9C-930F-E5356C5CAED7}"/>
    <cellStyle name="Normal 176 9" xfId="2037" xr:uid="{F43B963C-9FAE-4306-A6C8-1A22D877F59A}"/>
    <cellStyle name="Normal 177" xfId="197" xr:uid="{00000000-0005-0000-0000-00005D000000}"/>
    <cellStyle name="Normal 177 2" xfId="742" xr:uid="{33B6F0BE-7645-4E68-AA85-8838EBF89CD2}"/>
    <cellStyle name="Normal 177 3" xfId="924" xr:uid="{7C476116-8E42-4B82-A9FE-CB33139694FD}"/>
    <cellStyle name="Normal 177 4" xfId="1106" xr:uid="{12383C02-A0B5-466C-9CCC-9DA3EDD98EEE}"/>
    <cellStyle name="Normal 177 5" xfId="1289" xr:uid="{11C1D240-F804-4572-BE8A-B8DEFBD60220}"/>
    <cellStyle name="Normal 177 6" xfId="1474" xr:uid="{8A7ECE68-C0B0-4D75-A816-484DE039F0D6}"/>
    <cellStyle name="Normal 177 7" xfId="1662" xr:uid="{93AB7F3D-D35B-4667-8F83-A030A79E7D89}"/>
    <cellStyle name="Normal 177 8" xfId="1850" xr:uid="{7FA64A69-5B6F-45F9-9539-2B42EC4FB6FA}"/>
    <cellStyle name="Normal 177 9" xfId="2038" xr:uid="{79CA8F2A-8D37-4965-83E4-311D9B8C8AA9}"/>
    <cellStyle name="Normal 178" xfId="198" xr:uid="{00000000-0005-0000-0000-00005E000000}"/>
    <cellStyle name="Normal 178 2" xfId="743" xr:uid="{4E27D68A-F060-4E8F-BD91-DD93D3A803B1}"/>
    <cellStyle name="Normal 178 3" xfId="925" xr:uid="{F92DBD54-9F54-4410-B0E9-8374C2BC0937}"/>
    <cellStyle name="Normal 178 4" xfId="1107" xr:uid="{DA5FC37A-2D9B-484D-B4D1-BE515289624D}"/>
    <cellStyle name="Normal 178 5" xfId="1290" xr:uid="{6309F363-39A1-4B95-8B22-650FB2857ECE}"/>
    <cellStyle name="Normal 178 6" xfId="1475" xr:uid="{00474BB6-2213-408A-9FB3-99D385DA21FF}"/>
    <cellStyle name="Normal 178 7" xfId="1663" xr:uid="{8648B53C-14D3-4D97-8CA7-ACAAEDF8EDC8}"/>
    <cellStyle name="Normal 178 8" xfId="1851" xr:uid="{EB934E2D-55B0-41BB-9969-3D5D160BAEA8}"/>
    <cellStyle name="Normal 178 9" xfId="2039" xr:uid="{776DEB40-0B79-48C1-ABC2-1848A782CC23}"/>
    <cellStyle name="Normal 179" xfId="199" xr:uid="{00000000-0005-0000-0000-00005F000000}"/>
    <cellStyle name="Normal 179 2" xfId="744" xr:uid="{BCFD5B21-090A-4FE1-8C66-6C56CF6B9B51}"/>
    <cellStyle name="Normal 179 3" xfId="926" xr:uid="{0F09EF78-741E-4B97-8CFB-8CADFC7A0D54}"/>
    <cellStyle name="Normal 179 4" xfId="1108" xr:uid="{246CDA8A-9B86-4548-B9FF-ED1E8C9FCB78}"/>
    <cellStyle name="Normal 179 5" xfId="1291" xr:uid="{A90CE1CA-3737-469A-B916-E35E3476ED89}"/>
    <cellStyle name="Normal 179 6" xfId="1476" xr:uid="{8B2C8A7E-DF61-4BCE-A5BF-122AFA64F199}"/>
    <cellStyle name="Normal 179 7" xfId="1664" xr:uid="{0605EC4C-9BE8-42AA-AD06-1C236F66DCB6}"/>
    <cellStyle name="Normal 179 8" xfId="1852" xr:uid="{D085CE32-02C6-46AF-ABB6-1F0E3820DE28}"/>
    <cellStyle name="Normal 179 9" xfId="2040" xr:uid="{AA0FC1A9-4429-4C53-96DF-DF7101EB1559}"/>
    <cellStyle name="Normal 18" xfId="29" xr:uid="{00000000-0005-0000-0000-000060000000}"/>
    <cellStyle name="Normal 18 10" xfId="949" xr:uid="{8D29CC84-9C13-43A5-8F41-EE2EA1BA7C1E}"/>
    <cellStyle name="Normal 18 11" xfId="1132" xr:uid="{C1D092F0-E8EF-4116-A964-338D0C0D826A}"/>
    <cellStyle name="Normal 18 12" xfId="1317" xr:uid="{83A494FC-2787-4993-8C61-DE138552E88C}"/>
    <cellStyle name="Normal 18 13" xfId="1505" xr:uid="{69739D6B-D6D0-497C-8E87-4C920DA8F47C}"/>
    <cellStyle name="Normal 18 14" xfId="1693" xr:uid="{A21ABC6A-78BB-42E2-8571-F016EEF0AB19}"/>
    <cellStyle name="Normal 18 15" xfId="1881" xr:uid="{B49EF7CA-20DB-4BD1-B70D-660CF6BF24DA}"/>
    <cellStyle name="Normal 18 2" xfId="382" xr:uid="{82FBBAB2-AC13-4D26-A943-C03B970D192D}"/>
    <cellStyle name="Normal 18 3" xfId="445" xr:uid="{DF5D230F-C40C-4481-A527-269E6B62EA50}"/>
    <cellStyle name="Normal 18 4" xfId="467" xr:uid="{64ACC062-13C8-4571-A0BC-EF8616643E49}"/>
    <cellStyle name="Normal 18 5" xfId="487" xr:uid="{6B4F3FE4-6CBE-4580-942E-DFE90A58F2FE}"/>
    <cellStyle name="Normal 18 6" xfId="520" xr:uid="{0AD76248-EA4E-4D1D-A016-10010C77474E}"/>
    <cellStyle name="Normal 18 7" xfId="556" xr:uid="{223817EF-511C-4EC6-A187-902D99BF7C53}"/>
    <cellStyle name="Normal 18 8" xfId="585" xr:uid="{ECACE534-4D22-40B6-96DC-84900D84CA0E}"/>
    <cellStyle name="Normal 18 9" xfId="767" xr:uid="{E7A41D47-DB67-4ACB-A907-B77A3BB003FE}"/>
    <cellStyle name="Normal 180" xfId="200" xr:uid="{00000000-0005-0000-0000-000061000000}"/>
    <cellStyle name="Normal 180 2" xfId="745" xr:uid="{4443A56E-FEED-47A1-B200-5892F38CCE12}"/>
    <cellStyle name="Normal 180 3" xfId="927" xr:uid="{F83A3B44-1AD4-4850-AD72-9480CCC344FD}"/>
    <cellStyle name="Normal 180 4" xfId="1109" xr:uid="{408EF8C9-8799-4AEA-A822-587F47CC7571}"/>
    <cellStyle name="Normal 180 5" xfId="1292" xr:uid="{F093B0CB-EC34-4607-BEA2-6AA51027150C}"/>
    <cellStyle name="Normal 180 6" xfId="1477" xr:uid="{393E7E50-B180-41F0-8B63-E8AD84A3C267}"/>
    <cellStyle name="Normal 180 7" xfId="1665" xr:uid="{0F125D9C-2EA8-4B75-ADB1-1C73CA2FAB95}"/>
    <cellStyle name="Normal 180 8" xfId="1853" xr:uid="{4851968C-0295-41CB-A18C-F75FAB1FF322}"/>
    <cellStyle name="Normal 180 9" xfId="2041" xr:uid="{C30E49D4-D2F2-4B43-BB99-C2D6FD4E8AC1}"/>
    <cellStyle name="Normal 181" xfId="201" xr:uid="{00000000-0005-0000-0000-000062000000}"/>
    <cellStyle name="Normal 181 10" xfId="2042" xr:uid="{E37A2E24-E9A4-4454-9EAC-C4994A826B1D}"/>
    <cellStyle name="Normal 181 2" xfId="564" xr:uid="{31CE0EBA-0F7C-42BD-A1D0-07778E9893ED}"/>
    <cellStyle name="Normal 181 3" xfId="746" xr:uid="{6EEE202F-35E0-44C7-A840-EA3C4EE0D781}"/>
    <cellStyle name="Normal 181 4" xfId="928" xr:uid="{B2861A60-2521-48AA-8B87-B84F7D1BBE29}"/>
    <cellStyle name="Normal 181 5" xfId="1110" xr:uid="{E9A9FCC1-2627-4B28-985D-1216364BFBD2}"/>
    <cellStyle name="Normal 181 6" xfId="1293" xr:uid="{F9F98C64-2A4A-4199-94BC-1CB6401231E3}"/>
    <cellStyle name="Normal 181 7" xfId="1478" xr:uid="{970E17D6-0FE9-4D6E-9A88-BA3206D2D263}"/>
    <cellStyle name="Normal 181 8" xfId="1666" xr:uid="{ED3062D2-2288-4E5C-AD40-DADD366C6C9C}"/>
    <cellStyle name="Normal 181 9" xfId="1854" xr:uid="{2E904D48-C158-4EC2-9E7E-264BED40779F}"/>
    <cellStyle name="Normal 182" xfId="43" xr:uid="{00000000-0005-0000-0000-000063000000}"/>
    <cellStyle name="Normal 182 2" xfId="589" xr:uid="{DAC35C6E-2F6A-44C9-8870-43130137EBCC}"/>
    <cellStyle name="Normal 182 3" xfId="771" xr:uid="{96795393-4A14-4012-9E25-9EEF29603E71}"/>
    <cellStyle name="Normal 182 4" xfId="953" xr:uid="{DEB25B27-FF32-4E88-81D9-3852273A2F43}"/>
    <cellStyle name="Normal 182 5" xfId="1136" xr:uid="{1385C1D5-79D9-4D8D-BCD0-68795A40E72A}"/>
    <cellStyle name="Normal 182 6" xfId="1321" xr:uid="{E026BF57-1DB7-4575-B9EE-E9645B5A0502}"/>
    <cellStyle name="Normal 182 7" xfId="1509" xr:uid="{55DE89A7-C2F6-4199-86C9-96F026F115F4}"/>
    <cellStyle name="Normal 182 8" xfId="1697" xr:uid="{5FE38937-E24B-4A8C-84CB-1A63EDFB6957}"/>
    <cellStyle name="Normal 182 9" xfId="1885" xr:uid="{7536D904-9B79-437A-8B37-88BE432950D0}"/>
    <cellStyle name="Normal 183" xfId="536" xr:uid="{E0794D88-3589-490E-9EB7-D117C704BD45}"/>
    <cellStyle name="Normal 184" xfId="565" xr:uid="{28355C34-0EC2-44E8-9059-44A41DCD4A41}"/>
    <cellStyle name="Normal 185" xfId="747" xr:uid="{4B11912F-4717-4FF7-B55B-831B9C8142C1}"/>
    <cellStyle name="Normal 186" xfId="929" xr:uid="{021739AE-188A-4344-9237-A04A07045458}"/>
    <cellStyle name="Normal 187" xfId="1112" xr:uid="{24660677-1B72-4B83-916E-FCC6C1E5DB94}"/>
    <cellStyle name="Normal 188" xfId="1297" xr:uid="{8FC28464-90C4-4C96-A1EC-3517F2565E05}"/>
    <cellStyle name="Normal 189" xfId="1485" xr:uid="{07273A79-2463-4632-ACAE-E04681D00A5E}"/>
    <cellStyle name="Normal 19" xfId="30" xr:uid="{00000000-0005-0000-0000-000064000000}"/>
    <cellStyle name="Normal 19 10" xfId="768" xr:uid="{7F622477-35F5-4008-8F17-4195DCB48DCC}"/>
    <cellStyle name="Normal 19 11" xfId="950" xr:uid="{D05061A4-DE15-44AF-840F-75091E762482}"/>
    <cellStyle name="Normal 19 12" xfId="1133" xr:uid="{3EA9F2CB-F3E0-431F-9577-16E25D7830A7}"/>
    <cellStyle name="Normal 19 13" xfId="1318" xr:uid="{74508E26-E1D6-439A-8BBE-39F0A9ADEBF3}"/>
    <cellStyle name="Normal 19 14" xfId="1506" xr:uid="{C46F7990-3C18-48CB-9D0C-B842A42D47B9}"/>
    <cellStyle name="Normal 19 15" xfId="1694" xr:uid="{31A37558-AEDB-4FE6-9B69-3FEFD5659E4C}"/>
    <cellStyle name="Normal 19 16" xfId="1882" xr:uid="{51FDDB69-1B18-4512-BCD6-66F451404BD3}"/>
    <cellStyle name="Normal 19 2" xfId="371" xr:uid="{3D9C06A2-5B79-4746-9620-5E88167344BA}"/>
    <cellStyle name="Normal 19 2 2" xfId="477" xr:uid="{121A02C9-108A-4FAE-B8B1-1B42B1872CC3}"/>
    <cellStyle name="Normal 19 2 3" xfId="510" xr:uid="{29663FDB-4EE0-4A12-AE62-8DE1795E883B}"/>
    <cellStyle name="Normal 19 3" xfId="364" xr:uid="{7A88BCFB-B91E-499A-B3D9-6392530DCAD8}"/>
    <cellStyle name="Normal 19 4" xfId="446" xr:uid="{E1C72F24-3F0D-43C9-8A0D-C03888FC5835}"/>
    <cellStyle name="Normal 19 5" xfId="468" xr:uid="{F936C7F8-8472-4336-873B-F1A959498E52}"/>
    <cellStyle name="Normal 19 6" xfId="470" xr:uid="{085F7BC7-73EE-4F50-BEDC-28E7969F5438}"/>
    <cellStyle name="Normal 19 7" xfId="503" xr:uid="{ED41CEAB-0A77-466A-9BE4-E27256159CA8}"/>
    <cellStyle name="Normal 19 8" xfId="557" xr:uid="{9ACAFADF-A7D5-4459-A4E1-CE662FC19A7B}"/>
    <cellStyle name="Normal 19 9" xfId="586" xr:uid="{F5D8F522-356F-4BCF-86F5-B5D4F3504A98}"/>
    <cellStyle name="Normal 190" xfId="1673" xr:uid="{42FE9DF8-9D8D-4D93-B9B6-193A225DE965}"/>
    <cellStyle name="Normal 191" xfId="1861" xr:uid="{727AEC71-6887-49AB-AAD9-794B377335A5}"/>
    <cellStyle name="Normal 192" xfId="248" xr:uid="{BCC46A6F-B6F3-4D13-B319-5642EF44F9D9}"/>
    <cellStyle name="Normal 192 2" xfId="2242" xr:uid="{C3DD2E5B-7B2A-438B-8516-E784AC737EFF}"/>
    <cellStyle name="Normal 193" xfId="2049" xr:uid="{EF590297-99B1-4579-A75D-23C9C36F18BD}"/>
    <cellStyle name="Normal 194" xfId="2050" xr:uid="{5B0F1687-642D-475C-AE55-BE41FDD01927}"/>
    <cellStyle name="Normal 195" xfId="2051" xr:uid="{BD05A5F5-3BAE-4720-BA5E-A09275386C76}"/>
    <cellStyle name="Normal 196" xfId="2052" xr:uid="{2D483BDC-BCA3-46D2-B9AD-D62FD1DF6176}"/>
    <cellStyle name="Normal 197" xfId="2053" xr:uid="{2E631287-83BA-4748-8449-36BC55B668F4}"/>
    <cellStyle name="Normal 198" xfId="2054" xr:uid="{653A071D-B29F-4DDA-B11A-A8984E294442}"/>
    <cellStyle name="Normal 199" xfId="2055" xr:uid="{A5286D0A-AFA8-490A-AA48-30AD99FC6680}"/>
    <cellStyle name="Normal 2" xfId="11" xr:uid="{00000000-0005-0000-0000-000065000000}"/>
    <cellStyle name="Normal 2 10" xfId="383" xr:uid="{3695FD3D-3FE1-4C8E-BB37-FE9682FD4CF8}"/>
    <cellStyle name="Normal 2 10 2" xfId="488" xr:uid="{E3DB9454-56E2-448D-B148-5B729BC77104}"/>
    <cellStyle name="Normal 2 10 3" xfId="521" xr:uid="{93FED43C-4244-4E88-B72E-2749E6802A20}"/>
    <cellStyle name="Normal 2 11" xfId="377" xr:uid="{AEADDE25-1F8E-4D51-974B-35BD7313CF1F}"/>
    <cellStyle name="Normal 2 12" xfId="427" xr:uid="{736E2E39-694E-4D67-B9EC-1F6DED482A63}"/>
    <cellStyle name="Normal 2 13" xfId="449" xr:uid="{C160AF1F-D4B1-4A3E-A95F-6F48E2863941}"/>
    <cellStyle name="Normal 2 14" xfId="538" xr:uid="{0FF8A789-A884-4914-88B6-CCDA6F4F50E2}"/>
    <cellStyle name="Normal 2 15" xfId="567" xr:uid="{C98AAF80-B0D7-4C9B-AA8A-CD7E690E262C}"/>
    <cellStyle name="Normal 2 16" xfId="749" xr:uid="{EB5DDE0B-8B2A-4214-955A-E6B92522ECA6}"/>
    <cellStyle name="Normal 2 17" xfId="931" xr:uid="{686CAFCA-CA0A-4B78-989C-9AE6C82F2B6E}"/>
    <cellStyle name="Normal 2 18" xfId="1114" xr:uid="{1F39E3A8-67A6-4340-91FB-92877129A30C}"/>
    <cellStyle name="Normal 2 19" xfId="1299" xr:uid="{FBBBD7C4-236C-4A81-9D6F-623C535D2500}"/>
    <cellStyle name="Normal 2 2" xfId="39" xr:uid="{00000000-0005-0000-0000-000066000000}"/>
    <cellStyle name="Normal 2 2 2" xfId="384" xr:uid="{BE9A532F-A38A-4250-8B79-EB73C4A622DA}"/>
    <cellStyle name="Normal 2 2 3" xfId="489" xr:uid="{F147BD1F-441F-4E04-A4D6-13B407DEBE67}"/>
    <cellStyle name="Normal 2 2 4" xfId="522" xr:uid="{501191F6-3CA9-4B05-9A9A-F7C6E3B0073D}"/>
    <cellStyle name="Normal 2 20" xfId="1487" xr:uid="{5519E296-353F-4C7B-81AF-0BE1CE179AE5}"/>
    <cellStyle name="Normal 2 21" xfId="1675" xr:uid="{F815B575-1B9B-4CDA-86F4-0FEC51844B95}"/>
    <cellStyle name="Normal 2 22" xfId="1863" xr:uid="{AECD92FE-9EA4-40B3-BE8B-1B3B2B5C63E7}"/>
    <cellStyle name="Normal 2 23" xfId="291" xr:uid="{AC0CC49D-5CBA-4F35-8ACD-A100F360722D}"/>
    <cellStyle name="Normal 2 3" xfId="354" xr:uid="{77178008-99E3-4555-A0F2-199D8E78D1CC}"/>
    <cellStyle name="Normal 2 3 2" xfId="359" xr:uid="{AC0A3465-4D0A-4FD6-A001-9E84EF0B55D7}"/>
    <cellStyle name="Normal 2 3 3" xfId="385" xr:uid="{2577FD40-12B4-4971-85D7-49A8B7993107}"/>
    <cellStyle name="Normal 2 3 4" xfId="490" xr:uid="{8CB10FDD-BF87-4651-A10D-D852BA5A7784}"/>
    <cellStyle name="Normal 2 3 5" xfId="523" xr:uid="{432044E8-583A-4946-BAC9-C38A1471F2A4}"/>
    <cellStyle name="Normal 2 4" xfId="356" xr:uid="{DE146898-8279-4985-BD46-3E849C692E8C}"/>
    <cellStyle name="Normal 2 4 2" xfId="386" xr:uid="{7F53349C-4F82-42BB-ADE4-790D472B9E21}"/>
    <cellStyle name="Normal 2 4 3" xfId="491" xr:uid="{50DD3314-DC11-4EA0-9840-443CCA576FB1}"/>
    <cellStyle name="Normal 2 4 4" xfId="524" xr:uid="{4E3C518D-F026-4D6B-8500-7FD27F3229BE}"/>
    <cellStyle name="Normal 2 5" xfId="362" xr:uid="{AF104616-F676-448C-9488-739BB0FA8715}"/>
    <cellStyle name="Normal 2 5 2" xfId="387" xr:uid="{478B5B02-9754-4F47-BF29-5A4DA24ADABE}"/>
    <cellStyle name="Normal 2 5 3" xfId="492" xr:uid="{43A8BB27-2F60-44B9-B1F8-ADD3A959E68A}"/>
    <cellStyle name="Normal 2 5 4" xfId="525" xr:uid="{806545CB-A87A-4C50-97A3-13683E288831}"/>
    <cellStyle name="Normal 2 6" xfId="388" xr:uid="{2FADC236-6C7B-4E35-AA3C-65E13EB708AC}"/>
    <cellStyle name="Normal 2 6 2" xfId="493" xr:uid="{BCD8501D-8566-430F-94EC-EB730230EAF5}"/>
    <cellStyle name="Normal 2 6 3" xfId="526" xr:uid="{5C621555-8C3B-4339-9088-4A503EF7F858}"/>
    <cellStyle name="Normal 2 7" xfId="389" xr:uid="{44106280-6613-4606-B593-6DD09F56EB66}"/>
    <cellStyle name="Normal 2 7 2" xfId="494" xr:uid="{61817DD8-5574-41D9-BEC4-F89EC1C23E19}"/>
    <cellStyle name="Normal 2 7 3" xfId="527" xr:uid="{08279046-737D-4C62-A7D9-053053903191}"/>
    <cellStyle name="Normal 2 8" xfId="390" xr:uid="{434A1FF4-C9D9-45DA-9C9F-30FED2D1ED01}"/>
    <cellStyle name="Normal 2 8 2" xfId="495" xr:uid="{7F16B04B-9ED7-4EBC-95C1-8C48A09DD8EB}"/>
    <cellStyle name="Normal 2 8 3" xfId="528" xr:uid="{081CA370-BC9A-485D-8EE6-8116BA239F03}"/>
    <cellStyle name="Normal 2 9" xfId="391" xr:uid="{AD1B2592-0A4A-406C-AF2A-7D6443E5211F}"/>
    <cellStyle name="Normal 2 9 2" xfId="496" xr:uid="{EF662E09-D5FC-4187-8182-8CFAE85BD8A9}"/>
    <cellStyle name="Normal 2 9 3" xfId="529" xr:uid="{0FEB992F-C3CD-417A-8D74-EED35F4277E4}"/>
    <cellStyle name="Normal 20" xfId="16" xr:uid="{00000000-0005-0000-0000-000067000000}"/>
    <cellStyle name="Normal 20 10" xfId="936" xr:uid="{874FEDC8-5145-48CE-A26B-5DED45D4A0CA}"/>
    <cellStyle name="Normal 20 11" xfId="1119" xr:uid="{A538059A-6446-4494-982E-890F82CD3DC7}"/>
    <cellStyle name="Normal 20 12" xfId="1304" xr:uid="{F1AA7DB4-0C90-48BC-9517-79FE37D04A11}"/>
    <cellStyle name="Normal 20 13" xfId="1492" xr:uid="{30347704-725C-49D3-AE28-76969620A82F}"/>
    <cellStyle name="Normal 20 14" xfId="1680" xr:uid="{9B7C2404-4368-482C-A726-8368EAE981B3}"/>
    <cellStyle name="Normal 20 15" xfId="1868" xr:uid="{53B15EF6-04B2-43E6-873F-D3C7118D160B}"/>
    <cellStyle name="Normal 20 2" xfId="392" xr:uid="{A04A614D-16AA-4C38-83A8-5C30F5084F36}"/>
    <cellStyle name="Normal 20 3" xfId="432" xr:uid="{692E05E7-3077-4B79-95CE-725AB83161BC}"/>
    <cellStyle name="Normal 20 4" xfId="454" xr:uid="{916720A1-8597-4ABB-ACFB-C28BB569E607}"/>
    <cellStyle name="Normal 20 5" xfId="497" xr:uid="{CB63C960-7275-4B9C-954A-02C9F7E7C8EA}"/>
    <cellStyle name="Normal 20 6" xfId="530" xr:uid="{8538A15B-6ACA-478E-B0F5-AA1A7103B2AD}"/>
    <cellStyle name="Normal 20 7" xfId="543" xr:uid="{2DE0527F-97D8-4D1E-9E4C-AC7E25496DFE}"/>
    <cellStyle name="Normal 20 8" xfId="572" xr:uid="{9C5EFA23-89BB-4167-A4A3-48C9BBF5580A}"/>
    <cellStyle name="Normal 20 9" xfId="754" xr:uid="{AED380BF-B279-4F2B-9D94-5DB5BE57AA04}"/>
    <cellStyle name="Normal 200" xfId="2056" xr:uid="{2DE43DB6-120D-4EB1-97AA-715008A4800B}"/>
    <cellStyle name="Normal 201" xfId="2057" xr:uid="{A3EA90F2-60C0-40A6-9838-7C3F8C8DBE08}"/>
    <cellStyle name="Normal 202" xfId="2058" xr:uid="{CF86B124-1368-4564-9F24-4F7B78BD8F8B}"/>
    <cellStyle name="Normal 203" xfId="2059" xr:uid="{947572B6-029D-49DC-8057-1ADB5EB809D5}"/>
    <cellStyle name="Normal 204" xfId="2060" xr:uid="{965A4A49-5F87-4965-9C6C-4104671DF01C}"/>
    <cellStyle name="Normal 205" xfId="2061" xr:uid="{154CF359-5EC0-474A-893A-37B5A34E9A9B}"/>
    <cellStyle name="Normal 206" xfId="2062" xr:uid="{6A27DC4D-9205-4415-90A2-5A527E35008C}"/>
    <cellStyle name="Normal 207" xfId="2063" xr:uid="{9B72BEBD-3BA8-46D7-B118-6E39326BDF23}"/>
    <cellStyle name="Normal 208" xfId="2064" xr:uid="{F184A437-9567-424E-80EB-38DD8A53A986}"/>
    <cellStyle name="Normal 209" xfId="2065" xr:uid="{351672CB-459D-417C-861F-D431A26DA9DA}"/>
    <cellStyle name="Normal 21" xfId="17" xr:uid="{00000000-0005-0000-0000-000068000000}"/>
    <cellStyle name="Normal 21 10" xfId="937" xr:uid="{1415722B-E83F-4B35-98C1-021D63A5F63B}"/>
    <cellStyle name="Normal 21 11" xfId="1120" xr:uid="{53F482C8-05DD-4706-B69E-F7318116601E}"/>
    <cellStyle name="Normal 21 12" xfId="1305" xr:uid="{BD75BB56-CC1F-4677-9ABB-B6920F503D3C}"/>
    <cellStyle name="Normal 21 13" xfId="1493" xr:uid="{3A3E3393-4CE5-4D57-B846-9D28BC049020}"/>
    <cellStyle name="Normal 21 14" xfId="1681" xr:uid="{FD4AFE7A-3A9E-427D-8FEB-7389AB1EDC3C}"/>
    <cellStyle name="Normal 21 15" xfId="1869" xr:uid="{2D5C3191-7F35-46C1-B1EE-1BB2ACA79622}"/>
    <cellStyle name="Normal 21 2" xfId="393" xr:uid="{B44BB962-C8D3-4F84-AAAD-0A13D354CEC8}"/>
    <cellStyle name="Normal 21 3" xfId="433" xr:uid="{2F1B8E3A-853D-4A26-B7D1-1FAAE6149D2F}"/>
    <cellStyle name="Normal 21 4" xfId="455" xr:uid="{ACFEC902-ADE4-478F-81E5-C9D819ABCC8F}"/>
    <cellStyle name="Normal 21 5" xfId="498" xr:uid="{D247C7DD-AD50-4526-B1A2-6E9D86AC6FA7}"/>
    <cellStyle name="Normal 21 6" xfId="531" xr:uid="{D3063F48-96FC-4297-9306-142361D399A2}"/>
    <cellStyle name="Normal 21 7" xfId="544" xr:uid="{F2B8B9CE-072D-434A-BA03-14C14B19D34B}"/>
    <cellStyle name="Normal 21 8" xfId="573" xr:uid="{FE6398A2-F95A-479E-B493-F65034C3F316}"/>
    <cellStyle name="Normal 21 9" xfId="755" xr:uid="{87368FD3-746D-4E37-BDB3-73B527733ABC}"/>
    <cellStyle name="Normal 210" xfId="2066" xr:uid="{4ECA10F5-C836-43A4-9DCF-71B73D3C1BEE}"/>
    <cellStyle name="Normal 211" xfId="2067" xr:uid="{79007A5E-88D5-48BE-8740-688762C7233D}"/>
    <cellStyle name="Normal 212" xfId="2068" xr:uid="{89420C43-29EB-4119-9503-F11A83C5052D}"/>
    <cellStyle name="Normal 213" xfId="2069" xr:uid="{4D4A07D9-4129-4DC0-BD45-E512C098EBCE}"/>
    <cellStyle name="Normal 214" xfId="2070" xr:uid="{384BCF95-473D-41A5-BF7C-A7708570E39C}"/>
    <cellStyle name="Normal 215" xfId="2071" xr:uid="{EA7E116C-5848-4C24-805E-F86846677FFF}"/>
    <cellStyle name="Normal 216" xfId="2072" xr:uid="{91F33C3F-0D0A-4088-B87B-4F22AAA99D4B}"/>
    <cellStyle name="Normal 217" xfId="2073" xr:uid="{8CC87F59-2CB0-429C-820C-3DFF89E09073}"/>
    <cellStyle name="Normal 218" xfId="2074" xr:uid="{3E1CFEA5-A52C-4A80-AAF9-B3AD4D1DE67B}"/>
    <cellStyle name="Normal 219" xfId="2075" xr:uid="{A22B1638-812D-4FBC-B0BF-D459F64F8DF4}"/>
    <cellStyle name="Normal 22" xfId="15" xr:uid="{00000000-0005-0000-0000-000069000000}"/>
    <cellStyle name="Normal 22 10" xfId="935" xr:uid="{608608BC-B88E-4676-B3A3-52A1D718B3A0}"/>
    <cellStyle name="Normal 22 11" xfId="1118" xr:uid="{EB5974FC-AEAB-4505-AB9A-34A90BB9790E}"/>
    <cellStyle name="Normal 22 12" xfId="1303" xr:uid="{AADFE12B-AACC-4CEE-95B2-02FEBEF78351}"/>
    <cellStyle name="Normal 22 13" xfId="1491" xr:uid="{E436CCCD-6576-4105-A1CA-AF19524096A9}"/>
    <cellStyle name="Normal 22 14" xfId="1679" xr:uid="{94274A13-AB99-4AB7-9160-5CDCB058783C}"/>
    <cellStyle name="Normal 22 15" xfId="1867" xr:uid="{CA8D71E2-6649-4F5B-8664-31E152E7EF00}"/>
    <cellStyle name="Normal 22 2" xfId="394" xr:uid="{EF36B121-793B-4265-AA56-AFF94417BB73}"/>
    <cellStyle name="Normal 22 3" xfId="431" xr:uid="{DDD5CEC8-5910-4583-8612-56C7B0D79671}"/>
    <cellStyle name="Normal 22 4" xfId="453" xr:uid="{1D1F91EC-D398-4B9B-B2AA-111B1961F516}"/>
    <cellStyle name="Normal 22 5" xfId="499" xr:uid="{D5314824-685B-45A5-AF6F-4073A9763DDD}"/>
    <cellStyle name="Normal 22 6" xfId="532" xr:uid="{6CA0177E-7C06-4EC4-965E-A8C4343B58FC}"/>
    <cellStyle name="Normal 22 7" xfId="542" xr:uid="{54208318-3C50-4127-82FE-24E4DC49C2AE}"/>
    <cellStyle name="Normal 22 8" xfId="571" xr:uid="{BB0FE508-9189-49CE-81C2-97E2EAE51C4B}"/>
    <cellStyle name="Normal 22 9" xfId="753" xr:uid="{7FC9B45F-C669-4BC2-8AF3-94CE212B2793}"/>
    <cellStyle name="Normal 220" xfId="2076" xr:uid="{3673CEE0-EA56-42AC-B708-B5ADCE25A555}"/>
    <cellStyle name="Normal 221" xfId="2077" xr:uid="{E0394F5C-4395-4B24-A271-64BE7E02EB95}"/>
    <cellStyle name="Normal 222" xfId="2078" xr:uid="{9B894CD6-A4B4-4C57-875D-0BFB94544C58}"/>
    <cellStyle name="Normal 223" xfId="2079" xr:uid="{69E2BF15-A9C7-45C5-B692-1202DC6C42D1}"/>
    <cellStyle name="Normal 224" xfId="2080" xr:uid="{08A7F7AB-4AE8-41A5-B3D2-5EEFDB77DC9D}"/>
    <cellStyle name="Normal 225" xfId="2081" xr:uid="{CC6FC119-76B0-4C0A-9C39-CA05878D0B18}"/>
    <cellStyle name="Normal 226" xfId="2082" xr:uid="{048704E4-115F-41F0-8AC9-970B258F8D16}"/>
    <cellStyle name="Normal 227" xfId="2083" xr:uid="{576A591D-AEF2-4B0F-8BDA-955C8CD306D4}"/>
    <cellStyle name="Normal 228" xfId="2084" xr:uid="{E910DE45-2633-475B-B272-6B91159B74EC}"/>
    <cellStyle name="Normal 229" xfId="2085" xr:uid="{3EC8DD3E-015D-48C4-8A23-FB8F7C65A263}"/>
    <cellStyle name="Normal 23" xfId="31" xr:uid="{00000000-0005-0000-0000-00006A000000}"/>
    <cellStyle name="Normal 23 10" xfId="1507" xr:uid="{ED1C6939-B890-42B6-99CB-0BBD30BA47FE}"/>
    <cellStyle name="Normal 23 11" xfId="1695" xr:uid="{973EFBB9-7AE1-4260-B0F5-9785BBD8C06F}"/>
    <cellStyle name="Normal 23 12" xfId="1883" xr:uid="{7D6E1918-B385-413B-8D2D-CE34577AD4B4}"/>
    <cellStyle name="Normal 23 2" xfId="447" xr:uid="{20297FC0-5B63-4035-B3C2-2EEDD23F7096}"/>
    <cellStyle name="Normal 23 3" xfId="469" xr:uid="{E54807D7-8A01-4C05-A4C5-916C7ECD9CF6}"/>
    <cellStyle name="Normal 23 4" xfId="558" xr:uid="{EE13C872-F649-413F-B107-AF94E3FB7CB1}"/>
    <cellStyle name="Normal 23 5" xfId="587" xr:uid="{0AB5BD35-991F-4713-9418-1D35068E0E1F}"/>
    <cellStyle name="Normal 23 6" xfId="769" xr:uid="{C997EDF7-8BCA-4DAE-AE10-B9D9BF05576A}"/>
    <cellStyle name="Normal 23 7" xfId="951" xr:uid="{2F0F11B2-9460-4CAD-B1B7-FC338868C591}"/>
    <cellStyle name="Normal 23 8" xfId="1134" xr:uid="{115F6F6D-93ED-4871-8916-91940BF1D39C}"/>
    <cellStyle name="Normal 23 9" xfId="1319" xr:uid="{80CE7FC1-F134-44CC-9346-B34A30AE5D90}"/>
    <cellStyle name="Normal 230" xfId="2086" xr:uid="{FB6E5670-0352-4FEA-A0E2-D8A80EEB3694}"/>
    <cellStyle name="Normal 231" xfId="2087" xr:uid="{8023CBAF-AC32-4342-9140-B1E95F6E6E8F}"/>
    <cellStyle name="Normal 232" xfId="2088" xr:uid="{F23C8BAC-741F-4AA3-BA70-CCEAFDC32EE0}"/>
    <cellStyle name="Normal 233" xfId="2089" xr:uid="{88479E32-9DAE-4EAE-BAED-95C5D1D0F286}"/>
    <cellStyle name="Normal 234" xfId="2090" xr:uid="{0ED660DE-6D9C-49C2-968E-750CD7052478}"/>
    <cellStyle name="Normal 235" xfId="2091" xr:uid="{E1336DAD-2454-4A0C-BA04-FB5C572042C0}"/>
    <cellStyle name="Normal 236" xfId="2092" xr:uid="{3ADBF6A7-52BB-4AD0-AD46-8CB7DEA3683F}"/>
    <cellStyle name="Normal 237" xfId="2093" xr:uid="{A504BCE8-53F4-45AC-B2A7-17089B102F5A}"/>
    <cellStyle name="Normal 238" xfId="2094" xr:uid="{75162875-554A-4076-B334-B0B9C1D59375}"/>
    <cellStyle name="Normal 239" xfId="2095" xr:uid="{831A7FD6-C53F-4612-B49E-3B7633FB02E6}"/>
    <cellStyle name="Normal 24" xfId="32" xr:uid="{00000000-0005-0000-0000-00006B000000}"/>
    <cellStyle name="Normal 24 2" xfId="151" xr:uid="{00000000-0005-0000-0000-00006C000000}"/>
    <cellStyle name="Normal 24 3" xfId="44" xr:uid="{00000000-0005-0000-0000-00006D000000}"/>
    <cellStyle name="Normal 24 3 2" xfId="590" xr:uid="{CF1A9109-EE46-48A7-8EFB-9D0540693A80}"/>
    <cellStyle name="Normal 24 3 3" xfId="772" xr:uid="{627B4E91-6DC8-4326-A280-4D2A6041B420}"/>
    <cellStyle name="Normal 24 3 4" xfId="954" xr:uid="{CF7D299C-8EEC-4D9E-A8F0-A9664B89BC67}"/>
    <cellStyle name="Normal 24 3 5" xfId="1137" xr:uid="{A5A34A4F-084D-428D-8880-193437C9A9BF}"/>
    <cellStyle name="Normal 24 3 6" xfId="1322" xr:uid="{940BA377-2C9B-44DB-8C3B-8C5BC4BAB458}"/>
    <cellStyle name="Normal 24 3 7" xfId="1510" xr:uid="{1A33B867-6154-4583-BCEF-1C15CF86CA3F}"/>
    <cellStyle name="Normal 24 3 8" xfId="1698" xr:uid="{E0895053-A68F-46CB-9A48-E2B7D68BFE11}"/>
    <cellStyle name="Normal 24 3 9" xfId="1886" xr:uid="{5EFABF60-1065-4207-8E6A-BE9C2AB900D3}"/>
    <cellStyle name="Normal 24 4" xfId="41" xr:uid="{00000000-0005-0000-0000-00006E000000}"/>
    <cellStyle name="Normal 240" xfId="2096" xr:uid="{45A91A34-02F0-426C-8E54-12B41DBB9F8C}"/>
    <cellStyle name="Normal 241" xfId="2097" xr:uid="{78C2AF08-9CCE-46EB-861B-9D5795A8D555}"/>
    <cellStyle name="Normal 242" xfId="2098" xr:uid="{64818251-0473-4956-8B9A-A89957B0713F}"/>
    <cellStyle name="Normal 243" xfId="2099" xr:uid="{1AE72C0F-6E28-4BC2-9D2F-C4EAFAC31974}"/>
    <cellStyle name="Normal 244" xfId="2100" xr:uid="{E0E5E4FA-6CE6-41A1-B405-CB0ACBE26B6D}"/>
    <cellStyle name="Normal 245" xfId="2101" xr:uid="{92B5CB23-54E7-4EBA-BCD5-DD85CDA364A1}"/>
    <cellStyle name="Normal 246" xfId="2102" xr:uid="{A54D0DD8-8D9A-4B70-AC59-7364585B1EBC}"/>
    <cellStyle name="Normal 247" xfId="2103" xr:uid="{30D74ABF-54E9-4670-B579-D2B42CFDDFE8}"/>
    <cellStyle name="Normal 248" xfId="2104" xr:uid="{E4FF6B15-34D1-4193-9FAA-8548596A3ABD}"/>
    <cellStyle name="Normal 249" xfId="2105" xr:uid="{BCBEAB18-0607-47C1-9AB7-5DFB330EC33D}"/>
    <cellStyle name="Normal 25" xfId="45" xr:uid="{00000000-0005-0000-0000-00006F000000}"/>
    <cellStyle name="Normal 25 10" xfId="1887" xr:uid="{029210D7-EF1D-4C1B-B685-A647F1535821}"/>
    <cellStyle name="Normal 25 2" xfId="559" xr:uid="{9EA829B4-868F-4D0E-9661-AF64A7108B58}"/>
    <cellStyle name="Normal 25 3" xfId="591" xr:uid="{2B76A35A-3945-4D82-9ED9-3892ADC11A9D}"/>
    <cellStyle name="Normal 25 4" xfId="773" xr:uid="{EC1F2DB7-50C9-4A38-AA6E-CD6D3C274AC8}"/>
    <cellStyle name="Normal 25 5" xfId="955" xr:uid="{705AF37C-DB43-4C64-BDCE-E592121900F4}"/>
    <cellStyle name="Normal 25 6" xfId="1138" xr:uid="{68343522-6E9A-4E40-A28A-1A5F7C98F481}"/>
    <cellStyle name="Normal 25 7" xfId="1323" xr:uid="{76441C06-91F2-4C9C-AEDE-BFE7E3FA01C7}"/>
    <cellStyle name="Normal 25 8" xfId="1511" xr:uid="{E6DE4D6B-0841-4E06-BB0F-F1709A0CD5EE}"/>
    <cellStyle name="Normal 25 9" xfId="1699" xr:uid="{BD203041-736C-45F5-8747-5877B35DCBF5}"/>
    <cellStyle name="Normal 250" xfId="2106" xr:uid="{A4520FF2-74B0-4DA8-85E9-7CA95D3919C8}"/>
    <cellStyle name="Normal 251" xfId="2107" xr:uid="{176BEC7B-405B-46B7-881B-6C3D7C631915}"/>
    <cellStyle name="Normal 252" xfId="2108" xr:uid="{444D4500-2F19-4570-96C3-D6A28B23C10D}"/>
    <cellStyle name="Normal 253" xfId="2109" xr:uid="{9D4AB3C0-50AE-488D-A98A-A8C8E80027F7}"/>
    <cellStyle name="Normal 254" xfId="2110" xr:uid="{86148E1E-8649-4AC7-8B7F-34833D99D2F4}"/>
    <cellStyle name="Normal 255" xfId="2111" xr:uid="{801AE797-072E-4241-99A0-4D78AE7A5EDC}"/>
    <cellStyle name="Normal 256" xfId="2112" xr:uid="{470947AC-8DE4-46EE-B4A8-C513F9F146D1}"/>
    <cellStyle name="Normal 257" xfId="2113" xr:uid="{2DA430A1-A6B7-4F87-A51B-1685B9DBC040}"/>
    <cellStyle name="Normal 258" xfId="2114" xr:uid="{81641844-03D6-4934-8B4C-55499F6C89A3}"/>
    <cellStyle name="Normal 259" xfId="2115" xr:uid="{DEBF4E43-D897-429B-8956-3215741F7195}"/>
    <cellStyle name="Normal 26" xfId="46" xr:uid="{00000000-0005-0000-0000-000070000000}"/>
    <cellStyle name="Normal 26 10" xfId="1888" xr:uid="{B0F7A3E2-E29A-4CFC-8667-BDD766082A12}"/>
    <cellStyle name="Normal 26 2" xfId="560" xr:uid="{525AB560-2F39-4CF1-B270-2F9C899166EE}"/>
    <cellStyle name="Normal 26 3" xfId="592" xr:uid="{B2437F27-A55C-4009-91F8-09A61DB2B2CD}"/>
    <cellStyle name="Normal 26 4" xfId="774" xr:uid="{1146E346-7D3D-40D2-8203-18A0BE601F05}"/>
    <cellStyle name="Normal 26 5" xfId="956" xr:uid="{68257DAF-B7B8-4ED6-9339-D5975E7E7111}"/>
    <cellStyle name="Normal 26 6" xfId="1139" xr:uid="{881F2451-3DA2-43FF-8DA3-D1CAB642BF72}"/>
    <cellStyle name="Normal 26 7" xfId="1324" xr:uid="{EDF75CE0-61E9-4B25-B9F3-E1518D6C96E9}"/>
    <cellStyle name="Normal 26 8" xfId="1512" xr:uid="{AF2D19FD-1C45-4AB3-AE7E-3EE0D68FCEB7}"/>
    <cellStyle name="Normal 26 9" xfId="1700" xr:uid="{93C678B4-F24B-4480-9B27-551CE94415DF}"/>
    <cellStyle name="Normal 260" xfId="2116" xr:uid="{BAF476F9-89D5-483C-9B79-DB45D15D9D6A}"/>
    <cellStyle name="Normal 261" xfId="2117" xr:uid="{56EC7077-DA14-44C7-8323-AA89939D8B34}"/>
    <cellStyle name="Normal 262" xfId="2118" xr:uid="{D8C40354-0D93-4433-9A36-A103ECFA127B}"/>
    <cellStyle name="Normal 263" xfId="2119" xr:uid="{56714BAE-C9BF-47EC-BDFB-409650987119}"/>
    <cellStyle name="Normal 264" xfId="2120" xr:uid="{1492376E-28E6-4349-A0DE-E42866ED4B32}"/>
    <cellStyle name="Normal 265" xfId="2121" xr:uid="{DA77257C-6B59-43CE-B3CE-3E2113CEB2B9}"/>
    <cellStyle name="Normal 266" xfId="2122" xr:uid="{648AD6DD-5A4E-4E9D-98C2-040E688B8C05}"/>
    <cellStyle name="Normal 267" xfId="2123" xr:uid="{ACEFB34C-BE7F-495B-B59B-3294DE57DE42}"/>
    <cellStyle name="Normal 268" xfId="2124" xr:uid="{DA93198C-6FA5-4B9B-A3C3-C2DD7345516E}"/>
    <cellStyle name="Normal 269" xfId="2125" xr:uid="{E367E6D2-D131-4A35-A951-FFCB943BDEDB}"/>
    <cellStyle name="Normal 27" xfId="47" xr:uid="{00000000-0005-0000-0000-000071000000}"/>
    <cellStyle name="Normal 27 10" xfId="1889" xr:uid="{F6CA420A-FD5B-45E4-B114-F5C01F3EB99D}"/>
    <cellStyle name="Normal 27 2" xfId="561" xr:uid="{F49DF2D3-3F4C-4818-A647-6EF5F1ABABF0}"/>
    <cellStyle name="Normal 27 3" xfId="593" xr:uid="{E9C2E96E-0A68-49CA-ACEB-010925AD1639}"/>
    <cellStyle name="Normal 27 4" xfId="775" xr:uid="{9A680E0F-45A8-41C9-B24D-7044D4F28AE1}"/>
    <cellStyle name="Normal 27 5" xfId="957" xr:uid="{572CC9AA-C21F-43FE-B83C-F82BF14C19E0}"/>
    <cellStyle name="Normal 27 6" xfId="1140" xr:uid="{5275B543-473D-4732-8C0E-38DA8AE080F5}"/>
    <cellStyle name="Normal 27 7" xfId="1325" xr:uid="{116F13EB-71C5-4C7E-9C1B-89800888C65A}"/>
    <cellStyle name="Normal 27 8" xfId="1513" xr:uid="{DD223EFF-303F-4E24-A614-023818A9EA17}"/>
    <cellStyle name="Normal 27 9" xfId="1701" xr:uid="{1ACC14B3-4A53-4D90-8979-844C84287DF2}"/>
    <cellStyle name="Normal 270" xfId="2126" xr:uid="{1CF046F7-FE7A-46BF-8B7F-14E960784B02}"/>
    <cellStyle name="Normal 271" xfId="2127" xr:uid="{7FA512A8-C064-46F0-A504-94AA6CDC9709}"/>
    <cellStyle name="Normal 272" xfId="2128" xr:uid="{5F076DC0-1529-4690-AA66-77B3906F8FAB}"/>
    <cellStyle name="Normal 273" xfId="2129" xr:uid="{B96599AB-00DD-46F4-B832-B79F0B054213}"/>
    <cellStyle name="Normal 274" xfId="2130" xr:uid="{7F81F227-BFDE-4EEA-9A3F-A7EB39241AD2}"/>
    <cellStyle name="Normal 275" xfId="2131" xr:uid="{2BFB3427-07A0-48A3-9593-ADFF565527D3}"/>
    <cellStyle name="Normal 276" xfId="2132" xr:uid="{835847A8-3D75-47BE-AE3B-F0D9CD348B8C}"/>
    <cellStyle name="Normal 277" xfId="2133" xr:uid="{E498C53A-16C7-4BB5-89F7-DB4E993B4253}"/>
    <cellStyle name="Normal 278" xfId="2134" xr:uid="{DF48A869-FCF2-400E-BDBC-DA674B06E6EA}"/>
    <cellStyle name="Normal 279" xfId="2135" xr:uid="{5096D6D4-9B21-46C7-A630-349FCB5BEC72}"/>
    <cellStyle name="Normal 28" xfId="48" xr:uid="{00000000-0005-0000-0000-000072000000}"/>
    <cellStyle name="Normal 28 10" xfId="1890" xr:uid="{A0580F3B-4D77-458C-B307-4884ADCD88CB}"/>
    <cellStyle name="Normal 28 2" xfId="562" xr:uid="{EDB6BEA7-05EB-440A-842F-293C8FD34A66}"/>
    <cellStyle name="Normal 28 3" xfId="594" xr:uid="{65993096-1616-4AD5-92E3-F4F8D6A4E400}"/>
    <cellStyle name="Normal 28 4" xfId="776" xr:uid="{DA164636-1E89-4233-A8CE-8E4CACEFE24E}"/>
    <cellStyle name="Normal 28 5" xfId="958" xr:uid="{ECE15F93-E504-46EF-9218-4FF4423AE15E}"/>
    <cellStyle name="Normal 28 6" xfId="1141" xr:uid="{08931310-E1F7-48C6-A651-3102FB851A1E}"/>
    <cellStyle name="Normal 28 7" xfId="1326" xr:uid="{59A472FB-8ED0-44AD-B7B7-DAA8C001D1C0}"/>
    <cellStyle name="Normal 28 8" xfId="1514" xr:uid="{DD2DD789-BE83-4AF9-888C-C4052C4F68D2}"/>
    <cellStyle name="Normal 28 9" xfId="1702" xr:uid="{A964141F-F7F2-47BC-A374-D0195DF706FF}"/>
    <cellStyle name="Normal 280" xfId="2136" xr:uid="{E9F572F4-7EFC-4CB0-8FE7-5A3AD67F1428}"/>
    <cellStyle name="Normal 281" xfId="2137" xr:uid="{DA5F9BD5-990C-460E-A38F-92CB01FF0F2E}"/>
    <cellStyle name="Normal 282" xfId="2138" xr:uid="{AB258788-E359-4A68-9268-559A73275D7B}"/>
    <cellStyle name="Normal 283" xfId="2139" xr:uid="{20554960-95E8-4810-BDEA-D57C38D7BD51}"/>
    <cellStyle name="Normal 284" xfId="2140" xr:uid="{CE8B83AF-AB6C-4840-9845-122DD1245059}"/>
    <cellStyle name="Normal 285" xfId="2141" xr:uid="{059F46D4-4E30-4035-9AAA-674DD8C17491}"/>
    <cellStyle name="Normal 286" xfId="2142" xr:uid="{61FD6518-D25F-4F59-97C3-1DDABA2E9CD3}"/>
    <cellStyle name="Normal 287" xfId="2143" xr:uid="{8D061262-2A94-403D-814A-CFFF638EEDE1}"/>
    <cellStyle name="Normal 288" xfId="2144" xr:uid="{546DCD7D-9AC5-4DA8-9E9F-3A9FF0F7248A}"/>
    <cellStyle name="Normal 289" xfId="2145" xr:uid="{0879EB7A-A2EF-4F6D-9F4B-D7004C624FB1}"/>
    <cellStyle name="Normal 29" xfId="49" xr:uid="{00000000-0005-0000-0000-000073000000}"/>
    <cellStyle name="Normal 29 10" xfId="1891" xr:uid="{6C80DB46-9026-454A-A4A8-02F9BFEF09AE}"/>
    <cellStyle name="Normal 29 2" xfId="563" xr:uid="{7B79AF3C-E349-4A13-9096-8F12F1DBD1E9}"/>
    <cellStyle name="Normal 29 3" xfId="595" xr:uid="{C650A2BD-5146-4B1C-A5C7-0DBF9814A254}"/>
    <cellStyle name="Normal 29 4" xfId="777" xr:uid="{DCF49A13-66C7-4A00-9719-C915E9703C2C}"/>
    <cellStyle name="Normal 29 5" xfId="959" xr:uid="{B621BDA4-8C55-490A-9D97-45D6EF47534E}"/>
    <cellStyle name="Normal 29 6" xfId="1142" xr:uid="{9C7870F8-7B85-4C65-A70B-6921853A18DD}"/>
    <cellStyle name="Normal 29 7" xfId="1327" xr:uid="{185D5089-80A0-4004-B011-A3C4841FD206}"/>
    <cellStyle name="Normal 29 8" xfId="1515" xr:uid="{ADEA21C2-67EE-4689-8878-CAA9B155B0DC}"/>
    <cellStyle name="Normal 29 9" xfId="1703" xr:uid="{4EE0A7FF-7005-4286-9F19-241D90C451EE}"/>
    <cellStyle name="Normal 290" xfId="2146" xr:uid="{99E7AEB5-E6E1-4E7A-82EB-243419A76514}"/>
    <cellStyle name="Normal 291" xfId="2147" xr:uid="{375B1A33-C2C1-483B-81D2-1430ADC03B28}"/>
    <cellStyle name="Normal 292" xfId="2148" xr:uid="{D553B826-47DC-416F-B446-70912174391D}"/>
    <cellStyle name="Normal 293" xfId="2149" xr:uid="{877FCF66-0029-49DE-A02E-346474A016BD}"/>
    <cellStyle name="Normal 294" xfId="2150" xr:uid="{5B2516FC-F875-4B85-942A-D85407986034}"/>
    <cellStyle name="Normal 295" xfId="2151" xr:uid="{D208F33B-82B8-420F-868E-A521E9D7086C}"/>
    <cellStyle name="Normal 296" xfId="2152" xr:uid="{28F7E3CD-E9C6-4F79-A261-EC3ABC35A8FB}"/>
    <cellStyle name="Normal 297" xfId="2153" xr:uid="{C993D000-FC73-4046-A2E4-BBAD271C7D0F}"/>
    <cellStyle name="Normal 298" xfId="2154" xr:uid="{96D3B0F3-373A-488D-9E22-8B13405C3292}"/>
    <cellStyle name="Normal 299" xfId="2155" xr:uid="{76698504-66B0-467D-B4F1-B7AF2DD58D54}"/>
    <cellStyle name="Normal 3" xfId="12" xr:uid="{00000000-0005-0000-0000-000074000000}"/>
    <cellStyle name="Normal 3 10" xfId="568" xr:uid="{99A698EE-653E-432C-B371-C6059BBB589F}"/>
    <cellStyle name="Normal 3 11" xfId="750" xr:uid="{5F9B41DE-A899-4CB0-8BEB-F2EC501E3BD2}"/>
    <cellStyle name="Normal 3 12" xfId="932" xr:uid="{CB3D9AE5-8D37-4FBE-9DF3-F69AFAB9DF37}"/>
    <cellStyle name="Normal 3 13" xfId="1115" xr:uid="{E00A3226-DFFC-43F1-BE45-9B3640861CD5}"/>
    <cellStyle name="Normal 3 14" xfId="1300" xr:uid="{FC070CA4-868F-400F-A712-126576E74FBB}"/>
    <cellStyle name="Normal 3 15" xfId="1488" xr:uid="{8E42FD66-0F10-4F5B-8776-1AC3EB118844}"/>
    <cellStyle name="Normal 3 16" xfId="1676" xr:uid="{A6AEB8DA-4E39-43C9-9A14-9447DD36A80B}"/>
    <cellStyle name="Normal 3 17" xfId="1864" xr:uid="{EBF66811-4E66-4A29-94DF-19ACF491E617}"/>
    <cellStyle name="Normal 3 2" xfId="336" xr:uid="{EB57B10B-25ED-4A95-AD9E-D0CD8253AFBD}"/>
    <cellStyle name="Normal 3 2 2" xfId="350" xr:uid="{349FBAB1-8A89-4FE6-87E5-B442B056BD03}"/>
    <cellStyle name="Normal 3 2 3" xfId="396" xr:uid="{2DF0F29E-F292-4F53-9EB2-3B2A0F93D895}"/>
    <cellStyle name="Normal 3 3" xfId="337" xr:uid="{9BA954D3-726C-47DB-A76F-D2F4902F5354}"/>
    <cellStyle name="Normal 3 4" xfId="395" xr:uid="{A88F0CCC-B3D4-4007-A2AB-CF80C3969CE9}"/>
    <cellStyle name="Normal 3 5" xfId="428" xr:uid="{3DF5455A-EFD2-4BF4-AA32-9A036D81C544}"/>
    <cellStyle name="Normal 3 6" xfId="450" xr:uid="{456D422B-6A2C-4B6B-B91B-021C894CC9D7}"/>
    <cellStyle name="Normal 3 7" xfId="500" xr:uid="{566DF44A-D575-41E4-9C52-33853FD7E1F2}"/>
    <cellStyle name="Normal 3 8" xfId="533" xr:uid="{88A91944-5FD0-40C9-8E91-1E7952097987}"/>
    <cellStyle name="Normal 3 9" xfId="539" xr:uid="{575BF18C-A4C4-4AB4-9D06-C6F24618C5F2}"/>
    <cellStyle name="Normal 30" xfId="50" xr:uid="{00000000-0005-0000-0000-000075000000}"/>
    <cellStyle name="Normal 30 2" xfId="596" xr:uid="{F6D2C993-7C5F-4336-9ECD-49F4E469EB86}"/>
    <cellStyle name="Normal 30 3" xfId="778" xr:uid="{8168B92F-B581-4920-8C1A-AA4FFA53F19C}"/>
    <cellStyle name="Normal 30 4" xfId="960" xr:uid="{A549E2B9-6015-4C79-9B34-EBBCCB0F7D82}"/>
    <cellStyle name="Normal 30 5" xfId="1143" xr:uid="{F17527E2-C585-4EF1-86DF-5B62A7810793}"/>
    <cellStyle name="Normal 30 6" xfId="1328" xr:uid="{64D16E26-12BE-4817-9485-471CB2FC1D7A}"/>
    <cellStyle name="Normal 30 7" xfId="1516" xr:uid="{C3FAC3E7-9BA1-4935-8A3C-5655D9CA2F1F}"/>
    <cellStyle name="Normal 30 8" xfId="1704" xr:uid="{EAB0F7B3-DDEA-4F0A-9CB4-CBCEF3B4D4E1}"/>
    <cellStyle name="Normal 30 9" xfId="1892" xr:uid="{DF44F7BB-F45F-4C60-B041-92319FE56763}"/>
    <cellStyle name="Normal 300" xfId="2156" xr:uid="{A15ED9DF-E5CD-48DB-B47B-D1C9F4132CC1}"/>
    <cellStyle name="Normal 301" xfId="2157" xr:uid="{88F5087A-F111-43A8-880F-73B920C735A8}"/>
    <cellStyle name="Normal 302" xfId="2158" xr:uid="{56D9F85C-B8EC-4B5A-A230-09C9F339541E}"/>
    <cellStyle name="Normal 303" xfId="2159" xr:uid="{E22A71A7-0E9E-4BE1-B8F1-4D845110CB7E}"/>
    <cellStyle name="Normal 304" xfId="2160" xr:uid="{26E32EE5-8069-4004-B874-036884A3608D}"/>
    <cellStyle name="Normal 305" xfId="204" xr:uid="{00000000-0005-0000-0000-000076000000}"/>
    <cellStyle name="Normal 305 2" xfId="1296" xr:uid="{08E874F0-B3C7-45E2-B676-F99F15E2FC0C}"/>
    <cellStyle name="Normal 305 3" xfId="1481" xr:uid="{2CC6CE09-8035-457C-A6D7-77A71389011C}"/>
    <cellStyle name="Normal 305 4" xfId="1669" xr:uid="{6E1FAC28-07FE-4424-832F-4411FCA52C8C}"/>
    <cellStyle name="Normal 305 5" xfId="1857" xr:uid="{95498DE3-8FC7-4A9B-A003-944B4ED2CAA7}"/>
    <cellStyle name="Normal 305 6" xfId="2045" xr:uid="{CAF4ABED-FB2D-4869-86F3-5A45ED14DE7E}"/>
    <cellStyle name="Normal 306" xfId="2161" xr:uid="{BB89CEB8-F960-4D7D-8F4C-D03B35D4D8A5}"/>
    <cellStyle name="Normal 307" xfId="203" xr:uid="{00000000-0005-0000-0000-000077000000}"/>
    <cellStyle name="Normal 307 2" xfId="1295" xr:uid="{CA49C9F1-5A35-4CE4-B450-7FE752EA12C0}"/>
    <cellStyle name="Normal 307 3" xfId="1480" xr:uid="{12518653-0ED2-48DA-9732-76021BA872AC}"/>
    <cellStyle name="Normal 307 4" xfId="1668" xr:uid="{81E9ECFE-8DF4-4914-813A-37296EA88FE4}"/>
    <cellStyle name="Normal 307 5" xfId="1856" xr:uid="{B1FE71BF-A9BC-4011-B3D0-5D6A301584DC}"/>
    <cellStyle name="Normal 307 6" xfId="2044" xr:uid="{FE047956-D2AE-44B0-8FBE-FD4D00294A50}"/>
    <cellStyle name="Normal 308" xfId="202" xr:uid="{00000000-0005-0000-0000-000078000000}"/>
    <cellStyle name="Normal 308 2" xfId="1294" xr:uid="{E93A6E4C-2A96-4617-8D6C-F49CDA9F0C02}"/>
    <cellStyle name="Normal 308 3" xfId="1479" xr:uid="{328992D0-0E35-41DB-9090-FF5E554B833B}"/>
    <cellStyle name="Normal 308 4" xfId="1667" xr:uid="{BC732C3E-90E8-4E5B-AF8C-7071905A7BDF}"/>
    <cellStyle name="Normal 308 5" xfId="1855" xr:uid="{C437206F-94DC-4972-BB5C-651F33672CCF}"/>
    <cellStyle name="Normal 308 6" xfId="2043" xr:uid="{E90E21D8-91C1-4AE7-B73B-5018E54E6F82}"/>
    <cellStyle name="Normal 309" xfId="2162" xr:uid="{173D9EDE-0051-468D-8C95-5328F17977FE}"/>
    <cellStyle name="Normal 31" xfId="51" xr:uid="{00000000-0005-0000-0000-000079000000}"/>
    <cellStyle name="Normal 31 2" xfId="597" xr:uid="{004264AB-0D81-4DE9-A8E8-F136124F3481}"/>
    <cellStyle name="Normal 31 3" xfId="779" xr:uid="{8C0301C3-39DD-4127-AD2F-DABDF6A7390A}"/>
    <cellStyle name="Normal 31 4" xfId="961" xr:uid="{AE5988E4-C880-4A23-9946-DA7FF4EF202D}"/>
    <cellStyle name="Normal 31 5" xfId="1144" xr:uid="{DD4B1B48-823C-487B-BB96-A893245DA58B}"/>
    <cellStyle name="Normal 31 6" xfId="1329" xr:uid="{78F6D611-F208-4921-BB8C-741CC292A9CD}"/>
    <cellStyle name="Normal 31 7" xfId="1517" xr:uid="{165161C7-4824-4750-A743-601ACB0F6938}"/>
    <cellStyle name="Normal 31 8" xfId="1705" xr:uid="{EE3A88B3-865D-42E0-89B8-065F5BD5DA76}"/>
    <cellStyle name="Normal 31 9" xfId="1893" xr:uid="{C1048ACD-6856-4090-B0A7-33FEFBB757F1}"/>
    <cellStyle name="Normal 310" xfId="2163" xr:uid="{E36FD6F8-007C-42AF-B3AB-2A5C935DA8ED}"/>
    <cellStyle name="Normal 311" xfId="2164" xr:uid="{D4AEAFC1-B2C7-4FD2-BFCF-10D7AC97FC3B}"/>
    <cellStyle name="Normal 312" xfId="2165" xr:uid="{A398F530-ED64-4FC5-B621-9B44EDBCC628}"/>
    <cellStyle name="Normal 313" xfId="2166" xr:uid="{F51BC868-E507-4D0D-B895-4763DCA627D1}"/>
    <cellStyle name="Normal 314" xfId="2167" xr:uid="{EED3C939-6DC9-42A7-975A-D21EDFCA11C6}"/>
    <cellStyle name="Normal 315" xfId="2168" xr:uid="{B848C3ED-602B-4A10-88A1-D3C1AACFAA65}"/>
    <cellStyle name="Normal 316" xfId="205" xr:uid="{00000000-0005-0000-0000-00007A000000}"/>
    <cellStyle name="Normal 316 2" xfId="1482" xr:uid="{700C7D9A-34EB-484B-8F6C-39CA7E6DC24A}"/>
    <cellStyle name="Normal 316 3" xfId="1670" xr:uid="{F64DD453-B11C-4B50-93F6-34A7F728B78D}"/>
    <cellStyle name="Normal 316 4" xfId="1858" xr:uid="{B5739FEB-38E3-43A9-B4AC-1FC2B479E8FD}"/>
    <cellStyle name="Normal 316 5" xfId="2046" xr:uid="{E96329B3-F583-40BB-9075-B8218E98F0D3}"/>
    <cellStyle name="Normal 317" xfId="206" xr:uid="{00000000-0005-0000-0000-00007B000000}"/>
    <cellStyle name="Normal 317 2" xfId="1483" xr:uid="{B4097B7B-1EE9-43DB-93D6-12368F9B994E}"/>
    <cellStyle name="Normal 317 3" xfId="1671" xr:uid="{4DCC1641-903B-487C-9B40-DBA4458574B4}"/>
    <cellStyle name="Normal 317 4" xfId="1859" xr:uid="{44B8BF74-55FD-4C60-8A14-41DA98000568}"/>
    <cellStyle name="Normal 317 5" xfId="2047" xr:uid="{36FBB160-BEAD-40C5-84FC-077F583DDB5A}"/>
    <cellStyle name="Normal 318" xfId="2169" xr:uid="{1F1ED275-BA7F-4D10-984A-66E2E1A5E3EF}"/>
    <cellStyle name="Normal 319" xfId="207" xr:uid="{00000000-0005-0000-0000-00007C000000}"/>
    <cellStyle name="Normal 319 2" xfId="1484" xr:uid="{A401E6B2-161F-40F6-8DFA-85417CC194A9}"/>
    <cellStyle name="Normal 319 3" xfId="1672" xr:uid="{6FB753DA-79B0-49A3-A980-141F5DBF1B93}"/>
    <cellStyle name="Normal 319 4" xfId="1860" xr:uid="{7ED7DCED-063F-4EE9-8327-2FFFDB936AC4}"/>
    <cellStyle name="Normal 319 5" xfId="2048" xr:uid="{650A7504-AA6E-48C2-8ED3-5295C8E4501E}"/>
    <cellStyle name="Normal 32" xfId="52" xr:uid="{00000000-0005-0000-0000-00007D000000}"/>
    <cellStyle name="Normal 32 2" xfId="598" xr:uid="{50223DEE-A98C-451E-B0E6-01CBB9540B6D}"/>
    <cellStyle name="Normal 32 3" xfId="780" xr:uid="{65E7A39C-266C-4651-81D5-3D84056D24A1}"/>
    <cellStyle name="Normal 32 4" xfId="962" xr:uid="{8D01192F-6568-4A65-A942-96A1D4A33E1D}"/>
    <cellStyle name="Normal 32 5" xfId="1145" xr:uid="{7546E235-4B88-4574-AB65-7ECB22812D6F}"/>
    <cellStyle name="Normal 32 6" xfId="1330" xr:uid="{BC8A40B6-D0B5-45AE-BC5B-1D4EC05EE35F}"/>
    <cellStyle name="Normal 32 7" xfId="1518" xr:uid="{CB2ED3E4-249D-4C1A-B20D-029BC02AE783}"/>
    <cellStyle name="Normal 32 8" xfId="1706" xr:uid="{492CCEBA-F6B5-4BF3-8670-2BAC1B04B0C0}"/>
    <cellStyle name="Normal 32 9" xfId="1894" xr:uid="{1E97B486-3AD5-4335-99ED-C1FCF5656D23}"/>
    <cellStyle name="Normal 320" xfId="2170" xr:uid="{317462C4-0694-495F-869D-2F1EA1AEB061}"/>
    <cellStyle name="Normal 321" xfId="2171" xr:uid="{41628C37-A807-4FEA-B0D0-1609F9943947}"/>
    <cellStyle name="Normal 322" xfId="2172" xr:uid="{3BB51F1D-96A5-4BE3-8704-F949ED3C2C28}"/>
    <cellStyle name="Normal 323" xfId="2173" xr:uid="{D58FB0F4-5F7B-4857-A28D-FBBC95DA8680}"/>
    <cellStyle name="Normal 324" xfId="2174" xr:uid="{A5790E40-1199-44E3-B036-C459B3D5CA18}"/>
    <cellStyle name="Normal 325" xfId="2175" xr:uid="{12B8E660-BC9A-4213-BD81-5E0CF142EC5C}"/>
    <cellStyle name="Normal 326" xfId="2176" xr:uid="{C415C755-B169-4F83-A3A4-CC49C08E1F27}"/>
    <cellStyle name="Normal 327" xfId="2177" xr:uid="{CF74451E-18F9-4B42-950A-C4DD095FCCF7}"/>
    <cellStyle name="Normal 328" xfId="2178" xr:uid="{E0320784-DB95-4105-9D24-631090F69996}"/>
    <cellStyle name="Normal 329" xfId="2179" xr:uid="{6ACD4865-8116-4E33-9447-FE2118B79FE9}"/>
    <cellStyle name="Normal 33" xfId="53" xr:uid="{00000000-0005-0000-0000-00007E000000}"/>
    <cellStyle name="Normal 33 2" xfId="599" xr:uid="{1A611015-DFE1-4A5F-8E66-79F064572748}"/>
    <cellStyle name="Normal 33 3" xfId="781" xr:uid="{09035510-418F-40A2-BCD3-13A4809E25B5}"/>
    <cellStyle name="Normal 33 4" xfId="963" xr:uid="{1DB3618D-8C27-4139-BBC6-76D7E8EA52BC}"/>
    <cellStyle name="Normal 33 5" xfId="1146" xr:uid="{B1E0809D-181A-4D8D-9688-C3CBF3DF38E0}"/>
    <cellStyle name="Normal 33 6" xfId="1331" xr:uid="{BAB5B7D1-D263-497A-9E28-40EE9A5DC73B}"/>
    <cellStyle name="Normal 33 7" xfId="1519" xr:uid="{1B62377D-D4E0-435D-99DD-E5DA696A1B1C}"/>
    <cellStyle name="Normal 33 8" xfId="1707" xr:uid="{9271A628-9A22-4AD0-AA84-06850FE28E48}"/>
    <cellStyle name="Normal 33 9" xfId="1895" xr:uid="{E0E7CD79-E695-4AC0-A4E3-CFACAD939358}"/>
    <cellStyle name="Normal 330" xfId="2180" xr:uid="{2BA5D43E-0D06-41D9-A813-BAF86EDDA5AF}"/>
    <cellStyle name="Normal 331" xfId="2181" xr:uid="{D510EB87-991E-47B3-A8EC-19DDAD509369}"/>
    <cellStyle name="Normal 332" xfId="2182" xr:uid="{88B83E61-592A-4DC1-8E5A-F5B82D706020}"/>
    <cellStyle name="Normal 333" xfId="2183" xr:uid="{BD6BC6DC-5B68-4720-AF94-A8D0D9E28D30}"/>
    <cellStyle name="Normal 334" xfId="2184" xr:uid="{0813DE1B-6A34-4D00-98EB-14629C1EDFFC}"/>
    <cellStyle name="Normal 335" xfId="2185" xr:uid="{F0B915A5-29AD-4AB5-9077-F48886A4A563}"/>
    <cellStyle name="Normal 336" xfId="2186" xr:uid="{29A1D0A0-2FDA-40B8-A365-03712184AC77}"/>
    <cellStyle name="Normal 337" xfId="2187" xr:uid="{A2E8E652-AADC-49DA-90F4-B6950B610B8B}"/>
    <cellStyle name="Normal 338" xfId="2188" xr:uid="{447F460F-43E3-4FBD-9BA6-EF2BF59B86CE}"/>
    <cellStyle name="Normal 339" xfId="2189" xr:uid="{B91EBCFC-ABAC-4DC6-B698-8C9135F91880}"/>
    <cellStyle name="Normal 34" xfId="54" xr:uid="{00000000-0005-0000-0000-00007F000000}"/>
    <cellStyle name="Normal 34 2" xfId="600" xr:uid="{48C34518-521F-4C61-A669-B905BB99401A}"/>
    <cellStyle name="Normal 34 3" xfId="782" xr:uid="{241513A5-34E2-4DA4-8A63-B9E5C39DC2B6}"/>
    <cellStyle name="Normal 34 4" xfId="964" xr:uid="{FB55C537-F76D-489B-8BB3-A529ABE2E1ED}"/>
    <cellStyle name="Normal 34 5" xfId="1147" xr:uid="{D58BE284-16A3-4938-960F-B54AE92A0A7A}"/>
    <cellStyle name="Normal 34 6" xfId="1332" xr:uid="{6D41B0A2-E3AB-4862-B6B5-E14CEC599421}"/>
    <cellStyle name="Normal 34 7" xfId="1520" xr:uid="{F01B51C6-E5A7-451B-82B0-4DF54D62E083}"/>
    <cellStyle name="Normal 34 8" xfId="1708" xr:uid="{9251903E-AE5A-4CFF-BA80-4B7261789095}"/>
    <cellStyle name="Normal 34 9" xfId="1896" xr:uid="{A23C2D43-2DD6-4018-9BDF-054E18705019}"/>
    <cellStyle name="Normal 340" xfId="2190" xr:uid="{BDF7A872-048C-44AC-86E2-8AB37609844D}"/>
    <cellStyle name="Normal 341" xfId="2191" xr:uid="{38E01368-CF54-4118-B090-6DA50A40A3C9}"/>
    <cellStyle name="Normal 342" xfId="2192" xr:uid="{93E480C1-5232-42F0-A1A3-9735B7A95D2C}"/>
    <cellStyle name="Normal 343" xfId="2193" xr:uid="{4D73D26A-AA24-4E1C-A77A-06270BC4D9DD}"/>
    <cellStyle name="Normal 344" xfId="2194" xr:uid="{7C6CC92F-4232-430B-B0DB-40DA37F31EAE}"/>
    <cellStyle name="Normal 345" xfId="2195" xr:uid="{3D097BD6-97DA-4504-8B60-FB281D2B919B}"/>
    <cellStyle name="Normal 346" xfId="2196" xr:uid="{0D1C0A95-6152-48F0-BD78-924A9712DB9D}"/>
    <cellStyle name="Normal 347" xfId="2197" xr:uid="{E2D90F52-B179-484D-9A73-59EEEEEF426C}"/>
    <cellStyle name="Normal 348" xfId="2198" xr:uid="{3B9B6BBE-E05D-452A-B2EB-B08F02124621}"/>
    <cellStyle name="Normal 349" xfId="2199" xr:uid="{D4271C94-3AE8-44E5-A3DE-A0909D28404A}"/>
    <cellStyle name="Normal 35" xfId="55" xr:uid="{00000000-0005-0000-0000-000080000000}"/>
    <cellStyle name="Normal 35 2" xfId="601" xr:uid="{3C1A5913-DB7C-4F51-9007-A51DF0C24077}"/>
    <cellStyle name="Normal 35 3" xfId="783" xr:uid="{240F0E98-3DA2-4ECF-B60A-3A2B18121D66}"/>
    <cellStyle name="Normal 35 4" xfId="965" xr:uid="{0A180D5A-9A95-4582-95B9-4D7AAC12CDA6}"/>
    <cellStyle name="Normal 35 5" xfId="1148" xr:uid="{6486C723-0DB5-45A5-9A75-23B4768A46CA}"/>
    <cellStyle name="Normal 35 6" xfId="1333" xr:uid="{0F7BD179-BF77-4330-8E9C-2996EB13065E}"/>
    <cellStyle name="Normal 35 7" xfId="1521" xr:uid="{89CA080B-96D2-470F-BAD3-76B119F94F44}"/>
    <cellStyle name="Normal 35 8" xfId="1709" xr:uid="{1B719C54-6996-46D9-8CAC-B3E1AB8CF193}"/>
    <cellStyle name="Normal 35 9" xfId="1897" xr:uid="{B86242ED-33C2-4F28-B445-4497D029A68D}"/>
    <cellStyle name="Normal 350" xfId="2200" xr:uid="{4BABB120-12EC-4985-A9EA-4F4C162A45BB}"/>
    <cellStyle name="Normal 351" xfId="2201" xr:uid="{B6751147-BE6A-4484-880D-1F3A7D882327}"/>
    <cellStyle name="Normal 352" xfId="2202" xr:uid="{B6495180-5660-4F82-84CA-EB64AC1191CA}"/>
    <cellStyle name="Normal 353" xfId="2203" xr:uid="{48BE0989-D644-46EC-A756-7ED4D051C4AD}"/>
    <cellStyle name="Normal 354" xfId="2204" xr:uid="{7CDAF795-EA37-4605-8E87-CC190C7F2D19}"/>
    <cellStyle name="Normal 355" xfId="2205" xr:uid="{0B4BB0A7-CBCB-4BDC-BD8A-370957226BFB}"/>
    <cellStyle name="Normal 356" xfId="2206" xr:uid="{74D35CF9-8069-4BEB-83EA-C4DE57D18F7D}"/>
    <cellStyle name="Normal 357" xfId="2207" xr:uid="{369DFC2E-0E26-455A-875B-99DCD912E183}"/>
    <cellStyle name="Normal 358" xfId="2208" xr:uid="{AF606148-32BA-45D8-B5EB-3B708B25FD20}"/>
    <cellStyle name="Normal 359" xfId="2209" xr:uid="{CD7EE2BE-28D5-46CA-9C50-0D15F810394E}"/>
    <cellStyle name="Normal 36" xfId="56" xr:uid="{00000000-0005-0000-0000-000081000000}"/>
    <cellStyle name="Normal 36 2" xfId="602" xr:uid="{CFC24B28-E5A3-43B7-800B-B012717C3371}"/>
    <cellStyle name="Normal 36 3" xfId="784" xr:uid="{00AD0CEB-F0BB-4FC2-9AD3-756DED601F70}"/>
    <cellStyle name="Normal 36 4" xfId="966" xr:uid="{8B335C4D-2412-4BB7-86A2-AC983DDA4788}"/>
    <cellStyle name="Normal 36 5" xfId="1149" xr:uid="{21DD05DE-9B21-4514-AA85-66ED436E9C89}"/>
    <cellStyle name="Normal 36 6" xfId="1334" xr:uid="{5D03605F-5183-4B3C-BD2F-3E2B2FDA0DDF}"/>
    <cellStyle name="Normal 36 7" xfId="1522" xr:uid="{29EF1385-A24E-434A-BA25-632DA6141E5B}"/>
    <cellStyle name="Normal 36 8" xfId="1710" xr:uid="{1CEB71FC-CCE3-4F99-9676-AFDAE41E66B4}"/>
    <cellStyle name="Normal 36 9" xfId="1898" xr:uid="{42731FAC-BD35-469F-B76B-9DFE080F0EC1}"/>
    <cellStyle name="Normal 360" xfId="2210" xr:uid="{187EED67-4050-4828-99FD-C7E2C99988AB}"/>
    <cellStyle name="Normal 361" xfId="2211" xr:uid="{75008D18-23AE-4341-AEA9-F13BDC61118F}"/>
    <cellStyle name="Normal 362" xfId="2212" xr:uid="{65C67FFA-AE37-407C-90C5-77917AD9CF55}"/>
    <cellStyle name="Normal 363" xfId="2213" xr:uid="{B2DD2CB9-B9AE-4550-9B6A-06987C35DF82}"/>
    <cellStyle name="Normal 364" xfId="2214" xr:uid="{001E58BA-C30F-4303-9BA4-2899788D2ABA}"/>
    <cellStyle name="Normal 365" xfId="2215" xr:uid="{8CD20FE7-4E9C-4038-B12F-EC449ACCFF4E}"/>
    <cellStyle name="Normal 366" xfId="2216" xr:uid="{3E2B1E40-5B15-4959-B919-B81470700C83}"/>
    <cellStyle name="Normal 367" xfId="2217" xr:uid="{A9FC53BC-0A63-44A5-BF1A-465ACDF41778}"/>
    <cellStyle name="Normal 368" xfId="2218" xr:uid="{06BA0A5B-B010-4DC8-94F6-7AF5DBB830F5}"/>
    <cellStyle name="Normal 369" xfId="2219" xr:uid="{DDDF4181-FEFC-4EE2-8317-D8EB0F6A7940}"/>
    <cellStyle name="Normal 37" xfId="57" xr:uid="{00000000-0005-0000-0000-000082000000}"/>
    <cellStyle name="Normal 37 2" xfId="603" xr:uid="{51051782-D187-4F40-A9A2-AA5C237E6E9A}"/>
    <cellStyle name="Normal 37 3" xfId="785" xr:uid="{119C5952-AEB1-4B9F-8C43-756E8270D9FE}"/>
    <cellStyle name="Normal 37 4" xfId="967" xr:uid="{2801DB89-E312-4C31-B484-8BA3A3DCC573}"/>
    <cellStyle name="Normal 37 5" xfId="1150" xr:uid="{1690F4F9-18C1-4344-9612-03A004D97554}"/>
    <cellStyle name="Normal 37 6" xfId="1335" xr:uid="{C296ACAF-9C6D-48C0-9962-AB4654956AB9}"/>
    <cellStyle name="Normal 37 7" xfId="1523" xr:uid="{27E807BF-672A-449D-9C81-7EE3D1E76033}"/>
    <cellStyle name="Normal 37 8" xfId="1711" xr:uid="{646675F5-3087-4971-B78E-FC734362A9FC}"/>
    <cellStyle name="Normal 37 9" xfId="1899" xr:uid="{AD67998E-84F6-4ABC-8016-D2CBBF2079A6}"/>
    <cellStyle name="Normal 370" xfId="2220" xr:uid="{9AE6B7F5-1C5A-477F-B87F-E9B1CF8C1B40}"/>
    <cellStyle name="Normal 371" xfId="2221" xr:uid="{9D3CAAB1-D007-45FE-8102-E323FBC4B6FA}"/>
    <cellStyle name="Normal 372" xfId="2222" xr:uid="{1C564C0F-4CED-4C4F-95E1-E12227BC9781}"/>
    <cellStyle name="Normal 373" xfId="2223" xr:uid="{52E44EA3-F0B0-45E7-9E17-7ED19079EA14}"/>
    <cellStyle name="Normal 374" xfId="2224" xr:uid="{62542DDA-7036-4765-AD89-B9B09ECF31B2}"/>
    <cellStyle name="Normal 375" xfId="2225" xr:uid="{F2FD82D6-DB71-4DE3-B835-5573DB072751}"/>
    <cellStyle name="Normal 376" xfId="2226" xr:uid="{B7FEFA07-6C6C-42ED-B0A3-96009BD900AE}"/>
    <cellStyle name="Normal 377" xfId="2227" xr:uid="{45F6F166-12E9-493B-9764-5633311FD551}"/>
    <cellStyle name="Normal 378" xfId="2228" xr:uid="{09624037-81E3-48EC-976E-20D6015014A5}"/>
    <cellStyle name="Normal 379" xfId="2229" xr:uid="{2AAEF342-1D0B-452F-AE40-E0F0785FBD5E}"/>
    <cellStyle name="Normal 38" xfId="58" xr:uid="{00000000-0005-0000-0000-000083000000}"/>
    <cellStyle name="Normal 38 2" xfId="604" xr:uid="{B767A257-C628-4A85-8BCD-493095BCD265}"/>
    <cellStyle name="Normal 38 3" xfId="786" xr:uid="{18CCE718-3EB3-4081-9102-3BF202D917C5}"/>
    <cellStyle name="Normal 38 4" xfId="968" xr:uid="{D0D1C869-4D33-4F28-89EC-BCA81E53C19E}"/>
    <cellStyle name="Normal 38 5" xfId="1151" xr:uid="{E86598A4-C09D-4540-96FF-5629F7DFF975}"/>
    <cellStyle name="Normal 38 6" xfId="1336" xr:uid="{67194406-A738-47B7-974C-ABC7E3971B79}"/>
    <cellStyle name="Normal 38 7" xfId="1524" xr:uid="{AFBB5E50-7E1F-4811-875A-99721D149657}"/>
    <cellStyle name="Normal 38 8" xfId="1712" xr:uid="{069B86F8-8F35-40E1-A833-4DA99ADA87CC}"/>
    <cellStyle name="Normal 38 9" xfId="1900" xr:uid="{B29D2A9E-CDB8-48F0-A6E6-CD55B7FBC93F}"/>
    <cellStyle name="Normal 380" xfId="2230" xr:uid="{21362384-50E0-492F-9DB2-FD958E685511}"/>
    <cellStyle name="Normal 381" xfId="2231" xr:uid="{D1BB4FDF-D14B-42B8-9800-B3D9C5B5F6B3}"/>
    <cellStyle name="Normal 382" xfId="2232" xr:uid="{0C2A217A-0587-4417-9FB0-FE76C72CD637}"/>
    <cellStyle name="Normal 383" xfId="2233" xr:uid="{BEDD26CB-99E0-4803-8A14-B2F55F067BC4}"/>
    <cellStyle name="Normal 384" xfId="2234" xr:uid="{13EA3B60-0682-44B8-BD76-E5CF4CC29E0D}"/>
    <cellStyle name="Normal 385" xfId="2235" xr:uid="{5EB088AB-D3B8-433B-ADCA-4B2C47EA1080}"/>
    <cellStyle name="Normal 386" xfId="2236" xr:uid="{56B4FBB3-E10C-48A4-9F58-E3ACC70907C2}"/>
    <cellStyle name="Normal 387" xfId="2237" xr:uid="{8803241D-EAD5-4F6B-B8BC-B0FCCCFE97D6}"/>
    <cellStyle name="Normal 388" xfId="2238" xr:uid="{4A3D276B-6E17-48E0-97A2-74D28385D947}"/>
    <cellStyle name="Normal 389" xfId="2239" xr:uid="{F0D75D83-3D9E-4C37-96A3-DDFBBBFB2785}"/>
    <cellStyle name="Normal 39" xfId="59" xr:uid="{00000000-0005-0000-0000-000084000000}"/>
    <cellStyle name="Normal 39 2" xfId="605" xr:uid="{E5D0021B-2955-441C-87D2-5AC65A350504}"/>
    <cellStyle name="Normal 39 3" xfId="787" xr:uid="{4E5D8B8E-D148-49DF-AB86-6317A0ECA943}"/>
    <cellStyle name="Normal 39 4" xfId="969" xr:uid="{A71407D3-8B6C-41D2-8A69-B9CF6DDBE0C7}"/>
    <cellStyle name="Normal 39 5" xfId="1152" xr:uid="{F73708B3-CC1A-4B08-A5D3-7137382D4DFC}"/>
    <cellStyle name="Normal 39 6" xfId="1337" xr:uid="{222BBEBD-C70A-4934-87F3-ED599925B454}"/>
    <cellStyle name="Normal 39 7" xfId="1525" xr:uid="{8554EA85-6573-485B-9538-7371CE2E011B}"/>
    <cellStyle name="Normal 39 8" xfId="1713" xr:uid="{6C2FED1D-6CB4-4B57-B90C-35B85BD113A3}"/>
    <cellStyle name="Normal 39 9" xfId="1901" xr:uid="{B46236DD-6924-4815-9A5B-09913DCC09F8}"/>
    <cellStyle name="Normal 390" xfId="2240" xr:uid="{80F686A8-A341-4D38-8CFE-25A34735DCE2}"/>
    <cellStyle name="Normal 391" xfId="2241" xr:uid="{E6498303-2C24-403C-9F49-E364B6020013}"/>
    <cellStyle name="Normal 392" xfId="2243" xr:uid="{FF37738A-B221-4D5F-A523-F6FA9E2DDC44}"/>
    <cellStyle name="Normal 393" xfId="2244" xr:uid="{E8CA471B-1C82-4DCB-B4D2-8B350D5D8499}"/>
    <cellStyle name="Normal 394" xfId="2245" xr:uid="{75B69D42-73F2-480B-AB7E-DBE97F15DA63}"/>
    <cellStyle name="Normal 4" xfId="13" xr:uid="{00000000-0005-0000-0000-000085000000}"/>
    <cellStyle name="Normal 4 10" xfId="751" xr:uid="{88A3DD8E-B014-40BC-A3A4-D952EAF6FF36}"/>
    <cellStyle name="Normal 4 11" xfId="933" xr:uid="{260B7BB7-8390-4562-9788-F7C8DC3B5D97}"/>
    <cellStyle name="Normal 4 12" xfId="1116" xr:uid="{1B8274D6-58D9-466B-A5A9-2D9D25C61C8F}"/>
    <cellStyle name="Normal 4 13" xfId="1301" xr:uid="{F247EF81-B103-49BB-AB52-B6ACF4D71F47}"/>
    <cellStyle name="Normal 4 14" xfId="1489" xr:uid="{86CB9302-7FD8-4C70-B1CE-1CAD1A559289}"/>
    <cellStyle name="Normal 4 15" xfId="1677" xr:uid="{372A14B4-5984-42AC-BACF-5E6D3DB0594E}"/>
    <cellStyle name="Normal 4 16" xfId="1865" xr:uid="{4266E50D-9450-4455-9EA7-B18B28009099}"/>
    <cellStyle name="Normal 4 17" xfId="292" xr:uid="{A2DBA2F4-C3F3-46F0-94FA-0F6D4C6E41A5}"/>
    <cellStyle name="Normal 4 2" xfId="360" xr:uid="{7D04A6F0-BC80-42D1-BED9-514162FE4467}"/>
    <cellStyle name="Normal 4 3" xfId="397" xr:uid="{25712B9E-EF8C-4B8B-B812-0BF0CC1E8C74}"/>
    <cellStyle name="Normal 4 4" xfId="429" xr:uid="{38F38ABC-4217-40D0-B48E-77A3C3457183}"/>
    <cellStyle name="Normal 4 5" xfId="451" xr:uid="{0B6FE237-2DBA-4B15-8726-7F001270EAF1}"/>
    <cellStyle name="Normal 4 6" xfId="501" xr:uid="{2F929258-4A46-458F-A90C-0CF0500BDFE1}"/>
    <cellStyle name="Normal 4 7" xfId="534" xr:uid="{600BA67F-15E6-4EA4-A8FE-E6AC721A2607}"/>
    <cellStyle name="Normal 4 8" xfId="540" xr:uid="{72D58AB8-5437-4BB1-9FE8-16CF0F805C0D}"/>
    <cellStyle name="Normal 4 9" xfId="569" xr:uid="{7AE64F18-6A74-4A4C-80FB-D0C6B3097A6D}"/>
    <cellStyle name="Normal 40" xfId="60" xr:uid="{00000000-0005-0000-0000-000086000000}"/>
    <cellStyle name="Normal 40 2" xfId="606" xr:uid="{ADFEC481-3E0B-4BA5-B889-F4A6143C1990}"/>
    <cellStyle name="Normal 40 3" xfId="788" xr:uid="{6215F3F2-EF32-44D9-9FE5-A7CF8B465817}"/>
    <cellStyle name="Normal 40 4" xfId="970" xr:uid="{21DA3445-AF01-43D8-A03D-E20E5250E934}"/>
    <cellStyle name="Normal 40 5" xfId="1153" xr:uid="{E8134227-0984-4043-867E-1BE9EF1352E2}"/>
    <cellStyle name="Normal 40 6" xfId="1338" xr:uid="{1DF0304F-CBB7-4199-B022-EE500C11D455}"/>
    <cellStyle name="Normal 40 7" xfId="1526" xr:uid="{C230724F-644B-4C79-AEDE-A27FCBDE724E}"/>
    <cellStyle name="Normal 40 8" xfId="1714" xr:uid="{ECBB16B5-481D-41DD-8CDB-60685DCBE89B}"/>
    <cellStyle name="Normal 40 9" xfId="1902" xr:uid="{1CE5C1AC-4DDE-44E3-B32C-8CC69EC710E3}"/>
    <cellStyle name="Normal 41" xfId="61" xr:uid="{00000000-0005-0000-0000-000087000000}"/>
    <cellStyle name="Normal 41 2" xfId="607" xr:uid="{1BCC0B29-1E2A-467C-80A8-A39A941FE623}"/>
    <cellStyle name="Normal 41 3" xfId="789" xr:uid="{9A34EB59-D208-41ED-B905-163ED4B74D33}"/>
    <cellStyle name="Normal 41 4" xfId="971" xr:uid="{C16F9C89-8904-4590-96AC-E145D58D9C94}"/>
    <cellStyle name="Normal 41 5" xfId="1154" xr:uid="{EC9535CC-8154-40A4-AEA8-22A139E0E545}"/>
    <cellStyle name="Normal 41 6" xfId="1339" xr:uid="{62997EEB-1FA8-4F1D-BD0D-A60155EB0461}"/>
    <cellStyle name="Normal 41 7" xfId="1527" xr:uid="{CEA80771-C77C-442E-9DB7-A279FF127A6A}"/>
    <cellStyle name="Normal 41 8" xfId="1715" xr:uid="{C7614B6D-AF39-4C67-B8F6-7A618624AFC4}"/>
    <cellStyle name="Normal 41 9" xfId="1903" xr:uid="{6274FF57-1862-4FC8-A302-BC41365197AC}"/>
    <cellStyle name="Normal 42" xfId="62" xr:uid="{00000000-0005-0000-0000-000088000000}"/>
    <cellStyle name="Normal 42 2" xfId="608" xr:uid="{7F44E091-AD56-488C-9AE6-28526EBB1569}"/>
    <cellStyle name="Normal 42 3" xfId="790" xr:uid="{F4297696-7257-4191-AEB2-15595934E860}"/>
    <cellStyle name="Normal 42 4" xfId="972" xr:uid="{231E5079-F66F-4B93-B2D2-90F07E85DE7D}"/>
    <cellStyle name="Normal 42 5" xfId="1155" xr:uid="{B23810CD-D80C-4B38-B74A-344890CE4503}"/>
    <cellStyle name="Normal 42 6" xfId="1340" xr:uid="{05E59229-D19F-447B-8102-4584A7E64A4A}"/>
    <cellStyle name="Normal 42 7" xfId="1528" xr:uid="{A46996DF-2F60-4330-AA04-E05FE8A617C0}"/>
    <cellStyle name="Normal 42 8" xfId="1716" xr:uid="{60772F81-91B2-4E7C-A381-1560EB389B10}"/>
    <cellStyle name="Normal 42 9" xfId="1904" xr:uid="{FD5B1FBC-9343-494D-B17D-6FB5A024A380}"/>
    <cellStyle name="Normal 43" xfId="63" xr:uid="{00000000-0005-0000-0000-000089000000}"/>
    <cellStyle name="Normal 43 2" xfId="609" xr:uid="{7F17416E-B4CF-4A53-805A-BA5294F36F13}"/>
    <cellStyle name="Normal 43 3" xfId="791" xr:uid="{C832A2CC-3897-46F6-B6AD-DF142C17EACF}"/>
    <cellStyle name="Normal 43 4" xfId="973" xr:uid="{4BE925A2-1981-492B-A6D8-EFB01386A8BB}"/>
    <cellStyle name="Normal 43 5" xfId="1156" xr:uid="{562C7FD6-C830-45C3-BAA3-9D4705F4DC29}"/>
    <cellStyle name="Normal 43 6" xfId="1341" xr:uid="{FD8F0FBD-0675-427D-ABDA-5ED181FF3CFF}"/>
    <cellStyle name="Normal 43 7" xfId="1529" xr:uid="{7FC9B14D-8C08-4587-AC98-71CD83A1ED30}"/>
    <cellStyle name="Normal 43 8" xfId="1717" xr:uid="{39CDB037-A6DC-4944-86D2-950535713AC1}"/>
    <cellStyle name="Normal 43 9" xfId="1905" xr:uid="{D6107C62-EDEA-4C17-8939-2CB534B3E94A}"/>
    <cellStyle name="Normal 44" xfId="64" xr:uid="{00000000-0005-0000-0000-00008A000000}"/>
    <cellStyle name="Normal 44 2" xfId="610" xr:uid="{44EC19A5-3DD1-4201-801C-50E7D04EAC73}"/>
    <cellStyle name="Normal 44 3" xfId="792" xr:uid="{2D2E7082-4444-4CD5-9D5E-946D444BF03E}"/>
    <cellStyle name="Normal 44 4" xfId="974" xr:uid="{1D2A4FDF-27E7-410E-BC91-E5D30AD0D3DD}"/>
    <cellStyle name="Normal 44 5" xfId="1157" xr:uid="{B335ECF0-8292-4AB5-BBA9-36FD6D5F7C9A}"/>
    <cellStyle name="Normal 44 6" xfId="1342" xr:uid="{2A15C659-35AD-4153-9B5D-14A6C48F3CAB}"/>
    <cellStyle name="Normal 44 7" xfId="1530" xr:uid="{9EEDC03D-7A91-42BB-8D28-B36175B76068}"/>
    <cellStyle name="Normal 44 8" xfId="1718" xr:uid="{70816834-60A5-4B5B-9D47-8D9BFC5771E3}"/>
    <cellStyle name="Normal 44 9" xfId="1906" xr:uid="{2833A102-E82D-43DA-BDF2-368B249059A3}"/>
    <cellStyle name="Normal 45" xfId="65" xr:uid="{00000000-0005-0000-0000-00008B000000}"/>
    <cellStyle name="Normal 45 2" xfId="611" xr:uid="{70D3A2D8-11EC-40B1-9CEE-04B8C3262667}"/>
    <cellStyle name="Normal 45 3" xfId="793" xr:uid="{2E5D0903-A70B-4F1A-886F-16D2CF3B1936}"/>
    <cellStyle name="Normal 45 4" xfId="975" xr:uid="{77B11F03-0EBC-43B3-B826-421590225C86}"/>
    <cellStyle name="Normal 45 5" xfId="1158" xr:uid="{76D78ED2-EA7F-42E5-9B2B-A802E2F2AE4A}"/>
    <cellStyle name="Normal 45 6" xfId="1343" xr:uid="{C41EC77E-D25E-4658-A0A4-0185F5C1653B}"/>
    <cellStyle name="Normal 45 7" xfId="1531" xr:uid="{F164AAA2-C68B-42D5-BD26-2A81686B70B9}"/>
    <cellStyle name="Normal 45 8" xfId="1719" xr:uid="{C6759725-E8FE-4866-9620-1FFCA71D007C}"/>
    <cellStyle name="Normal 45 9" xfId="1907" xr:uid="{A1EE77B0-937C-409B-AFF2-D4EB5E97E321}"/>
    <cellStyle name="Normal 46" xfId="66" xr:uid="{00000000-0005-0000-0000-00008C000000}"/>
    <cellStyle name="Normal 46 2" xfId="612" xr:uid="{D0C76C63-0BBB-4174-A8B4-77E7ECDC31E3}"/>
    <cellStyle name="Normal 46 3" xfId="794" xr:uid="{66832F71-8E4A-45A1-B987-C6946084E9EA}"/>
    <cellStyle name="Normal 46 4" xfId="976" xr:uid="{8F8BE82D-DA6C-4088-BD9F-260144A66011}"/>
    <cellStyle name="Normal 46 5" xfId="1159" xr:uid="{7CE97040-1D76-4863-BC18-EDBE9EB8289A}"/>
    <cellStyle name="Normal 46 6" xfId="1344" xr:uid="{87AFED33-F2C9-4A74-BE05-FA6A83F76DB8}"/>
    <cellStyle name="Normal 46 7" xfId="1532" xr:uid="{C27CB17F-2FBE-477D-82B3-5CF1F4CD0C77}"/>
    <cellStyle name="Normal 46 8" xfId="1720" xr:uid="{2F1586FA-12E3-40F7-8072-42638715117E}"/>
    <cellStyle name="Normal 46 9" xfId="1908" xr:uid="{1B1CAFB2-38FF-451C-91BB-C99E38A102F7}"/>
    <cellStyle name="Normal 47" xfId="67" xr:uid="{00000000-0005-0000-0000-00008D000000}"/>
    <cellStyle name="Normal 47 2" xfId="613" xr:uid="{914E6D82-BFF2-4AF9-BD36-C1F1B9F71E6D}"/>
    <cellStyle name="Normal 47 3" xfId="795" xr:uid="{7929447F-3887-4397-A692-FDB1B3C4E416}"/>
    <cellStyle name="Normal 47 4" xfId="977" xr:uid="{2C1AE304-8DF3-4A23-83E3-85BBC83F0605}"/>
    <cellStyle name="Normal 47 5" xfId="1160" xr:uid="{8EE8BEF4-58D6-45A7-AC5C-616699E83E5E}"/>
    <cellStyle name="Normal 47 6" xfId="1345" xr:uid="{B097D704-10BD-4B92-A552-EF613D7FCB9E}"/>
    <cellStyle name="Normal 47 7" xfId="1533" xr:uid="{91D019D7-7367-42FB-8A4A-A565D52E2D85}"/>
    <cellStyle name="Normal 47 8" xfId="1721" xr:uid="{CAAC2525-660E-4E48-AA07-F26F7E8A6E56}"/>
    <cellStyle name="Normal 47 9" xfId="1909" xr:uid="{5FC0061D-1003-4469-9198-D61DA3C12B06}"/>
    <cellStyle name="Normal 48" xfId="68" xr:uid="{00000000-0005-0000-0000-00008E000000}"/>
    <cellStyle name="Normal 48 2" xfId="614" xr:uid="{2C57187D-54C0-4AC4-B762-488D6EE9DBDD}"/>
    <cellStyle name="Normal 48 3" xfId="796" xr:uid="{3330414C-54EA-4AEA-A686-42813859391A}"/>
    <cellStyle name="Normal 48 4" xfId="978" xr:uid="{91B54F39-2102-4747-9BDA-C802F9EB5A5C}"/>
    <cellStyle name="Normal 48 5" xfId="1161" xr:uid="{5A0DE17C-B5ED-4D0B-B03D-4D84CCB7DBDD}"/>
    <cellStyle name="Normal 48 6" xfId="1346" xr:uid="{820BABB5-9A2D-4E55-B276-0467C8232260}"/>
    <cellStyle name="Normal 48 7" xfId="1534" xr:uid="{94FD8F88-8770-47DB-9632-C63E16E826D8}"/>
    <cellStyle name="Normal 48 8" xfId="1722" xr:uid="{28F98908-CB19-4576-B2F6-03DC9C1DF82A}"/>
    <cellStyle name="Normal 48 9" xfId="1910" xr:uid="{B244AE84-A8EF-4392-98C9-7CF0CA08D657}"/>
    <cellStyle name="Normal 49" xfId="69" xr:uid="{00000000-0005-0000-0000-00008F000000}"/>
    <cellStyle name="Normal 49 2" xfId="615" xr:uid="{D334DC80-BFB3-4AA3-AB33-C85A78646900}"/>
    <cellStyle name="Normal 49 3" xfId="797" xr:uid="{EB907417-9B22-45A7-827D-FCF566BF7109}"/>
    <cellStyle name="Normal 49 4" xfId="979" xr:uid="{F4FBA357-DADF-4319-8CAA-AEB453E8FA99}"/>
    <cellStyle name="Normal 49 5" xfId="1162" xr:uid="{56F6F498-1B83-46E1-93CE-6C8BCB3852B4}"/>
    <cellStyle name="Normal 49 6" xfId="1347" xr:uid="{8502EDE6-E4C6-4349-9C34-EA4DBC7C22B8}"/>
    <cellStyle name="Normal 49 7" xfId="1535" xr:uid="{6D46000B-7306-4A74-9B11-4A78A68648BB}"/>
    <cellStyle name="Normal 49 8" xfId="1723" xr:uid="{1AFC62C3-6A30-4A5B-A4D4-68A50A093DBB}"/>
    <cellStyle name="Normal 49 9" xfId="1911" xr:uid="{48AFC532-CE1F-45C4-B34C-E55A69463B70}"/>
    <cellStyle name="Normal 5" xfId="14" xr:uid="{00000000-0005-0000-0000-000090000000}"/>
    <cellStyle name="Normal 5 10" xfId="752" xr:uid="{AE333656-92E2-4B3F-A609-F86DDB9BB380}"/>
    <cellStyle name="Normal 5 11" xfId="934" xr:uid="{8759F06D-2716-4644-8C29-00B85542C8B5}"/>
    <cellStyle name="Normal 5 12" xfId="1117" xr:uid="{A17FBE40-B1EE-47FF-86DB-D74A320C2303}"/>
    <cellStyle name="Normal 5 13" xfId="1302" xr:uid="{BAA0EFD0-24EE-448F-B963-77EEF8F25CE9}"/>
    <cellStyle name="Normal 5 14" xfId="1490" xr:uid="{CBF23C85-2534-4A2C-B265-67C1980EE2CC}"/>
    <cellStyle name="Normal 5 15" xfId="1678" xr:uid="{0CE4034A-D09C-4A26-BFF0-0C57CBF15E27}"/>
    <cellStyle name="Normal 5 16" xfId="1866" xr:uid="{77268D9C-919C-4EBE-BF45-B6BE2A0A82E2}"/>
    <cellStyle name="Normal 5 17" xfId="338" xr:uid="{B7C6E933-B2F1-4A64-A1C2-219DC08FDAF8}"/>
    <cellStyle name="Normal 5 2" xfId="361" xr:uid="{E183A1B1-1E43-4873-87BD-462F6E18466E}"/>
    <cellStyle name="Normal 5 2 2" xfId="375" xr:uid="{6850D958-55D5-40E0-9C40-4011B6AEB81C}"/>
    <cellStyle name="Normal 5 2 3" xfId="481" xr:uid="{49048EA4-B85F-4704-8A1D-EEC7190AA17E}"/>
    <cellStyle name="Normal 5 2 4" xfId="514" xr:uid="{E6955395-EF02-4A69-AB56-5A23F37C8A55}"/>
    <cellStyle name="Normal 5 3" xfId="365" xr:uid="{BCB21F82-15CD-4203-8958-980DDCFCC402}"/>
    <cellStyle name="Normal 5 4" xfId="430" xr:uid="{874AB47B-0207-4B43-97BF-382B016522C1}"/>
    <cellStyle name="Normal 5 5" xfId="452" xr:uid="{0E4E236C-8221-4848-88C4-8EE8A243FB8B}"/>
    <cellStyle name="Normal 5 6" xfId="471" xr:uid="{5D2AD944-C96A-4E52-9C03-81E0E54B236A}"/>
    <cellStyle name="Normal 5 7" xfId="504" xr:uid="{8B93AE68-0583-4F99-8ADB-55DD1AA84902}"/>
    <cellStyle name="Normal 5 8" xfId="541" xr:uid="{5E3AD399-2B77-4C18-819F-DFE99F7531C6}"/>
    <cellStyle name="Normal 5 9" xfId="570" xr:uid="{05485F53-B6CA-49BA-BA68-B562C663EEB2}"/>
    <cellStyle name="Normal 50" xfId="70" xr:uid="{00000000-0005-0000-0000-000091000000}"/>
    <cellStyle name="Normal 50 2" xfId="616" xr:uid="{8B8B19F8-1434-4D8D-9042-612AFDC2592F}"/>
    <cellStyle name="Normal 50 3" xfId="798" xr:uid="{B540EDBF-0DE8-4CC8-B05D-13FDC3A8E515}"/>
    <cellStyle name="Normal 50 4" xfId="980" xr:uid="{96F93853-E86F-4BAA-B8C2-F939ED2C52E8}"/>
    <cellStyle name="Normal 50 5" xfId="1163" xr:uid="{B2CA05CF-7AF0-4E0E-B74E-BC6A35404F57}"/>
    <cellStyle name="Normal 50 6" xfId="1348" xr:uid="{3A8622CF-D282-40BB-9991-88A1EF8DD0F5}"/>
    <cellStyle name="Normal 50 7" xfId="1536" xr:uid="{76BAB8BA-F0DF-492B-8852-81B3CBFE2312}"/>
    <cellStyle name="Normal 50 8" xfId="1724" xr:uid="{E42D7032-D1A4-4460-92E7-CECF272462A8}"/>
    <cellStyle name="Normal 50 9" xfId="1912" xr:uid="{78E8AA62-03C5-45FA-9AF2-2D54E6AEEF76}"/>
    <cellStyle name="Normal 51" xfId="71" xr:uid="{00000000-0005-0000-0000-000092000000}"/>
    <cellStyle name="Normal 51 2" xfId="617" xr:uid="{4A4F13C3-3CB1-471B-AC21-4E9CB571AA07}"/>
    <cellStyle name="Normal 51 3" xfId="799" xr:uid="{ED53C168-B3D1-4BEE-9CE9-B1C5CAB3364D}"/>
    <cellStyle name="Normal 51 4" xfId="981" xr:uid="{DB0FDA81-A39D-4065-9793-5B657F3D0CD0}"/>
    <cellStyle name="Normal 51 5" xfId="1164" xr:uid="{6294396F-CDDE-478B-88F1-C5C6D7F5330C}"/>
    <cellStyle name="Normal 51 6" xfId="1349" xr:uid="{089F7386-F996-4636-BC35-38033B4EDC1F}"/>
    <cellStyle name="Normal 51 7" xfId="1537" xr:uid="{99E11A9A-B38D-4DCC-A443-CF460A5E2E28}"/>
    <cellStyle name="Normal 51 8" xfId="1725" xr:uid="{C67C451E-5514-45C5-B441-4C6B6F1D935C}"/>
    <cellStyle name="Normal 51 9" xfId="1913" xr:uid="{EF241125-43F1-4B6F-9686-82EC24326072}"/>
    <cellStyle name="Normal 52" xfId="72" xr:uid="{00000000-0005-0000-0000-000093000000}"/>
    <cellStyle name="Normal 52 2" xfId="618" xr:uid="{F02B4B43-0214-46BE-AEF3-EF9C0C8B076F}"/>
    <cellStyle name="Normal 52 3" xfId="800" xr:uid="{5BDF2D0A-C252-489A-ADE2-C8B47CBBF1DD}"/>
    <cellStyle name="Normal 52 4" xfId="982" xr:uid="{A32E770A-94C0-4840-BB8C-30E219DE2C7A}"/>
    <cellStyle name="Normal 52 5" xfId="1165" xr:uid="{BDB0AEF5-54FD-444D-AA3E-2705D594DC90}"/>
    <cellStyle name="Normal 52 6" xfId="1350" xr:uid="{A28537FB-BF02-4565-9A3D-E33FE1558B60}"/>
    <cellStyle name="Normal 52 7" xfId="1538" xr:uid="{A1504BAC-5C32-4F1D-AA25-C279A57F9F27}"/>
    <cellStyle name="Normal 52 8" xfId="1726" xr:uid="{8F09BD93-AF94-4733-80F1-20C2DBEB252D}"/>
    <cellStyle name="Normal 52 9" xfId="1914" xr:uid="{373D8A48-8411-4ED6-8ACF-2C676F1D43D0}"/>
    <cellStyle name="Normal 53" xfId="73" xr:uid="{00000000-0005-0000-0000-000094000000}"/>
    <cellStyle name="Normal 53 2" xfId="619" xr:uid="{B2C21E83-EE20-45F3-A434-9C0E8A4C6C46}"/>
    <cellStyle name="Normal 53 3" xfId="801" xr:uid="{03CEF118-8886-433A-AE1C-D24686B47D8C}"/>
    <cellStyle name="Normal 53 4" xfId="983" xr:uid="{7F46396D-D3E7-4CE0-8476-C52DB80559A5}"/>
    <cellStyle name="Normal 53 5" xfId="1166" xr:uid="{8B9E447B-05AE-42B9-8370-824A3C249625}"/>
    <cellStyle name="Normal 53 6" xfId="1351" xr:uid="{750AB1BD-CAC6-4892-AEEE-9EA103918D99}"/>
    <cellStyle name="Normal 53 7" xfId="1539" xr:uid="{AD95CF54-4041-4569-906D-1178A2FD07B6}"/>
    <cellStyle name="Normal 53 8" xfId="1727" xr:uid="{2628B603-0BBC-4B2F-A151-5CADF47F78A5}"/>
    <cellStyle name="Normal 53 9" xfId="1915" xr:uid="{E1D320BC-A0F0-4E5F-897A-81CCB1DB13A5}"/>
    <cellStyle name="Normal 54" xfId="74" xr:uid="{00000000-0005-0000-0000-000095000000}"/>
    <cellStyle name="Normal 54 2" xfId="620" xr:uid="{282882EB-073A-4C81-9B20-DBA208D9CC26}"/>
    <cellStyle name="Normal 54 3" xfId="802" xr:uid="{216A851C-7E07-49CA-BDD7-CD283E16BD57}"/>
    <cellStyle name="Normal 54 4" xfId="984" xr:uid="{0126327C-C94B-411E-A5A2-6DD28BD8135C}"/>
    <cellStyle name="Normal 54 5" xfId="1167" xr:uid="{6FF2B704-9375-4409-BBB7-7C7975DD29B0}"/>
    <cellStyle name="Normal 54 6" xfId="1352" xr:uid="{C81AFC9F-72F4-49D0-A1E9-8C333F4DB2DB}"/>
    <cellStyle name="Normal 54 7" xfId="1540" xr:uid="{B70F4C8B-970D-4C89-A5FE-190554A3995E}"/>
    <cellStyle name="Normal 54 8" xfId="1728" xr:uid="{9A2A74FA-87C9-4948-B5CE-16802BC6B5D0}"/>
    <cellStyle name="Normal 54 9" xfId="1916" xr:uid="{95B4E509-1981-42DF-BC0E-5D2F776B57F0}"/>
    <cellStyle name="Normal 55" xfId="75" xr:uid="{00000000-0005-0000-0000-000096000000}"/>
    <cellStyle name="Normal 55 2" xfId="621" xr:uid="{131F84B7-BFE5-4EB8-B24D-2E928B0694F5}"/>
    <cellStyle name="Normal 55 3" xfId="803" xr:uid="{4ECF7D57-8B01-40C1-AD5A-24DDB63A8836}"/>
    <cellStyle name="Normal 55 4" xfId="985" xr:uid="{3E2D806F-9621-4978-BD07-A67772BE2EE5}"/>
    <cellStyle name="Normal 55 5" xfId="1168" xr:uid="{AC04D3A4-A267-453E-A107-7E086BFC0B77}"/>
    <cellStyle name="Normal 55 6" xfId="1353" xr:uid="{C0D5DEEA-7795-4372-81B3-D0069AF96AFD}"/>
    <cellStyle name="Normal 55 7" xfId="1541" xr:uid="{0974D2B0-DF36-44F6-B061-841B7BB20BA0}"/>
    <cellStyle name="Normal 55 8" xfId="1729" xr:uid="{7D38242C-B5DC-4A57-BAF2-916FA2CCA18E}"/>
    <cellStyle name="Normal 55 9" xfId="1917" xr:uid="{F37129CF-8A2A-429D-A1B8-7AFA9FB52B13}"/>
    <cellStyle name="Normal 56" xfId="76" xr:uid="{00000000-0005-0000-0000-000097000000}"/>
    <cellStyle name="Normal 56 2" xfId="622" xr:uid="{2D868407-DBD8-4439-BE4D-A989822D3683}"/>
    <cellStyle name="Normal 56 3" xfId="804" xr:uid="{66DE1631-F201-4160-8DAE-CB187B30D7E4}"/>
    <cellStyle name="Normal 56 4" xfId="986" xr:uid="{781913F5-59E8-4903-81AB-C881C833159A}"/>
    <cellStyle name="Normal 56 5" xfId="1169" xr:uid="{9D34B2B5-6437-431E-BF1A-3FC491D35B70}"/>
    <cellStyle name="Normal 56 6" xfId="1354" xr:uid="{43C8C9DF-6CA9-4F91-84A6-B296E7C03EC9}"/>
    <cellStyle name="Normal 56 7" xfId="1542" xr:uid="{94B35B09-6CB1-42B5-8C88-7EDC8C547640}"/>
    <cellStyle name="Normal 56 8" xfId="1730" xr:uid="{6134E0AA-3EBF-4C1E-B849-85E95662B8EF}"/>
    <cellStyle name="Normal 56 9" xfId="1918" xr:uid="{57D075C6-C660-457C-AE3A-7A48781BCBA4}"/>
    <cellStyle name="Normal 57" xfId="77" xr:uid="{00000000-0005-0000-0000-000098000000}"/>
    <cellStyle name="Normal 57 2" xfId="623" xr:uid="{3F18E343-EC35-4D22-B8C1-73031D54A85C}"/>
    <cellStyle name="Normal 57 3" xfId="805" xr:uid="{6E92D525-C7F6-4395-B444-C4B6034ED261}"/>
    <cellStyle name="Normal 57 4" xfId="987" xr:uid="{A451DDDC-0B57-4F0D-A5E6-9CD2D0104256}"/>
    <cellStyle name="Normal 57 5" xfId="1170" xr:uid="{D140FA26-F904-40F4-83DB-4FE3A53AC056}"/>
    <cellStyle name="Normal 57 6" xfId="1355" xr:uid="{25983A0B-BECE-427C-BA4A-D1F7624B455B}"/>
    <cellStyle name="Normal 57 7" xfId="1543" xr:uid="{23B75CDB-3A46-4AA6-80B3-730981FF9F59}"/>
    <cellStyle name="Normal 57 8" xfId="1731" xr:uid="{3F0D2D72-B60A-4ACF-A1B5-0938A58D276E}"/>
    <cellStyle name="Normal 57 9" xfId="1919" xr:uid="{33E79AEA-AFBB-4321-AD48-F6ED04BD9F6C}"/>
    <cellStyle name="Normal 58" xfId="78" xr:uid="{00000000-0005-0000-0000-000099000000}"/>
    <cellStyle name="Normal 58 2" xfId="624" xr:uid="{A5CDEF2C-C998-4535-ADFC-07C4B172DBB1}"/>
    <cellStyle name="Normal 58 3" xfId="806" xr:uid="{B46F322E-A59B-4D32-858E-EBF37E2CF210}"/>
    <cellStyle name="Normal 58 4" xfId="988" xr:uid="{AE427561-2DB8-4351-9848-871DADDEE6D6}"/>
    <cellStyle name="Normal 58 5" xfId="1171" xr:uid="{363E14B0-C070-43B1-AD35-DFBA125EFE22}"/>
    <cellStyle name="Normal 58 6" xfId="1356" xr:uid="{CF99E040-49E7-473E-BC79-7DE8996EF999}"/>
    <cellStyle name="Normal 58 7" xfId="1544" xr:uid="{C65C30DD-2692-4DB4-8D0A-FAFDB369B60D}"/>
    <cellStyle name="Normal 58 8" xfId="1732" xr:uid="{1438BA29-D449-48E4-809D-D1CB39E4414F}"/>
    <cellStyle name="Normal 58 9" xfId="1920" xr:uid="{B414C586-04E5-41BF-B20C-712AA69B8CBF}"/>
    <cellStyle name="Normal 59" xfId="79" xr:uid="{00000000-0005-0000-0000-00009A000000}"/>
    <cellStyle name="Normal 59 2" xfId="625" xr:uid="{C37563C9-E682-42B9-99EA-293344C50C19}"/>
    <cellStyle name="Normal 59 3" xfId="807" xr:uid="{35D1B8DE-427B-4B4A-A901-AAC8012FD756}"/>
    <cellStyle name="Normal 59 4" xfId="989" xr:uid="{61B5F626-1891-4825-B7A3-602FF8680B6F}"/>
    <cellStyle name="Normal 59 5" xfId="1172" xr:uid="{1737A20F-57E7-4475-AB25-0613B916563A}"/>
    <cellStyle name="Normal 59 6" xfId="1357" xr:uid="{BA0B96E9-5746-4315-A465-16CB48D9DC07}"/>
    <cellStyle name="Normal 59 7" xfId="1545" xr:uid="{E08E4C10-ECFC-4EF6-8935-F50C53EDE122}"/>
    <cellStyle name="Normal 59 8" xfId="1733" xr:uid="{928DA075-400A-4015-A61F-660B3136D999}"/>
    <cellStyle name="Normal 59 9" xfId="1921" xr:uid="{986C0511-87C9-47A8-9D69-886851914D06}"/>
    <cellStyle name="Normal 6" xfId="10" xr:uid="{00000000-0005-0000-0000-00009B000000}"/>
    <cellStyle name="Normal 6 10" xfId="566" xr:uid="{B7247424-1808-48D0-8C5E-4A252FDB5425}"/>
    <cellStyle name="Normal 6 11" xfId="748" xr:uid="{0E384EE4-716F-4583-9FE3-C034EFC7904C}"/>
    <cellStyle name="Normal 6 12" xfId="930" xr:uid="{2F80D0D4-17FD-4D0A-A3A2-6C0EC7820516}"/>
    <cellStyle name="Normal 6 13" xfId="1113" xr:uid="{F8799E39-1DDC-49FD-84BD-9032BB40650B}"/>
    <cellStyle name="Normal 6 14" xfId="1298" xr:uid="{486C619C-85E8-423B-946D-5C0969174D66}"/>
    <cellStyle name="Normal 6 15" xfId="1486" xr:uid="{00C167B3-CA50-4515-8C42-3E3BF33A7C53}"/>
    <cellStyle name="Normal 6 16" xfId="1674" xr:uid="{D3C85B61-F182-4831-9AEC-0F1B00C7AE59}"/>
    <cellStyle name="Normal 6 17" xfId="1862" xr:uid="{C8AA63F1-8539-40B9-BFFE-500443224EAF}"/>
    <cellStyle name="Normal 6 18" xfId="351" xr:uid="{643016E4-849D-426F-92AF-C80B647C50E5}"/>
    <cellStyle name="Normal 6 2" xfId="358" xr:uid="{8D2B6214-0F76-435A-9103-95612F743764}"/>
    <cellStyle name="Normal 6 2 2" xfId="398" xr:uid="{8705ABB2-1A8A-4376-B136-8ECEE8B3F40C}"/>
    <cellStyle name="Normal 6 2 3" xfId="502" xr:uid="{DAB292E6-7D50-47BA-A72F-383D69B21B19}"/>
    <cellStyle name="Normal 6 2 4" xfId="535" xr:uid="{DEC649CD-D814-4BFA-9037-350D9E9CCE1E}"/>
    <cellStyle name="Normal 6 3" xfId="353" xr:uid="{28B248D8-3F71-4EE7-B953-379F880E2376}"/>
    <cellStyle name="Normal 6 4" xfId="370" xr:uid="{BB1E1E64-449E-4498-AB40-9B064426CEE7}"/>
    <cellStyle name="Normal 6 5" xfId="426" xr:uid="{7F64C80A-ECE1-4355-9E47-663B79F4A83D}"/>
    <cellStyle name="Normal 6 6" xfId="448" xr:uid="{A5D481C2-4395-47B2-BCA9-139560ABFD3E}"/>
    <cellStyle name="Normal 6 7" xfId="476" xr:uid="{62CBE3A2-6516-4743-A774-2727D13DBAE2}"/>
    <cellStyle name="Normal 6 8" xfId="509" xr:uid="{C6A7A1BA-16E6-4117-AD0F-78C4C7BBDECF}"/>
    <cellStyle name="Normal 6 9" xfId="537" xr:uid="{9BBB00C7-31BC-4F19-9FA5-A53808FA1898}"/>
    <cellStyle name="Normal 60" xfId="80" xr:uid="{00000000-0005-0000-0000-00009C000000}"/>
    <cellStyle name="Normal 60 2" xfId="626" xr:uid="{32194A30-D2B3-49B1-AFE3-E8B2EBE2764D}"/>
    <cellStyle name="Normal 60 3" xfId="808" xr:uid="{7AD35B2C-CD79-4B6C-8D1D-E51C966AC57A}"/>
    <cellStyle name="Normal 60 4" xfId="990" xr:uid="{2E520502-CC0A-464C-972E-A1AC6F6873E1}"/>
    <cellStyle name="Normal 60 5" xfId="1173" xr:uid="{C0900D46-F8B7-4F23-877B-13FBD1322712}"/>
    <cellStyle name="Normal 60 6" xfId="1358" xr:uid="{BD07F977-016F-474E-844D-BC0E78B1180D}"/>
    <cellStyle name="Normal 60 7" xfId="1546" xr:uid="{C5342A14-99B1-4E98-99B8-692C51AADDBC}"/>
    <cellStyle name="Normal 60 8" xfId="1734" xr:uid="{9EAB8135-B5F2-47BC-B76F-3B067BC7F0A8}"/>
    <cellStyle name="Normal 60 9" xfId="1922" xr:uid="{1D2C2FED-435D-4C7A-8614-ED55A8CB4DA2}"/>
    <cellStyle name="Normal 61" xfId="81" xr:uid="{00000000-0005-0000-0000-00009D000000}"/>
    <cellStyle name="Normal 61 2" xfId="627" xr:uid="{56FFA552-4075-4ADD-9E49-9BBF3B67A5CC}"/>
    <cellStyle name="Normal 61 3" xfId="809" xr:uid="{DF0CEC5B-924E-4321-8B0A-8561D465D200}"/>
    <cellStyle name="Normal 61 4" xfId="991" xr:uid="{55859ECF-B409-4D2C-B749-AF66808DB8A9}"/>
    <cellStyle name="Normal 61 5" xfId="1174" xr:uid="{1C8C83A2-B918-4217-A7D4-470B25163D4E}"/>
    <cellStyle name="Normal 61 6" xfId="1359" xr:uid="{3A1C3386-8C4D-4282-8982-0F0B2D29D417}"/>
    <cellStyle name="Normal 61 7" xfId="1547" xr:uid="{292D0555-C3D4-41A0-95CE-2F29A362A5A1}"/>
    <cellStyle name="Normal 61 8" xfId="1735" xr:uid="{954E3A15-58F4-4D8A-AE29-32FADD76FE6E}"/>
    <cellStyle name="Normal 61 9" xfId="1923" xr:uid="{F726B5DE-D465-4CB3-BF45-EFB750F949B1}"/>
    <cellStyle name="Normal 62" xfId="82" xr:uid="{00000000-0005-0000-0000-00009E000000}"/>
    <cellStyle name="Normal 62 2" xfId="628" xr:uid="{5D52D493-AF31-4EC5-810C-7B954784E186}"/>
    <cellStyle name="Normal 62 3" xfId="810" xr:uid="{F0FCB807-974A-4DE9-B453-90BC002E0E73}"/>
    <cellStyle name="Normal 62 4" xfId="992" xr:uid="{05F45A9C-997A-4DFF-B07A-207ED3238649}"/>
    <cellStyle name="Normal 62 5" xfId="1175" xr:uid="{3311287A-63B8-43BB-9938-1DFDB082B8D7}"/>
    <cellStyle name="Normal 62 6" xfId="1360" xr:uid="{6C3AFCF2-E5D0-43A4-B5A7-3CBC366DAC8D}"/>
    <cellStyle name="Normal 62 7" xfId="1548" xr:uid="{3CF4BE08-3E7D-43A1-9D0B-E53246E224CF}"/>
    <cellStyle name="Normal 62 8" xfId="1736" xr:uid="{E66D99F1-7D8A-4818-B125-41E865AE4184}"/>
    <cellStyle name="Normal 62 9" xfId="1924" xr:uid="{6D136C00-6896-41A0-93DF-6295E2E66656}"/>
    <cellStyle name="Normal 63" xfId="83" xr:uid="{00000000-0005-0000-0000-00009F000000}"/>
    <cellStyle name="Normal 63 2" xfId="629" xr:uid="{ECE01775-165B-4BD8-AC59-A69ED803630F}"/>
    <cellStyle name="Normal 63 3" xfId="811" xr:uid="{555C8595-5FC2-4C33-84C1-CA07E2D539CC}"/>
    <cellStyle name="Normal 63 4" xfId="993" xr:uid="{071C3BED-0675-4DAB-B47B-D83DFCA68CCC}"/>
    <cellStyle name="Normal 63 5" xfId="1176" xr:uid="{91912F19-A228-4083-AD25-21E402579CFB}"/>
    <cellStyle name="Normal 63 6" xfId="1361" xr:uid="{37B62312-3125-4465-AACF-111E9963A757}"/>
    <cellStyle name="Normal 63 7" xfId="1549" xr:uid="{65A893BC-4B36-4ADC-AEF6-690490102F10}"/>
    <cellStyle name="Normal 63 8" xfId="1737" xr:uid="{8B1AEC0A-7A1B-4D23-993C-8F0B8A245923}"/>
    <cellStyle name="Normal 63 9" xfId="1925" xr:uid="{6DA82DDC-9306-4F7B-AEBF-8B2B243EE748}"/>
    <cellStyle name="Normal 64" xfId="84" xr:uid="{00000000-0005-0000-0000-0000A0000000}"/>
    <cellStyle name="Normal 64 2" xfId="630" xr:uid="{B2788DFC-DCBC-4908-B9A9-1E9F33A1CD97}"/>
    <cellStyle name="Normal 64 3" xfId="812" xr:uid="{2C5CCB50-834F-46B1-9EAC-A0EC908C65C2}"/>
    <cellStyle name="Normal 64 4" xfId="994" xr:uid="{2415A9BF-89C7-4B33-8140-57C9AD8FC0F8}"/>
    <cellStyle name="Normal 64 5" xfId="1177" xr:uid="{2F37A930-2D3A-4963-B136-FDFD3734E217}"/>
    <cellStyle name="Normal 64 6" xfId="1362" xr:uid="{98CE0945-495B-46DF-A388-EAA1D804D126}"/>
    <cellStyle name="Normal 64 7" xfId="1550" xr:uid="{9602FC16-2380-4F16-B39C-C58CE7EE72F6}"/>
    <cellStyle name="Normal 64 8" xfId="1738" xr:uid="{0DAA5482-D76E-4725-BDC9-51F7CFEEB5A9}"/>
    <cellStyle name="Normal 64 9" xfId="1926" xr:uid="{E5607C9F-0277-486E-9E16-B538CED60AFF}"/>
    <cellStyle name="Normal 65" xfId="85" xr:uid="{00000000-0005-0000-0000-0000A1000000}"/>
    <cellStyle name="Normal 65 2" xfId="631" xr:uid="{0C931868-FBA3-400B-9A91-3199A2D202A3}"/>
    <cellStyle name="Normal 65 3" xfId="813" xr:uid="{1BDFB7AA-05CC-4722-BF0C-AF7744178FC9}"/>
    <cellStyle name="Normal 65 4" xfId="995" xr:uid="{CE4DEA87-2751-4324-B3F5-8336C50C6619}"/>
    <cellStyle name="Normal 65 5" xfId="1178" xr:uid="{1E0CC6B8-F2BA-4EF1-8A61-A47F4A1CCBFF}"/>
    <cellStyle name="Normal 65 6" xfId="1363" xr:uid="{4AD134A4-9E9A-4769-ACD3-DA50A4355EB5}"/>
    <cellStyle name="Normal 65 7" xfId="1551" xr:uid="{8D4ABA50-4A81-4723-93CD-C34DE5ED2B21}"/>
    <cellStyle name="Normal 65 8" xfId="1739" xr:uid="{AA3D9FA6-47C4-4E8E-8E9E-707F2B48799B}"/>
    <cellStyle name="Normal 65 9" xfId="1927" xr:uid="{FC9F5AF9-6880-48A1-823E-E9A4AD92E9F2}"/>
    <cellStyle name="Normal 66" xfId="86" xr:uid="{00000000-0005-0000-0000-0000A2000000}"/>
    <cellStyle name="Normal 66 2" xfId="632" xr:uid="{3122D0A8-A7AF-419D-BE3F-457DB903EA9D}"/>
    <cellStyle name="Normal 66 3" xfId="814" xr:uid="{A11E841B-9494-42E8-8877-FAED0E22C736}"/>
    <cellStyle name="Normal 66 4" xfId="996" xr:uid="{40F4EAB8-6BC7-4701-8FC8-515F983EF18D}"/>
    <cellStyle name="Normal 66 5" xfId="1179" xr:uid="{D254FAB2-1808-4191-857B-A6196EE0501F}"/>
    <cellStyle name="Normal 66 6" xfId="1364" xr:uid="{CEE9083D-A38A-458E-BD9F-1EB1A0B84DB9}"/>
    <cellStyle name="Normal 66 7" xfId="1552" xr:uid="{266790F7-5DE8-46CE-9325-447095E2B19B}"/>
    <cellStyle name="Normal 66 8" xfId="1740" xr:uid="{01B183F7-65F0-48AE-9C5B-2B2AEC894FDA}"/>
    <cellStyle name="Normal 66 9" xfId="1928" xr:uid="{F84B6220-D89F-4F1F-B791-04FD5CA8E7DB}"/>
    <cellStyle name="Normal 67" xfId="87" xr:uid="{00000000-0005-0000-0000-0000A3000000}"/>
    <cellStyle name="Normal 67 2" xfId="633" xr:uid="{280E543B-6D43-4A22-8874-385FA65C9E63}"/>
    <cellStyle name="Normal 67 3" xfId="815" xr:uid="{9D30EE51-3E84-4836-9133-D0DE1C31FA8F}"/>
    <cellStyle name="Normal 67 4" xfId="997" xr:uid="{367B632F-A439-4FBE-B1BF-FB001900721F}"/>
    <cellStyle name="Normal 67 5" xfId="1180" xr:uid="{95D6C1BB-9D33-49BB-B80B-89F1FDE0CB70}"/>
    <cellStyle name="Normal 67 6" xfId="1365" xr:uid="{A7B7C38A-E224-4CF3-9B82-35EFF26B0C81}"/>
    <cellStyle name="Normal 67 7" xfId="1553" xr:uid="{A905EDCA-D1CB-48C2-B1D5-DB26BF5A03BC}"/>
    <cellStyle name="Normal 67 8" xfId="1741" xr:uid="{D9BDE268-3D7C-4B1B-9D6B-B5A5805F7FBA}"/>
    <cellStyle name="Normal 67 9" xfId="1929" xr:uid="{076326BB-1018-422F-920C-E53426CF25A3}"/>
    <cellStyle name="Normal 68" xfId="88" xr:uid="{00000000-0005-0000-0000-0000A4000000}"/>
    <cellStyle name="Normal 68 2" xfId="634" xr:uid="{14CBAADC-C21B-496F-B252-8A0351D3C5A6}"/>
    <cellStyle name="Normal 68 3" xfId="816" xr:uid="{9C07BAF1-3BA8-447A-ABBE-3576838A929A}"/>
    <cellStyle name="Normal 68 4" xfId="998" xr:uid="{D913618E-4438-43C8-933E-D21DACE03CA9}"/>
    <cellStyle name="Normal 68 5" xfId="1181" xr:uid="{9232AC8F-2A36-4B28-9510-47B6D112EA5D}"/>
    <cellStyle name="Normal 68 6" xfId="1366" xr:uid="{C7809C4B-67B9-4E6F-8BE0-B8D7176273DC}"/>
    <cellStyle name="Normal 68 7" xfId="1554" xr:uid="{CBFD9BCC-5164-4939-8C29-28095FD36E50}"/>
    <cellStyle name="Normal 68 8" xfId="1742" xr:uid="{49333F83-40FA-4EF6-9BE3-B54B787BEB8C}"/>
    <cellStyle name="Normal 68 9" xfId="1930" xr:uid="{62F63D50-F361-4C3D-B01B-3E914FE4ED8D}"/>
    <cellStyle name="Normal 69" xfId="89" xr:uid="{00000000-0005-0000-0000-0000A5000000}"/>
    <cellStyle name="Normal 69 2" xfId="635" xr:uid="{3C910217-F7D3-4E05-A801-E4A3B31A1DB4}"/>
    <cellStyle name="Normal 69 3" xfId="817" xr:uid="{F6F4A523-3254-4EC7-AD87-911A71E87E19}"/>
    <cellStyle name="Normal 69 4" xfId="999" xr:uid="{A7334AA4-AFCE-419B-A360-C8ABE5F58F8B}"/>
    <cellStyle name="Normal 69 5" xfId="1182" xr:uid="{4252C09B-963C-4497-AC04-C2FC23C35A82}"/>
    <cellStyle name="Normal 69 6" xfId="1367" xr:uid="{698C3F51-BC7B-4389-9357-364523AE2703}"/>
    <cellStyle name="Normal 69 7" xfId="1555" xr:uid="{D365A10F-7496-4CD4-B977-4214BB594545}"/>
    <cellStyle name="Normal 69 8" xfId="1743" xr:uid="{4DB6E073-B58F-4068-8CC3-EDF1F5127B75}"/>
    <cellStyle name="Normal 69 9" xfId="1931" xr:uid="{81046591-23D1-48A6-8AA1-DC9362C3A459}"/>
    <cellStyle name="Normal 7" xfId="18" xr:uid="{00000000-0005-0000-0000-0000A6000000}"/>
    <cellStyle name="Normal 7 10" xfId="756" xr:uid="{8F859E67-6887-440A-AC10-1FCB7F3B4AC3}"/>
    <cellStyle name="Normal 7 11" xfId="938" xr:uid="{328124CA-6211-4F3A-9AB8-E92D25D5C7D4}"/>
    <cellStyle name="Normal 7 12" xfId="1121" xr:uid="{6EB0FF35-B467-4F1A-B20A-771DCD71DB8E}"/>
    <cellStyle name="Normal 7 13" xfId="1306" xr:uid="{40FF76AE-2BDB-4243-999E-554674EA7210}"/>
    <cellStyle name="Normal 7 14" xfId="1494" xr:uid="{78A999A4-FD5C-4E72-835E-EA1BB59A1C7F}"/>
    <cellStyle name="Normal 7 15" xfId="1682" xr:uid="{EFD11C1C-CB04-4CEC-807A-D218810C2AD6}"/>
    <cellStyle name="Normal 7 16" xfId="1870" xr:uid="{A517C3BD-8DEC-4125-A9AF-39B4ABAB0260}"/>
    <cellStyle name="Normal 7 2" xfId="355" xr:uid="{824985C7-2B9A-4ADC-B278-D7FCC85B6AD2}"/>
    <cellStyle name="Normal 7 3" xfId="372" xr:uid="{33C35269-D316-4C30-824B-60D5512306E8}"/>
    <cellStyle name="Normal 7 4" xfId="434" xr:uid="{E36F3851-8569-4EE2-B632-3E009A91D91A}"/>
    <cellStyle name="Normal 7 5" xfId="456" xr:uid="{1D8D7323-49FD-4297-9026-435A1FB08EBC}"/>
    <cellStyle name="Normal 7 6" xfId="478" xr:uid="{3A7527AF-A0C5-4C1F-AA2C-6C3993F98268}"/>
    <cellStyle name="Normal 7 7" xfId="511" xr:uid="{F7224262-1130-416F-9092-DF89C4134D44}"/>
    <cellStyle name="Normal 7 8" xfId="545" xr:uid="{D1E4DE13-A49B-40E1-952E-9A7564D95134}"/>
    <cellStyle name="Normal 7 9" xfId="574" xr:uid="{B3C8EC95-230C-4825-B4F6-57487FAEBE28}"/>
    <cellStyle name="Normal 70" xfId="90" xr:uid="{00000000-0005-0000-0000-0000A7000000}"/>
    <cellStyle name="Normal 70 2" xfId="636" xr:uid="{A636B376-D1CE-4683-85F0-421A5232E9AB}"/>
    <cellStyle name="Normal 70 3" xfId="818" xr:uid="{22CBEACE-8531-40A1-8ED6-B57BB6AF9DC9}"/>
    <cellStyle name="Normal 70 4" xfId="1000" xr:uid="{8F9F6CEF-9802-4930-BE31-465DE7F4E552}"/>
    <cellStyle name="Normal 70 5" xfId="1183" xr:uid="{46DE4D37-08D7-4BF6-A2B0-AFA4F7C3CF04}"/>
    <cellStyle name="Normal 70 6" xfId="1368" xr:uid="{4CE2FE3E-BA06-4EE6-A6FA-3EF3BEAFBE7B}"/>
    <cellStyle name="Normal 70 7" xfId="1556" xr:uid="{952648CD-544A-4B1E-B445-B4C713895F47}"/>
    <cellStyle name="Normal 70 8" xfId="1744" xr:uid="{16D03C52-BE97-4B12-9441-5154AA8BFD58}"/>
    <cellStyle name="Normal 70 9" xfId="1932" xr:uid="{88B7843F-0CCC-4DAA-825A-6C096CB3BA5A}"/>
    <cellStyle name="Normal 71" xfId="91" xr:uid="{00000000-0005-0000-0000-0000A8000000}"/>
    <cellStyle name="Normal 71 2" xfId="637" xr:uid="{94FC0F76-1AD0-47EF-A010-DE78155BA8EE}"/>
    <cellStyle name="Normal 71 3" xfId="819" xr:uid="{DA40A5DA-624F-4741-9D72-3D6DA43ABB4E}"/>
    <cellStyle name="Normal 71 4" xfId="1001" xr:uid="{47CD42E5-97C5-457F-956D-BCB716F642EA}"/>
    <cellStyle name="Normal 71 5" xfId="1184" xr:uid="{2A47AC71-39D2-4E8A-AB4F-57B2360422A9}"/>
    <cellStyle name="Normal 71 6" xfId="1369" xr:uid="{5703F11C-8A2D-465F-B133-8192509619D6}"/>
    <cellStyle name="Normal 71 7" xfId="1557" xr:uid="{8E7E352D-5A41-4E8F-9E28-3B0CB70A0052}"/>
    <cellStyle name="Normal 71 8" xfId="1745" xr:uid="{FE5384D2-D990-4BE5-A5C3-CF6B1B053130}"/>
    <cellStyle name="Normal 71 9" xfId="1933" xr:uid="{5C8294DC-FC08-44C8-A154-FA660E11DE88}"/>
    <cellStyle name="Normal 72" xfId="92" xr:uid="{00000000-0005-0000-0000-0000A9000000}"/>
    <cellStyle name="Normal 72 2" xfId="638" xr:uid="{CD160FD3-7B2E-4C1E-8438-4A43D1E1482F}"/>
    <cellStyle name="Normal 72 3" xfId="820" xr:uid="{701EF782-677A-422E-8139-DEC9E98F4476}"/>
    <cellStyle name="Normal 72 4" xfId="1002" xr:uid="{64701926-C0E1-42E9-B366-2521F2502143}"/>
    <cellStyle name="Normal 72 5" xfId="1185" xr:uid="{720B70DE-A7FA-4D4C-B5B9-8B6F7B5C8DFE}"/>
    <cellStyle name="Normal 72 6" xfId="1370" xr:uid="{A4E50E6B-8D09-465B-9C22-76141733B32C}"/>
    <cellStyle name="Normal 72 7" xfId="1558" xr:uid="{EC26C635-84EF-4D01-959F-598BAB09A1E0}"/>
    <cellStyle name="Normal 72 8" xfId="1746" xr:uid="{3D6CB923-107C-4782-8450-0644BE9F67D8}"/>
    <cellStyle name="Normal 72 9" xfId="1934" xr:uid="{AE132B1C-D9EE-4876-B7AC-84922A126855}"/>
    <cellStyle name="Normal 73" xfId="93" xr:uid="{00000000-0005-0000-0000-0000AA000000}"/>
    <cellStyle name="Normal 73 2" xfId="639" xr:uid="{F5F81E75-30FE-4D00-953E-99CC954A7801}"/>
    <cellStyle name="Normal 73 3" xfId="821" xr:uid="{0B0261C8-F246-4EC1-9799-F9246822C498}"/>
    <cellStyle name="Normal 73 4" xfId="1003" xr:uid="{2C93A712-5D7C-4F6C-A03A-D399037F127A}"/>
    <cellStyle name="Normal 73 5" xfId="1186" xr:uid="{DDF1C6A9-CEF4-476D-AC37-4CDAF1ECDCDF}"/>
    <cellStyle name="Normal 73 6" xfId="1371" xr:uid="{DDD0CEF6-AEB2-4C2F-A8C2-753AF15D4A88}"/>
    <cellStyle name="Normal 73 7" xfId="1559" xr:uid="{7A9D9A68-6E1A-446A-BB5A-BF428F86C91C}"/>
    <cellStyle name="Normal 73 8" xfId="1747" xr:uid="{7C0C3543-E2EF-4966-8CC9-60AEC8E445D0}"/>
    <cellStyle name="Normal 73 9" xfId="1935" xr:uid="{4097A499-90FC-44D4-B1AC-17647D13103A}"/>
    <cellStyle name="Normal 74" xfId="94" xr:uid="{00000000-0005-0000-0000-0000AB000000}"/>
    <cellStyle name="Normal 74 2" xfId="640" xr:uid="{D90513F5-F692-4F43-8BB1-724E4E063070}"/>
    <cellStyle name="Normal 74 3" xfId="822" xr:uid="{ABCA4A96-E2BE-4273-8ADB-084A2248B3E6}"/>
    <cellStyle name="Normal 74 4" xfId="1004" xr:uid="{1F769117-16D9-4104-9A24-7168F736AFF2}"/>
    <cellStyle name="Normal 74 5" xfId="1187" xr:uid="{2C330A70-44A4-4F10-8BE4-B3BC6488F699}"/>
    <cellStyle name="Normal 74 6" xfId="1372" xr:uid="{EBFC5D82-1057-4B4A-9B8D-1A788A9AE66E}"/>
    <cellStyle name="Normal 74 7" xfId="1560" xr:uid="{49D08C91-DDDA-4C34-8F59-4FB54AF26FF5}"/>
    <cellStyle name="Normal 74 8" xfId="1748" xr:uid="{B4588B13-04D6-47ED-87D9-E805D3A6AC21}"/>
    <cellStyle name="Normal 74 9" xfId="1936" xr:uid="{C10915B1-F643-45C0-8E96-FCA131D5AAFB}"/>
    <cellStyle name="Normal 75" xfId="95" xr:uid="{00000000-0005-0000-0000-0000AC000000}"/>
    <cellStyle name="Normal 75 2" xfId="641" xr:uid="{401D94EA-1776-4727-A24E-4470CAE1EE6A}"/>
    <cellStyle name="Normal 75 3" xfId="823" xr:uid="{93A0708E-EB9A-42B2-BA8A-6BBC5D5F575C}"/>
    <cellStyle name="Normal 75 4" xfId="1005" xr:uid="{C7804AA8-CF50-492C-B912-1AC41EE596D6}"/>
    <cellStyle name="Normal 75 5" xfId="1188" xr:uid="{16582394-B4E0-427F-96FF-B1C2D07A7826}"/>
    <cellStyle name="Normal 75 6" xfId="1373" xr:uid="{CB1C7953-F93B-492A-97E9-B8CBE9D369BF}"/>
    <cellStyle name="Normal 75 7" xfId="1561" xr:uid="{0EF48249-B407-461A-B1DD-47739C7D561A}"/>
    <cellStyle name="Normal 75 8" xfId="1749" xr:uid="{17C534F7-2398-483B-ADBC-8027B5A28B2C}"/>
    <cellStyle name="Normal 75 9" xfId="1937" xr:uid="{4495A29B-2BD8-43EE-BA96-7F42EA6AF05D}"/>
    <cellStyle name="Normal 76" xfId="96" xr:uid="{00000000-0005-0000-0000-0000AD000000}"/>
    <cellStyle name="Normal 76 2" xfId="642" xr:uid="{122383BB-89F5-472F-BD1B-42FECD209837}"/>
    <cellStyle name="Normal 76 3" xfId="824" xr:uid="{CF76AD2B-B49F-43DC-AAC3-C0462E27F390}"/>
    <cellStyle name="Normal 76 4" xfId="1006" xr:uid="{F9D9DDD9-0678-492E-B68A-AABE9FFCF74D}"/>
    <cellStyle name="Normal 76 5" xfId="1189" xr:uid="{8458AD09-18EC-45E1-8D28-A0B4CA188603}"/>
    <cellStyle name="Normal 76 6" xfId="1374" xr:uid="{6D20F935-A096-451F-B4A6-B31671465FDD}"/>
    <cellStyle name="Normal 76 7" xfId="1562" xr:uid="{135164CB-E979-4FB2-B5FB-F082EDEF6E0C}"/>
    <cellStyle name="Normal 76 8" xfId="1750" xr:uid="{B02CB3E0-0D4B-4AA3-906B-4E40A5FAB8E2}"/>
    <cellStyle name="Normal 76 9" xfId="1938" xr:uid="{8EB4D029-8BAA-476E-B465-A41834314D6B}"/>
    <cellStyle name="Normal 77" xfId="97" xr:uid="{00000000-0005-0000-0000-0000AE000000}"/>
    <cellStyle name="Normal 77 2" xfId="643" xr:uid="{E0A8EEF5-1872-4C5D-8403-1A82C9C5083F}"/>
    <cellStyle name="Normal 77 3" xfId="825" xr:uid="{17BB23B4-8414-465F-ACFA-A2124CA6A1D7}"/>
    <cellStyle name="Normal 77 4" xfId="1007" xr:uid="{72983231-4653-4206-9007-2D198A438C0A}"/>
    <cellStyle name="Normal 77 5" xfId="1190" xr:uid="{2F495680-0882-49EA-83E2-ABC49D1803BC}"/>
    <cellStyle name="Normal 77 6" xfId="1375" xr:uid="{2C5AC5CD-CEC1-4D3C-AE87-88299D2C9386}"/>
    <cellStyle name="Normal 77 7" xfId="1563" xr:uid="{61A6EFF0-772E-4517-AA8F-4AD4B6F8810C}"/>
    <cellStyle name="Normal 77 8" xfId="1751" xr:uid="{CFCA82F7-30FF-480F-8DB9-187E98D57544}"/>
    <cellStyle name="Normal 77 9" xfId="1939" xr:uid="{6DFECDD1-C795-42DC-A3C5-2C1040497984}"/>
    <cellStyle name="Normal 78" xfId="98" xr:uid="{00000000-0005-0000-0000-0000AF000000}"/>
    <cellStyle name="Normal 78 2" xfId="644" xr:uid="{6DAB7C75-BAEE-41AB-B8AB-619CF7EFB3F0}"/>
    <cellStyle name="Normal 78 3" xfId="826" xr:uid="{45E4EE81-A021-44C5-828A-738528C8B207}"/>
    <cellStyle name="Normal 78 4" xfId="1008" xr:uid="{1F94F16A-89CF-4EB7-B639-E8FB15DE1FDD}"/>
    <cellStyle name="Normal 78 5" xfId="1191" xr:uid="{BFC28EC7-0300-47FD-A7EB-4FFDC011E03E}"/>
    <cellStyle name="Normal 78 6" xfId="1376" xr:uid="{77C7FEB4-B6F6-4996-B9AD-699DA2A4F40E}"/>
    <cellStyle name="Normal 78 7" xfId="1564" xr:uid="{911BBBDB-2B7A-4F83-B9D9-7A49A48E3FA0}"/>
    <cellStyle name="Normal 78 8" xfId="1752" xr:uid="{4463BB3C-1B54-4851-B6AF-C44E8ABDAA5E}"/>
    <cellStyle name="Normal 78 9" xfId="1940" xr:uid="{2E0AF5A9-9DD0-4E60-AEDE-2CF90BF584EC}"/>
    <cellStyle name="Normal 79" xfId="99" xr:uid="{00000000-0005-0000-0000-0000B0000000}"/>
    <cellStyle name="Normal 79 2" xfId="645" xr:uid="{AADCA5B9-5F85-4DA1-990B-22C0B671007B}"/>
    <cellStyle name="Normal 79 3" xfId="827" xr:uid="{800D15BF-40AE-4548-9C48-61C2B061ED53}"/>
    <cellStyle name="Normal 79 4" xfId="1009" xr:uid="{D8D6F66C-60C7-43FC-A60B-A4CBF597228D}"/>
    <cellStyle name="Normal 79 5" xfId="1192" xr:uid="{96F36D34-6C39-4165-B02F-F422BE57C377}"/>
    <cellStyle name="Normal 79 6" xfId="1377" xr:uid="{538ECF19-013E-4758-B433-863538707562}"/>
    <cellStyle name="Normal 79 7" xfId="1565" xr:uid="{52F414D7-2DB3-460E-8676-E334913EE865}"/>
    <cellStyle name="Normal 79 8" xfId="1753" xr:uid="{04937047-D925-42C9-A871-855C346F27A8}"/>
    <cellStyle name="Normal 79 9" xfId="1941" xr:uid="{CF795640-687A-4F56-8875-FBB22759E745}"/>
    <cellStyle name="Normal 8" xfId="19" xr:uid="{00000000-0005-0000-0000-0000B1000000}"/>
    <cellStyle name="Normal 8 10" xfId="939" xr:uid="{E26D89F8-B535-4CCB-8B22-D17A9B794559}"/>
    <cellStyle name="Normal 8 11" xfId="1122" xr:uid="{AD42F132-9F9C-49C9-90B4-B8F5B793E93F}"/>
    <cellStyle name="Normal 8 12" xfId="1307" xr:uid="{37210A57-B7CF-4D6B-8D7D-4634A9E48B2C}"/>
    <cellStyle name="Normal 8 13" xfId="1495" xr:uid="{75C25AB7-34C3-4684-A43B-4D3E0B584FF1}"/>
    <cellStyle name="Normal 8 14" xfId="1683" xr:uid="{32AFFA6C-9B54-4B74-87CD-9B447C9F2865}"/>
    <cellStyle name="Normal 8 15" xfId="1871" xr:uid="{E423F344-FB35-4A17-8E20-3D36E5867676}"/>
    <cellStyle name="Normal 8 2" xfId="373" xr:uid="{E66C83CF-57EB-4A15-AF44-F8444C08A4ED}"/>
    <cellStyle name="Normal 8 3" xfId="435" xr:uid="{82E823E2-1E4F-4D45-A23C-829254BF09A4}"/>
    <cellStyle name="Normal 8 4" xfId="457" xr:uid="{E0C14FB1-BD29-4599-BEBF-C9D93A895001}"/>
    <cellStyle name="Normal 8 5" xfId="479" xr:uid="{654A2543-1A41-4B7A-B62B-596DAEB65320}"/>
    <cellStyle name="Normal 8 6" xfId="512" xr:uid="{CFCF2048-99EB-4391-BF49-AC2714773499}"/>
    <cellStyle name="Normal 8 7" xfId="546" xr:uid="{9128006F-84E7-491D-AFB1-373BE64CAB4C}"/>
    <cellStyle name="Normal 8 8" xfId="575" xr:uid="{E99227CF-8D7C-4A81-95F4-3B929BD3F1CF}"/>
    <cellStyle name="Normal 8 9" xfId="757" xr:uid="{0CD00361-576D-4E65-AF12-62400A42E352}"/>
    <cellStyle name="Normal 80" xfId="100" xr:uid="{00000000-0005-0000-0000-0000B2000000}"/>
    <cellStyle name="Normal 80 2" xfId="646" xr:uid="{A132D6CF-CAE1-481D-85EC-D2AE5DA8A177}"/>
    <cellStyle name="Normal 80 3" xfId="828" xr:uid="{E94BCC14-0D8E-4E03-97F9-D9504F1C9C41}"/>
    <cellStyle name="Normal 80 4" xfId="1010" xr:uid="{B30B9CE8-2F4B-4954-8EB2-F8F116ED90CD}"/>
    <cellStyle name="Normal 80 5" xfId="1193" xr:uid="{57C87130-E7E2-4956-961B-60E7D96741C2}"/>
    <cellStyle name="Normal 80 6" xfId="1378" xr:uid="{B3782C23-6E49-42F3-8073-081A275D6B06}"/>
    <cellStyle name="Normal 80 7" xfId="1566" xr:uid="{2472247D-107C-4B40-889C-E730E820B6AF}"/>
    <cellStyle name="Normal 80 8" xfId="1754" xr:uid="{2F1D2FE0-60F8-4DF9-A053-A8BEE6F457C2}"/>
    <cellStyle name="Normal 80 9" xfId="1942" xr:uid="{B3F09556-C855-4843-8B99-4A53D3078EB6}"/>
    <cellStyle name="Normal 81" xfId="101" xr:uid="{00000000-0005-0000-0000-0000B3000000}"/>
    <cellStyle name="Normal 81 2" xfId="647" xr:uid="{AAC1D7EB-5DDA-4F28-9EC9-C862299A8FA8}"/>
    <cellStyle name="Normal 81 3" xfId="829" xr:uid="{392F8B9C-F74B-4CF5-8476-FE4486B06A40}"/>
    <cellStyle name="Normal 81 4" xfId="1011" xr:uid="{DDEB7D90-6B6E-45C6-8992-4F36AB8E5A39}"/>
    <cellStyle name="Normal 81 5" xfId="1194" xr:uid="{FE4E8C9A-D4EA-458F-9716-3E5686E908E2}"/>
    <cellStyle name="Normal 81 6" xfId="1379" xr:uid="{F81018D6-CAA2-4891-8A47-54F8A10A8432}"/>
    <cellStyle name="Normal 81 7" xfId="1567" xr:uid="{115D47F8-3EAA-4F12-8CA2-91AEFAF90020}"/>
    <cellStyle name="Normal 81 8" xfId="1755" xr:uid="{A2BDFC0D-1A45-4BBC-9FF8-44242A701BB3}"/>
    <cellStyle name="Normal 81 9" xfId="1943" xr:uid="{7C86A844-37C2-404C-8833-9F09BA85BE9A}"/>
    <cellStyle name="Normal 82" xfId="102" xr:uid="{00000000-0005-0000-0000-0000B4000000}"/>
    <cellStyle name="Normal 82 2" xfId="648" xr:uid="{8CB3C5EA-C931-4FB4-93B2-9D87AC632297}"/>
    <cellStyle name="Normal 82 3" xfId="830" xr:uid="{3E1FAD03-B984-44C6-8794-780D739D62B1}"/>
    <cellStyle name="Normal 82 4" xfId="1012" xr:uid="{3A9C3FB7-184D-4F72-AC36-636E64ACB7F5}"/>
    <cellStyle name="Normal 82 5" xfId="1195" xr:uid="{0614E1A0-E1DF-4942-AB65-F755524D7F1D}"/>
    <cellStyle name="Normal 82 6" xfId="1380" xr:uid="{4547F903-4072-4276-940A-758848A86598}"/>
    <cellStyle name="Normal 82 7" xfId="1568" xr:uid="{473ED346-1CF4-4030-9459-E66FD6988EF0}"/>
    <cellStyle name="Normal 82 8" xfId="1756" xr:uid="{05B1A8DF-404F-452D-8A90-698319B0B9B0}"/>
    <cellStyle name="Normal 82 9" xfId="1944" xr:uid="{049C9D81-43F3-42E4-9614-A55F7DB8A206}"/>
    <cellStyle name="Normal 83" xfId="103" xr:uid="{00000000-0005-0000-0000-0000B5000000}"/>
    <cellStyle name="Normal 83 2" xfId="649" xr:uid="{B488C667-72C5-42A2-B129-386D69902FFF}"/>
    <cellStyle name="Normal 83 3" xfId="831" xr:uid="{81CABA59-A62D-4817-8083-34ABC2E9394F}"/>
    <cellStyle name="Normal 83 4" xfId="1013" xr:uid="{FB1CD9CF-5512-45AA-A1E6-9C1B70628695}"/>
    <cellStyle name="Normal 83 5" xfId="1196" xr:uid="{2C43899E-F41B-49B6-A91B-F6D9843D3E6C}"/>
    <cellStyle name="Normal 83 6" xfId="1381" xr:uid="{AE33C0BE-468A-4550-B74A-84132417FEA0}"/>
    <cellStyle name="Normal 83 7" xfId="1569" xr:uid="{624DD850-E72F-4725-91ED-B9CFE780306E}"/>
    <cellStyle name="Normal 83 8" xfId="1757" xr:uid="{07E1AE55-5153-4BF6-BC50-ACF27A18B118}"/>
    <cellStyle name="Normal 83 9" xfId="1945" xr:uid="{78CC7299-EF7F-4630-9B1B-935C3572498D}"/>
    <cellStyle name="Normal 84" xfId="104" xr:uid="{00000000-0005-0000-0000-0000B6000000}"/>
    <cellStyle name="Normal 84 2" xfId="650" xr:uid="{E77CD7E7-6EFE-4624-84F3-C4E730FBE7C2}"/>
    <cellStyle name="Normal 84 3" xfId="832" xr:uid="{A57B8034-169F-4DD8-A64A-141407F0836F}"/>
    <cellStyle name="Normal 84 4" xfId="1014" xr:uid="{3238A140-4EAF-4178-B3C4-3929DF40AA51}"/>
    <cellStyle name="Normal 84 5" xfId="1197" xr:uid="{E9B4624E-69E7-41A2-B9AB-CBDD534F8E81}"/>
    <cellStyle name="Normal 84 6" xfId="1382" xr:uid="{F3211488-5138-4257-B2C5-CD5503606578}"/>
    <cellStyle name="Normal 84 7" xfId="1570" xr:uid="{7FBB08E4-2C48-4D99-8A4B-C73F35A1BB80}"/>
    <cellStyle name="Normal 84 8" xfId="1758" xr:uid="{B4F440E1-1630-4007-8C53-763C1712A4E5}"/>
    <cellStyle name="Normal 84 9" xfId="1946" xr:uid="{21424673-87AE-4EDC-A541-80601FA8F432}"/>
    <cellStyle name="Normal 85" xfId="105" xr:uid="{00000000-0005-0000-0000-0000B7000000}"/>
    <cellStyle name="Normal 85 2" xfId="651" xr:uid="{37E04753-34E6-4C6F-8440-1CEAF401633A}"/>
    <cellStyle name="Normal 85 3" xfId="833" xr:uid="{E7310F0C-8907-4406-B9BC-D32E1AD402CF}"/>
    <cellStyle name="Normal 85 4" xfId="1015" xr:uid="{08DF3CC9-C4A5-4436-BCAB-B9DB530052AC}"/>
    <cellStyle name="Normal 85 5" xfId="1198" xr:uid="{A97E3EBB-E220-4CBB-8149-BFFB1434948E}"/>
    <cellStyle name="Normal 85 6" xfId="1383" xr:uid="{53D998E3-5680-4A65-83EA-2EDCF5704171}"/>
    <cellStyle name="Normal 85 7" xfId="1571" xr:uid="{3F2B59F9-FC69-46DD-8812-B831C15011ED}"/>
    <cellStyle name="Normal 85 8" xfId="1759" xr:uid="{27971089-2AB9-4439-B379-D09A52E14274}"/>
    <cellStyle name="Normal 85 9" xfId="1947" xr:uid="{4B1F75E6-19BA-4AC8-91C8-EB16D8F2716F}"/>
    <cellStyle name="Normal 86" xfId="106" xr:uid="{00000000-0005-0000-0000-0000B8000000}"/>
    <cellStyle name="Normal 86 2" xfId="652" xr:uid="{26398CA9-0220-45D0-A5CF-589634331870}"/>
    <cellStyle name="Normal 86 3" xfId="834" xr:uid="{7AA68332-078E-4A6D-B301-4BDC805DC722}"/>
    <cellStyle name="Normal 86 4" xfId="1016" xr:uid="{1F5A35A5-12E2-4063-8C57-1C83E2DA2232}"/>
    <cellStyle name="Normal 86 5" xfId="1199" xr:uid="{CA916F33-770D-4DD7-B8FB-1D3AD74448AD}"/>
    <cellStyle name="Normal 86 6" xfId="1384" xr:uid="{6C516159-0795-41AA-A79A-38897570366A}"/>
    <cellStyle name="Normal 86 7" xfId="1572" xr:uid="{8E82BA8E-9016-4FEB-822F-E5D9FEA7F48E}"/>
    <cellStyle name="Normal 86 8" xfId="1760" xr:uid="{950A93F6-FC28-4C25-A7CA-D24DC37A7CD9}"/>
    <cellStyle name="Normal 86 9" xfId="1948" xr:uid="{C0CBA792-7DB5-4AC7-A210-1DF35FEB0A22}"/>
    <cellStyle name="Normal 87" xfId="107" xr:uid="{00000000-0005-0000-0000-0000B9000000}"/>
    <cellStyle name="Normal 87 2" xfId="653" xr:uid="{E5D728D7-0A7D-4F19-AAFA-60501178DC22}"/>
    <cellStyle name="Normal 87 3" xfId="835" xr:uid="{3E35D5D8-F52A-497C-9F54-47A508E2C211}"/>
    <cellStyle name="Normal 87 4" xfId="1017" xr:uid="{45195AA9-54BA-437D-8563-A6DEAC485AC9}"/>
    <cellStyle name="Normal 87 5" xfId="1200" xr:uid="{65C26531-7B39-4A62-B31C-16B143E71F30}"/>
    <cellStyle name="Normal 87 6" xfId="1385" xr:uid="{D8D55AEF-BBA1-442E-9ACE-233FB7356CE0}"/>
    <cellStyle name="Normal 87 7" xfId="1573" xr:uid="{188E6F90-C556-41E7-9011-85EB1F44E875}"/>
    <cellStyle name="Normal 87 8" xfId="1761" xr:uid="{C83D2572-F910-4B65-8784-EE027EC24AED}"/>
    <cellStyle name="Normal 87 9" xfId="1949" xr:uid="{9C19E4D2-AF60-43E7-8BE4-32FBEDD29608}"/>
    <cellStyle name="Normal 88" xfId="108" xr:uid="{00000000-0005-0000-0000-0000BA000000}"/>
    <cellStyle name="Normal 88 2" xfId="654" xr:uid="{D31FDF69-CF69-4B1D-B230-22CCB59B3C46}"/>
    <cellStyle name="Normal 88 3" xfId="836" xr:uid="{A9C6D835-0A6B-4BBC-A1B3-B3A175723309}"/>
    <cellStyle name="Normal 88 4" xfId="1018" xr:uid="{BDCD77A3-F4FC-4D28-9447-5C3EEB9A4B2A}"/>
    <cellStyle name="Normal 88 5" xfId="1201" xr:uid="{F26B48B0-E6E3-4B55-A0BC-D202B29EAC64}"/>
    <cellStyle name="Normal 88 6" xfId="1386" xr:uid="{7A2E073C-D317-4EDD-A92A-0DE5DC4440DE}"/>
    <cellStyle name="Normal 88 7" xfId="1574" xr:uid="{DBA57155-6191-4536-80D2-ABE72006214D}"/>
    <cellStyle name="Normal 88 8" xfId="1762" xr:uid="{ED0EBAB7-2DDC-44EC-8E24-AD9CB850C1B7}"/>
    <cellStyle name="Normal 88 9" xfId="1950" xr:uid="{F175191B-4EDE-43F8-9034-EB7C40EFBDFD}"/>
    <cellStyle name="Normal 89" xfId="109" xr:uid="{00000000-0005-0000-0000-0000BB000000}"/>
    <cellStyle name="Normal 89 2" xfId="655" xr:uid="{5AA75871-DBA5-4FAE-A29A-49F5105C7A28}"/>
    <cellStyle name="Normal 89 3" xfId="837" xr:uid="{EF075200-C21C-49F1-860D-C49DFF890C14}"/>
    <cellStyle name="Normal 89 4" xfId="1019" xr:uid="{61C4B75C-EE52-45F1-957F-568C960511E3}"/>
    <cellStyle name="Normal 89 5" xfId="1202" xr:uid="{8839D0BA-241F-4A6E-99C8-501AF7F412B5}"/>
    <cellStyle name="Normal 89 6" xfId="1387" xr:uid="{543CE69C-43E7-4A50-99B6-610A4ABB78C3}"/>
    <cellStyle name="Normal 89 7" xfId="1575" xr:uid="{2A55811A-46CB-4F0D-A480-48DBCCED8C0E}"/>
    <cellStyle name="Normal 89 8" xfId="1763" xr:uid="{F9DB5712-4026-4560-BCE9-0E1E142923AE}"/>
    <cellStyle name="Normal 89 9" xfId="1951" xr:uid="{9502B44D-FD84-4F0D-AE7B-3AEC7DA15635}"/>
    <cellStyle name="Normal 9" xfId="20" xr:uid="{00000000-0005-0000-0000-0000BC000000}"/>
    <cellStyle name="Normal 9 10" xfId="940" xr:uid="{603A0BF0-9677-46E9-BF3D-C2B20463251D}"/>
    <cellStyle name="Normal 9 11" xfId="1123" xr:uid="{D0BA30F0-84C7-4D48-94A8-F9FC32CCCEB8}"/>
    <cellStyle name="Normal 9 12" xfId="1308" xr:uid="{32728641-7514-4C02-A789-9DADBC0D6DA9}"/>
    <cellStyle name="Normal 9 13" xfId="1496" xr:uid="{C09F6DCB-452A-47C2-B407-E3FB5389077A}"/>
    <cellStyle name="Normal 9 14" xfId="1684" xr:uid="{6C71A00B-A83A-4EEA-A747-8882B0DA90C9}"/>
    <cellStyle name="Normal 9 15" xfId="1872" xr:uid="{8F68F6C4-DA32-4B89-BFFA-12CD7313C354}"/>
    <cellStyle name="Normal 9 2" xfId="374" xr:uid="{1D21A3F9-300A-4463-8A46-A0DE1FC1AB6E}"/>
    <cellStyle name="Normal 9 3" xfId="436" xr:uid="{81AC0508-7570-4ACA-BAA1-0595A92D886A}"/>
    <cellStyle name="Normal 9 4" xfId="458" xr:uid="{A647F7F1-4F73-49EA-905B-38CC8F56F054}"/>
    <cellStyle name="Normal 9 5" xfId="480" xr:uid="{0934EC65-665F-4B96-A964-04EB87347DCE}"/>
    <cellStyle name="Normal 9 6" xfId="513" xr:uid="{EBF06A84-1D08-46AA-9FC0-1E999F989F3F}"/>
    <cellStyle name="Normal 9 7" xfId="547" xr:uid="{B6D1D827-DE9A-4165-BA31-4416F4B3A722}"/>
    <cellStyle name="Normal 9 8" xfId="576" xr:uid="{0FAB8D23-9C06-4CF4-BB37-3B8928D1777A}"/>
    <cellStyle name="Normal 9 9" xfId="758" xr:uid="{A94387D0-1279-49A5-A4B2-0DDA31933889}"/>
    <cellStyle name="Normal 90" xfId="110" xr:uid="{00000000-0005-0000-0000-0000BD000000}"/>
    <cellStyle name="Normal 90 2" xfId="656" xr:uid="{600A7112-06CC-4C8A-B336-4C5C6DD7C6E3}"/>
    <cellStyle name="Normal 90 3" xfId="838" xr:uid="{9C61C840-CACD-4E0C-965D-152B2F68C675}"/>
    <cellStyle name="Normal 90 4" xfId="1020" xr:uid="{FCCC8465-C587-4510-81B3-F382D73C6166}"/>
    <cellStyle name="Normal 90 5" xfId="1203" xr:uid="{40888B1E-FA38-4FC0-AF33-E05A37D24D88}"/>
    <cellStyle name="Normal 90 6" xfId="1388" xr:uid="{A5C80D55-C54D-4681-8709-E7A21BD487AA}"/>
    <cellStyle name="Normal 90 7" xfId="1576" xr:uid="{A41AFA57-5801-4AD9-935C-CAFC27BDEFA0}"/>
    <cellStyle name="Normal 90 8" xfId="1764" xr:uid="{C53E069E-8CA4-49D7-9D88-C9B98B74290A}"/>
    <cellStyle name="Normal 90 9" xfId="1952" xr:uid="{9FDA1DBA-3B76-43FC-B81C-52FD87A864FA}"/>
    <cellStyle name="Normal 91" xfId="111" xr:uid="{00000000-0005-0000-0000-0000BE000000}"/>
    <cellStyle name="Normal 91 2" xfId="657" xr:uid="{C4865AA3-2520-4D76-B170-B3F7B3075196}"/>
    <cellStyle name="Normal 91 3" xfId="839" xr:uid="{664408C4-1797-4891-BCA4-41091038DE54}"/>
    <cellStyle name="Normal 91 4" xfId="1021" xr:uid="{53E1F772-A410-46C6-8311-F23AB1D6766F}"/>
    <cellStyle name="Normal 91 5" xfId="1204" xr:uid="{2A120F18-4614-4B64-9531-EF95D56957E9}"/>
    <cellStyle name="Normal 91 6" xfId="1389" xr:uid="{F9C4058B-5F53-4A5A-BEF6-514EB737833A}"/>
    <cellStyle name="Normal 91 7" xfId="1577" xr:uid="{CFE82975-620F-4C59-9D57-1B265ABD2179}"/>
    <cellStyle name="Normal 91 8" xfId="1765" xr:uid="{AE9835B8-2EE9-40C1-B629-389FBF6974C3}"/>
    <cellStyle name="Normal 91 9" xfId="1953" xr:uid="{E43C005A-B87A-49B9-8F84-FF52E7EB09A5}"/>
    <cellStyle name="Normal 92" xfId="112" xr:uid="{00000000-0005-0000-0000-0000BF000000}"/>
    <cellStyle name="Normal 92 2" xfId="658" xr:uid="{E8892495-11B1-4E1C-8D90-0E189520E60C}"/>
    <cellStyle name="Normal 92 3" xfId="840" xr:uid="{EA756CB0-B0B1-45D8-8D2A-864FF0F9CCE6}"/>
    <cellStyle name="Normal 92 4" xfId="1022" xr:uid="{653F0979-B1BA-443A-B757-17F393570B79}"/>
    <cellStyle name="Normal 92 5" xfId="1205" xr:uid="{227799A3-ADC4-4AD8-BF29-E3055A84CC75}"/>
    <cellStyle name="Normal 92 6" xfId="1390" xr:uid="{37F1B414-7C52-46F7-BFBC-3015A87645D6}"/>
    <cellStyle name="Normal 92 7" xfId="1578" xr:uid="{CFE62C4C-C8FA-47B0-9913-D3EF4F5ACB3B}"/>
    <cellStyle name="Normal 92 8" xfId="1766" xr:uid="{129E2B2D-7326-4994-866A-19B187081C76}"/>
    <cellStyle name="Normal 92 9" xfId="1954" xr:uid="{8E97108B-32BE-4957-9A9B-476849D33F76}"/>
    <cellStyle name="Normal 93" xfId="113" xr:uid="{00000000-0005-0000-0000-0000C0000000}"/>
    <cellStyle name="Normal 93 2" xfId="659" xr:uid="{D5A5B93E-9D29-4920-B892-3E6BF1640361}"/>
    <cellStyle name="Normal 93 3" xfId="841" xr:uid="{69D85B29-BC16-4E0E-8AAB-A068043D313A}"/>
    <cellStyle name="Normal 93 4" xfId="1023" xr:uid="{C8B7F167-47DF-487E-BE07-8D90884CDF85}"/>
    <cellStyle name="Normal 93 5" xfId="1206" xr:uid="{3BA75330-8E94-4FB9-9CF0-6F6F04D94352}"/>
    <cellStyle name="Normal 93 6" xfId="1391" xr:uid="{8D1F750D-0473-477B-A80D-7CFAEB9B57F8}"/>
    <cellStyle name="Normal 93 7" xfId="1579" xr:uid="{2D72DBBE-F57A-46BE-965B-7C3C928278B8}"/>
    <cellStyle name="Normal 93 8" xfId="1767" xr:uid="{79D4016B-1603-4F40-8EA2-30251F90F081}"/>
    <cellStyle name="Normal 93 9" xfId="1955" xr:uid="{E162B06B-C612-49F9-9600-5D7D69EEEE23}"/>
    <cellStyle name="Normal 94" xfId="114" xr:uid="{00000000-0005-0000-0000-0000C1000000}"/>
    <cellStyle name="Normal 94 2" xfId="660" xr:uid="{D106C64B-AABC-412C-98CA-C1D7115D7123}"/>
    <cellStyle name="Normal 94 3" xfId="842" xr:uid="{04A65CC0-3FC4-476C-A7A1-9BDDEF8A0442}"/>
    <cellStyle name="Normal 94 4" xfId="1024" xr:uid="{73681A54-3007-490E-9459-8C2FC2AD027A}"/>
    <cellStyle name="Normal 94 5" xfId="1207" xr:uid="{9E54AF0C-F881-48AF-A55D-682D85C3393F}"/>
    <cellStyle name="Normal 94 6" xfId="1392" xr:uid="{F1B257E9-1812-42B5-AAD3-1E6E3529CD1D}"/>
    <cellStyle name="Normal 94 7" xfId="1580" xr:uid="{B46372A4-0EF1-4372-9B19-283D7D63FFB7}"/>
    <cellStyle name="Normal 94 8" xfId="1768" xr:uid="{EE367DA0-9D6B-4D03-9190-2D5D4611DF71}"/>
    <cellStyle name="Normal 94 9" xfId="1956" xr:uid="{A38AE709-76E2-4382-B139-6A9511D3923F}"/>
    <cellStyle name="Normal 95" xfId="115" xr:uid="{00000000-0005-0000-0000-0000C2000000}"/>
    <cellStyle name="Normal 95 2" xfId="661" xr:uid="{A1A27046-C322-42A0-B9EC-BF7BCA4DE4F1}"/>
    <cellStyle name="Normal 95 3" xfId="843" xr:uid="{7F922362-F89A-44D1-815D-7F3D89B55E8D}"/>
    <cellStyle name="Normal 95 4" xfId="1025" xr:uid="{7E0350B2-EF08-4FFF-9CB3-804B0B7CFDF2}"/>
    <cellStyle name="Normal 95 5" xfId="1208" xr:uid="{A805C74C-2BDB-4AEF-992E-7B8AA00CD6C6}"/>
    <cellStyle name="Normal 95 6" xfId="1393" xr:uid="{65C5F70C-1945-4B03-B995-A903EA2AFC22}"/>
    <cellStyle name="Normal 95 7" xfId="1581" xr:uid="{842D3592-6816-4A9B-AFCC-66F7FAAD8F53}"/>
    <cellStyle name="Normal 95 8" xfId="1769" xr:uid="{96722AC5-3395-4F24-BEE5-E26ECC0F718F}"/>
    <cellStyle name="Normal 95 9" xfId="1957" xr:uid="{8B0A4BC0-620D-4295-8012-55B54495106C}"/>
    <cellStyle name="Normal 96" xfId="116" xr:uid="{00000000-0005-0000-0000-0000C3000000}"/>
    <cellStyle name="Normal 96 2" xfId="662" xr:uid="{71573436-31CE-4200-935F-46C17DE24771}"/>
    <cellStyle name="Normal 96 3" xfId="844" xr:uid="{57CE3370-7478-4D75-ABAD-2EB18F51C8A0}"/>
    <cellStyle name="Normal 96 4" xfId="1026" xr:uid="{F1CCECC6-7EEF-4288-BA2F-DDFDADAC9C6C}"/>
    <cellStyle name="Normal 96 5" xfId="1209" xr:uid="{8E9D7926-DB65-44DA-9066-921A7148F623}"/>
    <cellStyle name="Normal 96 6" xfId="1394" xr:uid="{FF7ACD70-69B0-4CB5-8453-27C17E4A43BA}"/>
    <cellStyle name="Normal 96 7" xfId="1582" xr:uid="{2ABDC106-8EBE-409A-82F1-75169BE6B4B3}"/>
    <cellStyle name="Normal 96 8" xfId="1770" xr:uid="{C5913DF8-DD57-4E40-B3BC-EEAB7BA31C08}"/>
    <cellStyle name="Normal 96 9" xfId="1958" xr:uid="{5AC8A244-AC5B-4057-839E-83F40350F34A}"/>
    <cellStyle name="Normal 97" xfId="117" xr:uid="{00000000-0005-0000-0000-0000C4000000}"/>
    <cellStyle name="Normal 97 2" xfId="663" xr:uid="{A55BCF00-E001-4E6F-954C-3A88A998C267}"/>
    <cellStyle name="Normal 97 3" xfId="845" xr:uid="{1B28EF77-2D11-4E3A-8A2F-4E61536AC107}"/>
    <cellStyle name="Normal 97 4" xfId="1027" xr:uid="{DD0E2F93-A263-45A2-8EFA-7A49482F85B7}"/>
    <cellStyle name="Normal 97 5" xfId="1210" xr:uid="{A9326D33-AB76-43CB-B126-934AD0D926D5}"/>
    <cellStyle name="Normal 97 6" xfId="1395" xr:uid="{E14DF94E-15EB-43F8-89D4-040A22EBAD06}"/>
    <cellStyle name="Normal 97 7" xfId="1583" xr:uid="{2AD0FE9C-449B-496A-9AAC-97DCDE5C6512}"/>
    <cellStyle name="Normal 97 8" xfId="1771" xr:uid="{703FB450-A8F6-427B-B418-77D21B80C00D}"/>
    <cellStyle name="Normal 97 9" xfId="1959" xr:uid="{6913EB5B-C140-4A50-B06A-4E1BD9098141}"/>
    <cellStyle name="Normal 98" xfId="118" xr:uid="{00000000-0005-0000-0000-0000C5000000}"/>
    <cellStyle name="Normal 98 2" xfId="664" xr:uid="{AB3CF672-DC30-470A-964B-3F60D2860C6F}"/>
    <cellStyle name="Normal 98 3" xfId="846" xr:uid="{08D7ACBE-A62B-4107-9CDC-50B044173933}"/>
    <cellStyle name="Normal 98 4" xfId="1028" xr:uid="{1E859D08-1276-4F2E-8DA2-C2B1976F2D34}"/>
    <cellStyle name="Normal 98 5" xfId="1211" xr:uid="{E93F6B79-6FCB-48C1-A5A7-BFEDBB05978F}"/>
    <cellStyle name="Normal 98 6" xfId="1396" xr:uid="{024DB4FE-E1C5-4236-82AC-F5FFE15C6C9A}"/>
    <cellStyle name="Normal 98 7" xfId="1584" xr:uid="{4D721750-126B-4754-B73C-7913DBF26273}"/>
    <cellStyle name="Normal 98 8" xfId="1772" xr:uid="{C7017306-541A-4030-AB0F-ED0BF0C33E4C}"/>
    <cellStyle name="Normal 98 9" xfId="1960" xr:uid="{D2DBD28D-2140-44F8-ABB2-78257DF5B8AC}"/>
    <cellStyle name="Normal 99" xfId="119" xr:uid="{00000000-0005-0000-0000-0000C6000000}"/>
    <cellStyle name="Normal 99 2" xfId="665" xr:uid="{1A139BB3-1807-4821-AE23-D1D13264B9FB}"/>
    <cellStyle name="Normal 99 3" xfId="847" xr:uid="{E3D74A90-C8E5-4DA9-AB43-18C2670D287F}"/>
    <cellStyle name="Normal 99 4" xfId="1029" xr:uid="{9A10EAB9-EEF9-4968-890F-A7EB8712F6DB}"/>
    <cellStyle name="Normal 99 5" xfId="1212" xr:uid="{BBC48457-C4D0-40C0-8649-9F888D61B0BC}"/>
    <cellStyle name="Normal 99 6" xfId="1397" xr:uid="{6A434996-0ABE-4988-A4FE-656702AEB7F4}"/>
    <cellStyle name="Normal 99 7" xfId="1585" xr:uid="{0E30A316-8CC5-4BA6-A3E1-C6FF02A059FB}"/>
    <cellStyle name="Normal 99 8" xfId="1773" xr:uid="{A68F0B24-4C7C-45F9-B0D7-586E3DE752CB}"/>
    <cellStyle name="Normal 99 9" xfId="1961" xr:uid="{8BDE91E1-DA2F-4687-B47F-DFC34378DB8E}"/>
    <cellStyle name="Note 2" xfId="293" xr:uid="{4661B2E5-4676-44BE-BF0C-BE2B61AB32A3}"/>
    <cellStyle name="Note 2 2" xfId="424" xr:uid="{36B72961-B12F-4783-8CD4-FF7FA27CE10C}"/>
    <cellStyle name="Note 3" xfId="363" xr:uid="{E94D32DA-A80C-497C-9EA0-D56382E67B45}"/>
    <cellStyle name="Note 4" xfId="1111" xr:uid="{E77A05F5-9388-4F19-B890-916E72308812}"/>
    <cellStyle name="Output" xfId="215" builtinId="21" customBuiltin="1"/>
    <cellStyle name="Output 2" xfId="294" xr:uid="{B67DB225-D92A-4F26-86A2-545E0CC2936D}"/>
    <cellStyle name="Percent 2" xfId="357" xr:uid="{A0CF7463-6DE3-4B1D-8161-E2A14DE33693}"/>
    <cellStyle name="Percent 3" xfId="352" xr:uid="{2E44014F-4FDE-4FA7-BB8E-B3F684E20793}"/>
    <cellStyle name="Satisfaisant 2" xfId="339" xr:uid="{0D9B4931-B16C-4791-85ED-9FACDDE42BDE}"/>
    <cellStyle name="Sortie 2" xfId="340" xr:uid="{595FBBE0-784B-45C8-B527-680C1658933C}"/>
    <cellStyle name="Tecan.At.Excel.Attenuation" xfId="7" xr:uid="{00000000-0005-0000-0000-0000C7000000}"/>
    <cellStyle name="Tecan.At.Excel.AutoGain_0" xfId="8" xr:uid="{00000000-0005-0000-0000-0000C8000000}"/>
    <cellStyle name="Tecan.At.Excel.Error" xfId="2" xr:uid="{00000000-0005-0000-0000-0000C9000000}"/>
    <cellStyle name="Tecan.At.Excel.GFactorAndMeasurementBlank" xfId="6" xr:uid="{00000000-0005-0000-0000-0000CA000000}"/>
    <cellStyle name="Tecan.At.Excel.GFactorBlank" xfId="4" xr:uid="{00000000-0005-0000-0000-0000CB000000}"/>
    <cellStyle name="Tecan.At.Excel.GFactorReference" xfId="5" xr:uid="{00000000-0005-0000-0000-0000CC000000}"/>
    <cellStyle name="Tecan.At.Excel.MeasurementBlank" xfId="3" xr:uid="{00000000-0005-0000-0000-0000CD000000}"/>
    <cellStyle name="Tecan.At.Excel.NanoQuant" xfId="9" xr:uid="{00000000-0005-0000-0000-0000CE000000}"/>
    <cellStyle name="Texte explicatif 2" xfId="341" xr:uid="{98828F25-A27C-46B3-93C8-7A2072745FDA}"/>
    <cellStyle name="Title 2" xfId="295" xr:uid="{6C56DDC6-0DD5-4032-A57B-99714114E526}"/>
    <cellStyle name="Title 3" xfId="240" xr:uid="{581AD557-D002-49D5-860D-9F394F968245}"/>
    <cellStyle name="Titre 2" xfId="342" xr:uid="{D4B0F517-4D71-45E5-BEF3-129C3F753194}"/>
    <cellStyle name="Titre 1 2" xfId="343" xr:uid="{F302B725-6E07-4B07-B3B1-B00CFB6EA9D7}"/>
    <cellStyle name="Titre 2 2" xfId="344" xr:uid="{805ACAC3-82A3-4384-ABCA-27615F7E0FF7}"/>
    <cellStyle name="Titre 3 2" xfId="345" xr:uid="{A23FA015-65B8-40DF-83E5-072FD1E6F703}"/>
    <cellStyle name="Titre 4 2" xfId="346" xr:uid="{CAD52864-5461-478D-AC24-E174919FCF7D}"/>
    <cellStyle name="Total" xfId="221" builtinId="25" customBuiltin="1"/>
    <cellStyle name="Total 2" xfId="40" xr:uid="{00000000-0005-0000-0000-0000CF000000}"/>
    <cellStyle name="Total 2 2" xfId="347" xr:uid="{E90ACDBB-BA86-4EC6-ABCC-94A439165EB2}"/>
    <cellStyle name="Total 2 3" xfId="348" xr:uid="{02234298-9674-43C5-8F7F-F63793DC8CBD}"/>
    <cellStyle name="Total 2 4" xfId="296" xr:uid="{6A349A99-CF2B-4EB2-B425-1CA7DC8CF316}"/>
    <cellStyle name="Total 3" xfId="297" xr:uid="{DBEF4A0D-EB66-47AF-A195-0181D5B7F49C}"/>
    <cellStyle name="Vérification 2" xfId="349" xr:uid="{28D0665D-DD80-4B39-9639-605B2B656578}"/>
    <cellStyle name="Warning Text" xfId="219" builtinId="11" customBuiltin="1"/>
    <cellStyle name="Warning Text 2" xfId="298" xr:uid="{CC13BEA8-CA5D-471C-BA31-FCA93A581466}"/>
  </cellStyles>
  <dxfs count="40">
    <dxf>
      <font>
        <color rgb="FF9C0006"/>
      </font>
      <fill>
        <patternFill>
          <bgColor rgb="FFFFC7CE"/>
        </patternFill>
      </fill>
    </dxf>
    <dxf>
      <font>
        <color rgb="FF9C0006"/>
      </font>
      <fill>
        <patternFill>
          <bgColor rgb="FFFFC7CE"/>
        </patternFill>
      </fill>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FFFF00"/>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FFFF00"/>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rgb="FFFFFF00"/>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rgb="FFFFFF00"/>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rgb="FFFFFF00"/>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rgb="FFFFFF00"/>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dxf>
    <dxf>
      <numFmt numFmtId="30" formatCode="@"/>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5" defaultTableStyle="TableStyleMedium2" defaultPivotStyle="PivotTable Style 1">
    <tableStyle name="Blank Style" pivot="0" count="0" xr9:uid="{79A791B4-22AC-44D6-8716-313065C0523F}"/>
    <tableStyle name="Clear Style" pivot="0" count="0" xr9:uid="{C55D081A-9174-4049-B62D-906EBA99397C}"/>
    <tableStyle name="PivotTable Style 1" table="0" count="0" xr9:uid="{FA83CEDC-F35B-497C-A4C8-4E25CAFB04EF}"/>
    <tableStyle name="Plain Style" pivot="0" count="0" xr9:uid="{329E38F9-0BF7-4291-A6D5-33FB1340610C}"/>
    <tableStyle name="Table Style 1" pivot="0" count="0" xr9:uid="{CB8C2CBC-EEA5-4141-B00E-87A02ACE6C59}"/>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qci.qiagen.com/xsd/interpret'">
  <Schema ID="Schema8" Namespace="http://qci.qiagen.com/xsd/interpret">
    <xsd:schema xmlns:xsd="http://www.w3.org/2001/XMLSchema" xmlns:ns0="http://qci.qiagen.com/xsd/interpret" xmlns="" targetNamespace="http://qci.qiagen.com/xsd/interpret">
      <xsd:element nillable="true" name="QCISomaticTest">
        <xsd:complexType>
          <xsd:sequence minOccurs="0">
            <xsd:element minOccurs="0" nillable="true" name="TestProduct" form="qualified">
              <xsd:complexType>
                <xsd:sequence minOccurs="0">
                  <xsd:element minOccurs="0" nillable="true" type="xsd:string" name="Code" form="qualified"/>
                  <xsd:element minOccurs="0" nillable="true" type="xsd:string" name="Profile" form="qualified"/>
                  <xsd:element minOccurs="0" nillable="true" type="xsd:string" name="ReportTemplate" form="qualified"/>
                </xsd:sequence>
              </xsd:complexType>
            </xsd:element>
            <xsd:element minOccurs="0" nillable="true" name="Test" form="qualified">
              <xsd:complexType>
                <xsd:sequence minOccurs="0">
                  <xsd:element minOccurs="0" nillable="true" type="xsd:string" name="AccessionId" form="qualified"/>
                  <xsd:element minOccurs="0" nillable="true" type="xsd:string" name="VariantsFilename" form="qualified"/>
                  <xsd:element minOccurs="0" nillable="true" type="xsd:date" name="TestDate" form="qualified"/>
                  <xsd:element minOccurs="0" nillable="true" type="xsd:string" name="Diagnosis" form="qualified"/>
                  <xsd:element minOccurs="0" nillable="true" type="xsd:string" name="PrimarySourceTissue" form="qualified"/>
                </xsd:sequence>
              </xsd:complexType>
            </xsd:element>
            <xsd:element minOccurs="0" nillable="true" name="Patient" form="qualified">
              <xsd:complexType>
                <xsd:sequence minOccurs="0">
                  <xsd:element minOccurs="0" nillable="true" type="xsd:string" name="Name" form="qualified"/>
                  <xsd:element minOccurs="0" nillable="true" type="xsd:date" name="BirthDate" form="qualified"/>
                  <xsd:element minOccurs="0" nillable="true" type="xsd:string" name="Age" form="qualified"/>
                  <xsd:element minOccurs="0" nillable="true" type="xsd:string" name="Gender" form="qualified"/>
                </xsd:sequence>
              </xsd:complexType>
            </xsd:element>
            <xsd:element minOccurs="0" nillable="true" name="Specimen" form="qualified">
              <xsd:complexType>
                <xsd:sequence minOccurs="0">
                  <xsd:element minOccurs="0" nillable="true" type="xsd:string" name="Id" form="qualified"/>
                  <xsd:element minOccurs="0" nillable="true" type="xsd:date" name="CollectionDate" form="qualified"/>
                  <xsd:element minOccurs="0" nillable="true" type="xsd:string" name="Type" form="qualified"/>
                </xsd:sequence>
              </xsd:complexType>
            </xsd:element>
            <xsd:element minOccurs="0" nillable="true" name="Physician" form="qualified">
              <xsd:complexType>
                <xsd:sequence minOccurs="0">
                  <xsd:element minOccurs="0" nillable="true" type="xsd:string" name="Name" form="qualified"/>
                  <xsd:element minOccurs="0" nillable="true" type="xsd:string" name="ClientId" form="qualified"/>
                  <xsd:element minOccurs="0" nillable="true" type="xsd:string" name="FacilityName" form="qualified"/>
                </xsd:sequence>
              </xsd:complexType>
            </xsd:element>
            <xsd:element minOccurs="0" nillable="true" name="Pathologist" form="qualified">
              <xsd:complexType>
                <xsd:sequence minOccurs="0">
                  <xsd:element minOccurs="0" nillable="true" type="xsd:string" name="Name" form="qualified"/>
                </xsd:sequence>
              </xsd:complexType>
            </xsd:element>
            <xsd:element minOccurs="0" nillable="true" name="Reviewers" form="qualified">
              <xsd:complexType>
                <xsd:sequence minOccurs="0">
                  <xsd:element minOccurs="0" nillable="true" type="xsd:string" name="Reviewer" form="qualified"/>
                </xsd:sequence>
              </xsd:complexType>
            </xsd:element>
          </xsd:sequence>
          <xsd:attribute name="version" form="unqualified" type="xsd:string"/>
        </xsd:complexType>
      </xsd:element>
    </xsd:schema>
  </Schema>
  <Map ID="12" Name="QCISomaticTest_Map" RootElement="QCISomaticTest" SchemaID="Schema8" ShowImportExportValidationErrors="false" AutoFit="true" Append="false" PreserveSortAFLayout="true" PreserveFormat="true">
    <DataBinding FileBinding="true" ConnectionID="9"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externalLink" Target="externalLinks/externalLink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1200150</xdr:colOff>
          <xdr:row>3</xdr:row>
          <xdr:rowOff>133350</xdr:rowOff>
        </xdr:from>
        <xdr:to>
          <xdr:col>7</xdr:col>
          <xdr:colOff>809625</xdr:colOff>
          <xdr:row>6</xdr:row>
          <xdr:rowOff>66675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1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Assay Result Summary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4</xdr:row>
          <xdr:rowOff>85725</xdr:rowOff>
        </xdr:from>
        <xdr:to>
          <xdr:col>6</xdr:col>
          <xdr:colOff>590550</xdr:colOff>
          <xdr:row>6</xdr:row>
          <xdr:rowOff>133350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and CONVERT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942975</xdr:colOff>
          <xdr:row>0</xdr:row>
          <xdr:rowOff>142875</xdr:rowOff>
        </xdr:from>
        <xdr:to>
          <xdr:col>6</xdr:col>
          <xdr:colOff>847725</xdr:colOff>
          <xdr:row>3</xdr:row>
          <xdr:rowOff>123825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Data Entry Report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9525</xdr:rowOff>
        </xdr:from>
        <xdr:to>
          <xdr:col>6</xdr:col>
          <xdr:colOff>1343025</xdr:colOff>
          <xdr:row>6</xdr:row>
          <xdr:rowOff>38100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NGS HEME Cover Page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ANCTR%20RSCH/CMOL/Sample%20Receipt%20Logs/Clinical%20Sample%20Receiving%20Log/Clinical%20Sample%20Receipt%20Lo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zwang\Desktop\SOP\NGS%20Comprehensive%20Assay%20Summary%20Templat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CANCTR%20RSCH/CMOL/Sample%20Receipt%20Logs/Clinical%20Sample%20Receipt%20Log.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CANCTR%20RSCH/CMOL/Patient%20Reports/NGS%20Comprehensive/NGS%20Comprehensive%20Assay%20Summary%20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NA Receipt Log-MASTER"/>
      <sheetName val="DNA - Buffy Coat Receipt Log"/>
      <sheetName val="RNA Receipt Log"/>
      <sheetName val="Related DNA_RNA #s"/>
      <sheetName val="List of Providers"/>
      <sheetName val="Clinical Sample Receipt Log"/>
      <sheetName val="ICD-9 Codes and Dx"/>
      <sheetName val="Holidays, Locations, Tests"/>
      <sheetName val="Sheet1"/>
      <sheetName val="Sheet2"/>
      <sheetName val=""/>
    </sheetNames>
    <sheetDataSet>
      <sheetData sheetId="0"/>
      <sheetData sheetId="1"/>
      <sheetData sheetId="2"/>
      <sheetData sheetId="3"/>
      <sheetData sheetId="4"/>
      <sheetData sheetId="5" refreshError="1"/>
      <sheetData sheetId="6"/>
      <sheetData sheetId="7" refreshError="1"/>
      <sheetData sheetId="8"/>
      <sheetData sheetId="9"/>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tient_Info"/>
      <sheetName val="Summary"/>
      <sheetName val="Data entry"/>
      <sheetName val="letter head zp"/>
      <sheetName val="Date"/>
      <sheetName val="yes_no"/>
      <sheetName val="report_data"/>
      <sheetName val="report_type"/>
      <sheetName val="NGS Comprehensive Assay Summary"/>
    </sheetNames>
    <sheetDataSet>
      <sheetData sheetId="0">
        <row r="17">
          <cell r="A17">
            <v>44175</v>
          </cell>
        </row>
      </sheetData>
      <sheetData sheetId="1"/>
      <sheetData sheetId="2"/>
      <sheetData sheetId="3">
        <row r="9">
          <cell r="A9" t="str">
            <v>Age:</v>
          </cell>
        </row>
      </sheetData>
      <sheetData sheetId="4"/>
      <sheetData sheetId="5"/>
      <sheetData sheetId="6"/>
      <sheetData sheetId="7"/>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NA Receipt Log-MASTER"/>
      <sheetName val="DNA - Buffy Coat Receipt Log"/>
      <sheetName val="RNA Receipt Log-MASTER"/>
      <sheetName val="NGS Common Log"/>
      <sheetName val="NGS Heme Log"/>
      <sheetName val="NGS Comprehensive"/>
      <sheetName val="Test Codes"/>
      <sheetName val="Research Projects Samples"/>
      <sheetName val="Send Out Samples"/>
      <sheetName val="Special cases"/>
      <sheetName val="List of Providers"/>
      <sheetName val="Holidays, Locations, Tests"/>
      <sheetName val="Canceled Samples"/>
      <sheetName val="Repeated Samples"/>
      <sheetName val="Sample Incidents"/>
      <sheetName val="Control Samples"/>
      <sheetName val="Sheet1"/>
      <sheetName val="Validation Samples (Tcel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tient_Info"/>
      <sheetName val="Summary"/>
      <sheetName val="Data entry"/>
      <sheetName val="letter head zp"/>
      <sheetName val="Date"/>
      <sheetName val="yes_no"/>
      <sheetName val="report_data"/>
      <sheetName val="report_type"/>
    </sheetNames>
    <definedNames>
      <definedName name="ResultSummary"/>
    </definedNames>
    <sheetDataSet>
      <sheetData sheetId="0"/>
      <sheetData sheetId="1"/>
      <sheetData sheetId="2"/>
      <sheetData sheetId="3"/>
      <sheetData sheetId="4"/>
      <sheetData sheetId="5"/>
      <sheetData sheetId="6"/>
      <sheetData sheetId="7"/>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D166F376-9C36-4E9B-97D1-5F6992936733}" name="Table263" displayName="Table263" ref="A1:X2" totalsRowShown="0" headerRowDxfId="27" dataDxfId="26">
  <autoFilter ref="A1:X2" xr:uid="{F81F3E30-10C7-4076-A099-077BFAA3AB35}"/>
  <tableColumns count="24">
    <tableColumn id="25" xr3:uid="{E6DF02FA-396C-4486-985D-8EC4652EC38A}" name="Version" dataDxfId="25"/>
    <tableColumn id="1" xr3:uid="{7337B3C0-5014-42BB-A2EA-86022D85E344}" name="Code" dataDxfId="24"/>
    <tableColumn id="2" xr3:uid="{452A2729-F521-40FC-A3A4-F23077B95082}" name="Profile" dataDxfId="23"/>
    <tableColumn id="15" xr3:uid="{586528AC-6A04-41DA-BE2D-5851AC595721}" name="Report template" dataDxfId="22"/>
    <tableColumn id="19" xr3:uid="{D47FE907-8EE3-462E-A213-F19200DACFAA}" name="Accession ID" dataDxfId="21">
      <calculatedColumnFormula>Patient_Info!D4</calculatedColumnFormula>
    </tableColumn>
    <tableColumn id="7" xr3:uid="{3B688A2D-AE17-4E11-8ACA-73DA2646AB85}" name="File name" dataDxfId="20"/>
    <tableColumn id="6" xr3:uid="{855E7B4F-2201-4C75-A57A-6E477D58E8EF}" name="Diagnosis" dataDxfId="19">
      <calculatedColumnFormula>Patient_Info!AF4</calculatedColumnFormula>
    </tableColumn>
    <tableColumn id="5" xr3:uid="{95B14972-C3DC-4A41-90ED-1B37F61FB055}" name="test date" dataDxfId="18">
      <calculatedColumnFormula>TEXT(Patient_Info!K4,"yyyy-mm-dd")</calculatedColumnFormula>
    </tableColumn>
    <tableColumn id="9" xr3:uid="{FF612DDB-5A8B-463A-8555-C69CEE29FE3C}" name="tumor site" dataDxfId="17"/>
    <tableColumn id="3" xr3:uid="{7A039C06-C326-41D7-B56B-F12268E9DAD0}" name="Name" dataDxfId="16">
      <calculatedColumnFormula>TRIM(Patient_Info!A4)&amp;", "&amp;TRIM(Patient_Info!B4)</calculatedColumnFormula>
    </tableColumn>
    <tableColumn id="4" xr3:uid="{CA72B218-B981-4649-9E44-BFEF6779835C}" name="birth date" dataDxfId="15">
      <calculatedColumnFormula>TEXT(Patient_Info!F4,"yyyy-mm-dd")</calculatedColumnFormula>
    </tableColumn>
    <tableColumn id="20" xr3:uid="{18F2C016-0B59-4CD6-8362-59FC5263FCF3}" name="Age" dataDxfId="14">
      <calculatedColumnFormula>INT((TODAY()-K2)/365)</calculatedColumnFormula>
    </tableColumn>
    <tableColumn id="18" xr3:uid="{8572F69C-1522-4840-9117-B4E96229EF4B}" name="Gender" dataDxfId="13">
      <calculatedColumnFormula>IF(Patient_Info!G4="M", "male", "female")</calculatedColumnFormula>
    </tableColumn>
    <tableColumn id="13" xr3:uid="{368E261C-4219-4350-9CCB-FE5589BB2C6E}" name="Specimen ID" dataDxfId="12">
      <calculatedColumnFormula>Patient_Info!I4</calculatedColumnFormula>
    </tableColumn>
    <tableColumn id="14" xr3:uid="{84A09F48-DD0E-4114-8175-F13087C3D8A5}" name="collection date" dataDxfId="11">
      <calculatedColumnFormula>TEXT(Patient_Info!E4,"yyyy-mm-dd")</calculatedColumnFormula>
    </tableColumn>
    <tableColumn id="8" xr3:uid="{82348E69-1C1C-4059-8BD1-A65F01CE2C01}" name="Specimen type" dataDxfId="10">
      <calculatedColumnFormula>Patient_Info!N4</calculatedColumnFormula>
    </tableColumn>
    <tableColumn id="11" xr3:uid="{0A50C8F7-7D09-49BA-8104-4AF85A803B70}" name="Physician Name" dataDxfId="9">
      <calculatedColumnFormula>TRIM(Patient_Info!$A$8)</calculatedColumnFormula>
    </tableColumn>
    <tableColumn id="17" xr3:uid="{A261A878-94B7-4277-BF20-07C00F6E528E}" name="Client ID" dataDxfId="8">
      <calculatedColumnFormula>Patient_Info!C4</calculatedColumnFormula>
    </tableColumn>
    <tableColumn id="10" xr3:uid="{30A23DFB-9DB9-4D94-AA2D-3591C5728D66}" name="Client name" dataDxfId="7">
      <calculatedColumnFormula>Patient_Info!P4</calculatedColumnFormula>
    </tableColumn>
    <tableColumn id="12" xr3:uid="{5023A4EE-C083-4EC3-AFCF-FCC663E4DE14}" name="Pathologist name" dataDxfId="6">
      <calculatedColumnFormula>Patient_Info!H4</calculatedColumnFormula>
    </tableColumn>
    <tableColumn id="16" xr3:uid="{17247C7B-7556-446E-BBFE-D6A1F9A9EA30}" name="Reviewer" dataDxfId="5"/>
    <tableColumn id="22" xr3:uid="{212DCCE7-1665-4B4A-87D0-005A6A275A9B}" name="ns1:Reviewer" dataDxfId="4"/>
    <tableColumn id="23" xr3:uid="{D6DAF019-DDC7-4E6B-BD3D-E88C9FF222A0}" name="ns1:Name" dataDxfId="3"/>
    <tableColumn id="24" xr3:uid="{6321BB6F-BD4A-47CC-A496-E2288E6CA0A3}" name="ns1:Reviewer2" dataDxfId="2"/>
  </tableColumns>
  <tableStyleInfo name="TableStyleLight10"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30" xr6:uid="{27842189-D743-4A10-B872-0EEACEB313C4}" r="B10" connectionId="9">
    <xmlCellPr id="1" xr6:uid="{2640CD9F-8853-4564-A42E-7D332C9E7355}" uniqueName="ns1:Code">
      <xmlPr mapId="12" xpath="/ns1:QCISomaticTest/ns1:TestProduct/ns1:Code" xmlDataType="string"/>
    </xmlCellPr>
  </singleXmlCell>
  <singleXmlCell id="131" xr6:uid="{F082D301-E6D5-4F16-BDF3-2BC9BDFB9995}" r="C10" connectionId="9">
    <xmlCellPr id="1" xr6:uid="{B7FE4C43-1540-443E-A835-8070DA9A9578}" uniqueName="ns1:Profile">
      <xmlPr mapId="12" xpath="/ns1:QCISomaticTest/ns1:TestProduct/ns1:Profile" xmlDataType="string"/>
    </xmlCellPr>
  </singleXmlCell>
  <singleXmlCell id="132" xr6:uid="{AD9AC940-33F3-454E-851E-B4AFE4F5FCEE}" r="D10" connectionId="9">
    <xmlCellPr id="1" xr6:uid="{69EC0C91-942A-43C0-8012-253EA7070A5C}" uniqueName="ns1:ReportTemplate">
      <xmlPr mapId="12" xpath="/ns1:QCISomaticTest/ns1:TestProduct/ns1:ReportTemplate" xmlDataType="string"/>
    </xmlCellPr>
  </singleXmlCell>
  <singleXmlCell id="133" xr6:uid="{B19FBAE9-E098-4DAC-B333-3F264DDCCC31}" r="E10" connectionId="9">
    <xmlCellPr id="1" xr6:uid="{58E9A716-2585-4070-AFAF-1A447655911F}" uniqueName="ns1:AccessionId">
      <xmlPr mapId="12" xpath="/ns1:QCISomaticTest/ns1:Test/ns1:AccessionId" xmlDataType="string"/>
    </xmlCellPr>
  </singleXmlCell>
  <singleXmlCell id="134" xr6:uid="{566FC343-A750-48BF-B2C0-8490CC0A337A}" r="F10" connectionId="9">
    <xmlCellPr id="1" xr6:uid="{8F13755B-81C9-425C-9BFE-45C5B6873F29}" uniqueName="ns1:VariantsFilename">
      <xmlPr mapId="12" xpath="/ns1:QCISomaticTest/ns1:Test/ns1:VariantsFilename" xmlDataType="string"/>
    </xmlCellPr>
  </singleXmlCell>
  <singleXmlCell id="137" xr6:uid="{88B24E72-9F0B-4986-8865-CB22C0B0B02C}" r="I10" connectionId="9">
    <xmlCellPr id="1" xr6:uid="{F5F15635-27E1-4DB1-A24E-B6A59F8984DC}" uniqueName="ns1:PrimarySourceTissue">
      <xmlPr mapId="12" xpath="/ns1:QCISomaticTest/ns1:Test/ns1:PrimarySourceTissue" xmlDataType="string"/>
    </xmlCellPr>
  </singleXmlCell>
  <singleXmlCell id="138" xr6:uid="{28F76484-2E04-4A7D-B25D-739A7F000B31}" r="J10" connectionId="9">
    <xmlCellPr id="1" xr6:uid="{DB47EE4E-6340-4C61-B075-AC217372C089}" uniqueName="ns1:Name">
      <xmlPr mapId="12" xpath="/ns1:QCISomaticTest/ns1:Patient/ns1:Name" xmlDataType="string"/>
    </xmlCellPr>
  </singleXmlCell>
  <singleXmlCell id="139" xr6:uid="{3CF44F47-0A33-4343-9D13-EB3AB7DE34B8}" r="K10" connectionId="9">
    <xmlCellPr id="1" xr6:uid="{2FE2F668-BC85-4EC8-9EF2-359934AE81ED}" uniqueName="ns1:BirthDate">
      <xmlPr mapId="12" xpath="/ns1:QCISomaticTest/ns1:Patient/ns1:BirthDate" xmlDataType="date"/>
    </xmlCellPr>
  </singleXmlCell>
  <singleXmlCell id="140" xr6:uid="{C53D69C6-B818-48CE-8BA0-FD31401EEB2D}" r="L10" connectionId="9">
    <xmlCellPr id="1" xr6:uid="{2EEA0C66-8F6A-4AC8-867D-B152B531C0CE}" uniqueName="ns1:Age">
      <xmlPr mapId="12" xpath="/ns1:QCISomaticTest/ns1:Patient/ns1:Age" xmlDataType="string"/>
    </xmlCellPr>
  </singleXmlCell>
  <singleXmlCell id="141" xr6:uid="{8A230B3D-852A-45BF-BC5B-007BA5CC6CF4}" r="M10" connectionId="9">
    <xmlCellPr id="1" xr6:uid="{59B19487-342D-4BE1-B669-35A262F4B744}" uniqueName="ns1:Gender">
      <xmlPr mapId="12" xpath="/ns1:QCISomaticTest/ns1:Patient/ns1:Gender" xmlDataType="string"/>
    </xmlCellPr>
  </singleXmlCell>
  <singleXmlCell id="142" xr6:uid="{B8AD2043-EAAD-4256-AA7B-1AEF666FF142}" r="N10" connectionId="9">
    <xmlCellPr id="1" xr6:uid="{D0CA8780-1806-4440-A897-D902F194CA88}" uniqueName="ns1:Id">
      <xmlPr mapId="12" xpath="/ns1:QCISomaticTest/ns1:Specimen/ns1:Id" xmlDataType="string"/>
    </xmlCellPr>
  </singleXmlCell>
  <singleXmlCell id="143" xr6:uid="{36A27BA5-9A6D-44C7-9FE1-E3379DF82BA0}" r="O10" connectionId="9">
    <xmlCellPr id="1" xr6:uid="{BE564044-2D7A-49A4-BB88-13DD9933AF89}" uniqueName="ns1:CollectionDate">
      <xmlPr mapId="12" xpath="/ns1:QCISomaticTest/ns1:Specimen/ns1:CollectionDate" xmlDataType="date"/>
    </xmlCellPr>
  </singleXmlCell>
  <singleXmlCell id="144" xr6:uid="{793F94F4-A27C-47A9-8F55-D6FF19ED4701}" r="P10" connectionId="9">
    <xmlCellPr id="1" xr6:uid="{619DEA03-4FB1-4B6F-A977-A347FCB0B764}" uniqueName="ns1:Type">
      <xmlPr mapId="12" xpath="/ns1:QCISomaticTest/ns1:Specimen/ns1:Type" xmlDataType="string"/>
    </xmlCellPr>
  </singleXmlCell>
  <singleXmlCell id="145" xr6:uid="{1321BF94-BE18-4691-B479-6C24B28E9DA7}" r="Q10" connectionId="9">
    <xmlCellPr id="1" xr6:uid="{D317038E-C48B-4CBB-B94B-96F25359218F}" uniqueName="ns1:Name">
      <xmlPr mapId="12" xpath="/ns1:QCISomaticTest/ns1:Physician/ns1:Name" xmlDataType="string"/>
    </xmlCellPr>
  </singleXmlCell>
  <singleXmlCell id="146" xr6:uid="{0A9C014F-0ACB-4A9E-8371-3E7FFC9B2723}" r="R10" connectionId="9">
    <xmlCellPr id="1" xr6:uid="{5E8BC782-A172-4529-AE69-6BF6ADDCDA84}" uniqueName="ns1:ClientId">
      <xmlPr mapId="12" xpath="/ns1:QCISomaticTest/ns1:Physician/ns1:ClientId" xmlDataType="string"/>
    </xmlCellPr>
  </singleXmlCell>
  <singleXmlCell id="147" xr6:uid="{CA6958AF-7245-439B-BE35-BF0C78C86C69}" r="S10" connectionId="9">
    <xmlCellPr id="1" xr6:uid="{96DBFB97-EF0F-48DE-94FD-DEA80652379A}" uniqueName="ns1:FacilityName">
      <xmlPr mapId="12" xpath="/ns1:QCISomaticTest/ns1:Physician/ns1:FacilityName" xmlDataType="string"/>
    </xmlCellPr>
  </singleXmlCell>
  <singleXmlCell id="148" xr6:uid="{4FD47946-1B73-4206-A1A8-4670E2008CA0}" r="T10" connectionId="9">
    <xmlCellPr id="1" xr6:uid="{743722FD-8667-4C07-B756-A7A4C49D3068}" uniqueName="ns1:Name">
      <xmlPr mapId="12" xpath="/ns1:QCISomaticTest/ns1:Pathologist/ns1:Name" xmlDataType="string"/>
    </xmlCellPr>
  </singleXmlCell>
  <singleXmlCell id="149" xr6:uid="{B069EF70-8BC2-4BDE-A5FF-FD61CB385926}" r="A10" connectionId="9">
    <xmlCellPr id="1" xr6:uid="{E3B5F375-35C3-41AF-8DA1-57C7D0F70E1C}" uniqueName="version">
      <xmlPr mapId="12" xpath="/ns1:QCISomaticTest/@version" xmlDataType="string"/>
    </xmlCellPr>
  </singleXmlCell>
  <singleXmlCell id="151" xr6:uid="{1C82516B-70F3-41D4-9103-65A9C24DCE95}" r="H10" connectionId="9">
    <xmlCellPr id="1" xr6:uid="{E5126824-0269-400C-9D9F-1DC10B268592}" uniqueName="ns1:TestDate">
      <xmlPr mapId="12" xpath="/ns1:QCISomaticTest/ns1:Test/ns1:TestDate" xmlDataType="date"/>
    </xmlCellPr>
  </singleXmlCell>
  <singleXmlCell id="152" xr6:uid="{2E67AB47-172E-4566-BB60-F822DEF506D9}" r="G10" connectionId="9">
    <xmlCellPr id="1" xr6:uid="{A9D47ACC-5BB4-4636-9B2E-DFC26CC7F133}" uniqueName="ns1:Diagnosis">
      <xmlPr mapId="12" xpath="/ns1:QCISomaticTest/ns1:Test/ns1:Diagnosis"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tableSingleCells" Target="../tables/tableSingleCells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W55"/>
  <sheetViews>
    <sheetView workbookViewId="0">
      <selection activeCell="A4" sqref="A4:XFD4"/>
    </sheetView>
  </sheetViews>
  <sheetFormatPr defaultColWidth="9.140625" defaultRowHeight="15" x14ac:dyDescent="0.25"/>
  <cols>
    <col min="1" max="1" width="24.7109375" style="28" customWidth="1"/>
    <col min="2" max="2" width="9.140625" style="28" bestFit="1" customWidth="1"/>
    <col min="3" max="3" width="15.5703125" style="28" customWidth="1"/>
    <col min="4" max="4" width="14.42578125" style="28" bestFit="1" customWidth="1"/>
    <col min="5" max="5" width="11" style="28" bestFit="1" customWidth="1"/>
    <col min="6" max="6" width="9.7109375" style="28" bestFit="1" customWidth="1"/>
    <col min="7" max="7" width="7.42578125" style="28" bestFit="1" customWidth="1"/>
    <col min="8" max="8" width="10.42578125" style="28" bestFit="1" customWidth="1"/>
    <col min="9" max="9" width="7" style="28" bestFit="1" customWidth="1"/>
    <col min="10" max="10" width="9.7109375" style="28" bestFit="1" customWidth="1"/>
    <col min="11" max="11" width="9.28515625" style="28" bestFit="1" customWidth="1"/>
    <col min="12" max="12" width="11.5703125" style="28" customWidth="1"/>
    <col min="13" max="18" width="9.140625" style="28"/>
    <col min="19" max="19" width="10.7109375" style="28" bestFit="1" customWidth="1"/>
    <col min="20" max="20" width="9.140625" style="28"/>
    <col min="21" max="21" width="17.5703125" style="28" bestFit="1" customWidth="1"/>
    <col min="22" max="27" width="9.140625" style="28"/>
    <col min="28" max="28" width="21.5703125" style="28" customWidth="1"/>
    <col min="29" max="29" width="20.28515625" style="28" customWidth="1"/>
    <col min="30" max="31" width="9.140625" style="28"/>
    <col min="32" max="32" width="10.7109375" style="28" bestFit="1" customWidth="1"/>
    <col min="33" max="16384" width="9.140625" style="28"/>
  </cols>
  <sheetData>
    <row r="2" spans="1:49" s="52" customFormat="1" ht="19.5" customHeight="1" x14ac:dyDescent="0.2">
      <c r="A2" s="54"/>
      <c r="B2" s="54"/>
      <c r="C2" s="57"/>
      <c r="D2" s="54"/>
      <c r="E2" s="54"/>
      <c r="F2" s="54"/>
      <c r="G2" s="54"/>
      <c r="H2" s="54"/>
      <c r="I2" s="54"/>
      <c r="J2" s="54"/>
      <c r="K2" s="54"/>
      <c r="L2" s="54"/>
      <c r="M2" s="54"/>
      <c r="N2" s="54"/>
      <c r="O2" s="54"/>
      <c r="P2" s="54"/>
      <c r="Q2" s="54"/>
      <c r="R2" s="54"/>
      <c r="S2" s="54"/>
      <c r="T2" s="54"/>
      <c r="U2" s="54"/>
      <c r="V2" s="54"/>
      <c r="X2" s="54"/>
      <c r="Y2" s="54"/>
      <c r="Z2" s="54"/>
      <c r="AA2" s="54"/>
      <c r="AB2" s="53"/>
    </row>
    <row r="3" spans="1:49" s="55" customFormat="1" ht="48" customHeight="1" x14ac:dyDescent="0.2">
      <c r="A3" s="58" t="s">
        <v>11</v>
      </c>
      <c r="B3" s="58" t="s">
        <v>12</v>
      </c>
      <c r="C3" s="59" t="s">
        <v>13</v>
      </c>
      <c r="D3" s="58" t="s">
        <v>14</v>
      </c>
      <c r="E3" s="58" t="s">
        <v>27</v>
      </c>
      <c r="F3" s="58" t="s">
        <v>34</v>
      </c>
      <c r="G3" s="58" t="s">
        <v>26</v>
      </c>
      <c r="H3" s="58" t="s">
        <v>53</v>
      </c>
      <c r="I3" s="58" t="s">
        <v>54</v>
      </c>
      <c r="J3" s="58" t="s">
        <v>15</v>
      </c>
      <c r="K3" s="58" t="s">
        <v>68</v>
      </c>
      <c r="L3" s="58" t="s">
        <v>69</v>
      </c>
      <c r="M3" s="58" t="s">
        <v>70</v>
      </c>
      <c r="N3" s="58" t="s">
        <v>71</v>
      </c>
      <c r="O3" s="58" t="s">
        <v>72</v>
      </c>
      <c r="P3" s="58" t="s">
        <v>16</v>
      </c>
      <c r="Q3" s="58" t="s">
        <v>17</v>
      </c>
      <c r="R3" s="58" t="s">
        <v>73</v>
      </c>
      <c r="S3" s="58" t="s">
        <v>74</v>
      </c>
      <c r="T3" s="58" t="s">
        <v>18</v>
      </c>
      <c r="U3" s="58" t="s">
        <v>19</v>
      </c>
      <c r="V3" s="58" t="s">
        <v>20</v>
      </c>
      <c r="W3" s="58" t="s">
        <v>21</v>
      </c>
      <c r="X3" s="58" t="s">
        <v>22</v>
      </c>
      <c r="Y3" s="58" t="s">
        <v>55</v>
      </c>
      <c r="Z3" s="58" t="s">
        <v>23</v>
      </c>
      <c r="AA3" s="58" t="s">
        <v>24</v>
      </c>
      <c r="AB3" s="59" t="s">
        <v>75</v>
      </c>
      <c r="AC3" s="59" t="s">
        <v>76</v>
      </c>
      <c r="AD3" s="59" t="s">
        <v>77</v>
      </c>
      <c r="AE3" s="59" t="s">
        <v>78</v>
      </c>
      <c r="AF3" s="59" t="s">
        <v>79</v>
      </c>
      <c r="AG3" s="59" t="s">
        <v>80</v>
      </c>
      <c r="AH3" s="59" t="s">
        <v>81</v>
      </c>
      <c r="AI3" s="59" t="s">
        <v>82</v>
      </c>
      <c r="AJ3" s="59" t="s">
        <v>83</v>
      </c>
      <c r="AK3" s="59" t="s">
        <v>84</v>
      </c>
      <c r="AL3" s="59" t="s">
        <v>85</v>
      </c>
      <c r="AM3" s="59" t="s">
        <v>86</v>
      </c>
      <c r="AN3" s="59" t="s">
        <v>87</v>
      </c>
      <c r="AP3" s="56" t="s">
        <v>19</v>
      </c>
      <c r="AQ3" s="56" t="s">
        <v>33</v>
      </c>
      <c r="AR3" s="56" t="s">
        <v>16</v>
      </c>
    </row>
    <row r="4" spans="1:49" s="141" customFormat="1" ht="15" customHeight="1" x14ac:dyDescent="0.2">
      <c r="A4" s="184" t="s">
        <v>146</v>
      </c>
      <c r="B4" s="185" t="s">
        <v>147</v>
      </c>
      <c r="C4" s="186" t="s">
        <v>148</v>
      </c>
      <c r="D4" s="185" t="s">
        <v>149</v>
      </c>
      <c r="E4" s="187">
        <v>44181</v>
      </c>
      <c r="F4" s="187">
        <v>23585</v>
      </c>
      <c r="G4" s="185" t="s">
        <v>150</v>
      </c>
      <c r="H4" s="185" t="s">
        <v>151</v>
      </c>
      <c r="I4" s="185" t="s">
        <v>152</v>
      </c>
      <c r="J4" s="185" t="s">
        <v>153</v>
      </c>
      <c r="K4" s="187">
        <v>44187</v>
      </c>
      <c r="L4" s="188">
        <v>0.5625</v>
      </c>
      <c r="M4" s="185" t="s">
        <v>154</v>
      </c>
      <c r="N4" s="185" t="s">
        <v>141</v>
      </c>
      <c r="O4" s="185" t="s">
        <v>155</v>
      </c>
      <c r="P4" s="189" t="s">
        <v>109</v>
      </c>
      <c r="Q4" s="185" t="s">
        <v>142</v>
      </c>
      <c r="R4" s="185" t="s">
        <v>156</v>
      </c>
      <c r="S4" s="185" t="s">
        <v>157</v>
      </c>
      <c r="T4" s="190" t="e">
        <f>IF(ISBLANK([3]!NGSComprehensiveLog[[#This Row],[Received Date]]), "", IF(ISNUMBER(SEARCH("CAP*PT", [3]!NGSComprehensiveLog[[#This Row],[Last Name]])), IFERROR(MID([3]!NGSComprehensiveLog[[#This Row],[Notes]], SEARCH("Due", [3]!NGSComprehensiveLog[[#This Row],[Notes]])+4, SEARCH(".", [3]!NGSComprehensiveLog[[#This Row],[Notes]])-5), "PT-See Notes"), IF(AND([3]!NGSComprehensiveLog[[#This Row],[Received Date]]&gt;=DATEVALUE("03/20/2015"), NOT(ISERROR(DATEVALUE(TEXT([3]!NGSComprehensiveLog[[#This Row],[Collection Date]], "mm/dd/yyyy"))))), WORKDAY([3]!NGSComprehensiveLog[[#This Row],[Collection Date]], INDEX([3]!Tests[#Data], MATCH([3]!NGSComprehensiveLog[[#This Row],[Test Requested]], [3]!Tests[Assay], 0), COLUMN([3]!Tests[TAT])-COLUMN([3]!Tests[#Data])+1), [3]!Holidays[Holidays]), WORKDAY([3]!NGSComprehensiveLog[[#This Row],[Received Date]], INDEX([3]!Tests[#Data], MATCH([3]!NGSComprehensiveLog[[#This Row],[Test Requested]],[3]!Tests[Assay], 0), COLUMN([3]!Tests[TAT])-COLUMN([3]!Tests[#Data])+1), [3]!Holidays[Holidays]))))</f>
        <v>#VALUE!</v>
      </c>
      <c r="U4" s="185" t="s">
        <v>143</v>
      </c>
      <c r="V4" s="185" t="s">
        <v>158</v>
      </c>
      <c r="W4" s="135">
        <v>44200</v>
      </c>
      <c r="X4" s="135"/>
      <c r="Y4" s="135" t="s">
        <v>108</v>
      </c>
      <c r="Z4" s="136"/>
      <c r="AA4" s="161" t="s">
        <v>159</v>
      </c>
      <c r="AB4" s="137"/>
      <c r="AC4" s="137"/>
      <c r="AD4" s="137"/>
      <c r="AE4" s="137"/>
      <c r="AF4" s="137" t="s">
        <v>160</v>
      </c>
      <c r="AG4" s="137" t="s">
        <v>161</v>
      </c>
      <c r="AH4" s="137" t="s">
        <v>162</v>
      </c>
      <c r="AI4" s="137" t="s">
        <v>163</v>
      </c>
      <c r="AJ4" s="137" t="s">
        <v>164</v>
      </c>
      <c r="AK4" s="137" t="s">
        <v>165</v>
      </c>
      <c r="AL4" s="137" t="s">
        <v>166</v>
      </c>
      <c r="AM4" s="137" t="s">
        <v>167</v>
      </c>
      <c r="AN4" s="137" t="s">
        <v>168</v>
      </c>
      <c r="AO4" s="135">
        <v>44188</v>
      </c>
      <c r="AP4" s="137" t="s">
        <v>144</v>
      </c>
      <c r="AQ4" s="160">
        <v>240.7</v>
      </c>
      <c r="AR4" s="160">
        <v>2.11</v>
      </c>
      <c r="AS4" s="137"/>
      <c r="AT4" s="137"/>
      <c r="AU4" s="138" t="e">
        <f>IF(ISBLANK([3]!NGSComprehensiveLog[[#This Row],[Assay ID]]), "", LEN(TRIM([3]!NGSComprehensiveLog[[#This Row],[Assay ID]]))-LEN(SUBSTITUTE(TRIM([3]!NGSComprehensiveLog[[#This Row],[Assay ID]]),",","")))</f>
        <v>#VALUE!</v>
      </c>
      <c r="AV4" s="139" t="str">
        <f>IF(ISBLANK([3]!NGSComprehensiveLog[[#This Row],[Assay ID]]), "", IF(ISNUMBER(SEARCH("Cancel", [3]!NGSComprehensiveLog[[#This Row],[Invoice Number]])), "Y", "N"))</f>
        <v>N</v>
      </c>
      <c r="AW4" s="140"/>
    </row>
    <row r="5" spans="1:49" s="34" customFormat="1" ht="12.75" customHeight="1" x14ac:dyDescent="0.25">
      <c r="A5" s="30"/>
      <c r="B5" s="30"/>
      <c r="C5" s="31"/>
      <c r="D5" s="30"/>
      <c r="E5" s="30"/>
      <c r="F5" s="32"/>
      <c r="G5" s="32"/>
      <c r="H5" s="33"/>
      <c r="I5" s="32"/>
      <c r="J5" s="32"/>
      <c r="K5" s="32"/>
      <c r="L5" s="32"/>
      <c r="M5" s="32"/>
      <c r="N5" s="32"/>
      <c r="O5" s="32"/>
      <c r="P5" s="32"/>
      <c r="Q5" s="33"/>
      <c r="R5" s="32"/>
      <c r="S5" s="32"/>
      <c r="T5" s="32"/>
      <c r="U5" s="32"/>
      <c r="V5" s="32"/>
      <c r="W5" s="32"/>
    </row>
    <row r="6" spans="1:49" s="34" customFormat="1" ht="12.75" customHeight="1" thickBot="1" x14ac:dyDescent="0.3">
      <c r="A6" s="35"/>
      <c r="B6" s="30"/>
      <c r="C6" s="31"/>
      <c r="D6" s="30"/>
      <c r="E6" s="30"/>
      <c r="F6" s="32"/>
      <c r="G6" s="32"/>
      <c r="H6" s="33"/>
      <c r="I6" s="32"/>
      <c r="J6" s="32"/>
      <c r="K6" s="32"/>
      <c r="L6" s="32"/>
      <c r="M6" s="32"/>
      <c r="N6" s="32"/>
      <c r="O6" s="32"/>
      <c r="P6" s="32"/>
      <c r="Q6" s="33"/>
      <c r="R6" s="32"/>
      <c r="S6" s="32"/>
      <c r="T6" s="32"/>
      <c r="U6" s="32"/>
      <c r="V6" s="32"/>
      <c r="W6" s="32"/>
    </row>
    <row r="7" spans="1:49" s="32" customFormat="1" ht="30.75" customHeight="1" x14ac:dyDescent="0.25">
      <c r="A7" s="61" t="s">
        <v>90</v>
      </c>
      <c r="B7" s="30"/>
      <c r="C7" s="31"/>
      <c r="D7" s="30"/>
      <c r="E7" s="30"/>
      <c r="H7" s="30"/>
      <c r="Q7" s="33"/>
      <c r="AB7" s="62"/>
      <c r="AC7" s="63" t="s">
        <v>91</v>
      </c>
    </row>
    <row r="8" spans="1:49" s="32" customFormat="1" ht="35.25" customHeight="1" thickBot="1" x14ac:dyDescent="0.3">
      <c r="A8" s="60" t="str">
        <f>IF(Patient_Info!AC8="","Enter at least one provider",CONCATENATE(Patient_Info!AC8,IF(Patient_Info!AC9="","",CONCATENATE("; ",Patient_Info!AC9,IF(Patient_Info!AC10="","",CONCATENATE("; ",Patient_Info!AC10,IF(Patient_Info!AC11="","",CONCATENATE("; ",Patient_Info!AC11,IF(Patient_Info!AC12="","",CONCATENATE("; ",Patient_Info!AC12))))))))))</f>
        <v>Dr. Maura O'Neil; Dr. Kamal Gupta; Dr. Zaid H Gheith; Dr. Eyad Reda; Dr. Chad M Cannon</v>
      </c>
      <c r="B8" s="30"/>
      <c r="C8" s="31"/>
      <c r="D8" s="30"/>
      <c r="E8" s="30"/>
      <c r="H8" s="30"/>
      <c r="Q8" s="33"/>
      <c r="AB8" s="64" t="s">
        <v>92</v>
      </c>
      <c r="AC8" s="65" t="str">
        <f>IF(NOT(R4=""),CONCATENATE(IF(ISNUMBER(SEARCH(",",R4)),"","Dr. "),S4," ",R4),"")</f>
        <v>Dr. Maura O'Neil</v>
      </c>
    </row>
    <row r="9" spans="1:49" s="34" customFormat="1" ht="12.75" customHeight="1" thickBot="1" x14ac:dyDescent="0.3">
      <c r="A9" s="38"/>
      <c r="B9" s="30"/>
      <c r="C9" s="31"/>
      <c r="D9" s="30"/>
      <c r="E9" s="30"/>
      <c r="F9" s="32"/>
      <c r="H9" s="37"/>
      <c r="I9" s="32"/>
      <c r="M9" s="32"/>
      <c r="N9" s="32"/>
      <c r="O9" s="32"/>
      <c r="P9" s="32"/>
      <c r="Q9" s="33"/>
      <c r="R9" s="32"/>
      <c r="S9" s="32"/>
      <c r="T9" s="32"/>
      <c r="U9" s="32"/>
      <c r="V9" s="32"/>
      <c r="W9" s="32"/>
      <c r="AB9" s="64" t="s">
        <v>93</v>
      </c>
      <c r="AC9" s="62" t="str">
        <f>IF(NOT(AG4=""),CONCATENATE(IF(ISNUMBER(SEARCH(",",AG4)),"","Dr. "),AH4," ",AG4),"")</f>
        <v>Dr. Kamal Gupta</v>
      </c>
    </row>
    <row r="10" spans="1:49" s="34" customFormat="1" ht="12.75" customHeight="1" x14ac:dyDescent="0.25">
      <c r="A10" s="50" t="s">
        <v>98</v>
      </c>
      <c r="B10" s="30"/>
      <c r="C10" s="31"/>
      <c r="D10" s="30"/>
      <c r="E10" s="30"/>
      <c r="F10" s="32"/>
      <c r="H10" s="37"/>
      <c r="I10" s="32"/>
      <c r="M10" s="32"/>
      <c r="N10" s="32"/>
      <c r="O10" s="32"/>
      <c r="P10" s="32"/>
      <c r="Q10" s="33"/>
      <c r="R10" s="32"/>
      <c r="S10" s="32"/>
      <c r="T10" s="32"/>
      <c r="U10" s="32"/>
      <c r="V10" s="32"/>
      <c r="W10" s="32"/>
      <c r="AB10" s="66" t="s">
        <v>94</v>
      </c>
      <c r="AC10" s="62" t="str">
        <f>IF(NOT(AI4=""),CONCATENATE(IF(ISNUMBER(SEARCH(",",AI4)),"","Dr. "),AJ4," ",AI4),"")</f>
        <v>Dr. Zaid H Gheith</v>
      </c>
    </row>
    <row r="11" spans="1:49" s="39" customFormat="1" ht="15.75" thickBot="1" x14ac:dyDescent="0.3">
      <c r="A11" s="48" t="s">
        <v>97</v>
      </c>
      <c r="E11" s="40"/>
      <c r="F11" s="40"/>
      <c r="AB11" s="64" t="s">
        <v>95</v>
      </c>
      <c r="AC11" s="62" t="str">
        <f>IF(NOT(AK4=""), CONCATENATE(IF(ISNUMBER(SEARCH(",", AK4)), "", "Dr. "), AL4, " ", AK4), "")</f>
        <v>Dr. Eyad Reda</v>
      </c>
    </row>
    <row r="12" spans="1:49" s="39" customFormat="1" ht="15.75" thickBot="1" x14ac:dyDescent="0.3">
      <c r="E12" s="42"/>
      <c r="F12" s="42"/>
      <c r="AB12" s="66" t="s">
        <v>96</v>
      </c>
      <c r="AC12" s="62" t="str">
        <f>IF(NOT(AM4=""), CONCATENATE(IF(ISNUMBER(SEARCH(",", AM4)), "", "Dr. "), AN4, " ", AM4), "")</f>
        <v>Dr. Chad M Cannon</v>
      </c>
    </row>
    <row r="13" spans="1:49" x14ac:dyDescent="0.25">
      <c r="A13" s="49" t="s">
        <v>58</v>
      </c>
      <c r="B13" s="41"/>
    </row>
    <row r="14" spans="1:49" ht="15.75" thickBot="1" x14ac:dyDescent="0.3">
      <c r="A14" s="47" t="s">
        <v>56</v>
      </c>
      <c r="B14" s="40"/>
    </row>
    <row r="15" spans="1:49" x14ac:dyDescent="0.25">
      <c r="A15" s="44"/>
      <c r="B15" s="40"/>
    </row>
    <row r="16" spans="1:49" x14ac:dyDescent="0.25">
      <c r="A16" s="67"/>
      <c r="B16" s="40"/>
    </row>
    <row r="17" spans="1:2" x14ac:dyDescent="0.25">
      <c r="A17" s="68">
        <f ca="1">IF(A14="Today",TODAY(),TODAY()+1)</f>
        <v>44203</v>
      </c>
      <c r="B17" s="40"/>
    </row>
    <row r="18" spans="1:2" x14ac:dyDescent="0.25">
      <c r="A18" s="43"/>
      <c r="B18" s="40"/>
    </row>
    <row r="19" spans="1:2" x14ac:dyDescent="0.25">
      <c r="A19" s="44"/>
      <c r="B19" s="40"/>
    </row>
    <row r="20" spans="1:2" x14ac:dyDescent="0.25">
      <c r="A20" s="45"/>
      <c r="B20" s="40"/>
    </row>
    <row r="21" spans="1:2" x14ac:dyDescent="0.25">
      <c r="A21" s="46"/>
    </row>
    <row r="22" spans="1:2" x14ac:dyDescent="0.25">
      <c r="A22" s="39"/>
    </row>
    <row r="53" spans="1:1" ht="15.75" thickBot="1" x14ac:dyDescent="0.3"/>
    <row r="54" spans="1:1" x14ac:dyDescent="0.25">
      <c r="A54" s="36" t="s">
        <v>88</v>
      </c>
    </row>
    <row r="55" spans="1:1" ht="15.75" thickBot="1" x14ac:dyDescent="0.3">
      <c r="A55" s="51" t="str">
        <f>IF(AND(ISTEXT(AG51),ISTEXT(AI51),ISTEXT(AK51),ISTEXT(AM51)),CONCATENATE("Dr. ",AH51," ",AG51,", Dr. ",AJ51," ",AI51,", Dr. ",AL51," ",AK51,", Dr. ",AN51," ",AM51),IF(AND(ISTEXT(AG51),ISTEXT(AI51),ISTEXT(AK51)),CONCATENATE("Dr. ",AH51," ",AG51,", Dr. ",AJ51," ",AI51,", Dr. ",AL51," ",AK51),IF(AND(ISTEXT(AG51),ISTEXT(AI51)),CONCATENATE("Dr. ",AH51," ",AG51,", Dr. ",AJ51," ",AI51),IF(AND(ISTEXT(AG51)),CONCATENATE("Dr. ",AH51," ",AG51),""))))</f>
        <v/>
      </c>
    </row>
  </sheetData>
  <conditionalFormatting sqref="A5:X6 M8:X10 I8:I10 E12:F12 A9:F10 B8:F8">
    <cfRule type="containsText" dxfId="39" priority="5818" operator="containsText" text="1375222">
      <formula>NOT(ISERROR(SEARCH("1375222",A5)))</formula>
    </cfRule>
    <cfRule type="containsText" dxfId="38" priority="5819" operator="containsText" text="1375222">
      <formula>NOT(ISERROR(SEARCH("1375222",A5)))</formula>
    </cfRule>
  </conditionalFormatting>
  <conditionalFormatting sqref="AB2:XFD2">
    <cfRule type="containsText" dxfId="37" priority="5815" operator="containsText" text="1413831">
      <formula>NOT(ISERROR(SEARCH("1413831",AB2)))</formula>
    </cfRule>
  </conditionalFormatting>
  <conditionalFormatting sqref="AB2:XFD2">
    <cfRule type="containsText" dxfId="36" priority="5814" operator="containsText" text="1422420">
      <formula>NOT(ISERROR(SEARCH("1422420",AB2)))</formula>
    </cfRule>
  </conditionalFormatting>
  <conditionalFormatting sqref="A54">
    <cfRule type="containsText" dxfId="35" priority="5776" operator="containsText" text="1375222">
      <formula>NOT(ISERROR(SEARCH("1375222",A54)))</formula>
    </cfRule>
    <cfRule type="containsText" dxfId="34" priority="5777" operator="containsText" text="1375222">
      <formula>NOT(ISERROR(SEARCH("1375222",A54)))</formula>
    </cfRule>
  </conditionalFormatting>
  <conditionalFormatting sqref="A16">
    <cfRule type="containsText" dxfId="33" priority="5772" operator="containsText" text="1375222">
      <formula>NOT(ISERROR(SEARCH("1375222",A16)))</formula>
    </cfRule>
    <cfRule type="containsText" dxfId="32" priority="5773" operator="containsText" text="1375222">
      <formula>NOT(ISERROR(SEARCH("1375222",A16)))</formula>
    </cfRule>
  </conditionalFormatting>
  <conditionalFormatting sqref="M7:X7 I7 B7:F7">
    <cfRule type="containsText" dxfId="31" priority="5766" operator="containsText" text="1375222">
      <formula>NOT(ISERROR(SEARCH("1375222",B7)))</formula>
    </cfRule>
    <cfRule type="containsText" dxfId="30" priority="5767" operator="containsText" text="1375222">
      <formula>NOT(ISERROR(SEARCH("1375222",B7)))</formula>
    </cfRule>
  </conditionalFormatting>
  <conditionalFormatting sqref="A7">
    <cfRule type="containsText" dxfId="29" priority="5764" operator="containsText" text="1375222">
      <formula>NOT(ISERROR(SEARCH("1375222",A7)))</formula>
    </cfRule>
    <cfRule type="containsText" dxfId="28" priority="5765" operator="containsText" text="1375222">
      <formula>NOT(ISERROR(SEARCH("1375222",A7)))</formula>
    </cfRule>
  </conditionalFormatting>
  <dataValidations count="7">
    <dataValidation type="list" showInputMessage="1" showErrorMessage="1" error="Please select date from dropdown. Hit cancel and try again" sqref="A14" xr:uid="{00000000-0002-0000-0000-000000000000}">
      <formula1>ReportDate</formula1>
    </dataValidation>
    <dataValidation type="list" showInputMessage="1" showErrorMessage="1" sqref="A15 A19" xr:uid="{00000000-0002-0000-0000-000001000000}">
      <formula1>yes_no</formula1>
    </dataValidation>
    <dataValidation type="list" showInputMessage="1" showErrorMessage="1" error="Please select date from dropdown. Hit cancel and try again" sqref="A11" xr:uid="{00000000-0002-0000-0000-000002000000}">
      <formula1>report_type</formula1>
    </dataValidation>
    <dataValidation type="list" allowBlank="1" showInputMessage="1" showErrorMessage="1" sqref="AI4 AM4 AK4 R4" xr:uid="{E61D6F6A-A160-4AAE-8252-0B9EA0E4BE92}">
      <formula1>rPhysLastName</formula1>
    </dataValidation>
    <dataValidation type="list" allowBlank="1" showInputMessage="1" showErrorMessage="1" sqref="AL4 AJ4 AN4 S4" xr:uid="{FB6F3D0C-5FF1-4ADA-8018-0CFE11D4DF44}">
      <formula1>rPhysFirstName_DNA</formula1>
    </dataValidation>
    <dataValidation type="list" allowBlank="1" showInputMessage="1" showErrorMessage="1" sqref="U4" xr:uid="{5AA6ADF2-A3FD-43FB-B4D1-7A410C70585F}">
      <formula1>NGS_Comprehensive_Test_List</formula1>
    </dataValidation>
    <dataValidation type="list" allowBlank="1" showInputMessage="1" showErrorMessage="1" sqref="P4" xr:uid="{A23EE1CB-A8FC-4CA9-9B0A-812E38A9760B}">
      <formula1>Ordering_Location</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D37FF-08E6-494C-9227-9F5AF28BD0E4}">
  <sheetPr codeName="Sheet2"/>
  <dimension ref="A2:L48"/>
  <sheetViews>
    <sheetView workbookViewId="0">
      <selection activeCell="H15" sqref="H15"/>
    </sheetView>
  </sheetViews>
  <sheetFormatPr defaultColWidth="8.7109375" defaultRowHeight="14.25" x14ac:dyDescent="0.2"/>
  <cols>
    <col min="1" max="1" width="17.85546875" style="69" customWidth="1"/>
    <col min="2" max="2" width="24.5703125" style="69" customWidth="1"/>
    <col min="3" max="3" width="21.5703125" style="69" customWidth="1"/>
    <col min="4" max="4" width="14.42578125" style="69" customWidth="1"/>
    <col min="5" max="5" width="9.42578125" style="69" customWidth="1"/>
    <col min="6" max="6" width="18.5703125" style="69" customWidth="1"/>
    <col min="7" max="7" width="24.140625" style="69" customWidth="1"/>
    <col min="8" max="8" width="19.7109375" style="69" customWidth="1"/>
    <col min="9" max="9" width="16.140625" style="69" customWidth="1"/>
    <col min="10" max="10" width="8.7109375" style="69"/>
    <col min="11" max="11" width="15.7109375" style="69" customWidth="1"/>
    <col min="12" max="12" width="34.5703125" style="69" customWidth="1"/>
    <col min="13" max="14" width="8.7109375" style="69"/>
    <col min="15" max="15" width="10.7109375" style="69" customWidth="1"/>
    <col min="16" max="16" width="14.7109375" style="69" customWidth="1"/>
    <col min="17" max="20" width="8.7109375" style="69"/>
    <col min="21" max="21" width="17.28515625" style="69" customWidth="1"/>
    <col min="22" max="16384" width="8.7109375" style="69"/>
  </cols>
  <sheetData>
    <row r="2" spans="1:8" x14ac:dyDescent="0.2">
      <c r="B2" s="70" t="s">
        <v>138</v>
      </c>
    </row>
    <row r="4" spans="1:8" ht="12" customHeight="1" x14ac:dyDescent="0.2"/>
    <row r="5" spans="1:8" ht="18.75" customHeight="1" x14ac:dyDescent="0.2">
      <c r="A5" s="71" t="s">
        <v>0</v>
      </c>
      <c r="B5" s="72" t="str">
        <f>Patient_Info!V4</f>
        <v>NGS 580</v>
      </c>
      <c r="C5" s="71" t="s">
        <v>3</v>
      </c>
      <c r="D5" s="73">
        <f>Patient_Info!E4</f>
        <v>44181</v>
      </c>
    </row>
    <row r="6" spans="1:8" ht="18.75" customHeight="1" x14ac:dyDescent="0.2">
      <c r="A6" s="71" t="s">
        <v>2</v>
      </c>
      <c r="B6" s="72" t="str">
        <f>Patient_Info!A4&amp;", "&amp;Patient_Info!B4</f>
        <v>Sanders, Christine</v>
      </c>
      <c r="C6" s="71" t="s">
        <v>5</v>
      </c>
      <c r="D6" s="73">
        <f>Patient_Info!K4</f>
        <v>44187</v>
      </c>
    </row>
    <row r="7" spans="1:8" ht="39.75" customHeight="1" x14ac:dyDescent="0.2">
      <c r="A7" s="71" t="s">
        <v>4</v>
      </c>
      <c r="B7" s="72" t="str">
        <f>Patient_Info!$A$8</f>
        <v>Dr. Maura O'Neil; Dr. Kamal Gupta; Dr. Zaid H Gheith; Dr. Eyad Reda; Dr. Chad M Cannon</v>
      </c>
      <c r="C7" s="71" t="s">
        <v>6</v>
      </c>
      <c r="D7" s="73">
        <f>[2]Patient_Info!A17</f>
        <v>44175</v>
      </c>
    </row>
    <row r="8" spans="1:8" ht="33" customHeight="1" x14ac:dyDescent="0.2">
      <c r="A8" s="71" t="s">
        <v>7</v>
      </c>
      <c r="B8" s="74" t="str">
        <f>Patient_Info!P4</f>
        <v>The University of Kansas Hospital</v>
      </c>
      <c r="C8" s="71" t="s">
        <v>8</v>
      </c>
      <c r="D8" s="72" t="str">
        <f>Patient_Info!I4</f>
        <v>D10571</v>
      </c>
    </row>
    <row r="9" spans="1:8" ht="18.75" customHeight="1" x14ac:dyDescent="0.2">
      <c r="A9" s="71" t="s">
        <v>9</v>
      </c>
      <c r="B9" s="159" t="str">
        <f>Patient_Info!C4</f>
        <v>1599570</v>
      </c>
      <c r="C9" s="71" t="s">
        <v>10</v>
      </c>
      <c r="D9" s="72" t="str">
        <f>Patient_Info!D4</f>
        <v>T25752</v>
      </c>
    </row>
    <row r="10" spans="1:8" ht="18.75" customHeight="1" x14ac:dyDescent="0.2">
      <c r="A10" s="71" t="s">
        <v>1</v>
      </c>
      <c r="B10" s="73" t="str">
        <f>CONCATENATE(TEXT(Patient_Info!F4,"m/d/yyyy"), ", ", Patient_Info!G4)</f>
        <v>7/27/1964, F</v>
      </c>
      <c r="C10" s="71" t="s">
        <v>59</v>
      </c>
      <c r="D10" s="72" t="str">
        <f>Patient_Info!H4</f>
        <v>N20-4677 A1</v>
      </c>
      <c r="H10" s="69" t="s">
        <v>107</v>
      </c>
    </row>
    <row r="11" spans="1:8" ht="14.1" customHeight="1" x14ac:dyDescent="0.2">
      <c r="A11" s="75" t="s">
        <v>25</v>
      </c>
      <c r="B11" s="76" t="str">
        <f>Patient_Info!N4</f>
        <v>FFPE</v>
      </c>
      <c r="C11" s="71" t="str">
        <f>'[2]letter head zp'!A9</f>
        <v>Age:</v>
      </c>
      <c r="D11" s="72">
        <f ca="1">'letter head zp'!B9</f>
        <v>56</v>
      </c>
      <c r="E11" s="149"/>
    </row>
    <row r="12" spans="1:8" x14ac:dyDescent="0.2">
      <c r="A12" s="150" t="s">
        <v>35</v>
      </c>
      <c r="E12" s="149"/>
    </row>
    <row r="13" spans="1:8" x14ac:dyDescent="0.2">
      <c r="A13" s="150"/>
      <c r="E13" s="149"/>
    </row>
    <row r="14" spans="1:8" x14ac:dyDescent="0.2">
      <c r="A14" s="151"/>
      <c r="E14" s="149"/>
    </row>
    <row r="15" spans="1:8" ht="14.1" customHeight="1" x14ac:dyDescent="0.2">
      <c r="A15" s="152"/>
      <c r="B15" s="158"/>
      <c r="C15" s="70"/>
      <c r="D15" s="70"/>
      <c r="E15" s="149"/>
    </row>
    <row r="16" spans="1:8" x14ac:dyDescent="0.2">
      <c r="B16" s="158"/>
      <c r="E16" s="149"/>
      <c r="G16" s="79"/>
      <c r="H16" s="153"/>
    </row>
    <row r="17" spans="1:8" ht="16.5" customHeight="1" x14ac:dyDescent="0.2">
      <c r="A17" s="152"/>
      <c r="B17" s="152"/>
      <c r="C17" s="154"/>
      <c r="D17" s="154"/>
      <c r="E17" s="80"/>
      <c r="G17" s="79"/>
      <c r="H17" s="153"/>
    </row>
    <row r="18" spans="1:8" x14ac:dyDescent="0.2">
      <c r="A18" s="152"/>
      <c r="B18" s="152"/>
      <c r="C18" s="154"/>
      <c r="D18" s="154"/>
      <c r="E18" s="81"/>
      <c r="G18" s="79"/>
      <c r="H18" s="153"/>
    </row>
    <row r="19" spans="1:8" x14ac:dyDescent="0.2">
      <c r="A19" s="152"/>
      <c r="B19" s="152"/>
      <c r="C19" s="154" t="s">
        <v>107</v>
      </c>
      <c r="D19" s="154"/>
      <c r="E19" s="81"/>
      <c r="G19" s="79"/>
      <c r="H19" s="153"/>
    </row>
    <row r="20" spans="1:8" x14ac:dyDescent="0.2">
      <c r="A20" s="152"/>
      <c r="B20" s="152"/>
      <c r="C20" s="154"/>
      <c r="D20" s="154"/>
      <c r="E20" s="80"/>
      <c r="G20" s="79"/>
      <c r="H20" s="153"/>
    </row>
    <row r="21" spans="1:8" x14ac:dyDescent="0.2">
      <c r="E21" s="80"/>
      <c r="G21" s="79"/>
      <c r="H21" s="153"/>
    </row>
    <row r="22" spans="1:8" x14ac:dyDescent="0.2">
      <c r="A22" s="82" t="s">
        <v>36</v>
      </c>
      <c r="E22" s="155"/>
      <c r="G22" s="83"/>
      <c r="H22" s="156"/>
    </row>
    <row r="23" spans="1:8" x14ac:dyDescent="0.2">
      <c r="A23" s="82"/>
      <c r="B23" s="82"/>
      <c r="C23" s="82"/>
      <c r="D23" s="82"/>
    </row>
    <row r="24" spans="1:8" x14ac:dyDescent="0.2">
      <c r="A24" s="82"/>
      <c r="B24" s="82"/>
      <c r="C24" s="82"/>
      <c r="D24" s="82"/>
    </row>
    <row r="25" spans="1:8" x14ac:dyDescent="0.2">
      <c r="A25" s="82"/>
      <c r="B25" s="82"/>
      <c r="C25" s="82"/>
      <c r="D25" s="82"/>
    </row>
    <row r="26" spans="1:8" x14ac:dyDescent="0.2">
      <c r="A26" s="82"/>
      <c r="B26" s="82"/>
      <c r="C26" s="82"/>
      <c r="D26" s="82"/>
    </row>
    <row r="27" spans="1:8" x14ac:dyDescent="0.2">
      <c r="A27" s="82"/>
      <c r="B27" s="82"/>
      <c r="C27" s="82"/>
      <c r="D27" s="82"/>
    </row>
    <row r="28" spans="1:8" x14ac:dyDescent="0.2">
      <c r="A28" s="82"/>
      <c r="B28" s="82"/>
      <c r="C28" s="82"/>
      <c r="D28" s="82"/>
    </row>
    <row r="29" spans="1:8" x14ac:dyDescent="0.2">
      <c r="A29" s="168" t="str">
        <f>"Run By: "&amp;"_____________________________________"</f>
        <v>Run By: _____________________________________</v>
      </c>
      <c r="B29" s="168"/>
      <c r="C29" s="168" t="str">
        <f>"Date"&amp;"____________________"</f>
        <v>Date____________________</v>
      </c>
      <c r="D29" s="168"/>
    </row>
    <row r="30" spans="1:8" x14ac:dyDescent="0.2">
      <c r="A30" s="168"/>
      <c r="B30" s="168"/>
      <c r="C30" s="168"/>
      <c r="D30" s="168"/>
    </row>
    <row r="31" spans="1:8" x14ac:dyDescent="0.2">
      <c r="A31" s="168" t="str">
        <f>"Reviewed By: "&amp;"________________________________"</f>
        <v>Reviewed By: ________________________________</v>
      </c>
      <c r="B31" s="168"/>
      <c r="C31" s="168" t="str">
        <f>"Date"&amp;"____________________"</f>
        <v>Date____________________</v>
      </c>
      <c r="D31" s="168"/>
    </row>
    <row r="32" spans="1:8" x14ac:dyDescent="0.2">
      <c r="D32" s="84"/>
    </row>
    <row r="34" spans="11:12" x14ac:dyDescent="0.2">
      <c r="K34" s="157"/>
    </row>
    <row r="39" spans="11:12" ht="15" x14ac:dyDescent="0.2">
      <c r="K39" s="85"/>
      <c r="L39" s="86"/>
    </row>
    <row r="40" spans="11:12" ht="15" x14ac:dyDescent="0.2">
      <c r="K40" s="85"/>
      <c r="L40" s="86"/>
    </row>
    <row r="41" spans="11:12" ht="15" x14ac:dyDescent="0.2">
      <c r="K41" s="85"/>
      <c r="L41" s="86"/>
    </row>
    <row r="42" spans="11:12" ht="15" x14ac:dyDescent="0.2">
      <c r="K42" s="85"/>
      <c r="L42" s="87"/>
    </row>
    <row r="43" spans="11:12" ht="15" x14ac:dyDescent="0.2">
      <c r="K43" s="85"/>
      <c r="L43" s="86"/>
    </row>
    <row r="44" spans="11:12" ht="15" x14ac:dyDescent="0.2">
      <c r="K44" s="85"/>
      <c r="L44" s="88"/>
    </row>
    <row r="45" spans="11:12" ht="15" x14ac:dyDescent="0.2">
      <c r="K45" s="85"/>
      <c r="L45" s="88"/>
    </row>
    <row r="46" spans="11:12" ht="15" x14ac:dyDescent="0.2">
      <c r="K46" s="85"/>
      <c r="L46" s="88"/>
    </row>
    <row r="47" spans="11:12" ht="15" x14ac:dyDescent="0.2">
      <c r="K47" s="85"/>
      <c r="L47" s="86"/>
    </row>
    <row r="48" spans="11:12" ht="15" x14ac:dyDescent="0.2">
      <c r="K48" s="85"/>
      <c r="L48" s="88"/>
    </row>
  </sheetData>
  <mergeCells count="6">
    <mergeCell ref="A29:B29"/>
    <mergeCell ref="C29:D29"/>
    <mergeCell ref="A30:B30"/>
    <mergeCell ref="C30:D30"/>
    <mergeCell ref="A31:B31"/>
    <mergeCell ref="C31:D31"/>
  </mergeCells>
  <phoneticPr fontId="57" type="noConversion"/>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4]!ResultSummary">
                <anchor moveWithCells="1" sizeWithCells="1">
                  <from>
                    <xdr:col>5</xdr:col>
                    <xdr:colOff>1200150</xdr:colOff>
                    <xdr:row>3</xdr:row>
                    <xdr:rowOff>133350</xdr:rowOff>
                  </from>
                  <to>
                    <xdr:col>7</xdr:col>
                    <xdr:colOff>809625</xdr:colOff>
                    <xdr:row>6</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DE8CF-5709-4E27-A2AB-5FC3A836E20D}">
  <sheetPr codeName="Sheet9"/>
  <dimension ref="A1:AJ11"/>
  <sheetViews>
    <sheetView tabSelected="1" workbookViewId="0">
      <selection activeCell="P26" sqref="P26"/>
    </sheetView>
  </sheetViews>
  <sheetFormatPr defaultRowHeight="15" x14ac:dyDescent="0.25"/>
  <cols>
    <col min="1" max="1" width="9.28515625" style="142" customWidth="1"/>
    <col min="2" max="2" width="9.7109375" style="142" bestFit="1" customWidth="1"/>
    <col min="3" max="3" width="17.140625" style="142" customWidth="1"/>
    <col min="4" max="4" width="11.85546875" style="142" customWidth="1"/>
    <col min="5" max="5" width="7" style="142" bestFit="1" customWidth="1"/>
    <col min="6" max="6" width="17.28515625" style="142" customWidth="1"/>
    <col min="7" max="7" width="14.42578125" style="142" customWidth="1"/>
    <col min="8" max="8" width="7.28515625" style="142" customWidth="1"/>
    <col min="9" max="9" width="9.42578125" style="142" bestFit="1" customWidth="1"/>
    <col min="10" max="10" width="14" style="142" customWidth="1"/>
    <col min="11" max="11" width="10.42578125" style="142" bestFit="1" customWidth="1"/>
    <col min="12" max="12" width="3" style="142" bestFit="1" customWidth="1"/>
    <col min="13" max="13" width="5.42578125" style="142" bestFit="1" customWidth="1"/>
    <col min="14" max="14" width="7.28515625" style="142" bestFit="1" customWidth="1"/>
    <col min="15" max="15" width="10.42578125" style="142" bestFit="1" customWidth="1"/>
    <col min="16" max="16" width="23.28515625" style="166" bestFit="1" customWidth="1"/>
    <col min="17" max="17" width="11.42578125" style="142" customWidth="1"/>
    <col min="18" max="18" width="8" style="142" bestFit="1" customWidth="1"/>
    <col min="19" max="19" width="14.42578125" style="142" customWidth="1"/>
    <col min="20" max="20" width="8.85546875" style="142" customWidth="1"/>
    <col min="21" max="21" width="22.28515625" style="142" bestFit="1" customWidth="1"/>
    <col min="22" max="22" width="10.42578125" style="142" bestFit="1" customWidth="1"/>
    <col min="23" max="23" width="23.28515625" style="142" bestFit="1" customWidth="1"/>
    <col min="24" max="24" width="23.140625" style="142" bestFit="1" customWidth="1"/>
    <col min="25" max="25" width="8" style="142" bestFit="1" customWidth="1"/>
    <col min="26" max="26" width="22.85546875" style="142" bestFit="1" customWidth="1"/>
    <col min="27" max="27" width="4" style="142" bestFit="1" customWidth="1"/>
    <col min="28" max="28" width="22.28515625" style="142" bestFit="1" customWidth="1"/>
    <col min="29" max="16384" width="9.140625" style="142"/>
  </cols>
  <sheetData>
    <row r="1" spans="1:36" ht="47.25" customHeight="1" x14ac:dyDescent="0.25">
      <c r="A1" s="143" t="s">
        <v>134</v>
      </c>
      <c r="B1" s="143" t="s">
        <v>111</v>
      </c>
      <c r="C1" s="143" t="s">
        <v>112</v>
      </c>
      <c r="D1" s="143" t="s">
        <v>123</v>
      </c>
      <c r="E1" s="143" t="s">
        <v>129</v>
      </c>
      <c r="F1" s="145" t="s">
        <v>127</v>
      </c>
      <c r="G1" s="145" t="s">
        <v>114</v>
      </c>
      <c r="H1" s="144" t="s">
        <v>113</v>
      </c>
      <c r="I1" s="143" t="s">
        <v>120</v>
      </c>
      <c r="J1" s="143" t="s">
        <v>110</v>
      </c>
      <c r="K1" s="144" t="s">
        <v>130</v>
      </c>
      <c r="L1" s="142" t="s">
        <v>131</v>
      </c>
      <c r="M1" s="143" t="s">
        <v>26</v>
      </c>
      <c r="N1" s="143" t="s">
        <v>121</v>
      </c>
      <c r="O1" s="144" t="s">
        <v>122</v>
      </c>
      <c r="P1" s="165" t="s">
        <v>128</v>
      </c>
      <c r="Q1" s="143" t="s">
        <v>118</v>
      </c>
      <c r="R1" s="143" t="s">
        <v>117</v>
      </c>
      <c r="S1" s="143" t="s">
        <v>115</v>
      </c>
      <c r="T1" s="143" t="s">
        <v>119</v>
      </c>
      <c r="U1" s="143" t="s">
        <v>125</v>
      </c>
      <c r="V1" s="143" t="s">
        <v>133</v>
      </c>
      <c r="W1" s="143" t="s">
        <v>135</v>
      </c>
      <c r="X1" s="143" t="s">
        <v>136</v>
      </c>
    </row>
    <row r="2" spans="1:36" ht="69.75" customHeight="1" x14ac:dyDescent="0.25">
      <c r="A2" s="146" t="s">
        <v>137</v>
      </c>
      <c r="B2" s="143" t="s">
        <v>140</v>
      </c>
      <c r="C2" s="146" t="s">
        <v>139</v>
      </c>
      <c r="D2" s="146" t="s">
        <v>124</v>
      </c>
      <c r="E2" s="146" t="str">
        <f>Patient_Info!D4</f>
        <v>T25752</v>
      </c>
      <c r="F2" s="147" t="s">
        <v>169</v>
      </c>
      <c r="G2" s="147" t="str">
        <f>Patient_Info!AF4</f>
        <v>Metastatic lung adenocarcinoma</v>
      </c>
      <c r="H2" s="146" t="str">
        <f>TEXT(Patient_Info!K4,"yyyy-mm-dd")</f>
        <v>2020-12-22</v>
      </c>
      <c r="I2" s="146" t="s">
        <v>132</v>
      </c>
      <c r="J2" s="146" t="str">
        <f>TRIM(Patient_Info!A4)&amp;", "&amp;TRIM(Patient_Info!B4)</f>
        <v>Sanders, Christine</v>
      </c>
      <c r="K2" s="146" t="str">
        <f>TEXT(Patient_Info!F4,"yyyy-mm-dd")</f>
        <v>1964-07-27</v>
      </c>
      <c r="L2" s="146">
        <f ca="1">INT((TODAY()-K2)/365)</f>
        <v>56</v>
      </c>
      <c r="M2" s="146" t="str">
        <f>IF(Patient_Info!G4="M", "male", "female")</f>
        <v>female</v>
      </c>
      <c r="N2" s="146" t="str">
        <f>Patient_Info!I4</f>
        <v>D10571</v>
      </c>
      <c r="O2" s="146" t="str">
        <f>TEXT(Patient_Info!E4,"yyyy-mm-dd")</f>
        <v>2020-12-16</v>
      </c>
      <c r="P2" s="162" t="str">
        <f>Patient_Info!N4</f>
        <v>FFPE</v>
      </c>
      <c r="Q2" s="162" t="str">
        <f>TRIM(Patient_Info!$A$8)</f>
        <v>Dr. Maura O'Neil; Dr. Kamal Gupta; Dr. Zaid H Gheith; Dr. Eyad Reda; Dr. Chad M Cannon</v>
      </c>
      <c r="R2" s="146" t="str">
        <f>Patient_Info!C4</f>
        <v>1599570</v>
      </c>
      <c r="S2" s="146" t="str">
        <f>Patient_Info!P4</f>
        <v>The University of Kansas Hospital</v>
      </c>
      <c r="T2" s="146" t="str">
        <f>Patient_Info!H4</f>
        <v>N20-4677 A1</v>
      </c>
      <c r="U2" s="146" t="s">
        <v>126</v>
      </c>
      <c r="V2" s="148"/>
      <c r="W2" s="148"/>
      <c r="X2" s="148"/>
    </row>
    <row r="5" spans="1:36" x14ac:dyDescent="0.25">
      <c r="A5" s="143"/>
      <c r="B5" s="143"/>
      <c r="C5" s="143"/>
      <c r="E5" s="143"/>
      <c r="F5" s="143"/>
      <c r="G5" s="143"/>
      <c r="I5" s="143"/>
      <c r="J5" s="143"/>
      <c r="K5" s="143"/>
      <c r="L5" s="143"/>
      <c r="O5" s="143"/>
      <c r="R5" s="143"/>
      <c r="X5" s="143"/>
      <c r="AA5" s="143"/>
      <c r="AB5" s="143"/>
      <c r="AC5" s="143"/>
      <c r="AF5" s="143"/>
      <c r="AG5" s="143"/>
      <c r="AI5" s="143"/>
      <c r="AJ5" s="143"/>
    </row>
    <row r="6" spans="1:36" x14ac:dyDescent="0.25">
      <c r="A6" s="143"/>
      <c r="B6" s="143"/>
      <c r="C6" s="143"/>
      <c r="E6" s="143"/>
      <c r="F6" s="143"/>
      <c r="G6" s="143"/>
      <c r="H6" s="144"/>
      <c r="I6" s="143"/>
      <c r="J6" s="143"/>
      <c r="K6" s="143"/>
      <c r="L6" s="144"/>
      <c r="N6" s="143"/>
      <c r="O6" s="143"/>
      <c r="R6" s="143"/>
      <c r="S6" s="143"/>
      <c r="U6" s="143"/>
      <c r="V6" s="143"/>
    </row>
    <row r="10" spans="1:36" ht="59.25" customHeight="1" x14ac:dyDescent="0.25">
      <c r="A10" s="143" t="s">
        <v>137</v>
      </c>
      <c r="B10" s="143" t="s">
        <v>140</v>
      </c>
      <c r="C10" s="143" t="s">
        <v>139</v>
      </c>
      <c r="D10" s="143" t="s">
        <v>124</v>
      </c>
      <c r="E10" s="143" t="s">
        <v>149</v>
      </c>
      <c r="F10" s="163" t="s">
        <v>169</v>
      </c>
      <c r="G10" s="164" t="s">
        <v>160</v>
      </c>
      <c r="H10" s="143" t="s">
        <v>170</v>
      </c>
      <c r="I10" s="143" t="s">
        <v>132</v>
      </c>
      <c r="J10" s="143" t="s">
        <v>171</v>
      </c>
      <c r="K10" s="143" t="s">
        <v>172</v>
      </c>
      <c r="L10" s="143">
        <v>56</v>
      </c>
      <c r="M10" s="143" t="s">
        <v>173</v>
      </c>
      <c r="N10" s="144" t="s">
        <v>152</v>
      </c>
      <c r="O10" s="143" t="s">
        <v>174</v>
      </c>
      <c r="P10" s="167" t="s">
        <v>141</v>
      </c>
      <c r="Q10" s="163" t="s">
        <v>175</v>
      </c>
      <c r="R10" s="144" t="s">
        <v>148</v>
      </c>
      <c r="S10" s="163" t="s">
        <v>116</v>
      </c>
      <c r="T10" s="143" t="s">
        <v>151</v>
      </c>
      <c r="U10" s="143" t="s">
        <v>126</v>
      </c>
      <c r="V10" s="144"/>
      <c r="W10" s="143"/>
      <c r="X10" s="143"/>
      <c r="Y10" s="143"/>
      <c r="Z10" s="143"/>
      <c r="AA10" s="143"/>
      <c r="AB10" s="143"/>
    </row>
    <row r="11" spans="1:36" x14ac:dyDescent="0.25">
      <c r="P11" s="166" t="s">
        <v>145</v>
      </c>
    </row>
  </sheetData>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_xludf.COPY">
                <anchor moveWithCells="1">
                  <from>
                    <xdr:col>5</xdr:col>
                    <xdr:colOff>9525</xdr:colOff>
                    <xdr:row>4</xdr:row>
                    <xdr:rowOff>85725</xdr:rowOff>
                  </from>
                  <to>
                    <xdr:col>6</xdr:col>
                    <xdr:colOff>590550</xdr:colOff>
                    <xdr:row>6</xdr:row>
                    <xdr:rowOff>133350</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54"/>
  <sheetViews>
    <sheetView zoomScale="93" zoomScaleNormal="93" workbookViewId="0">
      <selection activeCell="A18" sqref="A18:D18"/>
    </sheetView>
  </sheetViews>
  <sheetFormatPr defaultColWidth="8.7109375" defaultRowHeight="12.75" x14ac:dyDescent="0.2"/>
  <cols>
    <col min="1" max="1" width="17.85546875" style="11" customWidth="1"/>
    <col min="2" max="2" width="27.5703125" style="11" customWidth="1"/>
    <col min="3" max="3" width="21.5703125" style="11" customWidth="1"/>
    <col min="4" max="4" width="14.42578125" style="11" customWidth="1"/>
    <col min="5" max="5" width="9.42578125" style="11" customWidth="1"/>
    <col min="6" max="6" width="18.5703125" style="11" customWidth="1"/>
    <col min="7" max="7" width="88.7109375" style="11" customWidth="1"/>
    <col min="8" max="8" width="19.7109375" style="11" customWidth="1"/>
    <col min="9" max="9" width="16.140625" style="11" customWidth="1"/>
    <col min="10" max="10" width="8.7109375" style="11"/>
    <col min="11" max="11" width="15.7109375" style="11" customWidth="1"/>
    <col min="12" max="12" width="34.5703125" style="11" customWidth="1"/>
    <col min="13" max="14" width="8.7109375" style="11"/>
    <col min="15" max="15" width="10.7109375" style="11" customWidth="1"/>
    <col min="16" max="16" width="14.7109375" style="11" customWidth="1"/>
    <col min="17" max="20" width="8.7109375" style="11"/>
    <col min="21" max="21" width="17.28515625" style="11" customWidth="1"/>
    <col min="22" max="16384" width="8.7109375" style="11"/>
  </cols>
  <sheetData>
    <row r="1" spans="1:10" s="5" customFormat="1" x14ac:dyDescent="0.2">
      <c r="A1" s="4"/>
      <c r="B1" s="6"/>
      <c r="C1" s="4"/>
      <c r="D1" s="4"/>
      <c r="E1" s="4"/>
      <c r="F1" s="4"/>
    </row>
    <row r="2" spans="1:10" s="5" customFormat="1" x14ac:dyDescent="0.2">
      <c r="A2" s="4"/>
      <c r="B2" s="6"/>
      <c r="C2" s="4"/>
      <c r="D2" s="4"/>
      <c r="E2" s="4"/>
      <c r="F2" s="4"/>
    </row>
    <row r="3" spans="1:10" s="5" customFormat="1" ht="12" customHeight="1" x14ac:dyDescent="0.2">
      <c r="A3" s="2" t="s">
        <v>28</v>
      </c>
      <c r="B3" s="7" t="str">
        <f>Patient_Info!A4&amp;", "&amp;Patient_Info!B4</f>
        <v>Sanders, Christine</v>
      </c>
      <c r="C3" s="4"/>
      <c r="D3" s="4"/>
      <c r="E3" s="4"/>
      <c r="F3" s="4"/>
    </row>
    <row r="4" spans="1:10" s="5" customFormat="1" ht="12" customHeight="1" x14ac:dyDescent="0.2">
      <c r="A4" s="2" t="s">
        <v>37</v>
      </c>
      <c r="B4" s="173" t="str">
        <f>Patient_Info!A8</f>
        <v>Dr. Maura O'Neil; Dr. Kamal Gupta; Dr. Zaid H Gheith; Dr. Eyad Reda; Dr. Chad M Cannon</v>
      </c>
      <c r="C4" s="173"/>
      <c r="D4" s="173"/>
      <c r="E4" s="4"/>
      <c r="F4" s="4"/>
    </row>
    <row r="5" spans="1:10" s="5" customFormat="1" ht="12" customHeight="1" x14ac:dyDescent="0.2">
      <c r="A5" s="2" t="s">
        <v>29</v>
      </c>
      <c r="B5" s="174" t="str">
        <f>Patient_Info!P4</f>
        <v>The University of Kansas Hospital</v>
      </c>
      <c r="C5" s="174"/>
      <c r="D5" s="174"/>
      <c r="E5" s="4"/>
      <c r="F5" s="4"/>
    </row>
    <row r="6" spans="1:10" s="5" customFormat="1" x14ac:dyDescent="0.2">
      <c r="A6" s="2" t="s">
        <v>38</v>
      </c>
      <c r="B6" s="23" t="str">
        <f>Patient_Info!C4</f>
        <v>1599570</v>
      </c>
      <c r="C6" s="4"/>
      <c r="D6" s="4"/>
      <c r="E6" s="4"/>
      <c r="F6" s="4"/>
    </row>
    <row r="7" spans="1:10" s="5" customFormat="1" x14ac:dyDescent="0.2">
      <c r="A7" s="2" t="s">
        <v>30</v>
      </c>
      <c r="B7" s="5" t="str">
        <f>CONCATENATE(TEXT(Patient_Info!F4,"m/d/yyyy"), ", ", Patient_Info!G4)</f>
        <v>7/27/1964, F</v>
      </c>
      <c r="C7" s="4"/>
      <c r="D7" s="4"/>
      <c r="E7" s="4"/>
      <c r="F7" s="4"/>
    </row>
    <row r="8" spans="1:10" s="5" customFormat="1" ht="15" x14ac:dyDescent="0.2">
      <c r="A8" s="2" t="s">
        <v>31</v>
      </c>
      <c r="B8" s="9">
        <f>Patient_Info!E4</f>
        <v>44181</v>
      </c>
      <c r="C8" s="4"/>
      <c r="D8" s="4"/>
      <c r="E8" s="4"/>
      <c r="F8" s="4"/>
      <c r="G8" s="27"/>
      <c r="H8" s="4"/>
      <c r="I8" s="4"/>
      <c r="J8" s="4"/>
    </row>
    <row r="9" spans="1:10" s="5" customFormat="1" x14ac:dyDescent="0.2">
      <c r="A9" s="24" t="s">
        <v>40</v>
      </c>
      <c r="B9" s="8">
        <f>Patient_Info!K4</f>
        <v>44187</v>
      </c>
      <c r="C9" s="4"/>
      <c r="D9" s="4"/>
      <c r="E9" s="4"/>
      <c r="F9" s="4"/>
      <c r="G9" s="4"/>
      <c r="H9" s="4"/>
      <c r="I9" s="4"/>
      <c r="J9" s="4"/>
    </row>
    <row r="10" spans="1:10" x14ac:dyDescent="0.2">
      <c r="A10" s="2" t="s">
        <v>32</v>
      </c>
      <c r="B10" s="8">
        <f ca="1">IF(Patient_Info!A14="Today", TODAY(), TODAY() +1)</f>
        <v>44203</v>
      </c>
      <c r="C10" s="4"/>
      <c r="D10" s="4"/>
      <c r="E10" s="10"/>
    </row>
    <row r="11" spans="1:10" x14ac:dyDescent="0.2">
      <c r="A11" s="2" t="s">
        <v>41</v>
      </c>
      <c r="B11" s="5" t="str">
        <f>Patient_Info!I4</f>
        <v>D10571</v>
      </c>
      <c r="C11" s="4"/>
      <c r="D11" s="4"/>
      <c r="E11" s="10"/>
    </row>
    <row r="12" spans="1:10" x14ac:dyDescent="0.2">
      <c r="A12" s="2" t="s">
        <v>42</v>
      </c>
      <c r="B12" s="5" t="str">
        <f>Patient_Info!D4</f>
        <v>T25752</v>
      </c>
      <c r="C12" s="4"/>
      <c r="D12" s="4"/>
      <c r="E12" s="10"/>
    </row>
    <row r="13" spans="1:10" x14ac:dyDescent="0.2">
      <c r="A13" s="2" t="s">
        <v>60</v>
      </c>
      <c r="B13" s="5" t="str">
        <f>Patient_Info!H4</f>
        <v>N20-4677 A1</v>
      </c>
      <c r="C13" s="4"/>
      <c r="D13" s="4"/>
      <c r="E13" s="10"/>
    </row>
    <row r="14" spans="1:10" x14ac:dyDescent="0.2">
      <c r="A14" s="1"/>
      <c r="B14" s="5"/>
      <c r="C14" s="4"/>
      <c r="D14" s="4"/>
      <c r="E14" s="10"/>
      <c r="G14" s="29"/>
    </row>
    <row r="15" spans="1:10" x14ac:dyDescent="0.2">
      <c r="A15" s="169" t="s">
        <v>39</v>
      </c>
      <c r="B15" s="169"/>
      <c r="C15" s="169"/>
      <c r="D15" s="169"/>
      <c r="E15" s="10"/>
    </row>
    <row r="16" spans="1:10" x14ac:dyDescent="0.2">
      <c r="A16" s="1" t="s">
        <v>61</v>
      </c>
      <c r="B16" s="5"/>
      <c r="C16" s="4"/>
      <c r="D16" s="4"/>
      <c r="E16" s="10"/>
      <c r="G16" s="26"/>
      <c r="H16" s="6"/>
    </row>
    <row r="17" spans="1:12" x14ac:dyDescent="0.2">
      <c r="A17" s="1"/>
      <c r="B17" s="5"/>
      <c r="C17" s="4"/>
      <c r="D17" s="4"/>
      <c r="E17" s="10"/>
      <c r="G17" s="12"/>
      <c r="H17" s="6"/>
    </row>
    <row r="18" spans="1:12" ht="12.95" customHeight="1" x14ac:dyDescent="0.2">
      <c r="A18" s="169" t="s">
        <v>25</v>
      </c>
      <c r="B18" s="169"/>
      <c r="C18" s="169"/>
      <c r="D18" s="169"/>
      <c r="E18" s="13"/>
      <c r="G18" s="20"/>
      <c r="H18" s="6"/>
    </row>
    <row r="19" spans="1:12" x14ac:dyDescent="0.2">
      <c r="A19" s="5" t="str">
        <f>Patient_Info!N4</f>
        <v>FFPE</v>
      </c>
      <c r="B19" s="5"/>
      <c r="C19" s="4"/>
      <c r="D19" s="4"/>
      <c r="E19" s="14"/>
      <c r="G19" s="21"/>
      <c r="H19" s="6"/>
    </row>
    <row r="20" spans="1:12" x14ac:dyDescent="0.2">
      <c r="A20" s="5"/>
      <c r="B20" s="5"/>
      <c r="C20" s="4"/>
      <c r="D20" s="4"/>
      <c r="E20" s="14"/>
      <c r="G20" s="12"/>
      <c r="H20" s="6"/>
    </row>
    <row r="21" spans="1:12" x14ac:dyDescent="0.2">
      <c r="A21" s="169" t="s">
        <v>43</v>
      </c>
      <c r="B21" s="169"/>
      <c r="C21" s="169"/>
      <c r="D21" s="169"/>
      <c r="E21" s="13"/>
      <c r="G21" s="26"/>
      <c r="H21" s="6"/>
    </row>
    <row r="22" spans="1:12" x14ac:dyDescent="0.2">
      <c r="A22" s="176" t="e">
        <f>IF(AND(Patient_Info!A11="Positive",Patient_Info!#REF!="YES"),report_data!#REF!, IF(AND(Patient_Info!A11="Negative",Patient_Info!#REF!="YES"),report_data!#REF!,IF(Patient_Info!A11="Positive",report_data!#REF!, IF(Patient_Info!A11="Invalid Study",report_data!A4, report_data!#REF!))))</f>
        <v>#REF!</v>
      </c>
      <c r="B22" s="176"/>
      <c r="C22" s="176"/>
      <c r="D22" s="176"/>
      <c r="E22" s="13"/>
      <c r="G22" s="12"/>
      <c r="H22" s="6"/>
    </row>
    <row r="23" spans="1:12" ht="13.5" customHeight="1" x14ac:dyDescent="0.2">
      <c r="A23" s="176" t="e">
        <f>IF(Patient_Info!#REF!&gt;Patient_Info!#REF!,"See Interpretation",IF(Patient_Info!A15="YES","See Interpretation",IF(Patient_Info!A19="YES","See Interpretation","")))</f>
        <v>#REF!</v>
      </c>
      <c r="B23" s="176"/>
      <c r="C23" s="176"/>
      <c r="D23" s="176"/>
      <c r="E23" s="15"/>
    </row>
    <row r="24" spans="1:12" x14ac:dyDescent="0.2">
      <c r="A24" s="169" t="s">
        <v>44</v>
      </c>
      <c r="B24" s="169"/>
      <c r="C24" s="169"/>
      <c r="D24" s="169"/>
    </row>
    <row r="25" spans="1:12" ht="71.25" customHeight="1" x14ac:dyDescent="0.2">
      <c r="A25" s="175" t="e">
        <f>IF(AND(Patient_Info!A11="Positive",Patient_Info!#REF!="YES"), CONCATENATE(report_data!#REF!,report_data!#REF!,report_data!#REF!), IF(AND(Patient_Info!A11="Negative",Patient_Info!#REF!="YES"),CONCATENATE(report_data!#REF!,report_data!#REF!,report_data!#REF!),IF(Patient_Info!A11="Positive",report_data!#REF!, IF(Patient_Info!A11="Invalid Study",report_data!A5, report_data!#REF!))))</f>
        <v>#REF!</v>
      </c>
      <c r="B25" s="175"/>
      <c r="C25" s="175"/>
      <c r="D25" s="175"/>
      <c r="G25" s="29"/>
    </row>
    <row r="26" spans="1:12" x14ac:dyDescent="0.2">
      <c r="A26" s="22"/>
      <c r="B26" s="22"/>
      <c r="C26" s="22"/>
      <c r="D26" s="22"/>
    </row>
    <row r="27" spans="1:12" x14ac:dyDescent="0.2">
      <c r="A27" s="169" t="s">
        <v>45</v>
      </c>
      <c r="B27" s="169"/>
      <c r="C27" s="169"/>
      <c r="D27" s="169"/>
    </row>
    <row r="28" spans="1:12" x14ac:dyDescent="0.2">
      <c r="A28" s="170" t="s">
        <v>62</v>
      </c>
      <c r="B28" s="170"/>
      <c r="C28" s="170"/>
      <c r="D28" s="170"/>
      <c r="K28" s="16"/>
      <c r="L28" s="3"/>
    </row>
    <row r="29" spans="1:12" x14ac:dyDescent="0.2">
      <c r="A29" s="170"/>
      <c r="B29" s="170"/>
      <c r="C29" s="170"/>
      <c r="D29" s="170"/>
      <c r="K29" s="16"/>
      <c r="L29" s="3"/>
    </row>
    <row r="30" spans="1:12" x14ac:dyDescent="0.2">
      <c r="A30" s="170"/>
      <c r="B30" s="170"/>
      <c r="C30" s="170"/>
      <c r="D30" s="170"/>
      <c r="K30" s="16"/>
      <c r="L30" s="3"/>
    </row>
    <row r="31" spans="1:12" ht="6" customHeight="1" x14ac:dyDescent="0.2">
      <c r="A31" s="170"/>
      <c r="B31" s="170"/>
      <c r="C31" s="170"/>
      <c r="D31" s="170"/>
      <c r="K31" s="16"/>
      <c r="L31" s="17"/>
    </row>
    <row r="32" spans="1:12" hidden="1" x14ac:dyDescent="0.2">
      <c r="A32" s="170"/>
      <c r="B32" s="170"/>
      <c r="C32" s="170"/>
      <c r="D32" s="170"/>
      <c r="K32" s="16"/>
      <c r="L32" s="3"/>
    </row>
    <row r="33" spans="1:12" hidden="1" x14ac:dyDescent="0.2">
      <c r="A33" s="170"/>
      <c r="B33" s="170"/>
      <c r="C33" s="170"/>
      <c r="D33" s="170"/>
      <c r="K33" s="16"/>
      <c r="L33" s="18"/>
    </row>
    <row r="34" spans="1:12" hidden="1" x14ac:dyDescent="0.2">
      <c r="A34" s="170"/>
      <c r="B34" s="170"/>
      <c r="C34" s="170"/>
      <c r="D34" s="170"/>
      <c r="K34" s="16"/>
      <c r="L34" s="18"/>
    </row>
    <row r="35" spans="1:12" x14ac:dyDescent="0.2">
      <c r="K35" s="16"/>
      <c r="L35" s="18"/>
    </row>
    <row r="36" spans="1:12" x14ac:dyDescent="0.2">
      <c r="A36" s="169" t="s">
        <v>46</v>
      </c>
      <c r="B36" s="169"/>
      <c r="C36" s="169"/>
      <c r="D36" s="169"/>
      <c r="K36" s="16"/>
      <c r="L36" s="3"/>
    </row>
    <row r="37" spans="1:12" ht="12.95" customHeight="1" x14ac:dyDescent="0.2">
      <c r="A37" s="170" t="s">
        <v>63</v>
      </c>
      <c r="B37" s="170"/>
      <c r="C37" s="170"/>
      <c r="D37" s="170"/>
      <c r="K37" s="16"/>
      <c r="L37" s="18"/>
    </row>
    <row r="38" spans="1:12" ht="13.5" customHeight="1" x14ac:dyDescent="0.2">
      <c r="A38" s="170"/>
      <c r="B38" s="170"/>
      <c r="C38" s="170"/>
      <c r="D38" s="170"/>
    </row>
    <row r="39" spans="1:12" x14ac:dyDescent="0.2">
      <c r="A39" s="170"/>
      <c r="B39" s="170"/>
      <c r="C39" s="170"/>
      <c r="D39" s="170"/>
    </row>
    <row r="40" spans="1:12" x14ac:dyDescent="0.2">
      <c r="A40" s="170"/>
      <c r="B40" s="170"/>
      <c r="C40" s="170"/>
      <c r="D40" s="170"/>
    </row>
    <row r="41" spans="1:12" x14ac:dyDescent="0.2">
      <c r="A41" s="170"/>
      <c r="B41" s="170"/>
      <c r="C41" s="170"/>
      <c r="D41" s="170"/>
    </row>
    <row r="42" spans="1:12" ht="9" customHeight="1" x14ac:dyDescent="0.2">
      <c r="A42" s="170"/>
      <c r="B42" s="170"/>
      <c r="C42" s="170"/>
      <c r="D42" s="170"/>
    </row>
    <row r="43" spans="1:12" hidden="1" x14ac:dyDescent="0.2">
      <c r="A43" s="170"/>
      <c r="B43" s="170"/>
      <c r="C43" s="170"/>
      <c r="D43" s="170"/>
    </row>
    <row r="45" spans="1:12" x14ac:dyDescent="0.2">
      <c r="A45" s="169" t="s">
        <v>49</v>
      </c>
      <c r="B45" s="169"/>
      <c r="C45" s="169"/>
      <c r="D45" s="169"/>
    </row>
    <row r="46" spans="1:12" s="5" customFormat="1" ht="43.5" customHeight="1" x14ac:dyDescent="0.2">
      <c r="A46" s="171" t="s">
        <v>67</v>
      </c>
      <c r="B46" s="172"/>
      <c r="C46" s="172"/>
      <c r="D46" s="172"/>
      <c r="E46" s="4"/>
      <c r="F46" s="4"/>
    </row>
    <row r="47" spans="1:12" s="5" customFormat="1" ht="12.75" customHeight="1" x14ac:dyDescent="0.2">
      <c r="A47" s="171"/>
      <c r="B47" s="171"/>
      <c r="C47" s="171"/>
      <c r="D47" s="171"/>
      <c r="E47" s="4"/>
      <c r="F47" s="4"/>
    </row>
    <row r="48" spans="1:12" ht="9.75" customHeight="1" x14ac:dyDescent="0.2"/>
    <row r="49" spans="1:4" x14ac:dyDescent="0.2">
      <c r="A49" s="19" t="s">
        <v>47</v>
      </c>
    </row>
    <row r="50" spans="1:4" x14ac:dyDescent="0.2">
      <c r="A50" s="170" t="s">
        <v>48</v>
      </c>
      <c r="B50" s="170"/>
      <c r="C50" s="170"/>
      <c r="D50" s="170"/>
    </row>
    <row r="51" spans="1:4" x14ac:dyDescent="0.2">
      <c r="A51" s="170"/>
      <c r="B51" s="170"/>
      <c r="C51" s="170"/>
      <c r="D51" s="170"/>
    </row>
    <row r="52" spans="1:4" x14ac:dyDescent="0.2">
      <c r="A52" s="170"/>
      <c r="B52" s="170"/>
      <c r="C52" s="170"/>
      <c r="D52" s="170"/>
    </row>
    <row r="53" spans="1:4" x14ac:dyDescent="0.2">
      <c r="A53" s="170"/>
      <c r="B53" s="170"/>
      <c r="C53" s="170"/>
      <c r="D53" s="170"/>
    </row>
    <row r="54" spans="1:4" ht="58.5" customHeight="1" x14ac:dyDescent="0.2">
      <c r="A54" s="170"/>
      <c r="B54" s="170"/>
      <c r="C54" s="170"/>
      <c r="D54" s="170"/>
    </row>
  </sheetData>
  <mergeCells count="17">
    <mergeCell ref="A23:D23"/>
    <mergeCell ref="A45:D45"/>
    <mergeCell ref="A50:D54"/>
    <mergeCell ref="A46:D46"/>
    <mergeCell ref="A47:D47"/>
    <mergeCell ref="B4:D4"/>
    <mergeCell ref="B5:D5"/>
    <mergeCell ref="A28:D34"/>
    <mergeCell ref="A37:D43"/>
    <mergeCell ref="A25:D25"/>
    <mergeCell ref="A36:D36"/>
    <mergeCell ref="A15:D15"/>
    <mergeCell ref="A27:D27"/>
    <mergeCell ref="A24:D24"/>
    <mergeCell ref="A22:D22"/>
    <mergeCell ref="A21:D21"/>
    <mergeCell ref="A18:D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RAFDataEntry">
                <anchor moveWithCells="1" sizeWithCells="1">
                  <from>
                    <xdr:col>3</xdr:col>
                    <xdr:colOff>942975</xdr:colOff>
                    <xdr:row>0</xdr:row>
                    <xdr:rowOff>142875</xdr:rowOff>
                  </from>
                  <to>
                    <xdr:col>6</xdr:col>
                    <xdr:colOff>847725</xdr:colOff>
                    <xdr:row>3</xdr:row>
                    <xdr:rowOff>123825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29"/>
  <sheetViews>
    <sheetView workbookViewId="0">
      <selection activeCell="F11" sqref="F11"/>
    </sheetView>
  </sheetViews>
  <sheetFormatPr defaultColWidth="8.7109375" defaultRowHeight="12.75" x14ac:dyDescent="0.2"/>
  <cols>
    <col min="1" max="1" width="16.140625" style="93" customWidth="1"/>
    <col min="2" max="2" width="29.85546875" style="93" customWidth="1"/>
    <col min="3" max="3" width="21.5703125" style="93" customWidth="1"/>
    <col min="4" max="4" width="22.42578125" style="93" customWidth="1"/>
    <col min="5" max="5" width="9.42578125" style="93" customWidth="1"/>
    <col min="6" max="6" width="18.5703125" style="93" customWidth="1"/>
    <col min="7" max="7" width="24.140625" style="93" customWidth="1"/>
    <col min="8" max="8" width="19.7109375" style="93" customWidth="1"/>
    <col min="9" max="9" width="16.140625" style="93" customWidth="1"/>
    <col min="10" max="10" width="8.7109375" style="93"/>
    <col min="11" max="11" width="15.7109375" style="93" customWidth="1"/>
    <col min="12" max="12" width="34.5703125" style="93" customWidth="1"/>
    <col min="13" max="14" width="8.7109375" style="93"/>
    <col min="15" max="15" width="10.7109375" style="93" customWidth="1"/>
    <col min="16" max="16" width="14.7109375" style="93" customWidth="1"/>
    <col min="17" max="20" width="8.7109375" style="93"/>
    <col min="21" max="21" width="17.28515625" style="93" customWidth="1"/>
    <col min="22" max="16384" width="8.7109375" style="93"/>
  </cols>
  <sheetData>
    <row r="1" spans="1:12" s="91" customFormat="1" x14ac:dyDescent="0.2">
      <c r="A1" s="89"/>
      <c r="B1" s="90"/>
      <c r="C1" s="89"/>
      <c r="D1" s="89"/>
      <c r="E1" s="89"/>
      <c r="F1" s="89"/>
    </row>
    <row r="2" spans="1:12" s="91" customFormat="1" x14ac:dyDescent="0.2">
      <c r="A2" s="89"/>
      <c r="B2" s="92" t="s">
        <v>103</v>
      </c>
      <c r="C2" s="89"/>
      <c r="D2" s="89"/>
      <c r="E2" s="89"/>
      <c r="F2" s="89"/>
    </row>
    <row r="3" spans="1:12" x14ac:dyDescent="0.2">
      <c r="E3" s="94"/>
      <c r="G3" s="95"/>
      <c r="H3" s="90"/>
    </row>
    <row r="4" spans="1:12" ht="12" customHeight="1" x14ac:dyDescent="0.2">
      <c r="A4" s="123" t="s">
        <v>2</v>
      </c>
      <c r="B4" s="96" t="str">
        <f>Patient_Info!A4&amp;", "&amp;Patient_Info!B4</f>
        <v>Sanders, Christine</v>
      </c>
      <c r="C4" s="123" t="s">
        <v>3</v>
      </c>
      <c r="D4" s="97">
        <f>Patient_Info!E4</f>
        <v>44181</v>
      </c>
      <c r="E4" s="98"/>
      <c r="G4" s="95"/>
      <c r="H4" s="90"/>
    </row>
    <row r="5" spans="1:12" ht="12" customHeight="1" x14ac:dyDescent="0.2">
      <c r="A5" s="123" t="s">
        <v>4</v>
      </c>
      <c r="B5" s="99" t="str">
        <f>Patient_Info!A8</f>
        <v>Dr. Maura O'Neil; Dr. Kamal Gupta; Dr. Zaid H Gheith; Dr. Eyad Reda; Dr. Chad M Cannon</v>
      </c>
      <c r="C5" s="123" t="s">
        <v>5</v>
      </c>
      <c r="D5" s="97">
        <f>Patient_Info!K4</f>
        <v>44187</v>
      </c>
      <c r="E5" s="100"/>
      <c r="G5" s="95"/>
      <c r="H5" s="90"/>
    </row>
    <row r="6" spans="1:12" ht="12" customHeight="1" x14ac:dyDescent="0.2">
      <c r="A6" s="123" t="s">
        <v>7</v>
      </c>
      <c r="B6" s="101" t="str">
        <f>Patient_Info!P4</f>
        <v>The University of Kansas Hospital</v>
      </c>
      <c r="C6" s="123" t="s">
        <v>6</v>
      </c>
      <c r="D6" s="97">
        <f ca="1">IF(Patient_Info!A14="Today", TODAY(), TODAY() +1)</f>
        <v>44203</v>
      </c>
      <c r="E6" s="100"/>
      <c r="G6" s="95"/>
      <c r="H6" s="90"/>
    </row>
    <row r="7" spans="1:12" ht="12" customHeight="1" x14ac:dyDescent="0.2">
      <c r="A7" s="123" t="s">
        <v>9</v>
      </c>
      <c r="B7" s="102" t="str">
        <f>Patient_Info!C4</f>
        <v>1599570</v>
      </c>
      <c r="C7" s="123" t="s">
        <v>8</v>
      </c>
      <c r="D7" s="96" t="str">
        <f>Patient_Info!I4</f>
        <v>D10571</v>
      </c>
      <c r="E7" s="98"/>
      <c r="G7" s="95"/>
      <c r="H7" s="90"/>
    </row>
    <row r="8" spans="1:12" ht="12" customHeight="1" x14ac:dyDescent="0.2">
      <c r="A8" s="123" t="s">
        <v>1</v>
      </c>
      <c r="B8" s="102" t="str">
        <f>CONCATENATE(TEXT(Patient_Info!F4,"m/d/yyyy"), ", ", Patient_Info!G4)</f>
        <v>7/27/1964, F</v>
      </c>
      <c r="C8" s="123" t="s">
        <v>10</v>
      </c>
      <c r="D8" s="96" t="str">
        <f>Patient_Info!D4</f>
        <v>T25752</v>
      </c>
      <c r="E8" s="98"/>
      <c r="G8" s="95"/>
      <c r="H8" s="90"/>
    </row>
    <row r="9" spans="1:12" ht="12" customHeight="1" x14ac:dyDescent="0.2">
      <c r="A9" s="124" t="s">
        <v>104</v>
      </c>
      <c r="B9" s="103">
        <f ca="1">INT(YEARFRAC(Patient_Info!F4,TODAY()))</f>
        <v>56</v>
      </c>
      <c r="C9" s="124" t="s">
        <v>59</v>
      </c>
      <c r="D9" s="104" t="str">
        <f>Patient_Info!H4</f>
        <v>N20-4677 A1</v>
      </c>
      <c r="E9" s="98"/>
      <c r="G9" s="95"/>
      <c r="H9" s="90"/>
    </row>
    <row r="10" spans="1:12" s="105" customFormat="1" ht="15.75" customHeight="1" thickBot="1" x14ac:dyDescent="0.25">
      <c r="C10" s="106"/>
      <c r="D10" s="94"/>
      <c r="E10" s="107"/>
      <c r="G10" s="108"/>
      <c r="H10" s="89"/>
    </row>
    <row r="11" spans="1:12" ht="17.25" customHeight="1" thickTop="1" x14ac:dyDescent="0.2">
      <c r="A11" s="109" t="s">
        <v>44</v>
      </c>
      <c r="B11" s="110" t="str">
        <f>IF(Patient_Info!A11="Invalid Study", report_data!A4, report_data!A8)</f>
        <v>See attached report.</v>
      </c>
      <c r="C11" s="110"/>
      <c r="D11" s="111"/>
      <c r="E11" s="105"/>
    </row>
    <row r="12" spans="1:12" ht="18.75" customHeight="1" thickBot="1" x14ac:dyDescent="0.25">
      <c r="A12" s="177"/>
      <c r="B12" s="178"/>
      <c r="C12" s="178"/>
      <c r="D12" s="179"/>
    </row>
    <row r="13" spans="1:12" ht="13.5" thickTop="1" x14ac:dyDescent="0.2">
      <c r="A13" s="112" t="str">
        <f>"Specimen Type: "</f>
        <v xml:space="preserve">Specimen Type: </v>
      </c>
      <c r="B13" s="113"/>
      <c r="C13" s="183"/>
      <c r="D13" s="183"/>
      <c r="K13" s="114"/>
      <c r="L13" s="115"/>
    </row>
    <row r="14" spans="1:12" ht="14.25" customHeight="1" x14ac:dyDescent="0.2">
      <c r="A14" s="183" t="str">
        <f>Patient_Info!N4</f>
        <v>FFPE</v>
      </c>
      <c r="B14" s="183"/>
      <c r="C14" s="183"/>
      <c r="D14" s="183"/>
      <c r="K14" s="114"/>
      <c r="L14" s="115"/>
    </row>
    <row r="15" spans="1:12" ht="13.5" customHeight="1" x14ac:dyDescent="0.2">
      <c r="A15" s="116" t="str">
        <f>IF(Patient_Info!A11="Invalid Study", "Comments", "")</f>
        <v/>
      </c>
      <c r="B15" s="117"/>
      <c r="C15" s="118"/>
      <c r="D15" s="117"/>
      <c r="K15" s="114"/>
      <c r="L15" s="119"/>
    </row>
    <row r="16" spans="1:12" ht="75" customHeight="1" x14ac:dyDescent="0.2">
      <c r="A16" s="180" t="str">
        <f>IF(Patient_Info!A11="Invalid Study", report_data!A5, "")</f>
        <v/>
      </c>
      <c r="B16" s="180"/>
      <c r="C16" s="180"/>
      <c r="D16" s="180"/>
      <c r="K16" s="114"/>
      <c r="L16" s="115"/>
    </row>
    <row r="17" spans="1:12" ht="5.25" customHeight="1" x14ac:dyDescent="0.2">
      <c r="K17" s="114"/>
      <c r="L17" s="120"/>
    </row>
    <row r="18" spans="1:12" s="91" customFormat="1" ht="27.75" customHeight="1" x14ac:dyDescent="0.2">
      <c r="A18" s="182"/>
      <c r="B18" s="182"/>
      <c r="C18" s="182"/>
      <c r="D18" s="182"/>
      <c r="E18" s="89"/>
      <c r="F18" s="89"/>
    </row>
    <row r="19" spans="1:12" ht="6" customHeight="1" x14ac:dyDescent="0.2">
      <c r="E19" s="94"/>
    </row>
    <row r="20" spans="1:12" ht="12" customHeight="1" x14ac:dyDescent="0.2">
      <c r="A20" s="121" t="s">
        <v>47</v>
      </c>
    </row>
    <row r="21" spans="1:12" ht="12.75" customHeight="1" x14ac:dyDescent="0.2">
      <c r="A21" s="182" t="s">
        <v>99</v>
      </c>
      <c r="B21" s="182"/>
      <c r="C21" s="182"/>
      <c r="D21" s="182"/>
    </row>
    <row r="22" spans="1:12" ht="12.75" customHeight="1" x14ac:dyDescent="0.2">
      <c r="A22" s="182"/>
      <c r="B22" s="182"/>
      <c r="C22" s="182"/>
      <c r="D22" s="182"/>
    </row>
    <row r="23" spans="1:12" ht="12.75" customHeight="1" x14ac:dyDescent="0.2">
      <c r="A23" s="182"/>
      <c r="B23" s="182"/>
      <c r="C23" s="182"/>
      <c r="D23" s="182"/>
    </row>
    <row r="24" spans="1:12" ht="14.25" customHeight="1" x14ac:dyDescent="0.2">
      <c r="A24" s="182"/>
      <c r="B24" s="182"/>
      <c r="C24" s="182"/>
      <c r="D24" s="182"/>
    </row>
    <row r="25" spans="1:12" ht="20.25" customHeight="1" x14ac:dyDescent="0.2">
      <c r="A25" s="105" t="str">
        <f>"____________________________________________"</f>
        <v>____________________________________________</v>
      </c>
      <c r="B25" s="105"/>
      <c r="C25" s="105" t="str">
        <f>"____________________________________________"</f>
        <v>____________________________________________</v>
      </c>
      <c r="D25" s="105"/>
    </row>
    <row r="26" spans="1:12" ht="33" customHeight="1" x14ac:dyDescent="0.2">
      <c r="A26" s="181" t="s">
        <v>106</v>
      </c>
      <c r="B26" s="181"/>
      <c r="C26" s="181" t="s">
        <v>50</v>
      </c>
      <c r="D26" s="181"/>
    </row>
    <row r="27" spans="1:12" x14ac:dyDescent="0.2">
      <c r="A27" s="122"/>
      <c r="B27" s="122"/>
    </row>
    <row r="29" spans="1:12" ht="12.75" customHeight="1" x14ac:dyDescent="0.2"/>
  </sheetData>
  <mergeCells count="9">
    <mergeCell ref="A12:D12"/>
    <mergeCell ref="A16:D16"/>
    <mergeCell ref="A26:B26"/>
    <mergeCell ref="C26:D26"/>
    <mergeCell ref="A21:D24"/>
    <mergeCell ref="A18:D18"/>
    <mergeCell ref="C13:D13"/>
    <mergeCell ref="A14:B14"/>
    <mergeCell ref="C14:D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ProsignaCoverPage">
                <anchor moveWithCells="1" sizeWithCells="1">
                  <from>
                    <xdr:col>5</xdr:col>
                    <xdr:colOff>0</xdr:colOff>
                    <xdr:row>2</xdr:row>
                    <xdr:rowOff>9525</xdr:rowOff>
                  </from>
                  <to>
                    <xdr:col>6</xdr:col>
                    <xdr:colOff>1343025</xdr:colOff>
                    <xdr:row>6</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3"/>
  <sheetViews>
    <sheetView workbookViewId="0">
      <selection activeCell="F38" sqref="F38"/>
    </sheetView>
  </sheetViews>
  <sheetFormatPr defaultRowHeight="15" x14ac:dyDescent="0.25"/>
  <cols>
    <col min="1" max="1" width="10.7109375" bestFit="1" customWidth="1"/>
  </cols>
  <sheetData>
    <row r="1" spans="1:1" x14ac:dyDescent="0.25">
      <c r="A1" t="s">
        <v>56</v>
      </c>
    </row>
    <row r="2" spans="1:1" x14ac:dyDescent="0.25">
      <c r="A2" t="s">
        <v>57</v>
      </c>
    </row>
    <row r="3" spans="1:1" x14ac:dyDescent="0.25">
      <c r="A3" s="2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2"/>
  <sheetViews>
    <sheetView workbookViewId="0">
      <selection sqref="A1:A2"/>
    </sheetView>
  </sheetViews>
  <sheetFormatPr defaultRowHeight="15" x14ac:dyDescent="0.25"/>
  <sheetData>
    <row r="1" spans="1:1" x14ac:dyDescent="0.25">
      <c r="A1" t="s">
        <v>52</v>
      </c>
    </row>
    <row r="2" spans="1:1" x14ac:dyDescent="0.25">
      <c r="A2" t="s">
        <v>51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A51"/>
  <sheetViews>
    <sheetView workbookViewId="0">
      <selection activeCell="F5" sqref="F5"/>
    </sheetView>
  </sheetViews>
  <sheetFormatPr defaultColWidth="8.7109375" defaultRowHeight="14.25" x14ac:dyDescent="0.2"/>
  <cols>
    <col min="1" max="1" width="81.42578125" style="69" customWidth="1"/>
    <col min="2" max="16384" width="8.7109375" style="69"/>
  </cols>
  <sheetData>
    <row r="2" spans="1:1" ht="53.25" customHeight="1" x14ac:dyDescent="0.25">
      <c r="A2" s="125" t="s">
        <v>64</v>
      </c>
    </row>
    <row r="3" spans="1:1" x14ac:dyDescent="0.2">
      <c r="A3" s="126" t="s">
        <v>65</v>
      </c>
    </row>
    <row r="4" spans="1:1" x14ac:dyDescent="0.2">
      <c r="A4" s="127" t="s">
        <v>100</v>
      </c>
    </row>
    <row r="5" spans="1:1" ht="51" x14ac:dyDescent="0.2">
      <c r="A5" s="128" t="s">
        <v>101</v>
      </c>
    </row>
    <row r="6" spans="1:1" x14ac:dyDescent="0.2">
      <c r="A6" s="93"/>
    </row>
    <row r="7" spans="1:1" x14ac:dyDescent="0.2">
      <c r="A7" s="93" t="s">
        <v>102</v>
      </c>
    </row>
    <row r="8" spans="1:1" x14ac:dyDescent="0.2">
      <c r="A8" s="129" t="s">
        <v>105</v>
      </c>
    </row>
    <row r="9" spans="1:1" x14ac:dyDescent="0.2">
      <c r="A9" s="130"/>
    </row>
    <row r="10" spans="1:1" x14ac:dyDescent="0.2">
      <c r="A10" s="93"/>
    </row>
    <row r="11" spans="1:1" ht="20.25" x14ac:dyDescent="0.3">
      <c r="A11" s="131" t="s">
        <v>89</v>
      </c>
    </row>
    <row r="12" spans="1:1" x14ac:dyDescent="0.2">
      <c r="A12" s="132" t="str">
        <f>IF(Patient_Info!AC8="","Enter at least one provider",CONCATENATE(Patient_Info!AC8,IF(Patient_Info!AC9="","",CONCATENATE("; ",Patient_Info!AC9,IF(Patient_Info!AC10="","",CONCATENATE("; ",Patient_Info!AC10,IF(Patient_Info!AC11="","",CONCATENATE("; ",Patient_Info!AC11,IF(Patient_Info!AC12="","",CONCATENATE("; ",Patient_Info!AC12))))))))))</f>
        <v>Dr. Maura O'Neil; Dr. Kamal Gupta; Dr. Zaid H Gheith; Dr. Eyad Reda; Dr. Chad M Cannon</v>
      </c>
    </row>
    <row r="13" spans="1:1" x14ac:dyDescent="0.2">
      <c r="A13" s="133"/>
    </row>
    <row r="14" spans="1:1" x14ac:dyDescent="0.2">
      <c r="A14" s="93"/>
    </row>
    <row r="15" spans="1:1" x14ac:dyDescent="0.2">
      <c r="A15" s="130"/>
    </row>
    <row r="16" spans="1:1" x14ac:dyDescent="0.2">
      <c r="A16" s="93"/>
    </row>
    <row r="17" spans="1:1" x14ac:dyDescent="0.2">
      <c r="A17" s="134"/>
    </row>
    <row r="18" spans="1:1" x14ac:dyDescent="0.2">
      <c r="A18" s="93"/>
    </row>
    <row r="19" spans="1:1" x14ac:dyDescent="0.2">
      <c r="A19" s="93"/>
    </row>
    <row r="21" spans="1:1" ht="18" x14ac:dyDescent="0.25">
      <c r="A21" s="125"/>
    </row>
    <row r="23" spans="1:1" x14ac:dyDescent="0.2">
      <c r="A23" s="130"/>
    </row>
    <row r="24" spans="1:1" x14ac:dyDescent="0.2">
      <c r="A24" s="129"/>
    </row>
    <row r="26" spans="1:1" x14ac:dyDescent="0.2">
      <c r="A26" s="130"/>
    </row>
    <row r="27" spans="1:1" s="129" customFormat="1" ht="12.75" x14ac:dyDescent="0.2"/>
    <row r="29" spans="1:1" x14ac:dyDescent="0.2">
      <c r="A29" s="130"/>
    </row>
    <row r="30" spans="1:1" ht="44.25" customHeight="1" x14ac:dyDescent="0.2">
      <c r="A30" s="129"/>
    </row>
    <row r="31" spans="1:1" x14ac:dyDescent="0.2">
      <c r="A31" s="93"/>
    </row>
    <row r="32" spans="1:1" x14ac:dyDescent="0.2">
      <c r="A32" s="93"/>
    </row>
    <row r="34" spans="1:1" x14ac:dyDescent="0.2">
      <c r="A34" s="130"/>
    </row>
    <row r="35" spans="1:1" x14ac:dyDescent="0.2">
      <c r="A35" s="93"/>
    </row>
    <row r="36" spans="1:1" x14ac:dyDescent="0.2">
      <c r="A36" s="129"/>
    </row>
    <row r="37" spans="1:1" x14ac:dyDescent="0.2">
      <c r="A37" s="93"/>
    </row>
    <row r="38" spans="1:1" x14ac:dyDescent="0.2">
      <c r="A38" s="93"/>
    </row>
    <row r="40" spans="1:1" ht="18" x14ac:dyDescent="0.25">
      <c r="A40" s="125"/>
    </row>
    <row r="42" spans="1:1" x14ac:dyDescent="0.2">
      <c r="A42" s="78"/>
    </row>
    <row r="43" spans="1:1" x14ac:dyDescent="0.2">
      <c r="A43" s="78"/>
    </row>
    <row r="44" spans="1:1" x14ac:dyDescent="0.2">
      <c r="A44" s="78"/>
    </row>
    <row r="45" spans="1:1" x14ac:dyDescent="0.2">
      <c r="A45" s="78"/>
    </row>
    <row r="46" spans="1:1" x14ac:dyDescent="0.2">
      <c r="A46" s="77"/>
    </row>
    <row r="47" spans="1:1" x14ac:dyDescent="0.2">
      <c r="A47" s="78"/>
    </row>
    <row r="48" spans="1:1" x14ac:dyDescent="0.2">
      <c r="A48" s="77"/>
    </row>
    <row r="49" spans="1:1" x14ac:dyDescent="0.2">
      <c r="A49" s="78"/>
    </row>
    <row r="50" spans="1:1" x14ac:dyDescent="0.2">
      <c r="A50" s="77"/>
    </row>
    <row r="51" spans="1:1" x14ac:dyDescent="0.2">
      <c r="A51" s="105"/>
    </row>
  </sheetData>
  <conditionalFormatting sqref="A12">
    <cfRule type="containsText" dxfId="1" priority="1" operator="containsText" text="1375222">
      <formula>NOT(ISERROR(SEARCH("1375222",A12)))</formula>
    </cfRule>
    <cfRule type="containsText" dxfId="0" priority="2" operator="containsText" text="1375222">
      <formula>NOT(ISERROR(SEARCH("1375222",A12)))</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2"/>
  <sheetViews>
    <sheetView workbookViewId="0">
      <selection activeCell="A2" sqref="A2"/>
    </sheetView>
  </sheetViews>
  <sheetFormatPr defaultRowHeight="15" x14ac:dyDescent="0.25"/>
  <cols>
    <col min="1" max="1" width="12.42578125" bestFit="1" customWidth="1"/>
  </cols>
  <sheetData>
    <row r="1" spans="1:1" x14ac:dyDescent="0.25">
      <c r="A1" t="s">
        <v>97</v>
      </c>
    </row>
    <row r="2" spans="1:1" x14ac:dyDescent="0.25">
      <c r="A2" t="s">
        <v>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Patient_Info</vt:lpstr>
      <vt:lpstr>Summary</vt:lpstr>
      <vt:lpstr>XML</vt:lpstr>
      <vt:lpstr>Data entry</vt:lpstr>
      <vt:lpstr>letter head zp</vt:lpstr>
      <vt:lpstr>Date</vt:lpstr>
      <vt:lpstr>yes_no</vt:lpstr>
      <vt:lpstr>report_data</vt:lpstr>
      <vt:lpstr>report_type</vt:lpstr>
      <vt:lpstr>'letter head zp'!_ENREF_2</vt:lpstr>
      <vt:lpstr>report_type</vt:lpstr>
      <vt:lpstr>ReportDate</vt:lpstr>
      <vt:lpstr>Today</vt:lpstr>
      <vt:lpstr>type</vt:lpstr>
      <vt:lpstr>type1</vt:lpstr>
      <vt:lpstr>yes_no</vt:lpstr>
    </vt:vector>
  </TitlesOfParts>
  <Company>The 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Stephen Hyter</cp:lastModifiedBy>
  <dcterms:created xsi:type="dcterms:W3CDTF">2014-03-20T20:30:53Z</dcterms:created>
  <dcterms:modified xsi:type="dcterms:W3CDTF">2021-01-07T20:15:28Z</dcterms:modified>
</cp:coreProperties>
</file>
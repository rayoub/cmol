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4.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DC05BD20-4804-7139-695A-D245BE01A294}"/>
  <workbookPr updateLinks="never" codeName="ThisWorkbook" defaultThemeVersion="124226"/>
  <mc:AlternateContent xmlns:mc="http://schemas.openxmlformats.org/markup-compatibility/2006">
    <mc:Choice Requires="x15">
      <x15ac:absPath xmlns:x15ac="http://schemas.microsoft.com/office/spreadsheetml/2010/11/ac" url="R:\CMOL\Assay Results\Clinical Data\NGS\Run Record Worksheets\in development\Run Record Worksheet 2025_CL\"/>
    </mc:Choice>
  </mc:AlternateContent>
  <xr:revisionPtr revIDLastSave="0" documentId="13_ncr:1_{DA155782-D648-47DD-86CF-D3D92FD39D80}" xr6:coauthVersionLast="47" xr6:coauthVersionMax="47" xr10:uidLastSave="{00000000-0000-0000-0000-000000000000}"/>
  <bookViews>
    <workbookView xWindow="-120" yWindow="-120" windowWidth="29040" windowHeight="17640" tabRatio="759" activeTab="3" xr2:uid="{00000000-000D-0000-FFFF-FFFF00000000}"/>
  </bookViews>
  <sheets>
    <sheet name="Instructions - NEW ASSAY" sheetId="7" r:id="rId1"/>
    <sheet name="Patient List" sheetId="1" r:id="rId2"/>
    <sheet name="NGS Run Record" sheetId="2" r:id="rId3"/>
    <sheet name="Tables" sheetId="64" r:id="rId4"/>
    <sheet name="Comp" sheetId="68" r:id="rId5"/>
    <sheet name="sheet1" sheetId="33" state="hidden" r:id="rId6"/>
    <sheet name="Debug" sheetId="5" state="hidden" r:id="rId7"/>
    <sheet name="Bookmarks List" sheetId="8" state="hidden" r:id="rId8"/>
    <sheet name="Sheet2" sheetId="9" state="hidden" r:id="rId9"/>
    <sheet name="Sample List" sheetId="13" state="hidden" r:id="rId10"/>
    <sheet name="bookmarks" sheetId="25" state="hidden" r:id="rId11"/>
    <sheet name="Version Change" sheetId="69" r:id="rId12"/>
    <sheet name="NGS-Comp" sheetId="67" r:id="rId13"/>
    <sheet name="NGS Common - B" sheetId="65" r:id="rId14"/>
    <sheet name="NGS Common - F" sheetId="66" r:id="rId15"/>
    <sheet name="NGS Heme" sheetId="62" r:id="rId16"/>
    <sheet name="0" sheetId="51" state="hidden" r:id="rId17"/>
  </sheets>
  <functionGroups builtInGroupCount="19"/>
  <externalReferences>
    <externalReference r:id="rId18"/>
    <externalReference r:id="rId19"/>
    <externalReference r:id="rId20"/>
    <externalReference r:id="rId21"/>
  </externalReferences>
  <definedNames>
    <definedName name="_xlnm._FilterDatabase" localSheetId="2" hidden="1">'NGS Run Record'!$J$38:$J$54</definedName>
    <definedName name="_xlnm._FilterDatabase" localSheetId="5" hidden="1">sheet1!$A$1:$I$37</definedName>
    <definedName name="AssayID">'NGS Run Record'!$C$27</definedName>
    <definedName name="AssayID1">bookmarks!$A$1</definedName>
    <definedName name="AssayID10">bookmarks!$A$10</definedName>
    <definedName name="AssayID11">bookmarks!$A$11</definedName>
    <definedName name="AssayID12">bookmarks!$A$12</definedName>
    <definedName name="AssayID13">bookmarks!$A$13</definedName>
    <definedName name="AssayID14">bookmarks!$A$14</definedName>
    <definedName name="AssayID15">bookmarks!$A$15</definedName>
    <definedName name="AssayID16">bookmarks!$A$16</definedName>
    <definedName name="AssayID17">bookmarks!$A$17</definedName>
    <definedName name="AssayID2">bookmarks!$A$2</definedName>
    <definedName name="AssayID3">bookmarks!$A$3</definedName>
    <definedName name="AssayID4">bookmarks!$A$4</definedName>
    <definedName name="AssayID5">bookmarks!$A$5</definedName>
    <definedName name="AssayID6">bookmarks!$A$6</definedName>
    <definedName name="AssayID7">bookmarks!$A$7</definedName>
    <definedName name="AssayID8">bookmarks!$A$8</definedName>
    <definedName name="AssayID9">bookmarks!$A$9</definedName>
    <definedName name="DocName">'NGS Run Record'!$Q$9</definedName>
    <definedName name="FFPEQC_AssayID">#REF!</definedName>
    <definedName name="FFPEQC_DocName">#REF!</definedName>
    <definedName name="FFPEQC_RunDate">#REF!</definedName>
    <definedName name="FFPEQC_SavePath">#REF!</definedName>
    <definedName name="FFPEQC_Technician">#REF!</definedName>
    <definedName name="ID">[1]Sheet1!$A$1:$A$8</definedName>
    <definedName name="insert1">Tables!$AK$176</definedName>
    <definedName name="insert10">#REF!</definedName>
    <definedName name="insert100">'NGS Run Record'!$F$79</definedName>
    <definedName name="insert101">#REF!</definedName>
    <definedName name="insert102">#REF!</definedName>
    <definedName name="insert103">#REF!</definedName>
    <definedName name="insert104">#REF!</definedName>
    <definedName name="insert105">#REF!</definedName>
    <definedName name="insert106">#REF!</definedName>
    <definedName name="insert11">#REF!</definedName>
    <definedName name="insert110">#REF!</definedName>
    <definedName name="insert111">#REF!</definedName>
    <definedName name="insert112">#REF!</definedName>
    <definedName name="insert113">#REF!</definedName>
    <definedName name="insert114">#REF!</definedName>
    <definedName name="insert12">#REF!</definedName>
    <definedName name="insert120">#REF!</definedName>
    <definedName name="insert121">#REF!</definedName>
    <definedName name="insert122">#REF!</definedName>
    <definedName name="insert123">#REF!</definedName>
    <definedName name="insert124">#REF!</definedName>
    <definedName name="insert125">#REF!</definedName>
    <definedName name="insert126">#REF!</definedName>
    <definedName name="insert127">#REF!</definedName>
    <definedName name="insert128">#REF!</definedName>
    <definedName name="insert129">#REF!</definedName>
    <definedName name="insert13">#REF!</definedName>
    <definedName name="insert130">#REF!</definedName>
    <definedName name="insert131">#REF!</definedName>
    <definedName name="insert132">#REF!</definedName>
    <definedName name="insert133">#REF!</definedName>
    <definedName name="insert134">#REF!</definedName>
    <definedName name="insert135">#REF!</definedName>
    <definedName name="insert136">#REF!</definedName>
    <definedName name="insert137">#REF!</definedName>
    <definedName name="insert138">#REF!</definedName>
    <definedName name="insert139">#REF!</definedName>
    <definedName name="insert14">#REF!</definedName>
    <definedName name="insert140">#REF!</definedName>
    <definedName name="insert141">#REF!</definedName>
    <definedName name="insert142">#REF!</definedName>
    <definedName name="insert143">#REF!</definedName>
    <definedName name="insert144">#REF!</definedName>
    <definedName name="insert145">#REF!</definedName>
    <definedName name="insert146">#REF!</definedName>
    <definedName name="insert147">#REF!</definedName>
    <definedName name="insert148">#REF!</definedName>
    <definedName name="insert149">#REF!</definedName>
    <definedName name="insert15">Tables!$AK$186</definedName>
    <definedName name="insert150">#REF!</definedName>
    <definedName name="insert151">#REF!</definedName>
    <definedName name="insert152">#REF!</definedName>
    <definedName name="insert153">#REF!</definedName>
    <definedName name="insert154">#REF!</definedName>
    <definedName name="insert155">#REF!</definedName>
    <definedName name="insert156">#REF!</definedName>
    <definedName name="insert157">#REF!</definedName>
    <definedName name="insert158">#REF!</definedName>
    <definedName name="insert159">#REF!</definedName>
    <definedName name="insert16">Tables!$AK$187</definedName>
    <definedName name="insert160">#REF!</definedName>
    <definedName name="insert161">#REF!</definedName>
    <definedName name="insert162">#REF!</definedName>
    <definedName name="insert163">#REF!</definedName>
    <definedName name="insert164">#REF!</definedName>
    <definedName name="insert165">#REF!</definedName>
    <definedName name="insert166">#REF!</definedName>
    <definedName name="insert167">#REF!</definedName>
    <definedName name="insert168">#REF!</definedName>
    <definedName name="insert169">#REF!</definedName>
    <definedName name="insert17">Tables!$AK$188</definedName>
    <definedName name="insert170">#REF!</definedName>
    <definedName name="insert171">#REF!</definedName>
    <definedName name="insert172">#REF!</definedName>
    <definedName name="insert173">#REF!</definedName>
    <definedName name="insert174">#REF!</definedName>
    <definedName name="insert175">#REF!</definedName>
    <definedName name="insert176">#REF!</definedName>
    <definedName name="insert177">#REF!</definedName>
    <definedName name="insert178">#REF!</definedName>
    <definedName name="insert179">#REF!</definedName>
    <definedName name="insert18">Tables!$AK$189</definedName>
    <definedName name="insert180">#REF!</definedName>
    <definedName name="insert180.">#REF!</definedName>
    <definedName name="insert181">#REF!</definedName>
    <definedName name="insert182">#REF!</definedName>
    <definedName name="insert183">#REF!</definedName>
    <definedName name="insert184">#REF!</definedName>
    <definedName name="insert185">#REF!</definedName>
    <definedName name="insert186">#REF!</definedName>
    <definedName name="insert187">#REF!</definedName>
    <definedName name="insert188">#REF!</definedName>
    <definedName name="insert189">#REF!</definedName>
    <definedName name="insert19">Tables!$AL$187</definedName>
    <definedName name="insert190">#REF!</definedName>
    <definedName name="insert191">#REF!</definedName>
    <definedName name="insert192">#REF!</definedName>
    <definedName name="insert193">#REF!</definedName>
    <definedName name="insert194">#REF!</definedName>
    <definedName name="insert195">#REF!</definedName>
    <definedName name="insert196">#REF!</definedName>
    <definedName name="insert197">#REF!</definedName>
    <definedName name="insert198">#REF!</definedName>
    <definedName name="insert199">#REF!</definedName>
    <definedName name="insert2">Tables!$AK$177</definedName>
    <definedName name="insert20">Tables!$AL$188</definedName>
    <definedName name="insert200">#REF!</definedName>
    <definedName name="insert201">#REF!</definedName>
    <definedName name="insert21">Tables!$AL$189</definedName>
    <definedName name="insert22">Tables!$AI$191</definedName>
    <definedName name="insert23">Tables!$AI$192</definedName>
    <definedName name="insert24">Tables!$AI$193</definedName>
    <definedName name="insert25">Tables!$AJ$197</definedName>
    <definedName name="insert26">Tables!$AJ$198</definedName>
    <definedName name="insert27">Tables!$AK$198</definedName>
    <definedName name="insert28">Tables!$AK$197</definedName>
    <definedName name="insert29">Tables!$AL$197</definedName>
    <definedName name="insert3">Tables!$AK$178</definedName>
    <definedName name="insert30">Tables!$AL$198</definedName>
    <definedName name="insert301">#REF!</definedName>
    <definedName name="insert302">#REF!</definedName>
    <definedName name="insert303">#REF!</definedName>
    <definedName name="insert304">#REF!</definedName>
    <definedName name="insert305">#REF!</definedName>
    <definedName name="insert306">#REF!</definedName>
    <definedName name="insert307">#REF!</definedName>
    <definedName name="insert308">#REF!</definedName>
    <definedName name="insert4">Tables!$AK$180</definedName>
    <definedName name="insert40">Tables!$AK$179</definedName>
    <definedName name="insert41">Tables!$AL$179</definedName>
    <definedName name="insert42">Tables!$AI$183</definedName>
    <definedName name="insert5">Tables!$AL$177</definedName>
    <definedName name="insert50">Tables!$AY$178</definedName>
    <definedName name="insert51">Tables!$AY$179</definedName>
    <definedName name="insert52">Tables!$AY$180</definedName>
    <definedName name="insert53">Tables!$AY$181</definedName>
    <definedName name="insert54">Tables!$AZ$178</definedName>
    <definedName name="insert55">Tables!$AZ$179</definedName>
    <definedName name="insert56">Tables!$AZ$180</definedName>
    <definedName name="insert57">Tables!$AZ$181</definedName>
    <definedName name="insert58">Tables!$AV$184</definedName>
    <definedName name="insert59">Tables!$AV$185</definedName>
    <definedName name="insert6">Tables!$AL$178</definedName>
    <definedName name="insert60">Tables!$AV$186</definedName>
    <definedName name="insert61">Tables!$AV$187</definedName>
    <definedName name="insert62">Tables!$AY$191</definedName>
    <definedName name="insert63">Tables!$AY$192</definedName>
    <definedName name="insert64">Tables!$AY$193</definedName>
    <definedName name="insert65">Tables!$AY$194</definedName>
    <definedName name="insert66">Tables!$AZ$191</definedName>
    <definedName name="insert67">Tables!$AZ$192</definedName>
    <definedName name="insert68">Tables!$AZ$193</definedName>
    <definedName name="insert69">Tables!$AZ$194</definedName>
    <definedName name="insert7">Tables!$AL$180</definedName>
    <definedName name="insert70">Tables!$AV$197</definedName>
    <definedName name="insert71">Tables!$AV$198</definedName>
    <definedName name="insert72">Tables!$AV$199</definedName>
    <definedName name="insert73">Tables!$AV$200</definedName>
    <definedName name="insert8">Tables!$AI$181</definedName>
    <definedName name="insert9">Tables!$AI$182</definedName>
    <definedName name="insert911">#REF!</definedName>
    <definedName name="LPC">'NGS Run Record'!#REF!</definedName>
    <definedName name="LPC_1">'NGS Run Record'!#REF!</definedName>
    <definedName name="marker">Tables!$DF$35</definedName>
    <definedName name="marker2">Tables!$DF$46</definedName>
    <definedName name="marker3">Tables!$DF$59</definedName>
    <definedName name="PhysFirstName">[2]!Providers[First Name]</definedName>
    <definedName name="PhysLastName">[2]!Providers[Last Name]</definedName>
    <definedName name="rPhysFirstName_DNA">OFFSET(OFFSET(PhysFirstName,0,0,1,1),MATCH('[2]DNA Receipt Log-MASTER'!XFD1, PhysLastName, 0)-1,0,COUNTIF(PhysLastName,'[2]DNA Receipt Log-MASTER'!XFD1))</definedName>
    <definedName name="rPhysLastName">OFFSET(PhysLastName, 0,0,COUNTA(PhysLastName),1)</definedName>
    <definedName name="RunDate">'NGS Run Record'!$C$4</definedName>
    <definedName name="SampleList">[3]!Samples[#All]</definedName>
    <definedName name="SavePath" localSheetId="2">'NGS Run Record'!$C$12</definedName>
    <definedName name="subID">[3]Sheet3!$A$2:$A$8</definedName>
    <definedName name="Table1">#REF!</definedName>
    <definedName name="Table1a">#REF!</definedName>
    <definedName name="TECH">[1]Sheet1!$B$1:$B$8</definedName>
    <definedName name="Technician">'NGS Run Record'!$E$4</definedName>
    <definedName name="TemplateFile" localSheetId="2">'NGS Run Record'!$C$9</definedName>
    <definedName name="water1">Tables!$BD$192</definedName>
    <definedName name="water2">Tables!$BE$192</definedName>
    <definedName name="water3">Tables!$BF$192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0" i="62" l="1"/>
  <c r="A10" i="62"/>
  <c r="I9" i="62"/>
  <c r="A9" i="62"/>
  <c r="I8" i="62"/>
  <c r="A8" i="62"/>
  <c r="I7" i="62"/>
  <c r="A7" i="62"/>
  <c r="I6" i="62"/>
  <c r="A6" i="62"/>
  <c r="I5" i="62"/>
  <c r="A5" i="62"/>
  <c r="I4" i="62"/>
  <c r="A4" i="62"/>
  <c r="I3" i="62"/>
  <c r="A3" i="62"/>
  <c r="I2" i="62"/>
  <c r="A2" i="62"/>
  <c r="I1" i="62"/>
  <c r="H1" i="62"/>
  <c r="G1" i="62"/>
  <c r="F1" i="62"/>
  <c r="E1" i="62"/>
  <c r="D1" i="62"/>
  <c r="C1" i="62"/>
  <c r="B1" i="62"/>
  <c r="A1" i="62"/>
  <c r="Z133" i="64"/>
  <c r="AA133" i="64"/>
  <c r="AB133" i="64"/>
  <c r="AC133" i="64"/>
  <c r="AD133" i="64"/>
  <c r="AE133" i="64"/>
  <c r="D98" i="64"/>
  <c r="D127" i="64"/>
  <c r="D128" i="64"/>
  <c r="D129" i="64"/>
  <c r="D130" i="64"/>
  <c r="D131" i="64"/>
  <c r="D132" i="64"/>
  <c r="D133" i="64"/>
  <c r="D134" i="64"/>
  <c r="D135" i="64"/>
  <c r="D136" i="64"/>
  <c r="D137" i="64"/>
  <c r="D138" i="64"/>
  <c r="D139" i="64"/>
  <c r="D140" i="64"/>
  <c r="D141" i="64"/>
  <c r="D142" i="64"/>
  <c r="D143" i="64"/>
  <c r="D144" i="64"/>
  <c r="D145" i="64"/>
  <c r="D146" i="64"/>
  <c r="D147" i="64"/>
  <c r="D148" i="64"/>
  <c r="D149" i="64"/>
  <c r="D126" i="64"/>
  <c r="D97" i="64"/>
  <c r="D105" i="64"/>
  <c r="D106" i="64"/>
  <c r="D107" i="64"/>
  <c r="D108" i="64"/>
  <c r="D109" i="64"/>
  <c r="D110" i="64"/>
  <c r="D111" i="64"/>
  <c r="D112" i="64"/>
  <c r="D113" i="64"/>
  <c r="D114" i="64"/>
  <c r="D115" i="64"/>
  <c r="D116" i="64"/>
  <c r="D117" i="64"/>
  <c r="D118" i="64"/>
  <c r="D119" i="64"/>
  <c r="D120" i="64"/>
  <c r="D99" i="64"/>
  <c r="D100" i="64"/>
  <c r="D101" i="64"/>
  <c r="D102" i="64"/>
  <c r="D103" i="64"/>
  <c r="D104" i="64"/>
  <c r="C41" i="2"/>
  <c r="C2" i="62" s="1"/>
  <c r="C5" i="64" l="1"/>
  <c r="AA150" i="64"/>
  <c r="AE116" i="64"/>
  <c r="AE150" i="64" s="1"/>
  <c r="AD116" i="64"/>
  <c r="AD150" i="64" s="1"/>
  <c r="AC116" i="64"/>
  <c r="AC150" i="64" s="1"/>
  <c r="AB116" i="64"/>
  <c r="AB150" i="64" s="1"/>
  <c r="AA116" i="64"/>
  <c r="Z116" i="64"/>
  <c r="Z150" i="64" s="1"/>
  <c r="Y116" i="64"/>
  <c r="Y150" i="64" s="1"/>
  <c r="X116" i="64"/>
  <c r="X150" i="64" s="1"/>
  <c r="W116" i="64"/>
  <c r="W150" i="64" s="1"/>
  <c r="V116" i="64"/>
  <c r="V150" i="64" s="1"/>
  <c r="U116" i="64"/>
  <c r="U150" i="64" s="1"/>
  <c r="T116" i="64"/>
  <c r="T150" i="64" s="1"/>
  <c r="O56" i="64"/>
  <c r="H56" i="64"/>
  <c r="C56" i="64"/>
  <c r="D56" i="64" s="1"/>
  <c r="T115" i="64"/>
  <c r="T149" i="64" s="1"/>
  <c r="AE103" i="64"/>
  <c r="AE147" i="64" s="1"/>
  <c r="T89" i="64"/>
  <c r="T134" i="64" s="1"/>
  <c r="W213" i="64"/>
  <c r="V213" i="64"/>
  <c r="T225" i="64"/>
  <c r="F56" i="64" l="1"/>
  <c r="E56" i="64"/>
  <c r="G56" i="64"/>
  <c r="I56" i="64"/>
  <c r="K56" i="64" l="1"/>
  <c r="N56" i="64"/>
  <c r="M56" i="64"/>
  <c r="L56" i="64"/>
  <c r="I18" i="62"/>
  <c r="A18" i="62"/>
  <c r="I17" i="62"/>
  <c r="A17" i="62"/>
  <c r="I16" i="62"/>
  <c r="A16" i="62"/>
  <c r="I15" i="62"/>
  <c r="A15" i="62"/>
  <c r="I14" i="62"/>
  <c r="A14" i="62"/>
  <c r="I13" i="62"/>
  <c r="A13" i="62"/>
  <c r="I12" i="62"/>
  <c r="A12" i="62"/>
  <c r="I11" i="62"/>
  <c r="A11" i="62"/>
  <c r="C27" i="64"/>
  <c r="C24" i="64"/>
  <c r="C25" i="64"/>
  <c r="C26" i="64"/>
  <c r="I2" i="67"/>
  <c r="A2" i="67"/>
  <c r="I1" i="67"/>
  <c r="H1" i="67"/>
  <c r="G1" i="67"/>
  <c r="F1" i="67"/>
  <c r="E1" i="67"/>
  <c r="D1" i="67"/>
  <c r="C1" i="67"/>
  <c r="B1" i="67"/>
  <c r="A1" i="67"/>
  <c r="D47" i="2"/>
  <c r="D8" i="62" s="1"/>
  <c r="D48" i="2"/>
  <c r="D9" i="62" s="1"/>
  <c r="D49" i="2"/>
  <c r="D10" i="62" s="1"/>
  <c r="D50" i="2"/>
  <c r="D11" i="62" s="1"/>
  <c r="D51" i="2"/>
  <c r="D12" i="62" s="1"/>
  <c r="D52" i="2"/>
  <c r="D13" i="62" s="1"/>
  <c r="D53" i="2"/>
  <c r="D14" i="62" s="1"/>
  <c r="D54" i="2"/>
  <c r="D15" i="62" s="1"/>
  <c r="D55" i="2"/>
  <c r="D16" i="62" s="1"/>
  <c r="D56" i="2"/>
  <c r="D17" i="62" s="1"/>
  <c r="D57" i="2"/>
  <c r="D18" i="62" s="1"/>
  <c r="D58" i="2"/>
  <c r="D59" i="2"/>
  <c r="D60" i="2"/>
  <c r="D61" i="2"/>
  <c r="D62" i="2"/>
  <c r="D63" i="2"/>
  <c r="D64" i="2"/>
  <c r="D65" i="2"/>
  <c r="D66" i="2"/>
  <c r="D67" i="2"/>
  <c r="D68" i="2"/>
  <c r="D69" i="2"/>
  <c r="D70" i="2"/>
  <c r="D71" i="2"/>
  <c r="D72" i="2"/>
  <c r="D73" i="2"/>
  <c r="D74" i="2"/>
  <c r="D75" i="2"/>
  <c r="D76" i="2"/>
  <c r="A34" i="33"/>
  <c r="I34" i="33"/>
  <c r="A35" i="33"/>
  <c r="I35" i="33"/>
  <c r="A36" i="33"/>
  <c r="I36" i="33"/>
  <c r="A37" i="33"/>
  <c r="I37" i="33"/>
  <c r="A33" i="33"/>
  <c r="I33" i="33"/>
  <c r="A3" i="33"/>
  <c r="I3" i="33"/>
  <c r="A4" i="33"/>
  <c r="I4" i="33"/>
  <c r="A5" i="33"/>
  <c r="I5" i="33"/>
  <c r="A6" i="33"/>
  <c r="I6" i="33"/>
  <c r="A7" i="33"/>
  <c r="I7" i="33"/>
  <c r="A8" i="33"/>
  <c r="I8" i="33"/>
  <c r="A9" i="33"/>
  <c r="I9" i="33"/>
  <c r="A10" i="33"/>
  <c r="I10" i="33"/>
  <c r="A11" i="33"/>
  <c r="I11" i="33"/>
  <c r="A12" i="33"/>
  <c r="I12" i="33"/>
  <c r="A13" i="33"/>
  <c r="I13" i="33"/>
  <c r="A14" i="33"/>
  <c r="I14" i="33"/>
  <c r="A15" i="33"/>
  <c r="I15" i="33"/>
  <c r="A16" i="33"/>
  <c r="I16" i="33"/>
  <c r="A17" i="33"/>
  <c r="I17" i="33"/>
  <c r="A18" i="33"/>
  <c r="I18" i="33"/>
  <c r="A19" i="33"/>
  <c r="I19" i="33"/>
  <c r="A20" i="33"/>
  <c r="I20" i="33"/>
  <c r="A21" i="33"/>
  <c r="I21" i="33"/>
  <c r="A22" i="33"/>
  <c r="I22" i="33"/>
  <c r="A23" i="33"/>
  <c r="I23" i="33"/>
  <c r="A24" i="33"/>
  <c r="I24" i="33"/>
  <c r="A25" i="33"/>
  <c r="I25" i="33"/>
  <c r="A26" i="33"/>
  <c r="I26" i="33"/>
  <c r="A27" i="33"/>
  <c r="I27" i="33"/>
  <c r="A28" i="33"/>
  <c r="I28" i="33"/>
  <c r="A29" i="33"/>
  <c r="I29" i="33"/>
  <c r="A30" i="33"/>
  <c r="I30" i="33"/>
  <c r="A31" i="33"/>
  <c r="I31" i="33"/>
  <c r="A32" i="33"/>
  <c r="I32" i="33"/>
  <c r="G24" i="64" l="1"/>
  <c r="AA217" i="64"/>
  <c r="AB90" i="64"/>
  <c r="AB135" i="64" s="1"/>
  <c r="Z217" i="64"/>
  <c r="G25" i="64"/>
  <c r="Z218" i="64"/>
  <c r="AA218" i="64"/>
  <c r="AC90" i="64"/>
  <c r="AC135" i="64" s="1"/>
  <c r="F27" i="64"/>
  <c r="AE90" i="64"/>
  <c r="AE135" i="64" s="1"/>
  <c r="AA220" i="64"/>
  <c r="Z220" i="64"/>
  <c r="G26" i="64"/>
  <c r="Z219" i="64"/>
  <c r="AD90" i="64"/>
  <c r="AD135" i="64" s="1"/>
  <c r="AA219" i="64"/>
  <c r="D25" i="64"/>
  <c r="E27" i="64"/>
  <c r="D27" i="64"/>
  <c r="E24" i="64"/>
  <c r="D24" i="64"/>
  <c r="H25" i="64"/>
  <c r="F25" i="64"/>
  <c r="E25" i="64"/>
  <c r="O25" i="64"/>
  <c r="H26" i="64"/>
  <c r="F26" i="64"/>
  <c r="I24" i="64"/>
  <c r="H27" i="64"/>
  <c r="E26" i="64"/>
  <c r="H24" i="64"/>
  <c r="G27" i="64"/>
  <c r="I26" i="64"/>
  <c r="I27" i="64"/>
  <c r="O26" i="64"/>
  <c r="O27" i="64"/>
  <c r="D26" i="64"/>
  <c r="I25" i="64"/>
  <c r="O24" i="64"/>
  <c r="F24" i="64"/>
  <c r="D34" i="33"/>
  <c r="D35" i="33"/>
  <c r="D36" i="33"/>
  <c r="D37" i="33"/>
  <c r="D19" i="33"/>
  <c r="D20" i="33"/>
  <c r="D21" i="33"/>
  <c r="D23" i="33"/>
  <c r="D24" i="33"/>
  <c r="D25" i="33"/>
  <c r="D26" i="33"/>
  <c r="D27" i="33"/>
  <c r="D28" i="33"/>
  <c r="D29" i="33"/>
  <c r="D30" i="33"/>
  <c r="D31" i="33"/>
  <c r="D32" i="33"/>
  <c r="D33" i="33"/>
  <c r="T102" i="64"/>
  <c r="T146" i="64" s="1"/>
  <c r="E91" i="2"/>
  <c r="G91" i="2" s="1"/>
  <c r="E90" i="2"/>
  <c r="P51" i="68"/>
  <c r="P65" i="68" s="1"/>
  <c r="P75" i="68" s="1"/>
  <c r="P87" i="68" s="1"/>
  <c r="P41" i="68"/>
  <c r="B21" i="68"/>
  <c r="A21" i="68"/>
  <c r="G21" i="68" s="1"/>
  <c r="B20" i="68"/>
  <c r="A20" i="68"/>
  <c r="G20" i="68" s="1"/>
  <c r="D42" i="2"/>
  <c r="D3" i="62" s="1"/>
  <c r="D43" i="2"/>
  <c r="D4" i="62" s="1"/>
  <c r="D44" i="2"/>
  <c r="D5" i="62" s="1"/>
  <c r="D45" i="2"/>
  <c r="D6" i="62" s="1"/>
  <c r="D46" i="2"/>
  <c r="D7" i="62" s="1"/>
  <c r="D8" i="33"/>
  <c r="D10" i="33"/>
  <c r="D11" i="33"/>
  <c r="D12" i="33"/>
  <c r="D13" i="33"/>
  <c r="D14" i="33"/>
  <c r="D15" i="33"/>
  <c r="D16" i="33"/>
  <c r="D17" i="33"/>
  <c r="D18" i="33"/>
  <c r="D41" i="2"/>
  <c r="D2" i="62" s="1"/>
  <c r="G41" i="2"/>
  <c r="G2" i="62" s="1"/>
  <c r="E41" i="2"/>
  <c r="E2" i="62" s="1"/>
  <c r="B41" i="2"/>
  <c r="B2" i="62" s="1"/>
  <c r="C72" i="64"/>
  <c r="AC115" i="64" s="1"/>
  <c r="AC149" i="64" s="1"/>
  <c r="C71" i="64"/>
  <c r="AB115" i="64" s="1"/>
  <c r="AB149" i="64" s="1"/>
  <c r="C70" i="64"/>
  <c r="C69" i="64"/>
  <c r="C64" i="64"/>
  <c r="U115" i="64" s="1"/>
  <c r="U149" i="64" s="1"/>
  <c r="E88" i="2"/>
  <c r="G88" i="2" s="1"/>
  <c r="E89" i="2"/>
  <c r="J89" i="2" s="1"/>
  <c r="I15" i="2"/>
  <c r="AJ180" i="64"/>
  <c r="C73" i="64"/>
  <c r="C74" i="64"/>
  <c r="AE115" i="64" s="1"/>
  <c r="AE149" i="64" s="1"/>
  <c r="C49" i="64"/>
  <c r="C50" i="64"/>
  <c r="C51" i="64"/>
  <c r="Z103" i="64" s="1"/>
  <c r="Z147" i="64" s="1"/>
  <c r="C52" i="64"/>
  <c r="AA103" i="64" s="1"/>
  <c r="AA147" i="64" s="1"/>
  <c r="C53" i="64"/>
  <c r="AB103" i="64" s="1"/>
  <c r="AB147" i="64" s="1"/>
  <c r="C54" i="64"/>
  <c r="AC103" i="64" s="1"/>
  <c r="AC147" i="64" s="1"/>
  <c r="C55" i="64"/>
  <c r="AJ190" i="64"/>
  <c r="P38" i="2"/>
  <c r="Q9" i="2"/>
  <c r="C27" i="2"/>
  <c r="A1" i="25" s="1"/>
  <c r="A2" i="25" s="1"/>
  <c r="A3" i="25" s="1"/>
  <c r="A4" i="25" s="1"/>
  <c r="A5" i="25" s="1"/>
  <c r="A6" i="25" s="1"/>
  <c r="A7" i="25" s="1"/>
  <c r="A8" i="25" s="1"/>
  <c r="A9" i="25" s="1"/>
  <c r="A10" i="25" s="1"/>
  <c r="A11" i="25" s="1"/>
  <c r="A12" i="25" s="1"/>
  <c r="A13" i="25" s="1"/>
  <c r="A14" i="25" s="1"/>
  <c r="A15" i="25" s="1"/>
  <c r="A16" i="25" s="1"/>
  <c r="A17" i="25" s="1"/>
  <c r="A2" i="33"/>
  <c r="B1" i="33"/>
  <c r="C1" i="33"/>
  <c r="D1" i="33"/>
  <c r="E1" i="33"/>
  <c r="F1" i="33"/>
  <c r="G1" i="33"/>
  <c r="H1" i="33"/>
  <c r="I1" i="33"/>
  <c r="A1" i="33"/>
  <c r="I2" i="33"/>
  <c r="G25" i="13"/>
  <c r="G24" i="13"/>
  <c r="G14" i="13"/>
  <c r="A21" i="13"/>
  <c r="H21" i="13" s="1"/>
  <c r="G8" i="13"/>
  <c r="G7" i="13"/>
  <c r="G23" i="13"/>
  <c r="G6" i="13"/>
  <c r="E23" i="13"/>
  <c r="B25" i="13"/>
  <c r="C17" i="13"/>
  <c r="D25" i="13"/>
  <c r="E17" i="13"/>
  <c r="F25" i="13"/>
  <c r="C19" i="13"/>
  <c r="B20" i="13"/>
  <c r="D20" i="13"/>
  <c r="F20" i="13"/>
  <c r="C15" i="13"/>
  <c r="E19" i="13"/>
  <c r="C18" i="13"/>
  <c r="E18" i="13"/>
  <c r="G13" i="13"/>
  <c r="G11" i="13"/>
  <c r="G9" i="13"/>
  <c r="A17" i="13"/>
  <c r="H17" i="13" s="1"/>
  <c r="G17" i="13"/>
  <c r="G16" i="13"/>
  <c r="A20" i="13"/>
  <c r="H20" i="13" s="1"/>
  <c r="A23" i="13"/>
  <c r="H23" i="13" s="1"/>
  <c r="G19" i="13"/>
  <c r="G2" i="13"/>
  <c r="C23" i="13"/>
  <c r="B21" i="13"/>
  <c r="D21" i="13"/>
  <c r="F21" i="13"/>
  <c r="F23" i="13"/>
  <c r="B16" i="13"/>
  <c r="C24" i="13"/>
  <c r="D16" i="13"/>
  <c r="E24" i="13"/>
  <c r="F16" i="13"/>
  <c r="D23" i="13"/>
  <c r="E15" i="13"/>
  <c r="B22" i="13"/>
  <c r="D22" i="13"/>
  <c r="F22" i="13"/>
  <c r="G12" i="13"/>
  <c r="A24" i="13"/>
  <c r="H24" i="13" s="1"/>
  <c r="G22" i="13"/>
  <c r="G5" i="13"/>
  <c r="G4" i="13"/>
  <c r="A19" i="13"/>
  <c r="H19" i="13" s="1"/>
  <c r="G15" i="13"/>
  <c r="A22" i="13"/>
  <c r="H22" i="13" s="1"/>
  <c r="F19" i="13"/>
  <c r="B17" i="13"/>
  <c r="C25" i="13"/>
  <c r="D17" i="13"/>
  <c r="E25" i="13"/>
  <c r="F17" i="13"/>
  <c r="B23" i="13"/>
  <c r="C20" i="13"/>
  <c r="E20" i="13"/>
  <c r="B19" i="13"/>
  <c r="D19" i="13"/>
  <c r="B18" i="13"/>
  <c r="D18" i="13"/>
  <c r="F18" i="13"/>
  <c r="G3" i="13"/>
  <c r="A15" i="13"/>
  <c r="H15" i="13" s="1"/>
  <c r="G18" i="13"/>
  <c r="A25" i="13"/>
  <c r="H25" i="13" s="1"/>
  <c r="A16" i="13"/>
  <c r="H16" i="13" s="1"/>
  <c r="G21" i="13"/>
  <c r="G20" i="13"/>
  <c r="G10" i="13"/>
  <c r="A18" i="13"/>
  <c r="H18" i="13" s="1"/>
  <c r="B15" i="13"/>
  <c r="D15" i="13"/>
  <c r="C21" i="13"/>
  <c r="E21" i="13"/>
  <c r="B24" i="13"/>
  <c r="C16" i="13"/>
  <c r="D24" i="13"/>
  <c r="E16" i="13"/>
  <c r="F24" i="13"/>
  <c r="F15" i="13"/>
  <c r="C22" i="13"/>
  <c r="E22" i="13"/>
  <c r="C80" i="2"/>
  <c r="C79" i="2"/>
  <c r="C34" i="64"/>
  <c r="U102" i="64" s="1"/>
  <c r="U146" i="64" s="1"/>
  <c r="C13" i="13"/>
  <c r="C12" i="13"/>
  <c r="C22" i="64"/>
  <c r="A16" i="68"/>
  <c r="B13" i="68"/>
  <c r="A13" i="68"/>
  <c r="G13" i="68" s="1"/>
  <c r="B10" i="68"/>
  <c r="A9" i="68"/>
  <c r="G9" i="68" s="1"/>
  <c r="B19" i="68"/>
  <c r="B9" i="68"/>
  <c r="B16" i="68"/>
  <c r="A19" i="68"/>
  <c r="G19" i="68" s="1"/>
  <c r="A10" i="68"/>
  <c r="G10" i="68" s="1"/>
  <c r="B11" i="68"/>
  <c r="A14" i="68"/>
  <c r="G14" i="68" s="1"/>
  <c r="B12" i="68"/>
  <c r="B17" i="68"/>
  <c r="B14" i="68"/>
  <c r="A12" i="68"/>
  <c r="G12" i="68" s="1"/>
  <c r="B15" i="68"/>
  <c r="B18" i="68"/>
  <c r="A11" i="68"/>
  <c r="G11" i="68" s="1"/>
  <c r="C48" i="64"/>
  <c r="W103" i="64" s="1"/>
  <c r="W147" i="64" s="1"/>
  <c r="A17" i="68"/>
  <c r="C46" i="64"/>
  <c r="U103" i="64" s="1"/>
  <c r="U147" i="64" s="1"/>
  <c r="A15" i="68"/>
  <c r="A18" i="68"/>
  <c r="G18" i="68" s="1"/>
  <c r="C45" i="64"/>
  <c r="T103" i="64" s="1"/>
  <c r="T147" i="64" s="1"/>
  <c r="C47" i="64"/>
  <c r="V103" i="64" s="1"/>
  <c r="V147" i="64" s="1"/>
  <c r="C68" i="64"/>
  <c r="Y115" i="64" s="1"/>
  <c r="Y149" i="64" s="1"/>
  <c r="C65" i="64"/>
  <c r="V115" i="64" s="1"/>
  <c r="V149" i="64" s="1"/>
  <c r="C67" i="64"/>
  <c r="C66" i="64"/>
  <c r="C23" i="64"/>
  <c r="C28" i="64"/>
  <c r="C29" i="64"/>
  <c r="C30" i="64"/>
  <c r="D73" i="64" l="1"/>
  <c r="AD115" i="64"/>
  <c r="AD149" i="64" s="1"/>
  <c r="H69" i="64"/>
  <c r="Z115" i="64"/>
  <c r="Z149" i="64" s="1"/>
  <c r="I66" i="64"/>
  <c r="W115" i="64"/>
  <c r="W149" i="64" s="1"/>
  <c r="Z215" i="64"/>
  <c r="AA215" i="64"/>
  <c r="I67" i="64"/>
  <c r="X115" i="64"/>
  <c r="X149" i="64" s="1"/>
  <c r="H30" i="64"/>
  <c r="AB215" i="64"/>
  <c r="AC215" i="64"/>
  <c r="AD214" i="64"/>
  <c r="AE214" i="64" s="1"/>
  <c r="H50" i="64"/>
  <c r="Y103" i="64"/>
  <c r="Y147" i="64" s="1"/>
  <c r="AB213" i="64"/>
  <c r="AC213" i="64"/>
  <c r="Z216" i="64"/>
  <c r="AA216" i="64"/>
  <c r="E29" i="64"/>
  <c r="AD213" i="64"/>
  <c r="AE213" i="64" s="1"/>
  <c r="AB214" i="64"/>
  <c r="AC214" i="64"/>
  <c r="I55" i="64"/>
  <c r="AE101" i="64"/>
  <c r="AE145" i="64" s="1"/>
  <c r="AD103" i="64"/>
  <c r="AD147" i="64" s="1"/>
  <c r="F49" i="64"/>
  <c r="X103" i="64"/>
  <c r="X147" i="64" s="1"/>
  <c r="F70" i="64"/>
  <c r="AA115" i="64"/>
  <c r="AA149" i="64" s="1"/>
  <c r="D50" i="64"/>
  <c r="O69" i="64"/>
  <c r="E2" i="67"/>
  <c r="G2" i="67"/>
  <c r="D7" i="33"/>
  <c r="D2" i="67"/>
  <c r="D6" i="33"/>
  <c r="D5" i="33"/>
  <c r="B2" i="67"/>
  <c r="H70" i="64"/>
  <c r="G50" i="64"/>
  <c r="E50" i="64"/>
  <c r="L27" i="64"/>
  <c r="K27" i="64"/>
  <c r="M27" i="64"/>
  <c r="N27" i="64"/>
  <c r="N24" i="64"/>
  <c r="L24" i="64"/>
  <c r="M24" i="64"/>
  <c r="K24" i="64"/>
  <c r="N26" i="64"/>
  <c r="L26" i="64"/>
  <c r="M26" i="64"/>
  <c r="K26" i="64"/>
  <c r="N25" i="64"/>
  <c r="L25" i="64"/>
  <c r="K25" i="64"/>
  <c r="M25" i="64"/>
  <c r="D65" i="64"/>
  <c r="I65" i="64"/>
  <c r="F22" i="64"/>
  <c r="I22" i="64"/>
  <c r="N22" i="64" s="1"/>
  <c r="H68" i="64"/>
  <c r="I68" i="64"/>
  <c r="N68" i="64" s="1"/>
  <c r="H51" i="64"/>
  <c r="I51" i="64"/>
  <c r="O50" i="64"/>
  <c r="I50" i="64"/>
  <c r="N50" i="64" s="1"/>
  <c r="O73" i="64"/>
  <c r="I73" i="64"/>
  <c r="K73" i="64" s="1"/>
  <c r="D69" i="64"/>
  <c r="I69" i="64"/>
  <c r="N69" i="64" s="1"/>
  <c r="F23" i="64"/>
  <c r="I23" i="64"/>
  <c r="D45" i="64"/>
  <c r="I45" i="64"/>
  <c r="L45" i="64" s="1"/>
  <c r="O74" i="64"/>
  <c r="I74" i="64"/>
  <c r="L74" i="64" s="1"/>
  <c r="G46" i="64"/>
  <c r="I46" i="64"/>
  <c r="K46" i="64" s="1"/>
  <c r="O46" i="64"/>
  <c r="M17" i="68"/>
  <c r="G17" i="68"/>
  <c r="J17" i="68" s="1"/>
  <c r="O49" i="64"/>
  <c r="I49" i="64"/>
  <c r="L49" i="64" s="1"/>
  <c r="O70" i="64"/>
  <c r="I70" i="64"/>
  <c r="N70" i="64" s="1"/>
  <c r="G15" i="68"/>
  <c r="J15" i="68" s="1"/>
  <c r="F47" i="64"/>
  <c r="I47" i="64"/>
  <c r="O48" i="64"/>
  <c r="I48" i="64"/>
  <c r="O54" i="64"/>
  <c r="I54" i="64"/>
  <c r="G71" i="64"/>
  <c r="I71" i="64"/>
  <c r="M71" i="64" s="1"/>
  <c r="O53" i="64"/>
  <c r="I53" i="64"/>
  <c r="O72" i="64"/>
  <c r="I72" i="64"/>
  <c r="K72" i="64" s="1"/>
  <c r="F16" i="68"/>
  <c r="G16" i="68"/>
  <c r="O52" i="64"/>
  <c r="I52" i="64"/>
  <c r="N52" i="64" s="1"/>
  <c r="C2" i="67"/>
  <c r="A3" i="68" s="1"/>
  <c r="D3" i="33"/>
  <c r="C2" i="13"/>
  <c r="D4" i="33"/>
  <c r="F50" i="64"/>
  <c r="D68" i="64"/>
  <c r="H52" i="64"/>
  <c r="E52" i="64"/>
  <c r="D2" i="33"/>
  <c r="F52" i="64"/>
  <c r="C6" i="13"/>
  <c r="C9" i="13"/>
  <c r="D9" i="33"/>
  <c r="D22" i="33"/>
  <c r="H47" i="64"/>
  <c r="B2" i="33"/>
  <c r="H53" i="64"/>
  <c r="A2" i="13"/>
  <c r="H2" i="13" s="1"/>
  <c r="H73" i="64"/>
  <c r="G73" i="64"/>
  <c r="E2" i="33"/>
  <c r="C7" i="13"/>
  <c r="F2" i="13"/>
  <c r="P41" i="2"/>
  <c r="F73" i="64"/>
  <c r="E73" i="64"/>
  <c r="C3" i="13"/>
  <c r="E67" i="64"/>
  <c r="O47" i="64"/>
  <c r="G52" i="64"/>
  <c r="H54" i="64"/>
  <c r="F54" i="64"/>
  <c r="G54" i="64"/>
  <c r="C12" i="68"/>
  <c r="D12" i="68"/>
  <c r="C16" i="68"/>
  <c r="D16" i="68"/>
  <c r="D22" i="64"/>
  <c r="J14" i="68"/>
  <c r="D14" i="68"/>
  <c r="G45" i="64"/>
  <c r="M12" i="68"/>
  <c r="C17" i="68"/>
  <c r="D17" i="68"/>
  <c r="G70" i="64"/>
  <c r="D70" i="64"/>
  <c r="H22" i="64"/>
  <c r="M11" i="68"/>
  <c r="D11" i="68"/>
  <c r="E10" i="68"/>
  <c r="D10" i="68"/>
  <c r="E70" i="64"/>
  <c r="K20" i="68"/>
  <c r="D20" i="68"/>
  <c r="G65" i="64"/>
  <c r="C18" i="68"/>
  <c r="D18" i="68"/>
  <c r="C19" i="68"/>
  <c r="D19" i="68"/>
  <c r="C13" i="68"/>
  <c r="D13" i="68"/>
  <c r="G49" i="64"/>
  <c r="M9" i="68"/>
  <c r="D9" i="68"/>
  <c r="G47" i="64"/>
  <c r="E68" i="64"/>
  <c r="E15" i="68"/>
  <c r="D15" i="68"/>
  <c r="H72" i="64"/>
  <c r="D49" i="64"/>
  <c r="M21" i="68"/>
  <c r="D21" i="68"/>
  <c r="O45" i="64"/>
  <c r="F45" i="64"/>
  <c r="K13" i="68"/>
  <c r="D54" i="64"/>
  <c r="F15" i="68"/>
  <c r="C15" i="68"/>
  <c r="E54" i="64"/>
  <c r="F71" i="64"/>
  <c r="H45" i="64"/>
  <c r="M16" i="68"/>
  <c r="E45" i="64"/>
  <c r="J11" i="68"/>
  <c r="F11" i="68"/>
  <c r="D52" i="64"/>
  <c r="O71" i="64"/>
  <c r="L18" i="68"/>
  <c r="E71" i="64"/>
  <c r="G53" i="64"/>
  <c r="H71" i="64"/>
  <c r="D53" i="64"/>
  <c r="E18" i="68"/>
  <c r="K89" i="2"/>
  <c r="L87" i="2" s="1"/>
  <c r="G89" i="2" s="1"/>
  <c r="D71" i="64"/>
  <c r="E53" i="64"/>
  <c r="DF46" i="64"/>
  <c r="F10" i="68"/>
  <c r="F53" i="64"/>
  <c r="O68" i="64"/>
  <c r="M18" i="68"/>
  <c r="F67" i="64"/>
  <c r="G67" i="64" s="1"/>
  <c r="F18" i="68"/>
  <c r="E66" i="64"/>
  <c r="F66" i="64" s="1"/>
  <c r="F13" i="68"/>
  <c r="E49" i="64"/>
  <c r="H49" i="64"/>
  <c r="D67" i="64"/>
  <c r="H67" i="64" s="1"/>
  <c r="K10" i="68"/>
  <c r="F17" i="68"/>
  <c r="E16" i="68"/>
  <c r="M10" i="68"/>
  <c r="E17" i="68"/>
  <c r="H29" i="64"/>
  <c r="I19" i="68"/>
  <c r="D66" i="64"/>
  <c r="E12" i="68"/>
  <c r="D64" i="64"/>
  <c r="E72" i="64"/>
  <c r="B40" i="2"/>
  <c r="C40" i="2" s="1"/>
  <c r="M19" i="68"/>
  <c r="F14" i="68"/>
  <c r="G74" i="64"/>
  <c r="D74" i="64"/>
  <c r="D46" i="64"/>
  <c r="E46" i="64"/>
  <c r="H74" i="64"/>
  <c r="F74" i="64"/>
  <c r="M14" i="68"/>
  <c r="F19" i="68"/>
  <c r="E19" i="68"/>
  <c r="G72" i="64"/>
  <c r="E74" i="64"/>
  <c r="G2" i="33"/>
  <c r="M13" i="68"/>
  <c r="E13" i="68"/>
  <c r="J12" i="68"/>
  <c r="F72" i="64"/>
  <c r="D72" i="64"/>
  <c r="E64" i="64"/>
  <c r="F64" i="64" s="1"/>
  <c r="F65" i="64"/>
  <c r="E65" i="64"/>
  <c r="H65" i="64"/>
  <c r="G29" i="64"/>
  <c r="M15" i="68"/>
  <c r="D34" i="64"/>
  <c r="E34" i="64"/>
  <c r="D55" i="64"/>
  <c r="H55" i="64"/>
  <c r="O55" i="64"/>
  <c r="G55" i="64"/>
  <c r="E55" i="64"/>
  <c r="E47" i="64"/>
  <c r="D47" i="64"/>
  <c r="M20" i="68"/>
  <c r="J29" i="64"/>
  <c r="D29" i="64"/>
  <c r="I29" i="64"/>
  <c r="E48" i="64"/>
  <c r="D48" i="64"/>
  <c r="H48" i="64"/>
  <c r="G48" i="64"/>
  <c r="F55" i="64"/>
  <c r="DF35" i="64"/>
  <c r="B39" i="2"/>
  <c r="C10" i="13"/>
  <c r="C4" i="13"/>
  <c r="F48" i="64"/>
  <c r="G51" i="64"/>
  <c r="F51" i="64"/>
  <c r="E51" i="64"/>
  <c r="D51" i="64"/>
  <c r="O51" i="64"/>
  <c r="G68" i="64"/>
  <c r="F46" i="64"/>
  <c r="H46" i="64"/>
  <c r="F68" i="64"/>
  <c r="F21" i="68"/>
  <c r="E21" i="68"/>
  <c r="C21" i="68"/>
  <c r="C5" i="13"/>
  <c r="D2" i="13"/>
  <c r="C8" i="13"/>
  <c r="M41" i="2"/>
  <c r="N41" i="2" s="1"/>
  <c r="C11" i="13"/>
  <c r="D23" i="64"/>
  <c r="AA90" i="64"/>
  <c r="AA135" i="64" s="1"/>
  <c r="O23" i="64"/>
  <c r="H23" i="64"/>
  <c r="E23" i="64"/>
  <c r="G23" i="64"/>
  <c r="J28" i="64"/>
  <c r="H28" i="64"/>
  <c r="F28" i="64"/>
  <c r="G28" i="64"/>
  <c r="D28" i="64"/>
  <c r="I28" i="64"/>
  <c r="E28" i="64"/>
  <c r="C9" i="68"/>
  <c r="F9" i="68"/>
  <c r="C11" i="68"/>
  <c r="E11" i="68"/>
  <c r="C14" i="68"/>
  <c r="E14" i="68"/>
  <c r="E9" i="68"/>
  <c r="O22" i="64"/>
  <c r="E22" i="64"/>
  <c r="G22" i="64"/>
  <c r="Z90" i="64"/>
  <c r="Z135" i="64" s="1"/>
  <c r="F12" i="68"/>
  <c r="C10" i="68"/>
  <c r="G69" i="64"/>
  <c r="E69" i="64"/>
  <c r="F69" i="64"/>
  <c r="Q28" i="68"/>
  <c r="H41" i="2"/>
  <c r="H2" i="62" s="1"/>
  <c r="C2" i="33"/>
  <c r="B2" i="13"/>
  <c r="C14" i="13"/>
  <c r="J90" i="2"/>
  <c r="DF59" i="64"/>
  <c r="G90" i="2"/>
  <c r="K90" i="2"/>
  <c r="I16" i="2"/>
  <c r="F20" i="68"/>
  <c r="E20" i="68"/>
  <c r="C20" i="68"/>
  <c r="K15" i="68" l="1"/>
  <c r="H2" i="67"/>
  <c r="I15" i="68"/>
  <c r="L69" i="64"/>
  <c r="M69" i="64"/>
  <c r="K69" i="64"/>
  <c r="K17" i="68"/>
  <c r="K68" i="64"/>
  <c r="M52" i="64"/>
  <c r="L73" i="64"/>
  <c r="M50" i="64"/>
  <c r="L15" i="68"/>
  <c r="K50" i="64"/>
  <c r="L50" i="64"/>
  <c r="L68" i="64"/>
  <c r="M68" i="64"/>
  <c r="L52" i="64"/>
  <c r="K52" i="64"/>
  <c r="C3" i="68"/>
  <c r="D3" i="68" s="1"/>
  <c r="E3" i="68" s="1"/>
  <c r="I17" i="68"/>
  <c r="M73" i="64"/>
  <c r="I10" i="68"/>
  <c r="L17" i="68"/>
  <c r="G64" i="64"/>
  <c r="H64" i="64"/>
  <c r="I64" i="64" s="1"/>
  <c r="N67" i="64"/>
  <c r="O67" i="64"/>
  <c r="H66" i="64"/>
  <c r="G66" i="64"/>
  <c r="O65" i="64"/>
  <c r="F34" i="64"/>
  <c r="G34" i="64" s="1"/>
  <c r="L19" i="68"/>
  <c r="M46" i="64"/>
  <c r="N73" i="64"/>
  <c r="F79" i="2"/>
  <c r="AK188" i="64" s="1"/>
  <c r="L14" i="68"/>
  <c r="I13" i="68"/>
  <c r="K49" i="64"/>
  <c r="L22" i="64"/>
  <c r="K22" i="64"/>
  <c r="M22" i="64"/>
  <c r="H2" i="33"/>
  <c r="L46" i="64"/>
  <c r="J19" i="68"/>
  <c r="I14" i="68"/>
  <c r="K14" i="68"/>
  <c r="L12" i="68"/>
  <c r="L10" i="68"/>
  <c r="K70" i="64"/>
  <c r="M49" i="64"/>
  <c r="N46" i="64"/>
  <c r="L11" i="68"/>
  <c r="I11" i="68"/>
  <c r="N49" i="64"/>
  <c r="L20" i="68"/>
  <c r="N74" i="64"/>
  <c r="J20" i="68"/>
  <c r="K18" i="68"/>
  <c r="K74" i="64"/>
  <c r="I20" i="68"/>
  <c r="L70" i="64"/>
  <c r="M70" i="64"/>
  <c r="I18" i="68"/>
  <c r="M74" i="64"/>
  <c r="J18" i="68"/>
  <c r="K11" i="68"/>
  <c r="L13" i="68"/>
  <c r="J13" i="68"/>
  <c r="K19" i="68"/>
  <c r="J10" i="68"/>
  <c r="N45" i="64"/>
  <c r="K45" i="64"/>
  <c r="M45" i="64"/>
  <c r="L71" i="64"/>
  <c r="K71" i="64"/>
  <c r="M53" i="64"/>
  <c r="N53" i="64"/>
  <c r="K53" i="64"/>
  <c r="L53" i="64"/>
  <c r="N71" i="64"/>
  <c r="N54" i="64"/>
  <c r="L54" i="64"/>
  <c r="M54" i="64"/>
  <c r="K54" i="64"/>
  <c r="L16" i="68"/>
  <c r="J16" i="68"/>
  <c r="I16" i="68"/>
  <c r="K16" i="68"/>
  <c r="L72" i="64"/>
  <c r="N72" i="64"/>
  <c r="M72" i="64"/>
  <c r="I12" i="68"/>
  <c r="K12" i="68"/>
  <c r="M48" i="64"/>
  <c r="L48" i="64"/>
  <c r="N48" i="64"/>
  <c r="K48" i="64"/>
  <c r="N55" i="64"/>
  <c r="K55" i="64"/>
  <c r="L55" i="64"/>
  <c r="M55" i="64"/>
  <c r="N47" i="64"/>
  <c r="L47" i="64"/>
  <c r="M47" i="64"/>
  <c r="K47" i="64"/>
  <c r="N51" i="64"/>
  <c r="M51" i="64"/>
  <c r="L51" i="64"/>
  <c r="K51" i="64"/>
  <c r="C39" i="2"/>
  <c r="M65" i="64"/>
  <c r="N65" i="64"/>
  <c r="K65" i="64"/>
  <c r="L65" i="64"/>
  <c r="I17" i="2"/>
  <c r="I18" i="2" s="1"/>
  <c r="I19" i="2" s="1"/>
  <c r="I20" i="2" s="1"/>
  <c r="I21" i="2" s="1"/>
  <c r="I22" i="2" s="1"/>
  <c r="N23" i="64"/>
  <c r="M23" i="64"/>
  <c r="L23" i="64"/>
  <c r="K23" i="64"/>
  <c r="Q51" i="68"/>
  <c r="Q65" i="68" s="1"/>
  <c r="Q75" i="68" s="1"/>
  <c r="Q87" i="68" s="1"/>
  <c r="Q41" i="68"/>
  <c r="K21" i="68"/>
  <c r="I21" i="68"/>
  <c r="J21" i="68"/>
  <c r="L21" i="68"/>
  <c r="T15" i="2"/>
  <c r="K9" i="68"/>
  <c r="J9" i="68"/>
  <c r="L9" i="68"/>
  <c r="I9" i="68"/>
  <c r="T14" i="2"/>
  <c r="H34" i="64" l="1"/>
  <c r="I34" i="64" s="1"/>
  <c r="L67" i="64"/>
  <c r="O64" i="64"/>
  <c r="O66" i="64"/>
  <c r="M67" i="64"/>
  <c r="K67" i="64"/>
  <c r="AZ192" i="64"/>
  <c r="AV197" i="64" s="1"/>
  <c r="AK180" i="64"/>
  <c r="AZ191" i="64"/>
  <c r="AV200" i="64" s="1"/>
  <c r="AK179" i="64"/>
  <c r="AZ193" i="64"/>
  <c r="AV198" i="64" s="1"/>
  <c r="AK178" i="64"/>
  <c r="AL187" i="64"/>
  <c r="AI191" i="64" s="1"/>
  <c r="AL188" i="64"/>
  <c r="AI192" i="64" s="1"/>
  <c r="AY180" i="64"/>
  <c r="AL177" i="64"/>
  <c r="AI181" i="64" s="1"/>
  <c r="BE192" i="64"/>
  <c r="BF192" i="64" s="1"/>
  <c r="AZ181" i="64"/>
  <c r="AV187" i="64" s="1"/>
  <c r="AL189" i="64"/>
  <c r="AI193" i="64" s="1"/>
  <c r="AL179" i="64"/>
  <c r="AI183" i="64" s="1"/>
  <c r="AK189" i="64"/>
  <c r="AY191" i="64"/>
  <c r="AY192" i="64"/>
  <c r="AZ178" i="64"/>
  <c r="AV184" i="64" s="1"/>
  <c r="AY194" i="64"/>
  <c r="AY179" i="64"/>
  <c r="AL178" i="64"/>
  <c r="AI182" i="64" s="1"/>
  <c r="AZ180" i="64"/>
  <c r="AV186" i="64" s="1"/>
  <c r="AZ194" i="64"/>
  <c r="AV199" i="64" s="1"/>
  <c r="AY193" i="64"/>
  <c r="AY181" i="64"/>
  <c r="BD192" i="64"/>
  <c r="AZ179" i="64"/>
  <c r="AV185" i="64" s="1"/>
  <c r="AL180" i="64"/>
  <c r="AZ182" i="64"/>
  <c r="AY182" i="64"/>
  <c r="AY178" i="64"/>
  <c r="AK176" i="64"/>
  <c r="AK186" i="64" s="1"/>
  <c r="AK187" i="64"/>
  <c r="AY189" i="64"/>
  <c r="AK177" i="64"/>
  <c r="J15" i="2"/>
  <c r="Q15" i="2" s="1"/>
  <c r="Q16" i="2" s="1"/>
  <c r="F41" i="2" s="1"/>
  <c r="F2" i="62" s="1"/>
  <c r="O34" i="64" l="1"/>
  <c r="F2" i="67"/>
  <c r="B3" i="68" s="1"/>
  <c r="G3" i="68" s="1"/>
  <c r="I3" i="68" s="1"/>
  <c r="F2" i="33"/>
  <c r="E2" i="13"/>
  <c r="O41" i="2"/>
  <c r="L64" i="64"/>
  <c r="N64" i="64"/>
  <c r="M64" i="64"/>
  <c r="K64" i="64"/>
  <c r="L66" i="64"/>
  <c r="M66" i="64"/>
  <c r="K66" i="64"/>
  <c r="N66" i="64"/>
  <c r="M34" i="64"/>
  <c r="K34" i="64"/>
  <c r="L34" i="64"/>
  <c r="N34" i="64"/>
  <c r="C47" i="2"/>
  <c r="C8" i="62" s="1"/>
  <c r="F48" i="2"/>
  <c r="F9" i="62" s="1"/>
  <c r="E51" i="2"/>
  <c r="E12" i="62" s="1"/>
  <c r="G55" i="2"/>
  <c r="F58" i="2"/>
  <c r="F19" i="33" s="1"/>
  <c r="F61" i="2"/>
  <c r="F22" i="33" s="1"/>
  <c r="C63" i="2"/>
  <c r="H63" i="2" s="1"/>
  <c r="F64" i="2"/>
  <c r="F25" i="33" s="1"/>
  <c r="E67" i="2"/>
  <c r="G71" i="2"/>
  <c r="G32" i="33" s="1"/>
  <c r="F74" i="2"/>
  <c r="F35" i="33" s="1"/>
  <c r="F70" i="2"/>
  <c r="F31" i="33" s="1"/>
  <c r="C75" i="2"/>
  <c r="H75" i="2" s="1"/>
  <c r="F75" i="2"/>
  <c r="F36" i="33" s="1"/>
  <c r="C73" i="2"/>
  <c r="H73" i="2" s="1"/>
  <c r="G48" i="2"/>
  <c r="G9" i="62" s="1"/>
  <c r="C50" i="2"/>
  <c r="C11" i="62" s="1"/>
  <c r="C14" i="64" s="1"/>
  <c r="Y215" i="64" s="1"/>
  <c r="F51" i="2"/>
  <c r="F12" i="62" s="1"/>
  <c r="C53" i="2"/>
  <c r="E54" i="2"/>
  <c r="E15" i="62" s="1"/>
  <c r="C56" i="2"/>
  <c r="E57" i="2"/>
  <c r="E18" i="62" s="1"/>
  <c r="G58" i="2"/>
  <c r="G19" i="33" s="1"/>
  <c r="E60" i="2"/>
  <c r="G61" i="2"/>
  <c r="G22" i="33" s="1"/>
  <c r="G64" i="2"/>
  <c r="G25" i="33" s="1"/>
  <c r="C66" i="2"/>
  <c r="H66" i="2" s="1"/>
  <c r="F67" i="2"/>
  <c r="F28" i="33" s="1"/>
  <c r="C69" i="2"/>
  <c r="H69" i="2" s="1"/>
  <c r="E70" i="2"/>
  <c r="C72" i="2"/>
  <c r="H72" i="2" s="1"/>
  <c r="E73" i="2"/>
  <c r="G74" i="2"/>
  <c r="G35" i="33" s="1"/>
  <c r="E76" i="2"/>
  <c r="F60" i="2"/>
  <c r="F21" i="33" s="1"/>
  <c r="E63" i="2"/>
  <c r="G67" i="2"/>
  <c r="G28" i="33" s="1"/>
  <c r="F73" i="2"/>
  <c r="F34" i="33" s="1"/>
  <c r="F76" i="2"/>
  <c r="F37" i="33" s="1"/>
  <c r="E68" i="2"/>
  <c r="G65" i="2"/>
  <c r="G26" i="33" s="1"/>
  <c r="E74" i="2"/>
  <c r="E47" i="2"/>
  <c r="E8" i="62" s="1"/>
  <c r="G51" i="2"/>
  <c r="G12" i="62" s="1"/>
  <c r="F54" i="2"/>
  <c r="F57" i="2"/>
  <c r="C59" i="2"/>
  <c r="H59" i="2" s="1"/>
  <c r="F47" i="2"/>
  <c r="F8" i="62" s="1"/>
  <c r="C49" i="2"/>
  <c r="E50" i="2"/>
  <c r="E11" i="62" s="1"/>
  <c r="C52" i="2"/>
  <c r="E53" i="2"/>
  <c r="E14" i="62" s="1"/>
  <c r="G54" i="2"/>
  <c r="E56" i="2"/>
  <c r="E17" i="62" s="1"/>
  <c r="G57" i="2"/>
  <c r="G60" i="2"/>
  <c r="G21" i="33" s="1"/>
  <c r="C62" i="2"/>
  <c r="H62" i="2" s="1"/>
  <c r="F63" i="2"/>
  <c r="F24" i="33" s="1"/>
  <c r="C65" i="2"/>
  <c r="H65" i="2" s="1"/>
  <c r="E66" i="2"/>
  <c r="C68" i="2"/>
  <c r="H68" i="2" s="1"/>
  <c r="E69" i="2"/>
  <c r="G70" i="2"/>
  <c r="G31" i="33" s="1"/>
  <c r="E72" i="2"/>
  <c r="G73" i="2"/>
  <c r="G34" i="33" s="1"/>
  <c r="G76" i="2"/>
  <c r="G37" i="33" s="1"/>
  <c r="C48" i="2"/>
  <c r="C9" i="62" s="1"/>
  <c r="E52" i="2"/>
  <c r="E13" i="62" s="1"/>
  <c r="G56" i="2"/>
  <c r="F59" i="2"/>
  <c r="F20" i="33" s="1"/>
  <c r="E62" i="2"/>
  <c r="E65" i="2"/>
  <c r="G69" i="2"/>
  <c r="G30" i="33" s="1"/>
  <c r="C74" i="2"/>
  <c r="H74" i="2" s="1"/>
  <c r="G68" i="2"/>
  <c r="G29" i="33" s="1"/>
  <c r="G47" i="2"/>
  <c r="G8" i="62" s="1"/>
  <c r="F50" i="2"/>
  <c r="F11" i="62" s="1"/>
  <c r="F53" i="2"/>
  <c r="C55" i="2"/>
  <c r="F56" i="2"/>
  <c r="E59" i="2"/>
  <c r="G63" i="2"/>
  <c r="G24" i="33" s="1"/>
  <c r="F66" i="2"/>
  <c r="F27" i="33" s="1"/>
  <c r="F69" i="2"/>
  <c r="F30" i="33" s="1"/>
  <c r="C71" i="2"/>
  <c r="H71" i="2" s="1"/>
  <c r="F72" i="2"/>
  <c r="F33" i="33" s="1"/>
  <c r="E75" i="2"/>
  <c r="M75" i="2" s="1"/>
  <c r="E49" i="2"/>
  <c r="E10" i="62" s="1"/>
  <c r="G50" i="2"/>
  <c r="G11" i="62" s="1"/>
  <c r="G53" i="2"/>
  <c r="C58" i="2"/>
  <c r="H58" i="2" s="1"/>
  <c r="C61" i="2"/>
  <c r="H61" i="2" s="1"/>
  <c r="C64" i="2"/>
  <c r="H64" i="2" s="1"/>
  <c r="G66" i="2"/>
  <c r="G27" i="33" s="1"/>
  <c r="G72" i="2"/>
  <c r="G33" i="33" s="1"/>
  <c r="C70" i="2"/>
  <c r="H70" i="2" s="1"/>
  <c r="C76" i="2"/>
  <c r="H76" i="2" s="1"/>
  <c r="F49" i="2"/>
  <c r="F10" i="62" s="1"/>
  <c r="C51" i="2"/>
  <c r="C12" i="62" s="1"/>
  <c r="C15" i="64" s="1"/>
  <c r="Y216" i="64" s="1"/>
  <c r="F52" i="2"/>
  <c r="E55" i="2"/>
  <c r="E16" i="62" s="1"/>
  <c r="G59" i="2"/>
  <c r="G20" i="33" s="1"/>
  <c r="F62" i="2"/>
  <c r="F23" i="33" s="1"/>
  <c r="F65" i="2"/>
  <c r="F26" i="33" s="1"/>
  <c r="C67" i="2"/>
  <c r="H67" i="2" s="1"/>
  <c r="F68" i="2"/>
  <c r="F29" i="33" s="1"/>
  <c r="E71" i="2"/>
  <c r="G75" i="2"/>
  <c r="G36" i="33" s="1"/>
  <c r="E48" i="2"/>
  <c r="E9" i="62" s="1"/>
  <c r="G49" i="2"/>
  <c r="G10" i="62" s="1"/>
  <c r="G52" i="2"/>
  <c r="C54" i="2"/>
  <c r="F55" i="2"/>
  <c r="C57" i="2"/>
  <c r="E58" i="2"/>
  <c r="C60" i="2"/>
  <c r="H60" i="2" s="1"/>
  <c r="E61" i="2"/>
  <c r="G62" i="2"/>
  <c r="G23" i="33" s="1"/>
  <c r="E64" i="2"/>
  <c r="F71" i="2"/>
  <c r="F32" i="33" s="1"/>
  <c r="F45" i="2"/>
  <c r="F6" i="62" s="1"/>
  <c r="Q17" i="2"/>
  <c r="B43" i="2"/>
  <c r="B4" i="62" s="1"/>
  <c r="B77" i="2"/>
  <c r="B52" i="2"/>
  <c r="B67" i="2"/>
  <c r="B28" i="33" s="1"/>
  <c r="B51" i="2"/>
  <c r="B12" i="62" s="1"/>
  <c r="F43" i="2"/>
  <c r="F4" i="62" s="1"/>
  <c r="B74" i="2"/>
  <c r="B35" i="33" s="1"/>
  <c r="B42" i="2"/>
  <c r="B3" i="62" s="1"/>
  <c r="B48" i="2"/>
  <c r="B9" i="62" s="1"/>
  <c r="G45" i="2"/>
  <c r="G6" i="62" s="1"/>
  <c r="G42" i="2"/>
  <c r="G3" i="62" s="1"/>
  <c r="F42" i="2"/>
  <c r="F3" i="62" s="1"/>
  <c r="G44" i="2"/>
  <c r="G5" i="62" s="1"/>
  <c r="B65" i="2"/>
  <c r="B26" i="33" s="1"/>
  <c r="B57" i="2"/>
  <c r="B72" i="2"/>
  <c r="B33" i="33" s="1"/>
  <c r="B76" i="2"/>
  <c r="B37" i="33" s="1"/>
  <c r="E43" i="2"/>
  <c r="E4" i="62" s="1"/>
  <c r="B63" i="2"/>
  <c r="B24" i="33" s="1"/>
  <c r="C43" i="2"/>
  <c r="C4" i="62" s="1"/>
  <c r="B68" i="2"/>
  <c r="B29" i="33" s="1"/>
  <c r="E44" i="2"/>
  <c r="E5" i="62" s="1"/>
  <c r="B62" i="2"/>
  <c r="B23" i="33" s="1"/>
  <c r="E45" i="2"/>
  <c r="E6" i="62" s="1"/>
  <c r="B56" i="2"/>
  <c r="B75" i="2"/>
  <c r="B36" i="33" s="1"/>
  <c r="C44" i="2"/>
  <c r="C5" i="62" s="1"/>
  <c r="B59" i="2"/>
  <c r="B20" i="33" s="1"/>
  <c r="B71" i="2"/>
  <c r="B32" i="33" s="1"/>
  <c r="B66" i="2"/>
  <c r="B27" i="33" s="1"/>
  <c r="F44" i="2"/>
  <c r="F5" i="62" s="1"/>
  <c r="B47" i="2"/>
  <c r="B8" i="62" s="1"/>
  <c r="B50" i="2"/>
  <c r="B11" i="62" s="1"/>
  <c r="B61" i="2"/>
  <c r="B22" i="33" s="1"/>
  <c r="C45" i="2"/>
  <c r="C6" i="62" s="1"/>
  <c r="B64" i="2"/>
  <c r="B25" i="33" s="1"/>
  <c r="B69" i="2"/>
  <c r="B30" i="33" s="1"/>
  <c r="B46" i="2"/>
  <c r="B7" i="62" s="1"/>
  <c r="G46" i="2"/>
  <c r="G7" i="62" s="1"/>
  <c r="E42" i="2"/>
  <c r="E3" i="62" s="1"/>
  <c r="E46" i="2"/>
  <c r="E7" i="62" s="1"/>
  <c r="B45" i="2"/>
  <c r="B6" i="62" s="1"/>
  <c r="B53" i="2"/>
  <c r="B70" i="2"/>
  <c r="B31" i="33" s="1"/>
  <c r="G43" i="2"/>
  <c r="G4" i="62" s="1"/>
  <c r="F46" i="2"/>
  <c r="F7" i="62" s="1"/>
  <c r="B44" i="2"/>
  <c r="B5" i="62" s="1"/>
  <c r="B55" i="2"/>
  <c r="B58" i="2"/>
  <c r="B19" i="33" s="1"/>
  <c r="B73" i="2"/>
  <c r="B34" i="33" s="1"/>
  <c r="B54" i="2"/>
  <c r="B60" i="2"/>
  <c r="B21" i="33" s="1"/>
  <c r="B49" i="2"/>
  <c r="B10" i="62" s="1"/>
  <c r="C42" i="2"/>
  <c r="C3" i="62" s="1"/>
  <c r="C46" i="2"/>
  <c r="C7" i="62" s="1"/>
  <c r="C10" i="62" l="1"/>
  <c r="C13" i="64" s="1"/>
  <c r="X215" i="64"/>
  <c r="X216" i="64"/>
  <c r="C9" i="64"/>
  <c r="C12" i="64"/>
  <c r="C11" i="64"/>
  <c r="C10" i="64"/>
  <c r="W219" i="64" s="1"/>
  <c r="C8" i="64"/>
  <c r="K3" i="68"/>
  <c r="L3" i="68"/>
  <c r="J3" i="68"/>
  <c r="G16" i="33"/>
  <c r="G16" i="62"/>
  <c r="B15" i="33"/>
  <c r="B15" i="62"/>
  <c r="F16" i="33"/>
  <c r="F16" i="62"/>
  <c r="G15" i="33"/>
  <c r="G15" i="62"/>
  <c r="E14" i="64"/>
  <c r="F14" i="64" s="1"/>
  <c r="G14" i="64" s="1"/>
  <c r="AD89" i="64"/>
  <c r="AD134" i="64" s="1"/>
  <c r="D14" i="64"/>
  <c r="B13" i="33"/>
  <c r="B13" i="62"/>
  <c r="G13" i="33"/>
  <c r="G13" i="62"/>
  <c r="H52" i="2"/>
  <c r="H13" i="62" s="1"/>
  <c r="C13" i="62"/>
  <c r="C16" i="64" s="1"/>
  <c r="Y217" i="64" s="1"/>
  <c r="F15" i="33"/>
  <c r="F15" i="62"/>
  <c r="H56" i="2"/>
  <c r="H17" i="62" s="1"/>
  <c r="C17" i="62"/>
  <c r="C20" i="64" s="1"/>
  <c r="F18" i="33"/>
  <c r="F18" i="62"/>
  <c r="M3" i="68"/>
  <c r="H54" i="2"/>
  <c r="H15" i="62" s="1"/>
  <c r="C15" i="62"/>
  <c r="C18" i="64" s="1"/>
  <c r="Y219" i="64" s="1"/>
  <c r="F13" i="33"/>
  <c r="F13" i="62"/>
  <c r="B18" i="33"/>
  <c r="B18" i="62"/>
  <c r="AE89" i="64"/>
  <c r="AE134" i="64" s="1"/>
  <c r="D15" i="64"/>
  <c r="E15" i="64"/>
  <c r="F15" i="64" s="1"/>
  <c r="G15" i="64" s="1"/>
  <c r="G17" i="33"/>
  <c r="G17" i="62"/>
  <c r="C7" i="64"/>
  <c r="F17" i="33"/>
  <c r="F17" i="62"/>
  <c r="B14" i="33"/>
  <c r="B14" i="62"/>
  <c r="B17" i="33"/>
  <c r="B17" i="62"/>
  <c r="H55" i="2"/>
  <c r="H16" i="62" s="1"/>
  <c r="C16" i="62"/>
  <c r="C19" i="64" s="1"/>
  <c r="Y220" i="64" s="1"/>
  <c r="G18" i="33"/>
  <c r="G18" i="62"/>
  <c r="H53" i="2"/>
  <c r="H14" i="62" s="1"/>
  <c r="C14" i="62"/>
  <c r="C17" i="64" s="1"/>
  <c r="B16" i="33"/>
  <c r="B16" i="62"/>
  <c r="H57" i="2"/>
  <c r="H18" i="62" s="1"/>
  <c r="C18" i="62"/>
  <c r="C21" i="64" s="1"/>
  <c r="G14" i="33"/>
  <c r="G14" i="62"/>
  <c r="F14" i="33"/>
  <c r="F14" i="62"/>
  <c r="C6" i="64"/>
  <c r="Q41" i="2"/>
  <c r="U41" i="2"/>
  <c r="E3" i="33"/>
  <c r="E6" i="33"/>
  <c r="B5" i="33"/>
  <c r="F5" i="33"/>
  <c r="C3" i="33"/>
  <c r="C35" i="64"/>
  <c r="V102" i="64" s="1"/>
  <c r="V146" i="64" s="1"/>
  <c r="F7" i="33"/>
  <c r="B7" i="33"/>
  <c r="E5" i="33"/>
  <c r="F4" i="33"/>
  <c r="G8" i="33"/>
  <c r="G12" i="33"/>
  <c r="B6" i="33"/>
  <c r="G6" i="33"/>
  <c r="B4" i="33"/>
  <c r="B10" i="33"/>
  <c r="G4" i="33"/>
  <c r="G5" i="33"/>
  <c r="H48" i="2"/>
  <c r="H9" i="62" s="1"/>
  <c r="C41" i="64"/>
  <c r="C4" i="33"/>
  <c r="C36" i="64"/>
  <c r="W102" i="64" s="1"/>
  <c r="W146" i="64" s="1"/>
  <c r="F3" i="33"/>
  <c r="F10" i="33"/>
  <c r="F12" i="33"/>
  <c r="F9" i="33"/>
  <c r="B11" i="33"/>
  <c r="B12" i="33"/>
  <c r="H51" i="2"/>
  <c r="H12" i="62" s="1"/>
  <c r="C44" i="64"/>
  <c r="C6" i="33"/>
  <c r="C38" i="64"/>
  <c r="Y102" i="64" s="1"/>
  <c r="Y146" i="64" s="1"/>
  <c r="C5" i="33"/>
  <c r="C37" i="64"/>
  <c r="X102" i="64" s="1"/>
  <c r="X146" i="64" s="1"/>
  <c r="G3" i="33"/>
  <c r="G11" i="33"/>
  <c r="H49" i="2"/>
  <c r="H10" i="62" s="1"/>
  <c r="C42" i="64"/>
  <c r="H50" i="2"/>
  <c r="H11" i="62" s="1"/>
  <c r="C43" i="64"/>
  <c r="H47" i="2"/>
  <c r="H8" i="62" s="1"/>
  <c r="C40" i="64"/>
  <c r="AA102" i="64" s="1"/>
  <c r="AA146" i="64" s="1"/>
  <c r="F8" i="33"/>
  <c r="G9" i="33"/>
  <c r="E4" i="33"/>
  <c r="E7" i="33"/>
  <c r="B3" i="33"/>
  <c r="B9" i="33"/>
  <c r="B8" i="33"/>
  <c r="G10" i="33"/>
  <c r="C7" i="33"/>
  <c r="C39" i="64"/>
  <c r="Z102" i="64" s="1"/>
  <c r="Z146" i="64" s="1"/>
  <c r="G7" i="33"/>
  <c r="F6" i="33"/>
  <c r="F11" i="33"/>
  <c r="P75" i="2"/>
  <c r="P76" i="2"/>
  <c r="E24" i="33"/>
  <c r="M63" i="2"/>
  <c r="E10" i="33"/>
  <c r="M49" i="2"/>
  <c r="E22" i="33"/>
  <c r="M61" i="2"/>
  <c r="C29" i="33"/>
  <c r="P68" i="2"/>
  <c r="C28" i="33"/>
  <c r="P67" i="2"/>
  <c r="C16" i="33"/>
  <c r="P55" i="2"/>
  <c r="E29" i="33"/>
  <c r="M68" i="2"/>
  <c r="C14" i="33"/>
  <c r="P53" i="2"/>
  <c r="E34" i="33"/>
  <c r="M73" i="2"/>
  <c r="C33" i="33"/>
  <c r="P72" i="2"/>
  <c r="E23" i="33"/>
  <c r="M62" i="2"/>
  <c r="E25" i="33"/>
  <c r="M64" i="2"/>
  <c r="E13" i="33"/>
  <c r="M52" i="2"/>
  <c r="E21" i="33"/>
  <c r="M60" i="2"/>
  <c r="C13" i="33"/>
  <c r="P52" i="2"/>
  <c r="C20" i="33"/>
  <c r="P59" i="2"/>
  <c r="C15" i="33"/>
  <c r="P54" i="2"/>
  <c r="E31" i="33"/>
  <c r="M70" i="2"/>
  <c r="E26" i="33"/>
  <c r="M65" i="2"/>
  <c r="E12" i="33"/>
  <c r="M51" i="2"/>
  <c r="C31" i="33"/>
  <c r="P70" i="2"/>
  <c r="C19" i="33"/>
  <c r="P58" i="2"/>
  <c r="E37" i="33"/>
  <c r="M76" i="2"/>
  <c r="C25" i="33"/>
  <c r="P64" i="2"/>
  <c r="C11" i="33"/>
  <c r="P50" i="2"/>
  <c r="C9" i="33"/>
  <c r="P48" i="2"/>
  <c r="C17" i="33"/>
  <c r="P56" i="2"/>
  <c r="E9" i="33"/>
  <c r="M48" i="2"/>
  <c r="C27" i="33"/>
  <c r="P66" i="2"/>
  <c r="C32" i="33"/>
  <c r="P71" i="2"/>
  <c r="C24" i="33"/>
  <c r="P63" i="2"/>
  <c r="E14" i="33"/>
  <c r="M53" i="2"/>
  <c r="E11" i="33"/>
  <c r="M50" i="2"/>
  <c r="E15" i="33"/>
  <c r="M54" i="2"/>
  <c r="C35" i="33"/>
  <c r="P74" i="2"/>
  <c r="E35" i="33"/>
  <c r="M74" i="2"/>
  <c r="E33" i="33"/>
  <c r="M72" i="2"/>
  <c r="C10" i="33"/>
  <c r="P49" i="2"/>
  <c r="C26" i="33"/>
  <c r="P65" i="2"/>
  <c r="E27" i="33"/>
  <c r="M66" i="2"/>
  <c r="C23" i="33"/>
  <c r="P62" i="2"/>
  <c r="E16" i="33"/>
  <c r="M55" i="2"/>
  <c r="C12" i="33"/>
  <c r="P51" i="2"/>
  <c r="C8" i="33"/>
  <c r="P47" i="2"/>
  <c r="E8" i="33"/>
  <c r="M47" i="2"/>
  <c r="E32" i="33"/>
  <c r="M71" i="2"/>
  <c r="C22" i="33"/>
  <c r="P61" i="2"/>
  <c r="C21" i="33"/>
  <c r="P60" i="2"/>
  <c r="C34" i="33"/>
  <c r="P73" i="2"/>
  <c r="E19" i="33"/>
  <c r="M58" i="2"/>
  <c r="U75" i="2"/>
  <c r="N75" i="2"/>
  <c r="O75" i="2" s="1"/>
  <c r="Q75" i="2"/>
  <c r="S75" i="2" s="1"/>
  <c r="T75" i="2" s="1"/>
  <c r="R75" i="2"/>
  <c r="E20" i="33"/>
  <c r="M59" i="2"/>
  <c r="E18" i="33"/>
  <c r="M57" i="2"/>
  <c r="C30" i="33"/>
  <c r="P69" i="2"/>
  <c r="E17" i="33"/>
  <c r="M56" i="2"/>
  <c r="E30" i="33"/>
  <c r="M69" i="2"/>
  <c r="C18" i="33"/>
  <c r="P57" i="2"/>
  <c r="E28" i="33"/>
  <c r="M67" i="2"/>
  <c r="C36" i="33"/>
  <c r="H37" i="33"/>
  <c r="C37" i="33"/>
  <c r="E36" i="33"/>
  <c r="H28" i="33"/>
  <c r="F14" i="13"/>
  <c r="F9" i="13"/>
  <c r="A13" i="13"/>
  <c r="H13" i="13" s="1"/>
  <c r="D13" i="13"/>
  <c r="F11" i="13"/>
  <c r="H25" i="33"/>
  <c r="D5" i="13"/>
  <c r="H31" i="33"/>
  <c r="F12" i="13"/>
  <c r="B7" i="68"/>
  <c r="H27" i="33"/>
  <c r="H32" i="33"/>
  <c r="F8" i="13"/>
  <c r="H24" i="33"/>
  <c r="H35" i="33"/>
  <c r="Y28" i="68"/>
  <c r="Y41" i="68" s="1"/>
  <c r="H26" i="33"/>
  <c r="E13" i="13"/>
  <c r="B13" i="13"/>
  <c r="D11" i="13"/>
  <c r="H21" i="33"/>
  <c r="H29" i="33"/>
  <c r="H20" i="33"/>
  <c r="E12" i="13"/>
  <c r="H34" i="33"/>
  <c r="H30" i="33"/>
  <c r="A9" i="13"/>
  <c r="H9" i="13" s="1"/>
  <c r="E6" i="13"/>
  <c r="E7" i="13"/>
  <c r="B8" i="68"/>
  <c r="M45" i="2"/>
  <c r="N45" i="2" s="1"/>
  <c r="O45" i="2" s="1"/>
  <c r="U45" i="2" s="1"/>
  <c r="B7" i="13"/>
  <c r="A8" i="68"/>
  <c r="G8" i="68" s="1"/>
  <c r="D8" i="13"/>
  <c r="A7" i="13"/>
  <c r="H7" i="13" s="1"/>
  <c r="D4" i="13"/>
  <c r="F5" i="13"/>
  <c r="F10" i="13"/>
  <c r="M42" i="2"/>
  <c r="N42" i="2" s="1"/>
  <c r="O42" i="2" s="1"/>
  <c r="Q42" i="2" s="1"/>
  <c r="P45" i="2"/>
  <c r="A7" i="68"/>
  <c r="G7" i="68" s="1"/>
  <c r="H43" i="2"/>
  <c r="H4" i="62" s="1"/>
  <c r="A5" i="68"/>
  <c r="G5" i="68" s="1"/>
  <c r="B4" i="68"/>
  <c r="A4" i="13"/>
  <c r="H4" i="13" s="1"/>
  <c r="P42" i="2"/>
  <c r="A4" i="68"/>
  <c r="G4" i="68" s="1"/>
  <c r="F3" i="13"/>
  <c r="E5" i="13"/>
  <c r="B6" i="68"/>
  <c r="A6" i="68"/>
  <c r="G6" i="68" s="1"/>
  <c r="F6" i="13"/>
  <c r="E4" i="13"/>
  <c r="B5" i="68"/>
  <c r="M43" i="2"/>
  <c r="N43" i="2" s="1"/>
  <c r="O43" i="2" s="1"/>
  <c r="Q43" i="2" s="1"/>
  <c r="E10" i="13"/>
  <c r="A12" i="13"/>
  <c r="H12" i="13" s="1"/>
  <c r="E9" i="13"/>
  <c r="D14" i="13"/>
  <c r="D6" i="13"/>
  <c r="H23" i="33"/>
  <c r="M44" i="2"/>
  <c r="N44" i="2" s="1"/>
  <c r="O44" i="2" s="1"/>
  <c r="Q44" i="2" s="1"/>
  <c r="P44" i="2"/>
  <c r="F4" i="13"/>
  <c r="T28" i="68"/>
  <c r="T51" i="68" s="1"/>
  <c r="T65" i="68" s="1"/>
  <c r="T75" i="68" s="1"/>
  <c r="T87" i="68" s="1"/>
  <c r="E11" i="13"/>
  <c r="H36" i="33"/>
  <c r="E3" i="13"/>
  <c r="A11" i="13"/>
  <c r="H11" i="13" s="1"/>
  <c r="W28" i="68"/>
  <c r="W51" i="68" s="1"/>
  <c r="W65" i="68" s="1"/>
  <c r="W75" i="68" s="1"/>
  <c r="W87" i="68" s="1"/>
  <c r="H22" i="33"/>
  <c r="F7" i="13"/>
  <c r="A6" i="13"/>
  <c r="H6" i="13" s="1"/>
  <c r="B8" i="13"/>
  <c r="D3" i="13"/>
  <c r="P46" i="2"/>
  <c r="H19" i="33"/>
  <c r="S28" i="68"/>
  <c r="S51" i="68" s="1"/>
  <c r="S65" i="68" s="1"/>
  <c r="S75" i="68" s="1"/>
  <c r="S87" i="68" s="1"/>
  <c r="D9" i="13"/>
  <c r="H33" i="33"/>
  <c r="A3" i="13"/>
  <c r="H3" i="13" s="1"/>
  <c r="AA28" i="68"/>
  <c r="AA51" i="68" s="1"/>
  <c r="AA65" i="68" s="1"/>
  <c r="AA75" i="68" s="1"/>
  <c r="AA87" i="68" s="1"/>
  <c r="E8" i="13"/>
  <c r="B9" i="13"/>
  <c r="A14" i="13"/>
  <c r="H14" i="13" s="1"/>
  <c r="H45" i="2"/>
  <c r="H6" i="62" s="1"/>
  <c r="B3" i="13"/>
  <c r="D10" i="13"/>
  <c r="Z28" i="68"/>
  <c r="Z51" i="68" s="1"/>
  <c r="Z65" i="68" s="1"/>
  <c r="Z75" i="68" s="1"/>
  <c r="Z87" i="68" s="1"/>
  <c r="B10" i="13"/>
  <c r="B6" i="13"/>
  <c r="B14" i="13"/>
  <c r="V28" i="68"/>
  <c r="V41" i="68" s="1"/>
  <c r="D12" i="13"/>
  <c r="B12" i="13"/>
  <c r="B5" i="13"/>
  <c r="U28" i="68"/>
  <c r="U41" i="68" s="1"/>
  <c r="B4" i="13"/>
  <c r="A8" i="13"/>
  <c r="H8" i="13" s="1"/>
  <c r="H44" i="2"/>
  <c r="H5" i="62" s="1"/>
  <c r="B11" i="13"/>
  <c r="P43" i="2"/>
  <c r="X28" i="68"/>
  <c r="X51" i="68" s="1"/>
  <c r="X65" i="68" s="1"/>
  <c r="X75" i="68" s="1"/>
  <c r="X87" i="68" s="1"/>
  <c r="H46" i="2"/>
  <c r="H7" i="62" s="1"/>
  <c r="E14" i="13"/>
  <c r="D7" i="13"/>
  <c r="M46" i="2"/>
  <c r="N46" i="2" s="1"/>
  <c r="O46" i="2" s="1"/>
  <c r="Q46" i="2" s="1"/>
  <c r="S46" i="2" s="1"/>
  <c r="T46" i="2" s="1"/>
  <c r="F13" i="13"/>
  <c r="R28" i="68"/>
  <c r="R51" i="68" s="1"/>
  <c r="R65" i="68" s="1"/>
  <c r="R75" i="68" s="1"/>
  <c r="R87" i="68" s="1"/>
  <c r="A5" i="13"/>
  <c r="H5" i="13" s="1"/>
  <c r="E79" i="2"/>
  <c r="H42" i="2"/>
  <c r="H3" i="62" s="1"/>
  <c r="A10" i="13"/>
  <c r="H10" i="13" s="1"/>
  <c r="Y214" i="64" l="1"/>
  <c r="AC89" i="64"/>
  <c r="AC134" i="64" s="1"/>
  <c r="E13" i="64"/>
  <c r="F13" i="64" s="1"/>
  <c r="G13" i="64" s="1"/>
  <c r="X214" i="64"/>
  <c r="D13" i="64"/>
  <c r="Y218" i="64"/>
  <c r="I42" i="64"/>
  <c r="AC102" i="64"/>
  <c r="AC146" i="64" s="1"/>
  <c r="I41" i="64"/>
  <c r="AB102" i="64"/>
  <c r="AB146" i="64" s="1"/>
  <c r="I44" i="64"/>
  <c r="AE102" i="64"/>
  <c r="AE146" i="64" s="1"/>
  <c r="I43" i="64"/>
  <c r="AD102" i="64"/>
  <c r="AD146" i="64" s="1"/>
  <c r="Z214" i="64"/>
  <c r="AA214" i="64"/>
  <c r="Z213" i="64"/>
  <c r="AA213" i="64"/>
  <c r="V220" i="64"/>
  <c r="W220" i="64"/>
  <c r="V216" i="64"/>
  <c r="W216" i="64"/>
  <c r="V218" i="64"/>
  <c r="W218" i="64"/>
  <c r="V217" i="64"/>
  <c r="W217" i="64"/>
  <c r="V215" i="64"/>
  <c r="W215" i="64"/>
  <c r="X213" i="64"/>
  <c r="Y213" i="64"/>
  <c r="X218" i="64"/>
  <c r="X220" i="64"/>
  <c r="X219" i="64"/>
  <c r="X217" i="64"/>
  <c r="E10" i="64"/>
  <c r="F10" i="64" s="1"/>
  <c r="G10" i="64" s="1"/>
  <c r="V219" i="64"/>
  <c r="D10" i="64"/>
  <c r="AA89" i="64"/>
  <c r="AA134" i="64" s="1"/>
  <c r="D11" i="64"/>
  <c r="E11" i="64"/>
  <c r="F11" i="64" s="1"/>
  <c r="G11" i="64" s="1"/>
  <c r="D9" i="64"/>
  <c r="Y89" i="64"/>
  <c r="Y134" i="64" s="1"/>
  <c r="E9" i="64"/>
  <c r="F9" i="64" s="1"/>
  <c r="G9" i="64" s="1"/>
  <c r="Z89" i="64"/>
  <c r="Z134" i="64" s="1"/>
  <c r="D12" i="64"/>
  <c r="E12" i="64"/>
  <c r="F12" i="64" s="1"/>
  <c r="G12" i="64" s="1"/>
  <c r="AB89" i="64"/>
  <c r="AB134" i="64" s="1"/>
  <c r="E8" i="64"/>
  <c r="F8" i="64" s="1"/>
  <c r="G8" i="64" s="1"/>
  <c r="D8" i="64"/>
  <c r="X89" i="64"/>
  <c r="X134" i="64" s="1"/>
  <c r="H17" i="33"/>
  <c r="H14" i="33"/>
  <c r="H18" i="33"/>
  <c r="H16" i="33"/>
  <c r="H15" i="33"/>
  <c r="H13" i="33"/>
  <c r="H14" i="64"/>
  <c r="I14" i="64" s="1"/>
  <c r="H15" i="64"/>
  <c r="I15" i="64" s="1"/>
  <c r="D7" i="64"/>
  <c r="W89" i="64"/>
  <c r="W134" i="64" s="1"/>
  <c r="E7" i="64"/>
  <c r="F7" i="64" s="1"/>
  <c r="G7" i="64" s="1"/>
  <c r="D16" i="64"/>
  <c r="E16" i="64"/>
  <c r="F16" i="64" s="1"/>
  <c r="T90" i="64"/>
  <c r="T135" i="64" s="1"/>
  <c r="E18" i="64"/>
  <c r="F18" i="64" s="1"/>
  <c r="G18" i="64" s="1"/>
  <c r="V90" i="64"/>
  <c r="V135" i="64" s="1"/>
  <c r="D18" i="64"/>
  <c r="E20" i="64"/>
  <c r="F20" i="64" s="1"/>
  <c r="D20" i="64"/>
  <c r="X90" i="64"/>
  <c r="X135" i="64" s="1"/>
  <c r="D21" i="64"/>
  <c r="Y90" i="64"/>
  <c r="Y135" i="64" s="1"/>
  <c r="E21" i="64"/>
  <c r="F21" i="64" s="1"/>
  <c r="G21" i="64" s="1"/>
  <c r="U90" i="64"/>
  <c r="U135" i="64" s="1"/>
  <c r="D17" i="64"/>
  <c r="E17" i="64"/>
  <c r="F17" i="64" s="1"/>
  <c r="G17" i="64" s="1"/>
  <c r="E19" i="64"/>
  <c r="F19" i="64" s="1"/>
  <c r="G19" i="64" s="1"/>
  <c r="D19" i="64"/>
  <c r="W90" i="64"/>
  <c r="W135" i="64" s="1"/>
  <c r="E6" i="64"/>
  <c r="F6" i="64" s="1"/>
  <c r="G6" i="64" s="1"/>
  <c r="V89" i="64"/>
  <c r="V134" i="64" s="1"/>
  <c r="D6" i="64"/>
  <c r="S41" i="2"/>
  <c r="T41" i="2" s="1"/>
  <c r="R41" i="2"/>
  <c r="H10" i="33"/>
  <c r="H8" i="33"/>
  <c r="H9" i="33"/>
  <c r="H12" i="33"/>
  <c r="D43" i="64"/>
  <c r="E43" i="64"/>
  <c r="D37" i="64"/>
  <c r="E37" i="64"/>
  <c r="H5" i="33"/>
  <c r="H3" i="33"/>
  <c r="H11" i="33"/>
  <c r="E42" i="64"/>
  <c r="D42" i="64"/>
  <c r="E38" i="64"/>
  <c r="D38" i="64"/>
  <c r="D36" i="64"/>
  <c r="E36" i="64"/>
  <c r="D39" i="64"/>
  <c r="E39" i="64"/>
  <c r="D44" i="64"/>
  <c r="E44" i="64"/>
  <c r="E41" i="64"/>
  <c r="D41" i="64"/>
  <c r="H6" i="33"/>
  <c r="H4" i="33"/>
  <c r="E40" i="64"/>
  <c r="D40" i="64"/>
  <c r="D35" i="64"/>
  <c r="E35" i="64"/>
  <c r="H7" i="33"/>
  <c r="N56" i="2"/>
  <c r="O56" i="2" s="1"/>
  <c r="U56" i="2" s="1"/>
  <c r="U66" i="2"/>
  <c r="N66" i="2"/>
  <c r="O66" i="2" s="1"/>
  <c r="Q66" i="2"/>
  <c r="S66" i="2" s="1"/>
  <c r="T66" i="2" s="1"/>
  <c r="R66" i="2"/>
  <c r="U74" i="2"/>
  <c r="N74" i="2"/>
  <c r="O74" i="2" s="1"/>
  <c r="Q74" i="2"/>
  <c r="S74" i="2" s="1"/>
  <c r="T74" i="2" s="1"/>
  <c r="R74" i="2"/>
  <c r="N53" i="2"/>
  <c r="O53" i="2" s="1"/>
  <c r="U53" i="2" s="1"/>
  <c r="N48" i="2"/>
  <c r="O48" i="2" s="1"/>
  <c r="U48" i="2" s="1"/>
  <c r="N51" i="2"/>
  <c r="O51" i="2" s="1"/>
  <c r="Q51" i="2" s="1"/>
  <c r="Q64" i="2"/>
  <c r="S64" i="2" s="1"/>
  <c r="T64" i="2" s="1"/>
  <c r="R64" i="2"/>
  <c r="N64" i="2"/>
  <c r="O64" i="2" s="1"/>
  <c r="U64" i="2"/>
  <c r="U67" i="2"/>
  <c r="N67" i="2"/>
  <c r="O67" i="2" s="1"/>
  <c r="Q67" i="2"/>
  <c r="S67" i="2" s="1"/>
  <c r="T67" i="2" s="1"/>
  <c r="R67" i="2"/>
  <c r="U76" i="2"/>
  <c r="N76" i="2"/>
  <c r="O76" i="2" s="1"/>
  <c r="R76" i="2"/>
  <c r="Q76" i="2"/>
  <c r="S76" i="2" s="1"/>
  <c r="T76" i="2" s="1"/>
  <c r="N65" i="2"/>
  <c r="O65" i="2" s="1"/>
  <c r="R65" i="2"/>
  <c r="Q65" i="2"/>
  <c r="S65" i="2" s="1"/>
  <c r="T65" i="2" s="1"/>
  <c r="U65" i="2"/>
  <c r="Q62" i="2"/>
  <c r="S62" i="2" s="1"/>
  <c r="T62" i="2" s="1"/>
  <c r="R62" i="2"/>
  <c r="U62" i="2"/>
  <c r="N62" i="2"/>
  <c r="O62" i="2" s="1"/>
  <c r="U68" i="2"/>
  <c r="N68" i="2"/>
  <c r="O68" i="2" s="1"/>
  <c r="Q68" i="2"/>
  <c r="S68" i="2" s="1"/>
  <c r="T68" i="2" s="1"/>
  <c r="R68" i="2"/>
  <c r="R61" i="2"/>
  <c r="U61" i="2"/>
  <c r="N61" i="2"/>
  <c r="O61" i="2" s="1"/>
  <c r="Q61" i="2"/>
  <c r="S61" i="2" s="1"/>
  <c r="T61" i="2" s="1"/>
  <c r="N57" i="2"/>
  <c r="O57" i="2" s="1"/>
  <c r="Q57" i="2" s="1"/>
  <c r="S57" i="2" s="1"/>
  <c r="T57" i="2" s="1"/>
  <c r="U58" i="2"/>
  <c r="N58" i="2"/>
  <c r="O58" i="2" s="1"/>
  <c r="R58" i="2"/>
  <c r="Q58" i="2"/>
  <c r="S58" i="2" s="1"/>
  <c r="T58" i="2" s="1"/>
  <c r="Q71" i="2"/>
  <c r="S71" i="2" s="1"/>
  <c r="T71" i="2" s="1"/>
  <c r="R71" i="2"/>
  <c r="U71" i="2"/>
  <c r="N71" i="2"/>
  <c r="O71" i="2" s="1"/>
  <c r="N55" i="2"/>
  <c r="O55" i="2" s="1"/>
  <c r="U55" i="2" s="1"/>
  <c r="N54" i="2"/>
  <c r="O54" i="2" s="1"/>
  <c r="U54" i="2" s="1"/>
  <c r="Q70" i="2"/>
  <c r="S70" i="2" s="1"/>
  <c r="T70" i="2" s="1"/>
  <c r="R70" i="2"/>
  <c r="U70" i="2"/>
  <c r="N70" i="2"/>
  <c r="O70" i="2" s="1"/>
  <c r="U60" i="2"/>
  <c r="N60" i="2"/>
  <c r="O60" i="2" s="1"/>
  <c r="Q60" i="2"/>
  <c r="S60" i="2" s="1"/>
  <c r="T60" i="2" s="1"/>
  <c r="R60" i="2"/>
  <c r="N49" i="2"/>
  <c r="O49" i="2" s="1"/>
  <c r="Q49" i="2" s="1"/>
  <c r="R69" i="2"/>
  <c r="U69" i="2"/>
  <c r="N69" i="2"/>
  <c r="O69" i="2" s="1"/>
  <c r="Q69" i="2"/>
  <c r="S69" i="2" s="1"/>
  <c r="T69" i="2" s="1"/>
  <c r="U59" i="2"/>
  <c r="N59" i="2"/>
  <c r="O59" i="2" s="1"/>
  <c r="R59" i="2"/>
  <c r="Q59" i="2"/>
  <c r="S59" i="2" s="1"/>
  <c r="T59" i="2" s="1"/>
  <c r="N47" i="2"/>
  <c r="O47" i="2" s="1"/>
  <c r="U47" i="2" s="1"/>
  <c r="Q72" i="2"/>
  <c r="S72" i="2" s="1"/>
  <c r="T72" i="2" s="1"/>
  <c r="R72" i="2"/>
  <c r="N72" i="2"/>
  <c r="O72" i="2" s="1"/>
  <c r="U72" i="2"/>
  <c r="N50" i="2"/>
  <c r="O50" i="2" s="1"/>
  <c r="Q50" i="2" s="1"/>
  <c r="S50" i="2" s="1"/>
  <c r="T50" i="2" s="1"/>
  <c r="N52" i="2"/>
  <c r="O52" i="2" s="1"/>
  <c r="U52" i="2" s="1"/>
  <c r="N73" i="2"/>
  <c r="O73" i="2" s="1"/>
  <c r="Q73" i="2"/>
  <c r="S73" i="2" s="1"/>
  <c r="T73" i="2" s="1"/>
  <c r="R73" i="2"/>
  <c r="U73" i="2"/>
  <c r="Q63" i="2"/>
  <c r="S63" i="2" s="1"/>
  <c r="T63" i="2" s="1"/>
  <c r="R63" i="2"/>
  <c r="U63" i="2"/>
  <c r="N63" i="2"/>
  <c r="O63" i="2" s="1"/>
  <c r="Y51" i="68"/>
  <c r="Y65" i="68" s="1"/>
  <c r="Y75" i="68" s="1"/>
  <c r="Y87" i="68" s="1"/>
  <c r="C6" i="68"/>
  <c r="D6" i="68" s="1"/>
  <c r="C8" i="68"/>
  <c r="D8" i="68" s="1"/>
  <c r="C4" i="68"/>
  <c r="D4" i="68" s="1"/>
  <c r="C5" i="68"/>
  <c r="D5" i="68" s="1"/>
  <c r="C7" i="68"/>
  <c r="D7" i="68" s="1"/>
  <c r="F7" i="68" s="1"/>
  <c r="X41" i="68"/>
  <c r="AA41" i="68"/>
  <c r="T41" i="68"/>
  <c r="W41" i="68"/>
  <c r="V51" i="68"/>
  <c r="V65" i="68" s="1"/>
  <c r="V75" i="68" s="1"/>
  <c r="V87" i="68" s="1"/>
  <c r="R41" i="68"/>
  <c r="S41" i="68"/>
  <c r="Z41" i="68"/>
  <c r="U51" i="68"/>
  <c r="U65" i="68" s="1"/>
  <c r="U75" i="68" s="1"/>
  <c r="U87" i="68" s="1"/>
  <c r="U43" i="2"/>
  <c r="U46" i="2"/>
  <c r="Q45" i="2"/>
  <c r="U44" i="2"/>
  <c r="S43" i="2"/>
  <c r="T43" i="2" s="1"/>
  <c r="R43" i="2"/>
  <c r="S42" i="2"/>
  <c r="T42" i="2" s="1"/>
  <c r="R42" i="2"/>
  <c r="S44" i="2"/>
  <c r="T44" i="2" s="1"/>
  <c r="R44" i="2"/>
  <c r="U42" i="2"/>
  <c r="R46" i="2"/>
  <c r="H13" i="64" l="1"/>
  <c r="I13" i="64" s="1"/>
  <c r="U89" i="64"/>
  <c r="U134" i="64" s="1"/>
  <c r="W214" i="64"/>
  <c r="V214" i="64"/>
  <c r="E5" i="64"/>
  <c r="F5" i="64" s="1"/>
  <c r="G5" i="64" s="1"/>
  <c r="D5" i="64"/>
  <c r="H10" i="64"/>
  <c r="I10" i="64" s="1"/>
  <c r="M10" i="64" s="1"/>
  <c r="H12" i="64"/>
  <c r="I12" i="64" s="1"/>
  <c r="H8" i="64"/>
  <c r="I8" i="64" s="1"/>
  <c r="H11" i="64"/>
  <c r="O11" i="64" s="1"/>
  <c r="H9" i="64"/>
  <c r="I9" i="64" s="1"/>
  <c r="N14" i="64"/>
  <c r="M14" i="64"/>
  <c r="K14" i="64"/>
  <c r="L14" i="64"/>
  <c r="O15" i="64"/>
  <c r="H7" i="64"/>
  <c r="I7" i="64" s="1"/>
  <c r="O13" i="64"/>
  <c r="O14" i="64"/>
  <c r="H19" i="64"/>
  <c r="I19" i="64" s="1"/>
  <c r="H21" i="64"/>
  <c r="I21" i="64" s="1"/>
  <c r="H17" i="64"/>
  <c r="O17" i="64" s="1"/>
  <c r="H20" i="64"/>
  <c r="G20" i="64"/>
  <c r="H16" i="64"/>
  <c r="G16" i="64"/>
  <c r="H18" i="64"/>
  <c r="K15" i="64"/>
  <c r="M15" i="64"/>
  <c r="N15" i="64"/>
  <c r="L15" i="64"/>
  <c r="M13" i="64"/>
  <c r="N13" i="64"/>
  <c r="K13" i="64"/>
  <c r="L13" i="64"/>
  <c r="U57" i="2"/>
  <c r="R57" i="2"/>
  <c r="Q56" i="2"/>
  <c r="H6" i="64"/>
  <c r="F40" i="64"/>
  <c r="G40" i="64" s="1"/>
  <c r="F41" i="64"/>
  <c r="G41" i="64" s="1"/>
  <c r="F39" i="64"/>
  <c r="F38" i="64"/>
  <c r="F44" i="64"/>
  <c r="G44" i="64" s="1"/>
  <c r="F36" i="64"/>
  <c r="F37" i="64"/>
  <c r="G37" i="64" s="1"/>
  <c r="F43" i="64"/>
  <c r="G43" i="64" s="1"/>
  <c r="F35" i="64"/>
  <c r="F42" i="64"/>
  <c r="G42" i="64" s="1"/>
  <c r="Q52" i="2"/>
  <c r="S52" i="2" s="1"/>
  <c r="T52" i="2" s="1"/>
  <c r="Q53" i="2"/>
  <c r="S53" i="2" s="1"/>
  <c r="T53" i="2" s="1"/>
  <c r="Q47" i="2"/>
  <c r="S47" i="2" s="1"/>
  <c r="T47" i="2" s="1"/>
  <c r="Q55" i="2"/>
  <c r="S55" i="2" s="1"/>
  <c r="T55" i="2" s="1"/>
  <c r="U51" i="2"/>
  <c r="Q48" i="2"/>
  <c r="S48" i="2" s="1"/>
  <c r="T48" i="2" s="1"/>
  <c r="Q54" i="2"/>
  <c r="S54" i="2" s="1"/>
  <c r="T54" i="2" s="1"/>
  <c r="U50" i="2"/>
  <c r="S51" i="2"/>
  <c r="T51" i="2" s="1"/>
  <c r="R51" i="2"/>
  <c r="S49" i="2"/>
  <c r="T49" i="2" s="1"/>
  <c r="R49" i="2"/>
  <c r="R50" i="2"/>
  <c r="U49" i="2"/>
  <c r="F6" i="68"/>
  <c r="M6" i="68" s="1"/>
  <c r="E6" i="68"/>
  <c r="M7" i="68"/>
  <c r="E4" i="68"/>
  <c r="F4" i="68"/>
  <c r="F5" i="68"/>
  <c r="E5" i="68"/>
  <c r="F8" i="68"/>
  <c r="E8" i="68"/>
  <c r="E7" i="68"/>
  <c r="S45" i="2"/>
  <c r="T45" i="2" s="1"/>
  <c r="R45" i="2"/>
  <c r="H5" i="64" l="1"/>
  <c r="N10" i="64"/>
  <c r="O10" i="64"/>
  <c r="K10" i="64"/>
  <c r="L10" i="64"/>
  <c r="O8" i="64"/>
  <c r="O12" i="64"/>
  <c r="O9" i="64"/>
  <c r="I11" i="64"/>
  <c r="N11" i="64" s="1"/>
  <c r="I17" i="64"/>
  <c r="N17" i="64" s="1"/>
  <c r="O21" i="64"/>
  <c r="O19" i="64"/>
  <c r="O7" i="64"/>
  <c r="K9" i="64"/>
  <c r="N9" i="64"/>
  <c r="L9" i="64"/>
  <c r="M9" i="64"/>
  <c r="L12" i="64"/>
  <c r="N12" i="64"/>
  <c r="M12" i="64"/>
  <c r="K12" i="64"/>
  <c r="I6" i="64"/>
  <c r="M6" i="64" s="1"/>
  <c r="I18" i="64"/>
  <c r="O18" i="64"/>
  <c r="O16" i="64"/>
  <c r="I16" i="64"/>
  <c r="I20" i="64"/>
  <c r="O20" i="64"/>
  <c r="K19" i="64"/>
  <c r="L19" i="64"/>
  <c r="N19" i="64"/>
  <c r="M19" i="64"/>
  <c r="M8" i="64"/>
  <c r="N8" i="64"/>
  <c r="L8" i="64"/>
  <c r="K8" i="64"/>
  <c r="L21" i="64"/>
  <c r="M21" i="64"/>
  <c r="K21" i="64"/>
  <c r="N21" i="64"/>
  <c r="S56" i="2"/>
  <c r="T56" i="2" s="1"/>
  <c r="R56" i="2"/>
  <c r="O6" i="64"/>
  <c r="N7" i="64"/>
  <c r="M7" i="64"/>
  <c r="K7" i="64"/>
  <c r="L7" i="64"/>
  <c r="H42" i="64"/>
  <c r="O42" i="64" s="1"/>
  <c r="H40" i="64"/>
  <c r="I40" i="64" s="1"/>
  <c r="H41" i="64"/>
  <c r="G39" i="64"/>
  <c r="H39" i="64"/>
  <c r="I39" i="64" s="1"/>
  <c r="H36" i="64"/>
  <c r="I36" i="64" s="1"/>
  <c r="G36" i="64"/>
  <c r="H43" i="64"/>
  <c r="H44" i="64"/>
  <c r="H38" i="64"/>
  <c r="I38" i="64" s="1"/>
  <c r="G38" i="64"/>
  <c r="G35" i="64"/>
  <c r="H35" i="64"/>
  <c r="I35" i="64" s="1"/>
  <c r="H37" i="64"/>
  <c r="I37" i="64" s="1"/>
  <c r="R52" i="2"/>
  <c r="R48" i="2"/>
  <c r="R53" i="2"/>
  <c r="R55" i="2"/>
  <c r="R47" i="2"/>
  <c r="R54" i="2"/>
  <c r="L6" i="68"/>
  <c r="M8" i="68"/>
  <c r="J7" i="68"/>
  <c r="L7" i="68"/>
  <c r="K7" i="68"/>
  <c r="I7" i="68"/>
  <c r="M5" i="68"/>
  <c r="M4" i="68"/>
  <c r="O5" i="64" l="1"/>
  <c r="I5" i="64"/>
  <c r="M11" i="64"/>
  <c r="L11" i="64"/>
  <c r="K11" i="64"/>
  <c r="K17" i="64"/>
  <c r="M17" i="64"/>
  <c r="L17" i="64"/>
  <c r="N6" i="64"/>
  <c r="K6" i="64"/>
  <c r="L6" i="64" s="1"/>
  <c r="L18" i="64"/>
  <c r="N18" i="64"/>
  <c r="M18" i="64"/>
  <c r="K18" i="64"/>
  <c r="L16" i="64"/>
  <c r="N16" i="64"/>
  <c r="M16" i="64"/>
  <c r="K16" i="64"/>
  <c r="K20" i="64"/>
  <c r="M20" i="64"/>
  <c r="L20" i="64"/>
  <c r="N20" i="64"/>
  <c r="L42" i="64"/>
  <c r="O40" i="64"/>
  <c r="O41" i="64"/>
  <c r="O38" i="64"/>
  <c r="O39" i="64"/>
  <c r="O43" i="64"/>
  <c r="O37" i="64"/>
  <c r="O36" i="64"/>
  <c r="O35" i="64"/>
  <c r="O44" i="64"/>
  <c r="I6" i="68"/>
  <c r="J6" i="68"/>
  <c r="K6" i="68"/>
  <c r="L5" i="68"/>
  <c r="J5" i="68"/>
  <c r="I5" i="68"/>
  <c r="K5" i="68"/>
  <c r="K4" i="68"/>
  <c r="I4" i="68"/>
  <c r="L4" i="68"/>
  <c r="J4" i="68"/>
  <c r="K8" i="68"/>
  <c r="J8" i="68"/>
  <c r="L8" i="68"/>
  <c r="I8" i="68"/>
  <c r="N5" i="64" l="1"/>
  <c r="K5" i="64"/>
  <c r="L5" i="64"/>
  <c r="M5" i="64"/>
  <c r="M42" i="64"/>
  <c r="N42" i="64"/>
  <c r="K42" i="64"/>
  <c r="L40" i="64"/>
  <c r="K40" i="64"/>
  <c r="N40" i="64"/>
  <c r="M40" i="64"/>
  <c r="K41" i="64"/>
  <c r="L41" i="64"/>
  <c r="M41" i="64"/>
  <c r="N41" i="64"/>
  <c r="M39" i="64"/>
  <c r="L39" i="64"/>
  <c r="N39" i="64"/>
  <c r="K39" i="64"/>
  <c r="N37" i="64"/>
  <c r="K37" i="64"/>
  <c r="M37" i="64"/>
  <c r="L37" i="64"/>
  <c r="L35" i="64"/>
  <c r="N35" i="64"/>
  <c r="M35" i="64"/>
  <c r="K35" i="64"/>
  <c r="L44" i="64"/>
  <c r="M44" i="64"/>
  <c r="K44" i="64"/>
  <c r="N44" i="64"/>
  <c r="K43" i="64"/>
  <c r="N43" i="64"/>
  <c r="M43" i="64"/>
  <c r="L43" i="64"/>
  <c r="K36" i="64"/>
  <c r="L36" i="64"/>
  <c r="N36" i="64"/>
  <c r="M36" i="64"/>
  <c r="K38" i="64"/>
  <c r="N38" i="64"/>
  <c r="L38" i="64"/>
  <c r="M38" i="64"/>
</calcChain>
</file>

<file path=xl/sharedStrings.xml><?xml version="1.0" encoding="utf-8"?>
<sst xmlns="http://schemas.openxmlformats.org/spreadsheetml/2006/main" count="1042" uniqueCount="352">
  <si>
    <t>First Name</t>
  </si>
  <si>
    <t>MRN</t>
  </si>
  <si>
    <t>Accession #</t>
  </si>
  <si>
    <t>Collection Date</t>
  </si>
  <si>
    <t>Birth Date</t>
  </si>
  <si>
    <t>Gender</t>
  </si>
  <si>
    <t>Case ID</t>
  </si>
  <si>
    <t>DNA Number</t>
  </si>
  <si>
    <t>Color</t>
  </si>
  <si>
    <t>Received Date</t>
  </si>
  <si>
    <t>Received Time</t>
  </si>
  <si>
    <t>Received By</t>
  </si>
  <si>
    <t>Sample Type</t>
  </si>
  <si>
    <t>Sample Amount</t>
  </si>
  <si>
    <t>Ordering Location</t>
  </si>
  <si>
    <t>Location Code (BMT, CCC, etc)</t>
  </si>
  <si>
    <t>Provider Last Name</t>
  </si>
  <si>
    <t>Provider First Name</t>
  </si>
  <si>
    <t>Due Date (10 working days from receipt)</t>
  </si>
  <si>
    <t>Test Requested</t>
  </si>
  <si>
    <t>Assay ID</t>
  </si>
  <si>
    <t>Test Run By</t>
  </si>
  <si>
    <t>Test Run Date</t>
  </si>
  <si>
    <t>Reported Date</t>
  </si>
  <si>
    <t>Invoice Number</t>
  </si>
  <si>
    <t>Notes</t>
  </si>
  <si>
    <t>Holidays (2012-2014)</t>
  </si>
  <si>
    <t>Run Date:</t>
  </si>
  <si>
    <t>Sample # &amp; Color</t>
  </si>
  <si>
    <t>Name</t>
  </si>
  <si>
    <t>Year:</t>
  </si>
  <si>
    <t>Number of samples:</t>
  </si>
  <si>
    <t>Month:</t>
  </si>
  <si>
    <t>Column1</t>
  </si>
  <si>
    <t>LPC</t>
  </si>
  <si>
    <t>Step 1: Enter Patient List from the Sample Receipt Log on the Patient List Tab (click to enter)</t>
  </si>
  <si>
    <t>Last Name</t>
  </si>
  <si>
    <t>Step 3: Select the Run Template File</t>
  </si>
  <si>
    <t>File:</t>
  </si>
  <si>
    <t>Step 4: Select where to save the run record</t>
  </si>
  <si>
    <t>Save Here:</t>
  </si>
  <si>
    <t>Name:</t>
  </si>
  <si>
    <t>Check</t>
  </si>
  <si>
    <t>Step 2: Choose Technician and Enter Run Date(s) Below:</t>
  </si>
  <si>
    <t>Mutation</t>
  </si>
  <si>
    <t>Assay ID:</t>
  </si>
  <si>
    <t>This workbook is a generic workbook to automate the creation of run records.</t>
  </si>
  <si>
    <t>Please follow these instructions when creating a new run record template for a new assay:</t>
  </si>
  <si>
    <t>2. Create the template WORD document and save as a ".dotx" file</t>
  </si>
  <si>
    <t>3. Create the content here that will be sent to the word document. This includes sample tables, plate layout tables, control values, etc.</t>
  </si>
  <si>
    <t>4. All tables and other content that will be sent to the word document MUST be named. Tables can be formatted as tables and named under the "Tables" tab,</t>
  </si>
  <si>
    <t>or cell(s) can be selected and named using "Formulas -&gt; Name Manager".</t>
  </si>
  <si>
    <t>5. Go back to your word document and insert BOOKMARKS for everything that needs to be copied to the new document.</t>
  </si>
  <si>
    <t>IMPORTANT:</t>
  </si>
  <si>
    <t>a. All bookmarks in the word document should be enclosed in [[ ]] in the document, but leave the [[ ]] off the name in the bookmark manager. For example:</t>
  </si>
  <si>
    <t>For a bookmark named AssayID, it should be named AssayID in the bookmark manager.</t>
  </si>
  <si>
    <t>It should be placed in the document as [[AssayID]].</t>
  </si>
  <si>
    <t>Highlight the bookmark name including double brackets [[AssayID]]</t>
  </si>
  <si>
    <t>Click "Insert bookmark" and name the bookmark AssayID (no double brackets)</t>
  </si>
  <si>
    <t>The bookmark with double brackets will be replaced with the AssayID data from this workbook.</t>
  </si>
  <si>
    <t>The double brackets allow us to easily see bookmarks in template files.</t>
  </si>
  <si>
    <t>b. All Bookmarks in the word document MUST have the same name as the named content here. For example</t>
  </si>
  <si>
    <t>The AssayID bookmark in word must have a corresponding named range named AssayID.</t>
  </si>
  <si>
    <t>Any named ranges here that do NOT match a bookmark name exactly will be skipped.</t>
  </si>
  <si>
    <t>Any bookmarks here that do NOT correspond to a named range or tabel here will be skipped.</t>
  </si>
  <si>
    <t>Create a list of named ranges here and in the template document:</t>
  </si>
  <si>
    <t>Created by Sarah Schmitt, 01/Feb/2016</t>
  </si>
  <si>
    <t>6. The last two rows of the Samples table must always be the last two rows. If you need to insert additional rows, insert in the middle and adjust values from there.</t>
  </si>
  <si>
    <t>1. Select a Default file location where template run records will be stored:</t>
  </si>
  <si>
    <t>(this will usually be the main folder for an assay. For example: R:\CANCTR RSCH\CMOL\Assay Results\Clinical Data\PCR-based assays\EGFR)</t>
  </si>
  <si>
    <t>You selected this default folder:</t>
  </si>
  <si>
    <t>Excel Name</t>
  </si>
  <si>
    <t>AssayID</t>
  </si>
  <si>
    <t>Samples</t>
  </si>
  <si>
    <t>DocName</t>
  </si>
  <si>
    <t>LPC_1</t>
  </si>
  <si>
    <t>RunDate</t>
  </si>
  <si>
    <t>SavePath</t>
  </si>
  <si>
    <t>Technician</t>
  </si>
  <si>
    <t>TemplateFile</t>
  </si>
  <si>
    <t>Word Name</t>
  </si>
  <si>
    <t>Named Range</t>
  </si>
  <si>
    <t>AssessmentPlate</t>
  </si>
  <si>
    <t>MutationPlate</t>
  </si>
  <si>
    <t>Type (Range or Table)</t>
  </si>
  <si>
    <t>Table</t>
  </si>
  <si>
    <t>Case # - MRN</t>
  </si>
  <si>
    <t>Sample type</t>
  </si>
  <si>
    <t>DNA Conc. (ng/µl )</t>
  </si>
  <si>
    <t>A260/280</t>
  </si>
  <si>
    <t>QC Result</t>
  </si>
  <si>
    <t>Note</t>
  </si>
  <si>
    <t>Assign samples to Tech</t>
  </si>
  <si>
    <t>Column2</t>
  </si>
  <si>
    <t>Column3</t>
  </si>
  <si>
    <t>Test Requested4</t>
  </si>
  <si>
    <t>Ordering Location5</t>
  </si>
  <si>
    <t>Column6</t>
  </si>
  <si>
    <t>Column7</t>
  </si>
  <si>
    <t>Column8</t>
  </si>
  <si>
    <t>Column9</t>
  </si>
  <si>
    <t>Column10</t>
  </si>
  <si>
    <t>Column11</t>
  </si>
  <si>
    <t>Column12</t>
  </si>
  <si>
    <t>Column13</t>
  </si>
  <si>
    <t>Column14</t>
  </si>
  <si>
    <t>Column17</t>
  </si>
  <si>
    <t>Column18</t>
  </si>
  <si>
    <t>PatientList</t>
  </si>
  <si>
    <t>R:\CANCTR RSCH\CMOL\Assay Results\Clinical Data\PCR-based assays\NRAS\M34n.3-NRAS PCR test record.dotx</t>
  </si>
  <si>
    <t>DilutionTable</t>
  </si>
  <si>
    <t>#</t>
  </si>
  <si>
    <t>DNA #</t>
  </si>
  <si>
    <t># of QC Samples</t>
  </si>
  <si>
    <t>Concentration</t>
  </si>
  <si>
    <t>A260:A280</t>
  </si>
  <si>
    <t>Calculations</t>
  </si>
  <si>
    <t>Conc (ng/ul)</t>
  </si>
  <si>
    <t>Step 5: Enter QC Sample ID (if applicable) - leave blank if not using. YELLOW CELLS ARE REQUIRED</t>
  </si>
  <si>
    <t>Accession # - MRN</t>
  </si>
  <si>
    <t>Ratio</t>
  </si>
  <si>
    <t># FFPE QC</t>
  </si>
  <si>
    <t># Blood QC</t>
  </si>
  <si>
    <t>QC #3</t>
  </si>
  <si>
    <t>QC #4</t>
  </si>
  <si>
    <t>QC #5</t>
  </si>
  <si>
    <t>QC #6</t>
  </si>
  <si>
    <t>QC #7</t>
  </si>
  <si>
    <t>QC #8</t>
  </si>
  <si>
    <t>QC #2</t>
  </si>
  <si>
    <t>QC #1</t>
  </si>
  <si>
    <t>F</t>
  </si>
  <si>
    <t>Step 5: Select Sub Run ID</t>
  </si>
  <si>
    <t>Sub Run ID:</t>
  </si>
  <si>
    <t>Step 6: Verify that the assay ID is correct</t>
  </si>
  <si>
    <t>A</t>
  </si>
  <si>
    <t>B</t>
  </si>
  <si>
    <t>C</t>
  </si>
  <si>
    <t>D</t>
  </si>
  <si>
    <t>E</t>
  </si>
  <si>
    <t>G</t>
  </si>
  <si>
    <t>H</t>
  </si>
  <si>
    <t>7</t>
  </si>
  <si>
    <t>Component</t>
  </si>
  <si>
    <t>1</t>
  </si>
  <si>
    <t>2</t>
  </si>
  <si>
    <t>3</t>
  </si>
  <si>
    <t>4</t>
  </si>
  <si>
    <t>5</t>
  </si>
  <si>
    <t>6</t>
  </si>
  <si>
    <t>8</t>
  </si>
  <si>
    <t>9</t>
  </si>
  <si>
    <t>10</t>
  </si>
  <si>
    <t>11</t>
  </si>
  <si>
    <t>12</t>
  </si>
  <si>
    <t>Column19</t>
  </si>
  <si>
    <t>Column20</t>
  </si>
  <si>
    <t>Column21</t>
  </si>
  <si>
    <t>Column22</t>
  </si>
  <si>
    <t>Column23</t>
  </si>
  <si>
    <t>Column24</t>
  </si>
  <si>
    <t>Column25</t>
  </si>
  <si>
    <t>Column26</t>
  </si>
  <si>
    <t>Panel</t>
  </si>
  <si>
    <t>Step 7: Split Samples by different cycles</t>
  </si>
  <si>
    <t>Number of Heme Samples</t>
  </si>
  <si>
    <t>NGS Heme Samples</t>
  </si>
  <si>
    <t>Index Combination</t>
  </si>
  <si>
    <t>N702</t>
  </si>
  <si>
    <t>N703</t>
  </si>
  <si>
    <t>N704</t>
  </si>
  <si>
    <t>N705</t>
  </si>
  <si>
    <t>MasterMix</t>
  </si>
  <si>
    <t>Fragmentation Buffer 10 x</t>
  </si>
  <si>
    <t>Total</t>
  </si>
  <si>
    <t xml:space="preserve">Master mix 1: End repair </t>
  </si>
  <si>
    <t>Concentration need for the max input</t>
  </si>
  <si>
    <t>Adjusted input</t>
  </si>
  <si>
    <t>From Stock</t>
  </si>
  <si>
    <t>Max Input FFPE 100 ng, Bone Marrow or Blood 80 ng</t>
  </si>
  <si>
    <t>If sample too concentrated</t>
  </si>
  <si>
    <t>Then</t>
  </si>
  <si>
    <t>N706</t>
  </si>
  <si>
    <t>N707</t>
  </si>
  <si>
    <t>N710</t>
  </si>
  <si>
    <r>
      <t>H</t>
    </r>
    <r>
      <rPr>
        <b/>
        <vertAlign val="subscript"/>
        <sz val="10"/>
        <rFont val="Arial Narrow"/>
        <family val="2"/>
      </rPr>
      <t>2</t>
    </r>
    <r>
      <rPr>
        <b/>
        <sz val="10"/>
        <rFont val="Arial Narrow"/>
        <family val="2"/>
      </rPr>
      <t>O</t>
    </r>
  </si>
  <si>
    <t>Total Input (ng)</t>
  </si>
  <si>
    <t>Input (ng)</t>
  </si>
  <si>
    <t>Dilution Guide</t>
  </si>
  <si>
    <t>If sample is too concentrated</t>
  </si>
  <si>
    <t>Hide/second dilution</t>
  </si>
  <si>
    <t>Hide</t>
  </si>
  <si>
    <t>Master mix 2:Adapter Ligation</t>
  </si>
  <si>
    <t>Ligation Buffer, 5x</t>
  </si>
  <si>
    <t>DNA ligase</t>
  </si>
  <si>
    <t>N701</t>
  </si>
  <si>
    <t>Number of Common - B Samples</t>
  </si>
  <si>
    <t>Number of Common - F Samples</t>
  </si>
  <si>
    <t>Index 2</t>
  </si>
  <si>
    <t>Index 1</t>
  </si>
  <si>
    <t>NGS Common Samples Common FFPE</t>
  </si>
  <si>
    <t>NGS Common Samples - DNA, Blood or Bone Marrow</t>
  </si>
  <si>
    <t>Max Input FFPE 100 ng, Bone Marrow or Blood 40 ng</t>
  </si>
  <si>
    <t>Heme plate P1-24 min FEA - Blood or bone marrow DNA</t>
  </si>
  <si>
    <t>FERA Solution</t>
  </si>
  <si>
    <t>Fragmentation Enzyme mix</t>
  </si>
  <si>
    <t>Target Enrichment Mix</t>
  </si>
  <si>
    <t>(TE)</t>
  </si>
  <si>
    <t>Per 1 sample (µL)</t>
  </si>
  <si>
    <t>Volume to tube TE</t>
  </si>
  <si>
    <t>Eluted DNA from previous step</t>
  </si>
  <si>
    <t>TEPCR buffer, 5x</t>
  </si>
  <si>
    <t xml:space="preserve">QIAseq Targeted DNA Panel </t>
  </si>
  <si>
    <t>IL-Forward Primer</t>
  </si>
  <si>
    <t>HotStar Taq DNA Polymerase</t>
  </si>
  <si>
    <t>Universal PCR amplification</t>
  </si>
  <si>
    <t>(UPA)</t>
  </si>
  <si>
    <t>UPCR buffer, 5x</t>
  </si>
  <si>
    <t>IL-Universal Primer</t>
  </si>
  <si>
    <t>Volume to tube UPCR</t>
  </si>
  <si>
    <t>Marker</t>
  </si>
  <si>
    <t>Step 9: Confirm Sample List is correct</t>
  </si>
  <si>
    <t>Step 8: Click "Tables" tab, assign Index for each sample.</t>
  </si>
  <si>
    <t>Common plate P1-B-24 min FEA - Blood or bone marrow DNA</t>
  </si>
  <si>
    <t>Plate P1-F-14 min FEA - FFPE DNA</t>
  </si>
  <si>
    <t>0</t>
  </si>
  <si>
    <t>Ligation solution</t>
  </si>
  <si>
    <t>P1-B</t>
  </si>
  <si>
    <t>DNA Conc. (ng/µL)</t>
  </si>
  <si>
    <t>From Stock (µL)</t>
  </si>
  <si>
    <t>H2O (µL)</t>
  </si>
  <si>
    <t>Volume per sample (µL)</t>
  </si>
  <si>
    <t>Volume to tube ER (µL)</t>
  </si>
  <si>
    <t>Volume to tube AL (µL)</t>
  </si>
  <si>
    <t>N711</t>
  </si>
  <si>
    <t>N712</t>
  </si>
  <si>
    <t>N714</t>
  </si>
  <si>
    <t>N715</t>
  </si>
  <si>
    <t>Technician:</t>
  </si>
  <si>
    <t/>
  </si>
  <si>
    <t>IL-S5xx Index Primer</t>
  </si>
  <si>
    <t>H20</t>
  </si>
  <si>
    <t>NTC-Comp</t>
  </si>
  <si>
    <t>NTC</t>
  </si>
  <si>
    <t>Comp</t>
  </si>
  <si>
    <t>P1</t>
  </si>
  <si>
    <t xml:space="preserve">P1 </t>
  </si>
  <si>
    <t>Cleanup</t>
  </si>
  <si>
    <t>P2</t>
  </si>
  <si>
    <t>UPCR</t>
  </si>
  <si>
    <t>P3</t>
  </si>
  <si>
    <t>QIAxcel loading map</t>
  </si>
  <si>
    <t>Number of Comp Samples</t>
  </si>
  <si>
    <t>Date</t>
  </si>
  <si>
    <t>Changed by</t>
  </si>
  <si>
    <t>Version</t>
  </si>
  <si>
    <t>M44b.0-M44b.1</t>
  </si>
  <si>
    <t>ZP</t>
  </si>
  <si>
    <t>Added Comp tab to reflex current comprehensive workflow. Updated how to reconsitute S5XX tube in the UPCR step. Cleaned saved data by tech and mark the workbook as read only. Updated technician name list.</t>
  </si>
  <si>
    <t>Max Input FFPE 250 ng, Bone Marrow or Blood 80 ng</t>
  </si>
  <si>
    <t>M44b.1-M44b.2</t>
  </si>
  <si>
    <t xml:space="preserve">Increased input for comprehensive panel. </t>
  </si>
  <si>
    <t>M44b.2-M44b.3</t>
  </si>
  <si>
    <t>Increased input for FFPE specimen to 250 ng per run.</t>
  </si>
  <si>
    <t>Index 12</t>
  </si>
  <si>
    <t>Final Conc</t>
  </si>
  <si>
    <t>VF</t>
  </si>
  <si>
    <t>No change</t>
  </si>
  <si>
    <t>Added column with sample number to dilution table; expanded "hide rows" macro to cover comp tab</t>
  </si>
  <si>
    <t>\\kumc.edu\data\Research\CANCTR RSCH\CMOL\Assay Results\Clinical Data\NGS\2021 (Run 579- )</t>
  </si>
  <si>
    <t>SS</t>
  </si>
  <si>
    <t>Change file paths from "R:\..." to "\\kumc.edu\data\Research\...". No version change</t>
  </si>
  <si>
    <t>NTC- B</t>
  </si>
  <si>
    <t>NTC- F</t>
  </si>
  <si>
    <t>NGS Heme</t>
  </si>
  <si>
    <t>Tru-Q 7 (1.3% Tier)</t>
  </si>
  <si>
    <t>C00030B</t>
  </si>
  <si>
    <t>Blue</t>
  </si>
  <si>
    <t>DNA</t>
  </si>
  <si>
    <t>CL</t>
  </si>
  <si>
    <t>n/a</t>
  </si>
  <si>
    <t>5.0</t>
  </si>
  <si>
    <t>..\Control%20Data\Tru-Q 7.pdf</t>
  </si>
  <si>
    <t>see hyperlink</t>
  </si>
  <si>
    <t>C00030F</t>
  </si>
  <si>
    <t>C00026B</t>
  </si>
  <si>
    <t>Purple</t>
  </si>
  <si>
    <t>..\Control%20Data\Tru-Q 1.pdf</t>
  </si>
  <si>
    <t>24BH-355MP0001</t>
  </si>
  <si>
    <t>Bone Marrow</t>
  </si>
  <si>
    <t>Bell Hospital Lab</t>
  </si>
  <si>
    <t>REID</t>
  </si>
  <si>
    <t xml:space="preserve"> MICHAL M</t>
  </si>
  <si>
    <t>24BH-355MP0002</t>
  </si>
  <si>
    <t>SHUNE</t>
  </si>
  <si>
    <t xml:space="preserve"> LEYLA O</t>
  </si>
  <si>
    <t>24BH-355MP0003</t>
  </si>
  <si>
    <t>BYRD</t>
  </si>
  <si>
    <t xml:space="preserve"> KENNETH P</t>
  </si>
  <si>
    <t>FFPE</t>
  </si>
  <si>
    <t>Chunhua Li</t>
  </si>
  <si>
    <t>NGS Common - B</t>
  </si>
  <si>
    <t>NGS Common - F</t>
  </si>
  <si>
    <t>/</t>
  </si>
  <si>
    <t>Horizon, Tru-Q 7 (1.3% Tier)</t>
  </si>
  <si>
    <t>Iles,  Kenneth W</t>
  </si>
  <si>
    <t>Gustin,  Joy Elaine</t>
  </si>
  <si>
    <t>Sarmiento,  Jose De Jesus</t>
  </si>
  <si>
    <t>Storage Location</t>
  </si>
  <si>
    <t>Blank</t>
  </si>
  <si>
    <t>Std B</t>
  </si>
  <si>
    <t>Std C</t>
  </si>
  <si>
    <t>Std D</t>
  </si>
  <si>
    <t>Std E</t>
  </si>
  <si>
    <t>Std F</t>
  </si>
  <si>
    <t>Std G</t>
  </si>
  <si>
    <t>Std H</t>
  </si>
  <si>
    <t>Column4</t>
  </si>
  <si>
    <t>Column5</t>
  </si>
  <si>
    <t>Plate P3 Common</t>
  </si>
  <si>
    <t>Sample ID#</t>
  </si>
  <si>
    <t xml:space="preserve">QC Result </t>
  </si>
  <si>
    <t>EB (uL)</t>
  </si>
  <si>
    <t>Library volume(uL)</t>
  </si>
  <si>
    <t>Pass / Fail</t>
  </si>
  <si>
    <t>NGS Step 4 Data Analysis Sample List</t>
  </si>
  <si>
    <t xml:space="preserve">Result </t>
  </si>
  <si>
    <t>Plate P3 Heme (same as Plate P1)</t>
  </si>
  <si>
    <t>S1</t>
  </si>
  <si>
    <t>S2</t>
  </si>
  <si>
    <t>S3</t>
  </si>
  <si>
    <t>NGS Step 3 Library Denature Sample List</t>
  </si>
  <si>
    <t>\\kumc.edu\data\Research\CANCTR RSCH\CMOL\Assay Results\Clinical Data\NGS\Run Record Worksheets\in development\Run Record Worksheet 2025_CL</t>
  </si>
  <si>
    <t>\\kumc.edu\data\Research\CANCTR RSCH\CMOL\Assay Results\Clinical Data\NGS\Run Record Worksheets\in development\Run Record Worksheet 2025_CL\NGS Heme Run Record.dotx</t>
  </si>
  <si>
    <t>S4</t>
  </si>
  <si>
    <t>S5</t>
  </si>
  <si>
    <t>S6</t>
  </si>
  <si>
    <t>S7</t>
  </si>
  <si>
    <t>S8</t>
  </si>
  <si>
    <t>NGS-T4</t>
  </si>
  <si>
    <t>40</t>
  </si>
  <si>
    <t>50</t>
  </si>
  <si>
    <t>60</t>
  </si>
  <si>
    <t>70</t>
  </si>
  <si>
    <t>80</t>
  </si>
  <si>
    <t>1.8</t>
  </si>
  <si>
    <t>90</t>
  </si>
  <si>
    <t>100</t>
  </si>
  <si>
    <t>110</t>
  </si>
  <si>
    <t>1.9</t>
  </si>
  <si>
    <t>Blood</t>
  </si>
  <si>
    <t>Library QC Table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</si>
</sst>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0;\-0;;@"/>
    <numFmt numFmtId="165" formatCode="0.0;\-0.0;;@"/>
    <numFmt numFmtId="166" formatCode="0.0"/>
    <numFmt numFmtId="167" formatCode="[$-F400]h:mm:ss\ AM/PM"/>
  </numFmts>
  <fonts count="62" x14ac:knownFonts="1">
    <font>
      <sz val="11"/>
      <color theme="1"/>
      <name val="Arial Narrow"/>
      <family val="2"/>
    </font>
    <font>
      <sz val="11"/>
      <color theme="1"/>
      <name val="Calibri"/>
      <family val="2"/>
      <scheme val="minor"/>
    </font>
    <font>
      <sz val="11"/>
      <color theme="1"/>
      <name val="Calibri"/>
      <family val="2"/>
      <scheme val="minor"/>
    </font>
    <font>
      <sz val="11"/>
      <color theme="1"/>
      <name val="Calibri"/>
      <family val="2"/>
      <scheme val="minor"/>
    </font>
    <font>
      <sz val="10"/>
      <color theme="1"/>
      <name val="Arial Narrow"/>
      <family val="2"/>
    </font>
    <font>
      <b/>
      <sz val="10"/>
      <color theme="1"/>
      <name val="Arial Narrow"/>
      <family val="2"/>
    </font>
    <font>
      <sz val="10"/>
      <name val="Arial Narrow"/>
      <family val="2"/>
    </font>
    <font>
      <u/>
      <sz val="11"/>
      <color theme="10"/>
      <name val="Arial Narrow"/>
      <family val="2"/>
    </font>
    <font>
      <b/>
      <i/>
      <sz val="10"/>
      <color theme="1"/>
      <name val="Arial Narrow"/>
      <family val="2"/>
    </font>
    <font>
      <sz val="11"/>
      <color rgb="FF000000"/>
      <name val="Arial Narrow"/>
      <family val="2"/>
    </font>
    <font>
      <b/>
      <sz val="11"/>
      <color theme="1"/>
      <name val="Arial Narrow"/>
      <family val="2"/>
    </font>
    <font>
      <sz val="11"/>
      <color rgb="FFFF0000"/>
      <name val="Arial Narrow"/>
      <family val="2"/>
    </font>
    <font>
      <sz val="9"/>
      <color theme="1"/>
      <name val="Arial Narrow"/>
      <family val="2"/>
    </font>
    <font>
      <b/>
      <sz val="9"/>
      <color theme="1"/>
      <name val="Arial Narrow"/>
      <family val="2"/>
    </font>
    <font>
      <b/>
      <i/>
      <sz val="9"/>
      <color theme="1"/>
      <name val="Arial Narrow"/>
      <family val="2"/>
    </font>
    <font>
      <b/>
      <sz val="18"/>
      <color theme="3"/>
      <name val="Cambria"/>
      <family val="2"/>
      <scheme val="major"/>
    </font>
    <font>
      <sz val="11"/>
      <color theme="1"/>
      <name val="Calibri"/>
      <family val="2"/>
      <scheme val="minor"/>
    </font>
    <font>
      <sz val="11"/>
      <color rgb="FFFFFFFF"/>
      <name val="Calibri"/>
      <family val="2"/>
      <scheme val="minor"/>
    </font>
    <font>
      <sz val="11"/>
      <color rgb="FF000000"/>
      <name val="Calibri"/>
      <family val="2"/>
      <scheme val="minor"/>
    </font>
    <font>
      <u/>
      <sz val="11"/>
      <color theme="10"/>
      <name val="Calibri"/>
      <family val="2"/>
      <scheme val="minor"/>
    </font>
    <font>
      <b/>
      <sz val="11"/>
      <color theme="1"/>
      <name val="Calibri"/>
      <family val="2"/>
      <scheme val="minor"/>
    </font>
    <font>
      <sz val="10"/>
      <color theme="1"/>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9"/>
      <name val="Calibri"/>
      <family val="2"/>
    </font>
    <font>
      <sz val="10"/>
      <name val="Arial"/>
      <family val="2"/>
    </font>
    <font>
      <b/>
      <sz val="11"/>
      <color indexed="8"/>
      <name val="Calibri"/>
      <family val="2"/>
    </font>
    <font>
      <sz val="10"/>
      <color indexed="0"/>
      <name val="MS Sans Serif"/>
      <family val="2"/>
    </font>
    <font>
      <sz val="10"/>
      <name val="Calibri"/>
      <family val="2"/>
    </font>
    <font>
      <b/>
      <u/>
      <sz val="10"/>
      <color theme="10"/>
      <name val="Arial Narrow"/>
      <family val="2"/>
    </font>
    <font>
      <sz val="9"/>
      <color theme="1"/>
      <name val="Calibri"/>
      <family val="2"/>
      <scheme val="minor"/>
    </font>
    <font>
      <sz val="9"/>
      <name val="Calibri"/>
      <family val="2"/>
      <scheme val="minor"/>
    </font>
    <font>
      <sz val="10"/>
      <color rgb="FFFF0000"/>
      <name val="Arial Narrow"/>
      <family val="2"/>
    </font>
    <font>
      <sz val="8"/>
      <color theme="1"/>
      <name val="Arial Narrow"/>
      <family val="2"/>
    </font>
    <font>
      <b/>
      <sz val="8"/>
      <color theme="1"/>
      <name val="Arial Narrow"/>
      <family val="2"/>
    </font>
    <font>
      <b/>
      <sz val="12"/>
      <color rgb="FF000000"/>
      <name val="Arial Narrow"/>
      <family val="2"/>
    </font>
    <font>
      <b/>
      <sz val="11"/>
      <color rgb="FF000000"/>
      <name val="Arial Narrow"/>
      <family val="2"/>
    </font>
    <font>
      <sz val="10"/>
      <color theme="0"/>
      <name val="Arial Narrow"/>
      <family val="2"/>
    </font>
    <font>
      <b/>
      <sz val="10"/>
      <color rgb="FFFF0000"/>
      <name val="Arial Narrow"/>
      <family val="2"/>
    </font>
    <font>
      <b/>
      <sz val="10"/>
      <name val="Arial Narrow"/>
      <family val="2"/>
    </font>
    <font>
      <b/>
      <vertAlign val="subscript"/>
      <sz val="10"/>
      <name val="Arial Narrow"/>
      <family val="2"/>
    </font>
    <font>
      <sz val="8"/>
      <color theme="1"/>
      <name val="Arial Narrow"/>
      <family val="2"/>
    </font>
    <font>
      <sz val="10"/>
      <color rgb="FF000000"/>
      <name val="Arial Narrow"/>
      <family val="2"/>
    </font>
    <font>
      <b/>
      <sz val="10"/>
      <color rgb="FF000000"/>
      <name val="Arial Narrow"/>
      <family val="2"/>
    </font>
    <font>
      <sz val="8"/>
      <name val="Arial Narrow"/>
      <family val="2"/>
    </font>
    <font>
      <b/>
      <sz val="10"/>
      <color rgb="FF00B050"/>
      <name val="Arial Narrow"/>
      <family val="2"/>
    </font>
    <font>
      <b/>
      <sz val="8"/>
      <name val="Arial Narrow"/>
      <family val="2"/>
    </font>
    <font>
      <sz val="8"/>
      <color rgb="FFFF0000"/>
      <name val="Arial Narrow"/>
      <family val="2"/>
    </font>
    <font>
      <b/>
      <sz val="8"/>
      <color theme="1"/>
      <name val="Calibri"/>
      <family val="2"/>
      <scheme val="minor"/>
    </font>
    <font>
      <sz val="10"/>
      <color theme="1"/>
      <name val="Arial Narrow"/>
    </font>
  </fonts>
  <fills count="49">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theme="0" tint="-0.14999847407452621"/>
        <bgColor theme="0" tint="-0.14999847407452621"/>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00FF00"/>
        <bgColor indexed="64"/>
      </patternFill>
    </fill>
    <fill>
      <patternFill patternType="solid">
        <fgColor rgb="FFADD8E6"/>
        <bgColor indexed="64"/>
      </patternFill>
    </fill>
    <fill>
      <patternFill patternType="solid">
        <fgColor rgb="FFADFF2F"/>
        <bgColor indexed="64"/>
      </patternFill>
    </fill>
    <fill>
      <patternFill patternType="solid">
        <fgColor rgb="FFB0C4DE"/>
        <bgColor indexed="64"/>
      </patternFill>
    </fill>
    <fill>
      <patternFill patternType="solid">
        <fgColor rgb="FFFFFFFF"/>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theme="0" tint="-4.9989318521683403E-2"/>
        <bgColor indexed="64"/>
      </patternFill>
    </fill>
  </fills>
  <borders count="48">
    <border>
      <left/>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2"/>
      </top>
      <bottom style="double">
        <color indexed="62"/>
      </bottom>
      <diagonal/>
    </border>
    <border>
      <left/>
      <right/>
      <top style="medium">
        <color indexed="64"/>
      </top>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top/>
      <bottom style="thin">
        <color indexed="64"/>
      </bottom>
      <diagonal/>
    </border>
    <border>
      <left/>
      <right style="medium">
        <color indexed="64"/>
      </right>
      <top/>
      <bottom/>
      <diagonal/>
    </border>
    <border>
      <left/>
      <right style="medium">
        <color indexed="64"/>
      </right>
      <top/>
      <bottom style="medium">
        <color indexed="64"/>
      </bottom>
      <diagonal/>
    </border>
    <border>
      <left/>
      <right/>
      <top style="thin">
        <color indexed="64"/>
      </top>
      <bottom/>
      <diagonal/>
    </border>
    <border>
      <left/>
      <right style="thin">
        <color indexed="64"/>
      </right>
      <top/>
      <bottom/>
      <diagonal/>
    </border>
    <border>
      <left/>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diagonal/>
    </border>
  </borders>
  <cellStyleXfs count="4017">
    <xf numFmtId="0" fontId="0" fillId="0" borderId="0"/>
    <xf numFmtId="0" fontId="7" fillId="0" borderId="0" applyNumberFormat="0" applyFill="0" applyBorder="0" applyAlignment="0" applyProtection="0"/>
    <xf numFmtId="0" fontId="15" fillId="0" borderId="0" applyNumberFormat="0" applyFill="0" applyBorder="0" applyAlignment="0" applyProtection="0"/>
    <xf numFmtId="0" fontId="16" fillId="0" borderId="0"/>
    <xf numFmtId="0" fontId="17" fillId="36" borderId="0"/>
    <xf numFmtId="0" fontId="18" fillId="2" borderId="0"/>
    <xf numFmtId="0" fontId="18" fillId="37" borderId="0"/>
    <xf numFmtId="0" fontId="18" fillId="38" borderId="0"/>
    <xf numFmtId="0" fontId="18" fillId="39" borderId="0"/>
    <xf numFmtId="0" fontId="18" fillId="40" borderId="0"/>
    <xf numFmtId="0" fontId="18" fillId="41" borderId="0"/>
    <xf numFmtId="0" fontId="18" fillId="38" borderId="0"/>
    <xf numFmtId="0" fontId="19" fillId="0" borderId="0" applyNumberFormat="0" applyFill="0" applyBorder="0" applyAlignment="0" applyProtection="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21" fillId="0" borderId="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1"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25" applyNumberFormat="0" applyFill="0" applyAlignment="0" applyProtection="0"/>
    <xf numFmtId="0" fontId="23" fillId="0" borderId="26" applyNumberFormat="0" applyFill="0" applyAlignment="0" applyProtection="0"/>
    <xf numFmtId="0" fontId="24" fillId="0" borderId="27" applyNumberFormat="0" applyFill="0" applyAlignment="0" applyProtection="0"/>
    <xf numFmtId="0" fontId="24" fillId="0" borderId="0" applyNumberFormat="0" applyFill="0" applyBorder="0" applyAlignment="0" applyProtection="0"/>
    <xf numFmtId="0" fontId="25" fillId="5" borderId="0" applyNumberFormat="0" applyBorder="0" applyAlignment="0" applyProtection="0"/>
    <xf numFmtId="0" fontId="26" fillId="6" borderId="0" applyNumberFormat="0" applyBorder="0" applyAlignment="0" applyProtection="0"/>
    <xf numFmtId="0" fontId="27" fillId="7" borderId="0" applyNumberFormat="0" applyBorder="0" applyAlignment="0" applyProtection="0"/>
    <xf numFmtId="0" fontId="28" fillId="8" borderId="28" applyNumberFormat="0" applyAlignment="0" applyProtection="0"/>
    <xf numFmtId="0" fontId="29" fillId="9" borderId="29" applyNumberFormat="0" applyAlignment="0" applyProtection="0"/>
    <xf numFmtId="0" fontId="30" fillId="9" borderId="28" applyNumberFormat="0" applyAlignment="0" applyProtection="0"/>
    <xf numFmtId="0" fontId="31" fillId="0" borderId="30" applyNumberFormat="0" applyFill="0" applyAlignment="0" applyProtection="0"/>
    <xf numFmtId="0" fontId="32" fillId="10" borderId="31" applyNumberFormat="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20" fillId="0" borderId="33" applyNumberFormat="0" applyFill="0" applyAlignment="0" applyProtection="0"/>
    <xf numFmtId="0" fontId="35" fillId="12"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35" fillId="15" borderId="0" applyNumberFormat="0" applyBorder="0" applyAlignment="0" applyProtection="0"/>
    <xf numFmtId="0" fontId="35" fillId="16"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35" fillId="19" borderId="0" applyNumberFormat="0" applyBorder="0" applyAlignment="0" applyProtection="0"/>
    <xf numFmtId="0" fontId="35" fillId="20" borderId="0" applyNumberFormat="0" applyBorder="0" applyAlignment="0" applyProtection="0"/>
    <xf numFmtId="0" fontId="16" fillId="21" borderId="0" applyNumberFormat="0" applyBorder="0" applyAlignment="0" applyProtection="0"/>
    <xf numFmtId="0" fontId="16" fillId="22" borderId="0" applyNumberFormat="0" applyBorder="0" applyAlignment="0" applyProtection="0"/>
    <xf numFmtId="0" fontId="35" fillId="23" borderId="0" applyNumberFormat="0" applyBorder="0" applyAlignment="0" applyProtection="0"/>
    <xf numFmtId="0" fontId="35" fillId="24" borderId="0" applyNumberFormat="0" applyBorder="0" applyAlignment="0" applyProtection="0"/>
    <xf numFmtId="0" fontId="16" fillId="25" borderId="0" applyNumberFormat="0" applyBorder="0" applyAlignment="0" applyProtection="0"/>
    <xf numFmtId="0" fontId="16" fillId="26" borderId="0" applyNumberFormat="0" applyBorder="0" applyAlignment="0" applyProtection="0"/>
    <xf numFmtId="0" fontId="35" fillId="27" borderId="0" applyNumberFormat="0" applyBorder="0" applyAlignment="0" applyProtection="0"/>
    <xf numFmtId="0" fontId="35" fillId="28" borderId="0" applyNumberFormat="0" applyBorder="0" applyAlignment="0" applyProtection="0"/>
    <xf numFmtId="0" fontId="16" fillId="29" borderId="0" applyNumberFormat="0" applyBorder="0" applyAlignment="0" applyProtection="0"/>
    <xf numFmtId="0" fontId="16" fillId="30" borderId="0" applyNumberFormat="0" applyBorder="0" applyAlignment="0" applyProtection="0"/>
    <xf numFmtId="0" fontId="35" fillId="31" borderId="0" applyNumberFormat="0" applyBorder="0" applyAlignment="0" applyProtection="0"/>
    <xf numFmtId="0" fontId="35" fillId="32" borderId="0" applyNumberFormat="0" applyBorder="0" applyAlignment="0" applyProtection="0"/>
    <xf numFmtId="0" fontId="16" fillId="33" borderId="0" applyNumberFormat="0" applyBorder="0" applyAlignment="0" applyProtection="0"/>
    <xf numFmtId="0" fontId="16" fillId="34" borderId="0" applyNumberFormat="0" applyBorder="0" applyAlignment="0" applyProtection="0"/>
    <xf numFmtId="0" fontId="35" fillId="35" borderId="0" applyNumberFormat="0" applyBorder="0" applyAlignment="0" applyProtection="0"/>
    <xf numFmtId="0" fontId="4" fillId="0" borderId="0"/>
    <xf numFmtId="0" fontId="16" fillId="13" borderId="0" applyNumberFormat="0" applyBorder="0" applyAlignment="0" applyProtection="0"/>
    <xf numFmtId="0" fontId="16" fillId="17" borderId="0" applyNumberFormat="0" applyBorder="0" applyAlignment="0" applyProtection="0"/>
    <xf numFmtId="0" fontId="16" fillId="21" borderId="0" applyNumberFormat="0" applyBorder="0" applyAlignment="0" applyProtection="0"/>
    <xf numFmtId="0" fontId="16" fillId="25" borderId="0" applyNumberFormat="0" applyBorder="0" applyAlignment="0" applyProtection="0"/>
    <xf numFmtId="0" fontId="16" fillId="29" borderId="0" applyNumberFormat="0" applyBorder="0" applyAlignment="0" applyProtection="0"/>
    <xf numFmtId="0" fontId="16" fillId="33" borderId="0" applyNumberFormat="0" applyBorder="0" applyAlignment="0" applyProtection="0"/>
    <xf numFmtId="0" fontId="16" fillId="14" borderId="0" applyNumberFormat="0" applyBorder="0" applyAlignment="0" applyProtection="0"/>
    <xf numFmtId="0" fontId="16" fillId="18" borderId="0" applyNumberFormat="0" applyBorder="0" applyAlignment="0" applyProtection="0"/>
    <xf numFmtId="0" fontId="16" fillId="22" borderId="0" applyNumberFormat="0" applyBorder="0" applyAlignment="0" applyProtection="0"/>
    <xf numFmtId="0" fontId="16" fillId="26" borderId="0" applyNumberFormat="0" applyBorder="0" applyAlignment="0" applyProtection="0"/>
    <xf numFmtId="0" fontId="16" fillId="30" borderId="0" applyNumberFormat="0" applyBorder="0" applyAlignment="0" applyProtection="0"/>
    <xf numFmtId="0" fontId="16" fillId="34" borderId="0" applyNumberFormat="0" applyBorder="0" applyAlignment="0" applyProtection="0"/>
    <xf numFmtId="0" fontId="35" fillId="15" borderId="0" applyNumberFormat="0" applyBorder="0" applyAlignment="0" applyProtection="0"/>
    <xf numFmtId="0" fontId="35" fillId="19" borderId="0" applyNumberFormat="0" applyBorder="0" applyAlignment="0" applyProtection="0"/>
    <xf numFmtId="0" fontId="35" fillId="23" borderId="0" applyNumberFormat="0" applyBorder="0" applyAlignment="0" applyProtection="0"/>
    <xf numFmtId="0" fontId="35" fillId="27" borderId="0" applyNumberFormat="0" applyBorder="0" applyAlignment="0" applyProtection="0"/>
    <xf numFmtId="0" fontId="35" fillId="31" borderId="0" applyNumberFormat="0" applyBorder="0" applyAlignment="0" applyProtection="0"/>
    <xf numFmtId="0" fontId="35" fillId="35" borderId="0" applyNumberFormat="0" applyBorder="0" applyAlignment="0" applyProtection="0"/>
    <xf numFmtId="0" fontId="35" fillId="12" borderId="0" applyNumberFormat="0" applyBorder="0" applyAlignment="0" applyProtection="0"/>
    <xf numFmtId="0" fontId="36" fillId="42" borderId="0" applyNumberFormat="0" applyBorder="0" applyAlignment="0" applyProtection="0"/>
    <xf numFmtId="0" fontId="35" fillId="16" borderId="0" applyNumberFormat="0" applyBorder="0" applyAlignment="0" applyProtection="0"/>
    <xf numFmtId="0" fontId="36" fillId="43" borderId="0" applyNumberFormat="0" applyBorder="0" applyAlignment="0" applyProtection="0"/>
    <xf numFmtId="0" fontId="35" fillId="20" borderId="0" applyNumberFormat="0" applyBorder="0" applyAlignment="0" applyProtection="0"/>
    <xf numFmtId="0" fontId="36" fillId="44" borderId="0" applyNumberFormat="0" applyBorder="0" applyAlignment="0" applyProtection="0"/>
    <xf numFmtId="0" fontId="35" fillId="24" borderId="0" applyNumberFormat="0" applyBorder="0" applyAlignment="0" applyProtection="0"/>
    <xf numFmtId="0" fontId="36" fillId="45" borderId="0" applyNumberFormat="0" applyBorder="0" applyAlignment="0" applyProtection="0"/>
    <xf numFmtId="0" fontId="35" fillId="28" borderId="0" applyNumberFormat="0" applyBorder="0" applyAlignment="0" applyProtection="0"/>
    <xf numFmtId="0" fontId="36" fillId="46" borderId="0" applyNumberFormat="0" applyBorder="0" applyAlignment="0" applyProtection="0"/>
    <xf numFmtId="0" fontId="35" fillId="32" borderId="0" applyNumberFormat="0" applyBorder="0" applyAlignment="0" applyProtection="0"/>
    <xf numFmtId="0" fontId="36" fillId="47" borderId="0" applyNumberFormat="0" applyBorder="0" applyAlignment="0" applyProtection="0"/>
    <xf numFmtId="0" fontId="26" fillId="6" borderId="0" applyNumberFormat="0" applyBorder="0" applyAlignment="0" applyProtection="0"/>
    <xf numFmtId="0" fontId="30" fillId="9" borderId="28" applyNumberFormat="0" applyAlignment="0" applyProtection="0"/>
    <xf numFmtId="0" fontId="32" fillId="10" borderId="31" applyNumberFormat="0" applyAlignment="0" applyProtection="0"/>
    <xf numFmtId="0" fontId="34" fillId="0" borderId="0" applyNumberFormat="0" applyFill="0" applyBorder="0" applyAlignment="0" applyProtection="0"/>
    <xf numFmtId="0" fontId="25" fillId="5" borderId="0" applyNumberFormat="0" applyBorder="0" applyAlignment="0" applyProtection="0"/>
    <xf numFmtId="0" fontId="22" fillId="0" borderId="25" applyNumberFormat="0" applyFill="0" applyAlignment="0" applyProtection="0"/>
    <xf numFmtId="0" fontId="23" fillId="0" borderId="26" applyNumberFormat="0" applyFill="0" applyAlignment="0" applyProtection="0"/>
    <xf numFmtId="0" fontId="24" fillId="0" borderId="27" applyNumberFormat="0" applyFill="0" applyAlignment="0" applyProtection="0"/>
    <xf numFmtId="0" fontId="24" fillId="0" borderId="0" applyNumberFormat="0" applyFill="0" applyBorder="0" applyAlignment="0" applyProtection="0"/>
    <xf numFmtId="0" fontId="28" fillId="8" borderId="28" applyNumberFormat="0" applyAlignment="0" applyProtection="0"/>
    <xf numFmtId="0" fontId="31" fillId="0" borderId="30" applyNumberFormat="0" applyFill="0" applyAlignment="0" applyProtection="0"/>
    <xf numFmtId="0" fontId="27" fillId="7" borderId="0" applyNumberFormat="0" applyBorder="0" applyAlignment="0" applyProtection="0"/>
    <xf numFmtId="0" fontId="37" fillId="0" borderId="0"/>
    <xf numFmtId="0" fontId="37" fillId="0" borderId="0"/>
    <xf numFmtId="0" fontId="16" fillId="11" borderId="32" applyNumberFormat="0" applyFont="0" applyAlignment="0" applyProtection="0"/>
    <xf numFmtId="0" fontId="29" fillId="9" borderId="29" applyNumberFormat="0" applyAlignment="0" applyProtection="0"/>
    <xf numFmtId="0" fontId="15" fillId="0" borderId="0" applyNumberFormat="0" applyFill="0" applyBorder="0" applyAlignment="0" applyProtection="0"/>
    <xf numFmtId="0" fontId="20" fillId="0" borderId="33" applyNumberFormat="0" applyFill="0" applyAlignment="0" applyProtection="0"/>
    <xf numFmtId="0" fontId="38" fillId="0" borderId="34" applyNumberFormat="0" applyFill="0" applyAlignment="0" applyProtection="0"/>
    <xf numFmtId="0" fontId="33" fillId="0" borderId="0" applyNumberFormat="0" applyFill="0" applyBorder="0" applyAlignment="0" applyProtection="0"/>
    <xf numFmtId="0" fontId="16" fillId="13" borderId="0" applyNumberFormat="0" applyBorder="0" applyAlignment="0" applyProtection="0"/>
    <xf numFmtId="0" fontId="16" fillId="17" borderId="0" applyNumberFormat="0" applyBorder="0" applyAlignment="0" applyProtection="0"/>
    <xf numFmtId="0" fontId="16" fillId="21" borderId="0" applyNumberFormat="0" applyBorder="0" applyAlignment="0" applyProtection="0"/>
    <xf numFmtId="0" fontId="16" fillId="25" borderId="0" applyNumberFormat="0" applyBorder="0" applyAlignment="0" applyProtection="0"/>
    <xf numFmtId="0" fontId="16" fillId="29" borderId="0" applyNumberFormat="0" applyBorder="0" applyAlignment="0" applyProtection="0"/>
    <xf numFmtId="0" fontId="16" fillId="33" borderId="0" applyNumberFormat="0" applyBorder="0" applyAlignment="0" applyProtection="0"/>
    <xf numFmtId="0" fontId="16" fillId="14" borderId="0" applyNumberFormat="0" applyBorder="0" applyAlignment="0" applyProtection="0"/>
    <xf numFmtId="0" fontId="16" fillId="18" borderId="0" applyNumberFormat="0" applyBorder="0" applyAlignment="0" applyProtection="0"/>
    <xf numFmtId="0" fontId="16" fillId="22" borderId="0" applyNumberFormat="0" applyBorder="0" applyAlignment="0" applyProtection="0"/>
    <xf numFmtId="0" fontId="16" fillId="26" borderId="0" applyNumberFormat="0" applyBorder="0" applyAlignment="0" applyProtection="0"/>
    <xf numFmtId="0" fontId="16" fillId="30" borderId="0" applyNumberFormat="0" applyBorder="0" applyAlignment="0" applyProtection="0"/>
    <xf numFmtId="0" fontId="16" fillId="34" borderId="0" applyNumberFormat="0" applyBorder="0" applyAlignment="0" applyProtection="0"/>
    <xf numFmtId="0" fontId="35" fillId="15" borderId="0" applyNumberFormat="0" applyBorder="0" applyAlignment="0" applyProtection="0"/>
    <xf numFmtId="0" fontId="35" fillId="19" borderId="0" applyNumberFormat="0" applyBorder="0" applyAlignment="0" applyProtection="0"/>
    <xf numFmtId="0" fontId="35" fillId="23" borderId="0" applyNumberFormat="0" applyBorder="0" applyAlignment="0" applyProtection="0"/>
    <xf numFmtId="0" fontId="35" fillId="27" borderId="0" applyNumberFormat="0" applyBorder="0" applyAlignment="0" applyProtection="0"/>
    <xf numFmtId="0" fontId="35" fillId="31" borderId="0" applyNumberFormat="0" applyBorder="0" applyAlignment="0" applyProtection="0"/>
    <xf numFmtId="0" fontId="35" fillId="35" borderId="0" applyNumberFormat="0" applyBorder="0" applyAlignment="0" applyProtection="0"/>
    <xf numFmtId="0" fontId="36" fillId="42" borderId="0" applyNumberFormat="0" applyBorder="0" applyAlignment="0" applyProtection="0"/>
    <xf numFmtId="0" fontId="35" fillId="12" borderId="0" applyNumberFormat="0" applyBorder="0" applyAlignment="0" applyProtection="0"/>
    <xf numFmtId="0" fontId="36" fillId="43" borderId="0" applyNumberFormat="0" applyBorder="0" applyAlignment="0" applyProtection="0"/>
    <xf numFmtId="0" fontId="35" fillId="16" borderId="0" applyNumberFormat="0" applyBorder="0" applyAlignment="0" applyProtection="0"/>
    <xf numFmtId="0" fontId="36" fillId="44" borderId="0" applyNumberFormat="0" applyBorder="0" applyAlignment="0" applyProtection="0"/>
    <xf numFmtId="0" fontId="35" fillId="20" borderId="0" applyNumberFormat="0" applyBorder="0" applyAlignment="0" applyProtection="0"/>
    <xf numFmtId="0" fontId="36" fillId="45" borderId="0" applyNumberFormat="0" applyBorder="0" applyAlignment="0" applyProtection="0"/>
    <xf numFmtId="0" fontId="35" fillId="24" borderId="0" applyNumberFormat="0" applyBorder="0" applyAlignment="0" applyProtection="0"/>
    <xf numFmtId="0" fontId="36" fillId="46" borderId="0" applyNumberFormat="0" applyBorder="0" applyAlignment="0" applyProtection="0"/>
    <xf numFmtId="0" fontId="35" fillId="28" borderId="0" applyNumberFormat="0" applyBorder="0" applyAlignment="0" applyProtection="0"/>
    <xf numFmtId="0" fontId="36" fillId="47" borderId="0" applyNumberFormat="0" applyBorder="0" applyAlignment="0" applyProtection="0"/>
    <xf numFmtId="0" fontId="35" fillId="32" borderId="0" applyNumberFormat="0" applyBorder="0" applyAlignment="0" applyProtection="0"/>
    <xf numFmtId="0" fontId="33" fillId="0" borderId="0" applyNumberFormat="0" applyFill="0" applyBorder="0" applyAlignment="0" applyProtection="0"/>
    <xf numFmtId="0" fontId="30" fillId="9" borderId="28" applyNumberFormat="0" applyAlignment="0" applyProtection="0"/>
    <xf numFmtId="0" fontId="31" fillId="0" borderId="30" applyNumberFormat="0" applyFill="0" applyAlignment="0" applyProtection="0"/>
    <xf numFmtId="0" fontId="16" fillId="11" borderId="32" applyNumberFormat="0" applyFont="0" applyAlignment="0" applyProtection="0"/>
    <xf numFmtId="0" fontId="28" fillId="8" borderId="28" applyNumberFormat="0" applyAlignment="0" applyProtection="0"/>
    <xf numFmtId="0" fontId="26" fillId="6" borderId="0" applyNumberFormat="0" applyBorder="0" applyAlignment="0" applyProtection="0"/>
    <xf numFmtId="0" fontId="27" fillId="7" borderId="0" applyNumberFormat="0" applyBorder="0" applyAlignment="0" applyProtection="0"/>
    <xf numFmtId="0" fontId="37" fillId="0" borderId="0"/>
    <xf numFmtId="0" fontId="37" fillId="0" borderId="0"/>
    <xf numFmtId="0" fontId="16" fillId="0" borderId="0"/>
    <xf numFmtId="0" fontId="37" fillId="0" borderId="0"/>
    <xf numFmtId="0" fontId="25" fillId="5" borderId="0" applyNumberFormat="0" applyBorder="0" applyAlignment="0" applyProtection="0"/>
    <xf numFmtId="0" fontId="29" fillId="9" borderId="29" applyNumberFormat="0" applyAlignment="0" applyProtection="0"/>
    <xf numFmtId="0" fontId="34" fillId="0" borderId="0" applyNumberFormat="0" applyFill="0" applyBorder="0" applyAlignment="0" applyProtection="0"/>
    <xf numFmtId="0" fontId="15" fillId="0" borderId="0" applyNumberFormat="0" applyFill="0" applyBorder="0" applyAlignment="0" applyProtection="0"/>
    <xf numFmtId="0" fontId="22" fillId="0" borderId="25" applyNumberFormat="0" applyFill="0" applyAlignment="0" applyProtection="0"/>
    <xf numFmtId="0" fontId="23" fillId="0" borderId="26" applyNumberFormat="0" applyFill="0" applyAlignment="0" applyProtection="0"/>
    <xf numFmtId="0" fontId="24" fillId="0" borderId="27" applyNumberFormat="0" applyFill="0" applyAlignment="0" applyProtection="0"/>
    <xf numFmtId="0" fontId="24" fillId="0" borderId="0" applyNumberFormat="0" applyFill="0" applyBorder="0" applyAlignment="0" applyProtection="0"/>
    <xf numFmtId="0" fontId="38" fillId="0" borderId="34" applyNumberFormat="0" applyFill="0" applyAlignment="0" applyProtection="0"/>
    <xf numFmtId="0" fontId="20" fillId="0" borderId="33" applyNumberFormat="0" applyFill="0" applyAlignment="0" applyProtection="0"/>
    <xf numFmtId="0" fontId="32" fillId="10" borderId="31" applyNumberFormat="0" applyAlignment="0" applyProtection="0"/>
    <xf numFmtId="0" fontId="37" fillId="0" borderId="0"/>
    <xf numFmtId="0" fontId="37" fillId="0" borderId="0"/>
    <xf numFmtId="9" fontId="16" fillId="0" borderId="0" applyFont="0" applyFill="0" applyBorder="0" applyAlignment="0" applyProtection="0"/>
    <xf numFmtId="0" fontId="4" fillId="0" borderId="0"/>
    <xf numFmtId="0" fontId="16" fillId="0" borderId="0"/>
    <xf numFmtId="0" fontId="4" fillId="0" borderId="0"/>
    <xf numFmtId="0" fontId="37" fillId="0" borderId="0"/>
    <xf numFmtId="9" fontId="16" fillId="0" borderId="0" applyFont="0" applyFill="0" applyBorder="0" applyAlignment="0" applyProtection="0"/>
    <xf numFmtId="0" fontId="4" fillId="0" borderId="0"/>
    <xf numFmtId="0" fontId="16" fillId="0" borderId="0"/>
    <xf numFmtId="0" fontId="16" fillId="0" borderId="0"/>
    <xf numFmtId="0" fontId="16" fillId="0" borderId="0"/>
    <xf numFmtId="0" fontId="16" fillId="0" borderId="0"/>
    <xf numFmtId="0" fontId="4" fillId="11" borderId="32" applyNumberFormat="0" applyFont="0" applyAlignment="0" applyProtection="0"/>
    <xf numFmtId="0" fontId="16" fillId="0" borderId="0"/>
    <xf numFmtId="0" fontId="16" fillId="0" borderId="0"/>
    <xf numFmtId="44"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9"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16" fillId="0" borderId="0"/>
    <xf numFmtId="0" fontId="16" fillId="0" borderId="0" applyProtection="0"/>
    <xf numFmtId="0" fontId="16" fillId="14" borderId="0" applyNumberFormat="0" applyBorder="0" applyAlignment="0" applyProtection="0"/>
    <xf numFmtId="0" fontId="16" fillId="18" borderId="0" applyNumberFormat="0" applyBorder="0" applyAlignment="0" applyProtection="0"/>
    <xf numFmtId="0" fontId="16" fillId="29" borderId="0" applyNumberFormat="0" applyBorder="0" applyAlignment="0" applyProtection="0"/>
    <xf numFmtId="0" fontId="16" fillId="26" borderId="0" applyNumberFormat="0" applyBorder="0" applyAlignment="0" applyProtection="0"/>
    <xf numFmtId="0" fontId="16" fillId="13" borderId="0" applyNumberFormat="0" applyBorder="0" applyAlignment="0" applyProtection="0"/>
    <xf numFmtId="0" fontId="16" fillId="25" borderId="0" applyNumberFormat="0" applyBorder="0" applyAlignment="0" applyProtection="0"/>
    <xf numFmtId="0" fontId="16" fillId="22" borderId="0" applyNumberFormat="0" applyBorder="0" applyAlignment="0" applyProtection="0"/>
    <xf numFmtId="0" fontId="16" fillId="29" borderId="0" applyNumberFormat="0" applyBorder="0" applyAlignment="0" applyProtection="0"/>
    <xf numFmtId="0" fontId="16" fillId="21" borderId="0" applyNumberFormat="0" applyBorder="0" applyAlignment="0" applyProtection="0"/>
    <xf numFmtId="0" fontId="16" fillId="33" borderId="0" applyNumberFormat="0" applyBorder="0" applyAlignment="0" applyProtection="0"/>
    <xf numFmtId="0" fontId="16" fillId="33" borderId="0" applyNumberFormat="0" applyBorder="0" applyAlignment="0" applyProtection="0"/>
    <xf numFmtId="0" fontId="16" fillId="17" borderId="0" applyNumberFormat="0" applyBorder="0" applyAlignment="0" applyProtection="0"/>
    <xf numFmtId="0" fontId="16" fillId="25" borderId="0" applyNumberFormat="0" applyBorder="0" applyAlignment="0" applyProtection="0"/>
    <xf numFmtId="0" fontId="16" fillId="30" borderId="0" applyNumberFormat="0" applyBorder="0" applyAlignment="0" applyProtection="0"/>
    <xf numFmtId="0" fontId="16" fillId="21" borderId="0" applyNumberFormat="0" applyBorder="0" applyAlignment="0" applyProtection="0"/>
    <xf numFmtId="0" fontId="16" fillId="17" borderId="0" applyNumberFormat="0" applyBorder="0" applyAlignment="0" applyProtection="0"/>
    <xf numFmtId="0" fontId="16" fillId="13" borderId="0" applyNumberFormat="0" applyBorder="0" applyAlignment="0" applyProtection="0"/>
    <xf numFmtId="0" fontId="16" fillId="34" borderId="0" applyNumberFormat="0" applyBorder="0" applyAlignment="0" applyProtection="0"/>
    <xf numFmtId="0" fontId="16" fillId="14" borderId="0" applyNumberFormat="0" applyBorder="0" applyAlignment="0" applyProtection="0"/>
    <xf numFmtId="0" fontId="16" fillId="18" borderId="0" applyNumberFormat="0" applyBorder="0" applyAlignment="0" applyProtection="0"/>
    <xf numFmtId="0" fontId="16" fillId="22" borderId="0" applyNumberFormat="0" applyBorder="0" applyAlignment="0" applyProtection="0"/>
    <xf numFmtId="0" fontId="16" fillId="26" borderId="0" applyNumberFormat="0" applyBorder="0" applyAlignment="0" applyProtection="0"/>
    <xf numFmtId="0" fontId="16" fillId="30" borderId="0" applyNumberFormat="0" applyBorder="0" applyAlignment="0" applyProtection="0"/>
    <xf numFmtId="0" fontId="16" fillId="34" borderId="0" applyNumberFormat="0" applyBorder="0" applyAlignment="0" applyProtection="0"/>
    <xf numFmtId="0" fontId="16" fillId="11" borderId="32" applyNumberFormat="0" applyFont="0" applyAlignment="0" applyProtection="0"/>
    <xf numFmtId="0" fontId="16" fillId="11" borderId="32" applyNumberFormat="0" applyFont="0" applyAlignment="0" applyProtection="0"/>
    <xf numFmtId="0" fontId="19" fillId="0" borderId="0" applyNumberFormat="0" applyFill="0" applyBorder="0" applyAlignment="0" applyProtection="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44"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44"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11" borderId="32" applyNumberFormat="0" applyFont="0" applyAlignment="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25" applyNumberFormat="0" applyFill="0" applyAlignment="0" applyProtection="0"/>
    <xf numFmtId="0" fontId="23" fillId="0" borderId="26" applyNumberFormat="0" applyFill="0" applyAlignment="0" applyProtection="0"/>
    <xf numFmtId="0" fontId="24" fillId="0" borderId="27" applyNumberFormat="0" applyFill="0" applyAlignment="0" applyProtection="0"/>
    <xf numFmtId="0" fontId="24" fillId="0" borderId="0" applyNumberFormat="0" applyFill="0" applyBorder="0" applyAlignment="0" applyProtection="0"/>
    <xf numFmtId="0" fontId="25" fillId="5" borderId="0" applyNumberFormat="0" applyBorder="0" applyAlignment="0" applyProtection="0"/>
    <xf numFmtId="0" fontId="26" fillId="6" borderId="0" applyNumberFormat="0" applyBorder="0" applyAlignment="0" applyProtection="0"/>
    <xf numFmtId="0" fontId="27" fillId="7" borderId="0" applyNumberFormat="0" applyBorder="0" applyAlignment="0" applyProtection="0"/>
    <xf numFmtId="0" fontId="28" fillId="8" borderId="28" applyNumberFormat="0" applyAlignment="0" applyProtection="0"/>
    <xf numFmtId="0" fontId="29" fillId="9" borderId="29" applyNumberFormat="0" applyAlignment="0" applyProtection="0"/>
    <xf numFmtId="0" fontId="30" fillId="9" borderId="28" applyNumberFormat="0" applyAlignment="0" applyProtection="0"/>
    <xf numFmtId="0" fontId="31" fillId="0" borderId="30" applyNumberFormat="0" applyFill="0" applyAlignment="0" applyProtection="0"/>
    <xf numFmtId="0" fontId="32" fillId="10" borderId="31" applyNumberFormat="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20" fillId="0" borderId="33" applyNumberFormat="0" applyFill="0" applyAlignment="0" applyProtection="0"/>
    <xf numFmtId="0" fontId="35"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5" fillId="15" borderId="0" applyNumberFormat="0" applyBorder="0" applyAlignment="0" applyProtection="0"/>
    <xf numFmtId="0" fontId="35"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5" fillId="19" borderId="0" applyNumberFormat="0" applyBorder="0" applyAlignment="0" applyProtection="0"/>
    <xf numFmtId="0" fontId="35"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5" fillId="23" borderId="0" applyNumberFormat="0" applyBorder="0" applyAlignment="0" applyProtection="0"/>
    <xf numFmtId="0" fontId="35"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35" fillId="27" borderId="0" applyNumberFormat="0" applyBorder="0" applyAlignment="0" applyProtection="0"/>
    <xf numFmtId="0" fontId="35"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35" fillId="31" borderId="0" applyNumberFormat="0" applyBorder="0" applyAlignment="0" applyProtection="0"/>
    <xf numFmtId="0" fontId="35"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35"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2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applyProtection="0"/>
    <xf numFmtId="0" fontId="2" fillId="11" borderId="32" applyNumberFormat="0" applyFont="0" applyAlignment="0" applyProtection="0"/>
    <xf numFmtId="0" fontId="2" fillId="13" borderId="0" applyNumberFormat="0" applyBorder="0" applyAlignment="0" applyProtection="0"/>
    <xf numFmtId="0" fontId="2" fillId="2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11" borderId="32"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1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17" borderId="0" applyNumberFormat="0" applyBorder="0" applyAlignment="0" applyProtection="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13"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applyProtection="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11" borderId="32" applyNumberFormat="0" applyFont="0" applyAlignment="0" applyProtection="0"/>
    <xf numFmtId="0" fontId="2" fillId="17" borderId="0" applyNumberFormat="0" applyBorder="0" applyAlignment="0" applyProtection="0"/>
    <xf numFmtId="0" fontId="2" fillId="22" borderId="0" applyNumberFormat="0" applyBorder="0" applyAlignment="0" applyProtection="0"/>
    <xf numFmtId="0" fontId="2" fillId="0" borderId="0"/>
    <xf numFmtId="0" fontId="2" fillId="0" borderId="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3" borderId="0" applyNumberFormat="0" applyBorder="0" applyAlignment="0" applyProtection="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34"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0" borderId="0"/>
    <xf numFmtId="0" fontId="2" fillId="0" borderId="0"/>
    <xf numFmtId="0" fontId="2" fillId="0" borderId="0"/>
    <xf numFmtId="0" fontId="2" fillId="11" borderId="32" applyNumberFormat="0" applyFont="0" applyAlignment="0" applyProtection="0"/>
    <xf numFmtId="0" fontId="2" fillId="14" borderId="0" applyNumberFormat="0" applyBorder="0" applyAlignment="0" applyProtection="0"/>
    <xf numFmtId="0" fontId="2" fillId="33"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30" borderId="0" applyNumberFormat="0" applyBorder="0" applyAlignment="0" applyProtection="0"/>
    <xf numFmtId="0" fontId="2" fillId="30" borderId="0" applyNumberFormat="0" applyBorder="0" applyAlignment="0" applyProtection="0"/>
    <xf numFmtId="0" fontId="2" fillId="13" borderId="0" applyNumberFormat="0" applyBorder="0" applyAlignment="0" applyProtection="0"/>
    <xf numFmtId="0" fontId="2" fillId="0" borderId="0"/>
    <xf numFmtId="0" fontId="2" fillId="0" borderId="0"/>
    <xf numFmtId="0" fontId="2" fillId="33" borderId="0" applyNumberFormat="0" applyBorder="0" applyAlignment="0" applyProtection="0"/>
    <xf numFmtId="0" fontId="2" fillId="2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26"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29" borderId="0" applyNumberFormat="0" applyBorder="0" applyAlignment="0" applyProtection="0"/>
    <xf numFmtId="0" fontId="2" fillId="2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0" borderId="0" applyNumberFormat="0" applyBorder="0" applyAlignment="0" applyProtection="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22" borderId="0" applyNumberFormat="0" applyBorder="0" applyAlignment="0" applyProtection="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22" borderId="0" applyNumberFormat="0" applyBorder="0" applyAlignment="0" applyProtection="0"/>
    <xf numFmtId="0" fontId="2" fillId="17" borderId="0" applyNumberFormat="0" applyBorder="0" applyAlignment="0" applyProtection="0"/>
    <xf numFmtId="0" fontId="2" fillId="29" borderId="0" applyNumberFormat="0" applyBorder="0" applyAlignment="0" applyProtection="0"/>
    <xf numFmtId="0" fontId="2" fillId="0" borderId="0"/>
    <xf numFmtId="0" fontId="2" fillId="0" borderId="0"/>
    <xf numFmtId="0" fontId="2" fillId="25" borderId="0" applyNumberFormat="0" applyBorder="0" applyAlignment="0" applyProtection="0"/>
    <xf numFmtId="0" fontId="2" fillId="11" borderId="32" applyNumberFormat="0" applyFont="0" applyAlignment="0" applyProtection="0"/>
    <xf numFmtId="0" fontId="2" fillId="34" borderId="0" applyNumberFormat="0" applyBorder="0" applyAlignment="0" applyProtection="0"/>
    <xf numFmtId="0" fontId="2" fillId="21"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29" borderId="0" applyNumberFormat="0" applyBorder="0" applyAlignment="0" applyProtection="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21" borderId="0" applyNumberFormat="0" applyBorder="0" applyAlignment="0" applyProtection="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applyProtection="0"/>
    <xf numFmtId="0" fontId="2" fillId="0" borderId="0"/>
    <xf numFmtId="0" fontId="2" fillId="0" borderId="0"/>
    <xf numFmtId="0" fontId="2" fillId="0" borderId="0"/>
    <xf numFmtId="0" fontId="2" fillId="18" borderId="0" applyNumberFormat="0" applyBorder="0" applyAlignment="0" applyProtection="0"/>
    <xf numFmtId="0" fontId="2" fillId="33" borderId="0" applyNumberFormat="0" applyBorder="0" applyAlignment="0" applyProtection="0"/>
    <xf numFmtId="0" fontId="2" fillId="18" borderId="0" applyNumberFormat="0" applyBorder="0" applyAlignment="0" applyProtection="0"/>
    <xf numFmtId="0" fontId="2" fillId="0" borderId="0"/>
    <xf numFmtId="0" fontId="2" fillId="0" borderId="0"/>
    <xf numFmtId="0" fontId="2" fillId="0" borderId="0"/>
    <xf numFmtId="0" fontId="2" fillId="34" borderId="0" applyNumberFormat="0" applyBorder="0" applyAlignment="0" applyProtection="0"/>
    <xf numFmtId="0" fontId="2" fillId="21" borderId="0" applyNumberFormat="0" applyBorder="0" applyAlignment="0" applyProtection="0"/>
    <xf numFmtId="0" fontId="2" fillId="30" borderId="0" applyNumberFormat="0" applyBorder="0" applyAlignment="0" applyProtection="0"/>
    <xf numFmtId="0" fontId="2" fillId="17"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applyProtection="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applyProtection="0"/>
    <xf numFmtId="0" fontId="2" fillId="14" borderId="0" applyNumberFormat="0" applyBorder="0" applyAlignment="0" applyProtection="0"/>
    <xf numFmtId="0" fontId="2" fillId="33"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30" borderId="0" applyNumberFormat="0" applyBorder="0" applyAlignment="0" applyProtection="0"/>
    <xf numFmtId="0" fontId="2" fillId="17" borderId="0" applyNumberFormat="0" applyBorder="0" applyAlignment="0" applyProtection="0"/>
    <xf numFmtId="0" fontId="2" fillId="26" borderId="0" applyNumberFormat="0" applyBorder="0" applyAlignment="0" applyProtection="0"/>
    <xf numFmtId="0" fontId="2" fillId="13"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4" borderId="0" applyNumberFormat="0" applyBorder="0" applyAlignment="0" applyProtection="0"/>
    <xf numFmtId="0" fontId="2" fillId="21" borderId="0" applyNumberFormat="0" applyBorder="0" applyAlignment="0" applyProtection="0"/>
    <xf numFmtId="0" fontId="2" fillId="0" borderId="0" applyProtection="0"/>
    <xf numFmtId="0" fontId="2" fillId="0" borderId="0"/>
    <xf numFmtId="0" fontId="2" fillId="0" borderId="0"/>
    <xf numFmtId="0" fontId="2" fillId="26" borderId="0" applyNumberFormat="0" applyBorder="0" applyAlignment="0" applyProtection="0"/>
    <xf numFmtId="0" fontId="2" fillId="13" borderId="0" applyNumberFormat="0" applyBorder="0" applyAlignment="0" applyProtection="0"/>
    <xf numFmtId="0" fontId="2" fillId="2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2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7" fillId="0" borderId="0"/>
    <xf numFmtId="0" fontId="21" fillId="0" borderId="0"/>
    <xf numFmtId="0" fontId="40" fillId="0" borderId="0"/>
    <xf numFmtId="0" fontId="3" fillId="0" borderId="0"/>
    <xf numFmtId="0" fontId="37" fillId="0" borderId="0"/>
    <xf numFmtId="0" fontId="2" fillId="0" borderId="0"/>
    <xf numFmtId="0" fontId="2" fillId="0" borderId="0"/>
    <xf numFmtId="0" fontId="2" fillId="0" borderId="0" applyProtection="0"/>
    <xf numFmtId="0" fontId="2" fillId="0" borderId="0" applyProtection="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Protection="0"/>
    <xf numFmtId="0" fontId="2" fillId="0" borderId="0"/>
    <xf numFmtId="0" fontId="2" fillId="0" borderId="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1" fillId="0" borderId="0"/>
  </cellStyleXfs>
  <cellXfs count="265">
    <xf numFmtId="0" fontId="0" fillId="0" borderId="0" xfId="0"/>
    <xf numFmtId="0" fontId="0" fillId="2" borderId="8" xfId="0" applyFill="1" applyBorder="1"/>
    <xf numFmtId="0" fontId="0" fillId="2" borderId="9" xfId="0" applyFill="1" applyBorder="1"/>
    <xf numFmtId="0" fontId="0" fillId="2" borderId="10" xfId="0" applyFill="1" applyBorder="1"/>
    <xf numFmtId="0" fontId="10" fillId="0" borderId="0" xfId="0" applyFont="1"/>
    <xf numFmtId="0" fontId="11" fillId="0" borderId="0" xfId="0" applyFont="1"/>
    <xf numFmtId="0" fontId="4" fillId="0" borderId="0" xfId="0" applyFont="1" applyBorder="1" applyProtection="1">
      <protection locked="0"/>
    </xf>
    <xf numFmtId="0" fontId="4" fillId="0" borderId="3" xfId="0" applyFont="1" applyBorder="1" applyAlignment="1" applyProtection="1">
      <alignment horizontal="center"/>
    </xf>
    <xf numFmtId="0" fontId="4" fillId="0" borderId="0" xfId="0" applyFont="1" applyProtection="1"/>
    <xf numFmtId="0" fontId="4" fillId="0" borderId="3" xfId="0" applyFont="1" applyFill="1" applyBorder="1" applyAlignment="1" applyProtection="1">
      <alignment horizontal="left"/>
    </xf>
    <xf numFmtId="0" fontId="4" fillId="0" borderId="0" xfId="0" applyFont="1" applyAlignment="1">
      <alignment horizontal="center"/>
    </xf>
    <xf numFmtId="14" fontId="6" fillId="2" borderId="23" xfId="0" applyNumberFormat="1" applyFont="1" applyFill="1" applyBorder="1" applyAlignment="1" applyProtection="1">
      <alignment horizontal="center"/>
      <protection locked="0"/>
    </xf>
    <xf numFmtId="164" fontId="4" fillId="4" borderId="3" xfId="0" applyNumberFormat="1" applyFont="1" applyFill="1" applyBorder="1" applyAlignment="1">
      <alignment horizontal="center" vertical="center"/>
    </xf>
    <xf numFmtId="0" fontId="14" fillId="0" borderId="0" xfId="0" applyFont="1" applyAlignment="1">
      <alignment horizontal="center" vertical="center"/>
    </xf>
    <xf numFmtId="0" fontId="14" fillId="0" borderId="3" xfId="0" applyFont="1" applyBorder="1" applyAlignment="1">
      <alignment horizontal="center" vertical="center" wrapText="1"/>
    </xf>
    <xf numFmtId="0" fontId="12" fillId="0" borderId="0" xfId="0" applyFont="1" applyBorder="1" applyAlignment="1">
      <alignment horizontal="left"/>
    </xf>
    <xf numFmtId="0" fontId="12" fillId="0" borderId="0" xfId="0" applyFont="1" applyBorder="1" applyAlignment="1">
      <alignment horizontal="center"/>
    </xf>
    <xf numFmtId="0" fontId="12" fillId="0" borderId="0" xfId="0" applyFont="1" applyBorder="1" applyAlignment="1">
      <alignment horizontal="center" wrapText="1"/>
    </xf>
    <xf numFmtId="14" fontId="12" fillId="0" borderId="3" xfId="0" applyNumberFormat="1" applyFont="1" applyFill="1" applyBorder="1" applyAlignment="1" applyProtection="1">
      <alignment horizontal="center"/>
      <protection locked="0"/>
    </xf>
    <xf numFmtId="0" fontId="12" fillId="0" borderId="3" xfId="0" applyFont="1" applyFill="1" applyBorder="1" applyAlignment="1" applyProtection="1">
      <alignment horizontal="center"/>
      <protection locked="0"/>
    </xf>
    <xf numFmtId="49" fontId="12" fillId="0" borderId="3" xfId="0" applyNumberFormat="1" applyFont="1" applyFill="1" applyBorder="1" applyAlignment="1" applyProtection="1">
      <alignment horizontal="center"/>
      <protection locked="0"/>
    </xf>
    <xf numFmtId="0" fontId="0" fillId="0" borderId="0" xfId="0" applyFont="1" applyFill="1"/>
    <xf numFmtId="0" fontId="12" fillId="0" borderId="3" xfId="0" quotePrefix="1" applyFont="1" applyFill="1" applyBorder="1" applyAlignment="1" applyProtection="1">
      <alignment horizontal="center"/>
      <protection locked="0"/>
    </xf>
    <xf numFmtId="49" fontId="13" fillId="0" borderId="36" xfId="0" applyNumberFormat="1" applyFont="1" applyBorder="1" applyAlignment="1">
      <alignment horizontal="center" vertical="center" wrapText="1"/>
    </xf>
    <xf numFmtId="0" fontId="13" fillId="0" borderId="36" xfId="0" applyFont="1" applyBorder="1" applyAlignment="1">
      <alignment horizontal="center" vertical="center" wrapText="1"/>
    </xf>
    <xf numFmtId="0" fontId="0" fillId="0" borderId="37" xfId="0" applyFont="1" applyBorder="1"/>
    <xf numFmtId="0" fontId="4" fillId="2" borderId="3" xfId="0" applyFont="1" applyFill="1" applyBorder="1" applyAlignment="1" applyProtection="1">
      <alignment horizontal="center"/>
      <protection locked="0"/>
    </xf>
    <xf numFmtId="0" fontId="4" fillId="0" borderId="0" xfId="0" applyFont="1" applyFill="1" applyBorder="1" applyAlignment="1" applyProtection="1">
      <alignment horizontal="left"/>
    </xf>
    <xf numFmtId="0" fontId="12" fillId="0" borderId="0" xfId="0" applyFont="1" applyBorder="1" applyAlignment="1" applyProtection="1">
      <alignment horizontal="center" vertical="center"/>
    </xf>
    <xf numFmtId="164" fontId="12" fillId="0" borderId="0" xfId="0" applyNumberFormat="1" applyFont="1" applyBorder="1" applyAlignment="1" applyProtection="1">
      <alignment horizontal="center" vertical="center"/>
    </xf>
    <xf numFmtId="164" fontId="12" fillId="0" borderId="0" xfId="0" quotePrefix="1" applyNumberFormat="1" applyFont="1" applyFill="1" applyBorder="1" applyAlignment="1" applyProtection="1">
      <alignment horizontal="center" vertical="center"/>
    </xf>
    <xf numFmtId="165" fontId="12" fillId="0" borderId="0" xfId="0" applyNumberFormat="1" applyFont="1" applyBorder="1" applyAlignment="1" applyProtection="1">
      <alignment horizontal="center" vertical="center"/>
    </xf>
    <xf numFmtId="0" fontId="0" fillId="0" borderId="3" xfId="0" applyFont="1" applyFill="1" applyBorder="1"/>
    <xf numFmtId="0" fontId="0" fillId="0" borderId="6" xfId="0" applyFont="1" applyFill="1" applyBorder="1"/>
    <xf numFmtId="0" fontId="0" fillId="0" borderId="36" xfId="0" applyFont="1" applyBorder="1"/>
    <xf numFmtId="0" fontId="45" fillId="0" borderId="11" xfId="0" applyFont="1" applyBorder="1" applyAlignment="1" applyProtection="1">
      <alignment horizontal="center" vertical="center" wrapText="1"/>
    </xf>
    <xf numFmtId="0" fontId="45" fillId="0" borderId="1" xfId="0" applyFont="1" applyBorder="1" applyAlignment="1" applyProtection="1">
      <alignment horizontal="center" vertical="center" wrapText="1"/>
    </xf>
    <xf numFmtId="165" fontId="45" fillId="0" borderId="3" xfId="0" applyNumberFormat="1" applyFont="1" applyFill="1" applyBorder="1" applyAlignment="1" applyProtection="1">
      <alignment horizontal="center" vertical="center"/>
    </xf>
    <xf numFmtId="164" fontId="45" fillId="0" borderId="3" xfId="0" applyNumberFormat="1" applyFont="1" applyBorder="1" applyAlignment="1" applyProtection="1">
      <alignment horizontal="center" vertical="center"/>
    </xf>
    <xf numFmtId="0" fontId="42" fillId="0" borderId="3" xfId="0" applyFont="1" applyFill="1" applyBorder="1" applyAlignment="1">
      <alignment horizontal="center"/>
    </xf>
    <xf numFmtId="0" fontId="42" fillId="0" borderId="3" xfId="0" applyFont="1" applyFill="1" applyBorder="1" applyAlignment="1" applyProtection="1">
      <alignment horizontal="center" vertical="center" wrapText="1"/>
      <protection locked="0"/>
    </xf>
    <xf numFmtId="14" fontId="42" fillId="0" borderId="3" xfId="0" applyNumberFormat="1" applyFont="1" applyFill="1" applyBorder="1" applyAlignment="1" applyProtection="1">
      <alignment horizontal="center" vertical="center" wrapText="1"/>
      <protection locked="0"/>
    </xf>
    <xf numFmtId="14" fontId="42" fillId="0" borderId="3" xfId="0" applyNumberFormat="1" applyFont="1" applyFill="1" applyBorder="1" applyAlignment="1" applyProtection="1">
      <alignment horizontal="center" vertical="center"/>
      <protection locked="0"/>
    </xf>
    <xf numFmtId="0" fontId="42" fillId="0" borderId="3" xfId="0" applyFont="1" applyFill="1" applyBorder="1" applyAlignment="1" applyProtection="1">
      <alignment horizontal="center" vertical="center"/>
      <protection locked="0"/>
    </xf>
    <xf numFmtId="49" fontId="43" fillId="0" borderId="3" xfId="0" applyNumberFormat="1" applyFont="1" applyFill="1" applyBorder="1" applyAlignment="1" applyProtection="1">
      <alignment horizontal="center" vertical="center" wrapText="1"/>
      <protection locked="0"/>
    </xf>
    <xf numFmtId="14" fontId="42" fillId="0" borderId="3" xfId="0" applyNumberFormat="1" applyFont="1" applyFill="1" applyBorder="1" applyAlignment="1" applyProtection="1">
      <alignment horizontal="center"/>
    </xf>
    <xf numFmtId="49" fontId="42" fillId="0" borderId="3" xfId="0" applyNumberFormat="1" applyFont="1" applyFill="1" applyBorder="1" applyAlignment="1" applyProtection="1">
      <alignment horizontal="center" vertical="center" wrapText="1"/>
      <protection locked="0"/>
    </xf>
    <xf numFmtId="0" fontId="42" fillId="0" borderId="3" xfId="0" applyFont="1" applyFill="1" applyBorder="1" applyAlignment="1" applyProtection="1">
      <alignment horizontal="center"/>
      <protection locked="0"/>
    </xf>
    <xf numFmtId="49" fontId="42" fillId="0" borderId="3" xfId="0" applyNumberFormat="1" applyFont="1" applyFill="1" applyBorder="1" applyAlignment="1" applyProtection="1">
      <alignment horizontal="center"/>
      <protection locked="0"/>
    </xf>
    <xf numFmtId="164" fontId="45" fillId="0" borderId="1" xfId="0" applyNumberFormat="1" applyFont="1" applyBorder="1" applyAlignment="1" applyProtection="1">
      <alignment horizontal="center" vertical="center"/>
    </xf>
    <xf numFmtId="166" fontId="45" fillId="0" borderId="3" xfId="0" applyNumberFormat="1" applyFont="1" applyBorder="1" applyAlignment="1" applyProtection="1">
      <alignment horizontal="center" vertical="center"/>
    </xf>
    <xf numFmtId="14" fontId="42" fillId="0" borderId="3" xfId="0" applyNumberFormat="1" applyFont="1" applyFill="1" applyBorder="1" applyAlignment="1" applyProtection="1">
      <alignment horizontal="center"/>
      <protection locked="0"/>
    </xf>
    <xf numFmtId="167" fontId="42" fillId="0" borderId="3" xfId="0" applyNumberFormat="1" applyFont="1" applyFill="1" applyBorder="1" applyAlignment="1" applyProtection="1">
      <alignment horizontal="center"/>
      <protection locked="0"/>
    </xf>
    <xf numFmtId="49" fontId="43" fillId="0" borderId="3" xfId="0" applyNumberFormat="1" applyFont="1" applyFill="1" applyBorder="1" applyAlignment="1" applyProtection="1">
      <alignment horizontal="center"/>
      <protection locked="0"/>
    </xf>
    <xf numFmtId="0" fontId="42" fillId="0" borderId="3" xfId="0" applyFont="1" applyFill="1" applyBorder="1" applyAlignment="1" applyProtection="1">
      <alignment horizontal="center" wrapText="1"/>
      <protection locked="0"/>
    </xf>
    <xf numFmtId="2" fontId="42" fillId="0" borderId="3" xfId="0" applyNumberFormat="1" applyFont="1" applyFill="1" applyBorder="1" applyAlignment="1" applyProtection="1">
      <alignment horizontal="center"/>
    </xf>
    <xf numFmtId="164" fontId="53" fillId="0" borderId="3" xfId="0" applyNumberFormat="1" applyFont="1" applyBorder="1" applyAlignment="1" applyProtection="1">
      <alignment horizontal="center" vertical="center"/>
    </xf>
    <xf numFmtId="166" fontId="53" fillId="0" borderId="3" xfId="0" applyNumberFormat="1" applyFont="1" applyBorder="1" applyAlignment="1" applyProtection="1">
      <alignment horizontal="center" vertical="center"/>
    </xf>
    <xf numFmtId="165" fontId="53" fillId="0" borderId="3" xfId="0" applyNumberFormat="1" applyFont="1" applyFill="1" applyBorder="1" applyAlignment="1" applyProtection="1">
      <alignment horizontal="center" vertical="center"/>
    </xf>
    <xf numFmtId="0" fontId="42" fillId="0" borderId="3" xfId="0" applyFont="1" applyFill="1" applyBorder="1" applyAlignment="1">
      <alignment horizontal="center" vertical="center"/>
    </xf>
    <xf numFmtId="14" fontId="42" fillId="0" borderId="3" xfId="0" applyNumberFormat="1" applyFont="1" applyFill="1" applyBorder="1" applyAlignment="1" applyProtection="1">
      <alignment horizontal="center" vertical="center"/>
    </xf>
    <xf numFmtId="0" fontId="19" fillId="0" borderId="3" xfId="419" applyFill="1" applyBorder="1" applyAlignment="1" applyProtection="1">
      <alignment horizontal="center" vertical="center" wrapText="1"/>
      <protection locked="0"/>
    </xf>
    <xf numFmtId="19" fontId="42" fillId="0" borderId="3" xfId="0" applyNumberFormat="1" applyFont="1" applyFill="1" applyBorder="1" applyAlignment="1" applyProtection="1">
      <alignment horizontal="center" vertical="center"/>
      <protection locked="0"/>
    </xf>
    <xf numFmtId="14" fontId="42" fillId="0" borderId="3" xfId="0" applyNumberFormat="1" applyFont="1" applyFill="1" applyBorder="1" applyAlignment="1">
      <alignment horizontal="center" vertical="center"/>
    </xf>
    <xf numFmtId="0" fontId="44" fillId="0" borderId="4" xfId="0" applyFont="1" applyFill="1" applyBorder="1" applyAlignment="1" applyProtection="1">
      <alignment horizontal="center" vertical="center"/>
      <protection locked="0"/>
    </xf>
    <xf numFmtId="0" fontId="44" fillId="0" borderId="7" xfId="0" applyFont="1" applyFill="1" applyBorder="1" applyAlignment="1" applyProtection="1">
      <alignment horizontal="center" vertical="center"/>
      <protection locked="0"/>
    </xf>
    <xf numFmtId="0" fontId="4" fillId="0" borderId="0" xfId="0" applyFont="1" applyAlignment="1" applyProtection="1">
      <alignment horizontal="center" vertical="center" wrapText="1"/>
    </xf>
    <xf numFmtId="0" fontId="4" fillId="0" borderId="0" xfId="0" applyFont="1" applyAlignment="1" applyProtection="1">
      <alignment horizontal="center" vertical="center"/>
    </xf>
    <xf numFmtId="0" fontId="4" fillId="0" borderId="0" xfId="0" applyFont="1" applyAlignment="1" applyProtection="1">
      <alignment vertical="center"/>
    </xf>
    <xf numFmtId="164" fontId="0" fillId="0" borderId="0" xfId="0" applyNumberFormat="1" applyFont="1" applyAlignment="1" applyProtection="1">
      <alignment horizontal="center" vertical="center"/>
    </xf>
    <xf numFmtId="0" fontId="44" fillId="0" borderId="0" xfId="0" applyFont="1" applyProtection="1"/>
    <xf numFmtId="164" fontId="45" fillId="0" borderId="3" xfId="0" applyNumberFormat="1" applyFont="1" applyBorder="1" applyAlignment="1" applyProtection="1">
      <alignment horizontal="center" vertical="center"/>
      <protection locked="0"/>
    </xf>
    <xf numFmtId="0" fontId="5" fillId="0" borderId="0" xfId="0" applyFont="1" applyAlignment="1" applyProtection="1">
      <alignment horizontal="left" vertical="center"/>
    </xf>
    <xf numFmtId="0" fontId="5" fillId="0" borderId="0" xfId="0" applyFont="1" applyAlignment="1" applyProtection="1">
      <alignment horizontal="left" vertical="center" wrapText="1"/>
    </xf>
    <xf numFmtId="0" fontId="5" fillId="0" borderId="0" xfId="0" applyFont="1" applyAlignment="1" applyProtection="1">
      <alignment horizontal="center" vertical="center" wrapText="1"/>
    </xf>
    <xf numFmtId="0" fontId="5" fillId="0" borderId="0" xfId="0" applyFont="1" applyBorder="1" applyAlignment="1" applyProtection="1">
      <alignment horizontal="center" vertical="center" wrapText="1"/>
    </xf>
    <xf numFmtId="0" fontId="4" fillId="0" borderId="3" xfId="0" applyFont="1" applyBorder="1" applyAlignment="1" applyProtection="1">
      <alignment horizontal="center" vertical="center"/>
    </xf>
    <xf numFmtId="0" fontId="54" fillId="0" borderId="39" xfId="0" applyFont="1" applyBorder="1" applyAlignment="1" applyProtection="1">
      <alignment horizontal="center" vertical="center"/>
    </xf>
    <xf numFmtId="0" fontId="55" fillId="0" borderId="40" xfId="0" applyFont="1" applyBorder="1" applyAlignment="1" applyProtection="1">
      <alignment horizontal="center" vertical="center"/>
    </xf>
    <xf numFmtId="0" fontId="55" fillId="0" borderId="24" xfId="0" applyFont="1" applyBorder="1" applyAlignment="1" applyProtection="1">
      <alignment horizontal="center" vertical="center" wrapText="1"/>
    </xf>
    <xf numFmtId="0" fontId="4" fillId="0" borderId="11" xfId="0" applyFont="1" applyBorder="1" applyAlignment="1" applyProtection="1">
      <alignment horizontal="center" vertical="center"/>
    </xf>
    <xf numFmtId="0" fontId="4" fillId="0" borderId="1" xfId="0" applyFont="1" applyBorder="1" applyAlignment="1" applyProtection="1">
      <alignment horizontal="center" vertical="center"/>
    </xf>
    <xf numFmtId="0" fontId="4" fillId="0" borderId="1" xfId="0" applyFont="1" applyBorder="1" applyAlignment="1" applyProtection="1">
      <alignment horizontal="center" vertical="center" wrapText="1"/>
    </xf>
    <xf numFmtId="0" fontId="4" fillId="0" borderId="38" xfId="0" applyFont="1" applyBorder="1" applyAlignment="1" applyProtection="1">
      <alignment horizontal="center" vertical="center" wrapText="1"/>
    </xf>
    <xf numFmtId="0" fontId="4" fillId="0" borderId="0" xfId="0" applyFont="1" applyBorder="1" applyAlignment="1" applyProtection="1">
      <alignment horizontal="center" vertical="center"/>
    </xf>
    <xf numFmtId="166" fontId="4" fillId="0" borderId="3" xfId="0" applyNumberFormat="1" applyFont="1" applyBorder="1" applyAlignment="1" applyProtection="1">
      <alignment horizontal="center" vertical="center"/>
    </xf>
    <xf numFmtId="0" fontId="4" fillId="0" borderId="39" xfId="0" applyFont="1" applyBorder="1" applyAlignment="1" applyProtection="1">
      <alignment horizontal="center" vertical="center"/>
    </xf>
    <xf numFmtId="0" fontId="54" fillId="0" borderId="40" xfId="0" applyFont="1" applyBorder="1" applyAlignment="1" applyProtection="1">
      <alignment horizontal="center" vertical="center" wrapText="1"/>
    </xf>
    <xf numFmtId="0" fontId="54" fillId="0" borderId="24" xfId="0" applyFont="1" applyBorder="1" applyAlignment="1" applyProtection="1">
      <alignment horizontal="center" vertical="center" wrapText="1"/>
    </xf>
    <xf numFmtId="0" fontId="4" fillId="0" borderId="2" xfId="0" applyFont="1" applyBorder="1" applyAlignment="1" applyProtection="1">
      <alignment horizontal="center" vertical="center"/>
    </xf>
    <xf numFmtId="0" fontId="4" fillId="0" borderId="3" xfId="0" applyFont="1" applyBorder="1" applyAlignment="1" applyProtection="1">
      <alignment horizontal="center" vertical="center" wrapText="1"/>
    </xf>
    <xf numFmtId="0" fontId="4" fillId="0" borderId="4" xfId="0" applyFont="1" applyBorder="1" applyAlignment="1" applyProtection="1">
      <alignment horizontal="center" vertical="center" wrapText="1"/>
    </xf>
    <xf numFmtId="0" fontId="0" fillId="0" borderId="39" xfId="0" applyBorder="1" applyAlignment="1" applyProtection="1">
      <alignment vertical="center"/>
    </xf>
    <xf numFmtId="0" fontId="44" fillId="0" borderId="40" xfId="0" applyFont="1" applyBorder="1" applyAlignment="1" applyProtection="1">
      <alignment horizontal="center" vertical="center" wrapText="1"/>
    </xf>
    <xf numFmtId="0" fontId="4" fillId="0" borderId="0" xfId="0" applyFont="1" applyAlignment="1" applyProtection="1">
      <alignment horizontal="left" vertical="center"/>
    </xf>
    <xf numFmtId="0" fontId="55" fillId="0" borderId="39" xfId="0" applyFont="1" applyBorder="1" applyAlignment="1" applyProtection="1">
      <alignment horizontal="center" vertical="center" wrapText="1"/>
    </xf>
    <xf numFmtId="0" fontId="54" fillId="0" borderId="39" xfId="0" applyFont="1" applyBorder="1" applyAlignment="1" applyProtection="1">
      <alignment horizontal="center" vertical="center" wrapText="1"/>
    </xf>
    <xf numFmtId="0" fontId="54" fillId="0" borderId="0" xfId="0" applyFont="1" applyBorder="1" applyAlignment="1" applyProtection="1">
      <alignment horizontal="center" vertical="center" wrapText="1"/>
    </xf>
    <xf numFmtId="0" fontId="54" fillId="0" borderId="3" xfId="0" applyFont="1" applyBorder="1" applyAlignment="1" applyProtection="1">
      <alignment horizontal="center" vertical="center"/>
    </xf>
    <xf numFmtId="0" fontId="55" fillId="0" borderId="3" xfId="0" applyFont="1" applyBorder="1" applyAlignment="1" applyProtection="1">
      <alignment horizontal="center" vertical="center"/>
    </xf>
    <xf numFmtId="0" fontId="55" fillId="0" borderId="3" xfId="0" applyFont="1" applyBorder="1" applyAlignment="1" applyProtection="1">
      <alignment horizontal="center" vertical="center" wrapText="1"/>
    </xf>
    <xf numFmtId="0" fontId="54" fillId="0" borderId="3" xfId="0" applyFont="1" applyBorder="1" applyAlignment="1" applyProtection="1">
      <alignment horizontal="center" vertical="center" wrapText="1"/>
    </xf>
    <xf numFmtId="0" fontId="0" fillId="0" borderId="3" xfId="0" applyBorder="1" applyAlignment="1" applyProtection="1">
      <alignment vertical="center"/>
    </xf>
    <xf numFmtId="0" fontId="4" fillId="0" borderId="5" xfId="0" applyFont="1" applyBorder="1" applyAlignment="1" applyProtection="1">
      <alignment horizontal="center" vertical="center"/>
    </xf>
    <xf numFmtId="0" fontId="4" fillId="0" borderId="6" xfId="0" applyFont="1" applyBorder="1" applyAlignment="1" applyProtection="1">
      <alignment horizontal="center" vertical="center"/>
    </xf>
    <xf numFmtId="0" fontId="44" fillId="0" borderId="0" xfId="0" applyFont="1" applyAlignment="1" applyProtection="1">
      <alignment horizontal="center" vertical="center"/>
    </xf>
    <xf numFmtId="0" fontId="4" fillId="0" borderId="4" xfId="0" applyFont="1" applyBorder="1" applyAlignment="1" applyProtection="1">
      <alignment horizontal="center" vertical="center"/>
    </xf>
    <xf numFmtId="0" fontId="49" fillId="0" borderId="0" xfId="0" applyFont="1" applyAlignment="1" applyProtection="1">
      <alignment horizontal="center" vertical="center"/>
    </xf>
    <xf numFmtId="0" fontId="4" fillId="0" borderId="7" xfId="0" applyFont="1" applyBorder="1" applyAlignment="1" applyProtection="1">
      <alignment horizontal="center" vertical="center"/>
    </xf>
    <xf numFmtId="0" fontId="4" fillId="0" borderId="6" xfId="0" applyFont="1" applyBorder="1" applyAlignment="1" applyProtection="1">
      <alignment horizontal="center" vertical="center" wrapText="1"/>
    </xf>
    <xf numFmtId="0" fontId="5" fillId="0" borderId="2" xfId="0" applyFont="1" applyBorder="1" applyAlignment="1" applyProtection="1">
      <alignment horizontal="left" vertical="center"/>
    </xf>
    <xf numFmtId="0" fontId="4" fillId="0" borderId="2" xfId="0" applyFont="1" applyBorder="1" applyAlignment="1" applyProtection="1">
      <alignment horizontal="left" vertical="center"/>
    </xf>
    <xf numFmtId="0" fontId="55" fillId="0" borderId="40" xfId="0" applyNumberFormat="1" applyFont="1" applyBorder="1" applyAlignment="1" applyProtection="1">
      <alignment horizontal="center" vertical="center" wrapText="1"/>
    </xf>
    <xf numFmtId="0" fontId="4" fillId="3" borderId="9" xfId="0" applyFont="1" applyFill="1" applyBorder="1" applyProtection="1"/>
    <xf numFmtId="0" fontId="4" fillId="3" borderId="10" xfId="0" applyFont="1" applyFill="1" applyBorder="1" applyProtection="1"/>
    <xf numFmtId="0" fontId="5" fillId="3" borderId="8" xfId="0" applyFont="1" applyFill="1" applyBorder="1" applyProtection="1"/>
    <xf numFmtId="0" fontId="8" fillId="0" borderId="0" xfId="0" applyFont="1" applyAlignment="1" applyProtection="1">
      <alignment horizontal="left"/>
    </xf>
    <xf numFmtId="0" fontId="8" fillId="0" borderId="0" xfId="0" applyFont="1" applyAlignment="1" applyProtection="1">
      <alignment horizontal="right"/>
    </xf>
    <xf numFmtId="14" fontId="6" fillId="0" borderId="0" xfId="0" applyNumberFormat="1" applyFont="1" applyFill="1" applyBorder="1" applyAlignment="1" applyProtection="1">
      <alignment horizontal="center"/>
    </xf>
    <xf numFmtId="0" fontId="4" fillId="0" borderId="0" xfId="0" applyFont="1" applyAlignment="1" applyProtection="1">
      <alignment horizontal="right"/>
    </xf>
    <xf numFmtId="0" fontId="4" fillId="0" borderId="0" xfId="0" applyFont="1" applyBorder="1" applyProtection="1"/>
    <xf numFmtId="14" fontId="4" fillId="0" borderId="0" xfId="0" applyNumberFormat="1" applyFont="1" applyBorder="1" applyProtection="1"/>
    <xf numFmtId="0" fontId="8" fillId="0" borderId="0" xfId="0" applyFont="1" applyAlignment="1" applyProtection="1">
      <alignment horizontal="center"/>
    </xf>
    <xf numFmtId="0" fontId="4" fillId="3" borderId="8" xfId="0" applyFont="1" applyFill="1" applyBorder="1" applyProtection="1"/>
    <xf numFmtId="0" fontId="4" fillId="0" borderId="0" xfId="0" applyFont="1" applyFill="1" applyProtection="1"/>
    <xf numFmtId="0" fontId="8" fillId="0" borderId="0" xfId="0" applyFont="1" applyFill="1" applyAlignment="1" applyProtection="1">
      <alignment horizontal="center" wrapText="1"/>
    </xf>
    <xf numFmtId="0" fontId="8" fillId="0" borderId="0" xfId="0" applyFont="1" applyAlignment="1" applyProtection="1">
      <alignment wrapText="1"/>
    </xf>
    <xf numFmtId="0" fontId="8" fillId="0" borderId="0" xfId="0" applyFont="1" applyAlignment="1" applyProtection="1">
      <alignment horizontal="center" wrapText="1"/>
    </xf>
    <xf numFmtId="0" fontId="8" fillId="0" borderId="18" xfId="0" applyFont="1" applyFill="1" applyBorder="1" applyAlignment="1" applyProtection="1">
      <alignment horizontal="center" wrapText="1"/>
    </xf>
    <xf numFmtId="0" fontId="4" fillId="2" borderId="15" xfId="0" applyFont="1" applyFill="1" applyBorder="1" applyAlignment="1" applyProtection="1">
      <alignment horizontal="center"/>
    </xf>
    <xf numFmtId="14" fontId="4" fillId="2" borderId="16" xfId="0" applyNumberFormat="1" applyFont="1" applyFill="1" applyBorder="1" applyAlignment="1" applyProtection="1">
      <alignment horizontal="center"/>
    </xf>
    <xf numFmtId="0" fontId="4" fillId="0" borderId="2" xfId="0" applyFont="1" applyFill="1" applyBorder="1" applyAlignment="1" applyProtection="1">
      <alignment horizontal="center"/>
    </xf>
    <xf numFmtId="0" fontId="4" fillId="0" borderId="3" xfId="0" applyFont="1" applyFill="1" applyBorder="1" applyAlignment="1" applyProtection="1">
      <alignment horizontal="center"/>
    </xf>
    <xf numFmtId="0" fontId="4" fillId="0" borderId="4" xfId="0" applyFont="1" applyFill="1" applyBorder="1" applyAlignment="1" applyProtection="1">
      <alignment horizontal="center"/>
    </xf>
    <xf numFmtId="0" fontId="4" fillId="2" borderId="21" xfId="0" applyFont="1" applyFill="1" applyBorder="1" applyAlignment="1" applyProtection="1">
      <alignment horizontal="center"/>
    </xf>
    <xf numFmtId="0" fontId="4" fillId="0" borderId="2" xfId="0" applyFont="1" applyBorder="1" applyAlignment="1" applyProtection="1">
      <alignment horizontal="center"/>
    </xf>
    <xf numFmtId="0" fontId="8" fillId="0" borderId="19" xfId="0" applyFont="1" applyFill="1" applyBorder="1" applyAlignment="1" applyProtection="1">
      <alignment horizontal="center" wrapText="1"/>
    </xf>
    <xf numFmtId="0" fontId="4" fillId="2" borderId="12" xfId="0" applyFont="1" applyFill="1" applyBorder="1" applyAlignment="1" applyProtection="1">
      <alignment horizontal="center"/>
    </xf>
    <xf numFmtId="14" fontId="4" fillId="2" borderId="17" xfId="0" applyNumberFormat="1" applyFont="1" applyFill="1" applyBorder="1" applyAlignment="1" applyProtection="1">
      <alignment horizontal="center"/>
    </xf>
    <xf numFmtId="0" fontId="4" fillId="2" borderId="22" xfId="0" applyFont="1" applyFill="1" applyBorder="1" applyAlignment="1" applyProtection="1">
      <alignment horizontal="center"/>
    </xf>
    <xf numFmtId="0" fontId="4" fillId="0" borderId="3" xfId="0" applyFont="1" applyBorder="1" applyProtection="1"/>
    <xf numFmtId="0" fontId="4" fillId="0" borderId="12" xfId="0" applyFont="1" applyFill="1" applyBorder="1" applyAlignment="1" applyProtection="1">
      <alignment horizontal="center"/>
    </xf>
    <xf numFmtId="0" fontId="8" fillId="0" borderId="20" xfId="0" applyFont="1" applyFill="1" applyBorder="1" applyAlignment="1" applyProtection="1">
      <alignment horizontal="center" wrapText="1"/>
    </xf>
    <xf numFmtId="0" fontId="4" fillId="3" borderId="35" xfId="0" applyFont="1" applyFill="1" applyBorder="1" applyProtection="1"/>
    <xf numFmtId="0" fontId="8" fillId="0" borderId="0" xfId="0" applyFont="1" applyFill="1" applyBorder="1" applyAlignment="1" applyProtection="1">
      <alignment horizontal="center" wrapText="1"/>
    </xf>
    <xf numFmtId="0" fontId="4" fillId="0" borderId="0" xfId="0" applyFont="1" applyFill="1" applyBorder="1" applyAlignment="1" applyProtection="1">
      <alignment horizontal="center"/>
    </xf>
    <xf numFmtId="0" fontId="4" fillId="0" borderId="0" xfId="0" applyFont="1" applyBorder="1" applyAlignment="1" applyProtection="1">
      <alignment horizontal="center"/>
    </xf>
    <xf numFmtId="14" fontId="4" fillId="0" borderId="0" xfId="0" applyNumberFormat="1" applyFont="1" applyBorder="1" applyAlignment="1" applyProtection="1">
      <alignment horizontal="center"/>
    </xf>
    <xf numFmtId="0" fontId="4" fillId="0" borderId="0" xfId="0" applyFont="1" applyAlignment="1" applyProtection="1">
      <alignment horizontal="center"/>
    </xf>
    <xf numFmtId="0" fontId="8" fillId="0" borderId="0" xfId="0" applyFont="1" applyProtection="1"/>
    <xf numFmtId="0" fontId="4" fillId="0" borderId="13" xfId="0" applyFont="1" applyBorder="1" applyAlignment="1" applyProtection="1"/>
    <xf numFmtId="0" fontId="4" fillId="0" borderId="0" xfId="0" applyFont="1" applyBorder="1" applyAlignment="1" applyProtection="1"/>
    <xf numFmtId="0" fontId="4" fillId="0" borderId="0" xfId="0" applyFont="1" applyBorder="1" applyAlignment="1" applyProtection="1">
      <alignment horizontal="left"/>
    </xf>
    <xf numFmtId="0" fontId="46" fillId="0" borderId="1" xfId="0" applyFont="1" applyBorder="1" applyAlignment="1" applyProtection="1">
      <alignment horizontal="center" vertical="center" wrapText="1"/>
    </xf>
    <xf numFmtId="0" fontId="46" fillId="0" borderId="1" xfId="0" applyFont="1" applyFill="1" applyBorder="1" applyAlignment="1" applyProtection="1">
      <alignment horizontal="center" vertical="center" wrapText="1"/>
    </xf>
    <xf numFmtId="0" fontId="13" fillId="0" borderId="0" xfId="0" applyFont="1" applyAlignment="1" applyProtection="1">
      <alignment horizontal="center" vertical="center" wrapText="1"/>
    </xf>
    <xf numFmtId="0" fontId="50" fillId="0" borderId="0" xfId="0" applyFont="1" applyAlignment="1" applyProtection="1">
      <alignment horizontal="center" vertical="center"/>
    </xf>
    <xf numFmtId="0" fontId="51" fillId="0" borderId="0" xfId="0" applyFont="1" applyAlignment="1" applyProtection="1">
      <alignment horizontal="center" vertical="center"/>
    </xf>
    <xf numFmtId="0" fontId="51" fillId="0" borderId="0" xfId="0" applyFont="1" applyAlignment="1" applyProtection="1">
      <alignment horizontal="center" vertical="center" wrapText="1"/>
    </xf>
    <xf numFmtId="0" fontId="5" fillId="0" borderId="0" xfId="0" applyFont="1" applyAlignment="1" applyProtection="1">
      <alignment horizontal="center" vertical="center"/>
    </xf>
    <xf numFmtId="0" fontId="53" fillId="0" borderId="2" xfId="0" applyNumberFormat="1" applyFont="1" applyBorder="1" applyAlignment="1" applyProtection="1">
      <alignment horizontal="center" vertical="center"/>
    </xf>
    <xf numFmtId="0" fontId="45" fillId="0" borderId="2" xfId="0" applyNumberFormat="1" applyFont="1" applyBorder="1" applyAlignment="1" applyProtection="1">
      <alignment horizontal="center" vertical="center"/>
    </xf>
    <xf numFmtId="0" fontId="45" fillId="0" borderId="2" xfId="0" applyFont="1" applyBorder="1" applyAlignment="1" applyProtection="1">
      <alignment horizontal="center" vertical="center"/>
    </xf>
    <xf numFmtId="164" fontId="45" fillId="0" borderId="3" xfId="0" applyNumberFormat="1" applyFont="1" applyFill="1" applyBorder="1" applyAlignment="1" applyProtection="1">
      <alignment horizontal="center" vertical="center"/>
    </xf>
    <xf numFmtId="164" fontId="45" fillId="0" borderId="3" xfId="0" quotePrefix="1" applyNumberFormat="1" applyFont="1" applyFill="1" applyBorder="1" applyAlignment="1" applyProtection="1">
      <alignment horizontal="center" vertical="center"/>
    </xf>
    <xf numFmtId="1" fontId="4" fillId="0" borderId="0" xfId="0" applyNumberFormat="1" applyFont="1" applyAlignment="1" applyProtection="1">
      <alignment horizontal="center" vertical="center"/>
    </xf>
    <xf numFmtId="166" fontId="4" fillId="0" borderId="0" xfId="0" applyNumberFormat="1" applyFont="1" applyAlignment="1" applyProtection="1">
      <alignment horizontal="center" vertical="center"/>
    </xf>
    <xf numFmtId="166" fontId="44" fillId="0" borderId="0" xfId="0" applyNumberFormat="1" applyFont="1" applyAlignment="1" applyProtection="1">
      <alignment horizontal="center" vertical="center"/>
    </xf>
    <xf numFmtId="166" fontId="6" fillId="0" borderId="0" xfId="0" applyNumberFormat="1" applyFont="1" applyAlignment="1" applyProtection="1">
      <alignment horizontal="center" vertical="center"/>
    </xf>
    <xf numFmtId="0" fontId="6" fillId="0" borderId="0" xfId="0" applyFont="1" applyProtection="1"/>
    <xf numFmtId="165" fontId="45" fillId="0" borderId="3" xfId="0" applyNumberFormat="1" applyFont="1" applyBorder="1" applyAlignment="1" applyProtection="1">
      <alignment horizontal="center" vertical="center"/>
    </xf>
    <xf numFmtId="0" fontId="45" fillId="0" borderId="5" xfId="0" applyFont="1" applyBorder="1" applyAlignment="1" applyProtection="1">
      <alignment horizontal="center" vertical="center"/>
    </xf>
    <xf numFmtId="164" fontId="45" fillId="0" borderId="6" xfId="0" applyNumberFormat="1" applyFont="1" applyBorder="1" applyAlignment="1" applyProtection="1">
      <alignment horizontal="center" vertical="center"/>
    </xf>
    <xf numFmtId="164" fontId="45" fillId="0" borderId="6" xfId="0" quotePrefix="1" applyNumberFormat="1" applyFont="1" applyFill="1" applyBorder="1" applyAlignment="1" applyProtection="1">
      <alignment horizontal="center" vertical="center"/>
    </xf>
    <xf numFmtId="166" fontId="45" fillId="0" borderId="6" xfId="0" applyNumberFormat="1" applyFont="1" applyBorder="1" applyAlignment="1" applyProtection="1">
      <alignment horizontal="center" vertical="center"/>
    </xf>
    <xf numFmtId="165" fontId="45" fillId="0" borderId="6" xfId="0" applyNumberFormat="1" applyFont="1" applyBorder="1" applyAlignment="1" applyProtection="1">
      <alignment horizontal="center" vertical="center"/>
    </xf>
    <xf numFmtId="14" fontId="0" fillId="0" borderId="3" xfId="0" applyNumberFormat="1" applyFont="1" applyFill="1" applyBorder="1"/>
    <xf numFmtId="0" fontId="45" fillId="0" borderId="3" xfId="0" applyFont="1" applyBorder="1" applyAlignment="1" applyProtection="1">
      <alignment horizontal="center" vertical="center"/>
    </xf>
    <xf numFmtId="164" fontId="45" fillId="0" borderId="3" xfId="0" applyNumberFormat="1" applyFont="1" applyBorder="1" applyAlignment="1">
      <alignment horizontal="center" vertical="center"/>
    </xf>
    <xf numFmtId="0" fontId="42" fillId="2" borderId="3" xfId="0" applyFont="1" applyFill="1" applyBorder="1" applyAlignment="1" applyProtection="1">
      <alignment horizontal="center" vertical="center" wrapText="1"/>
      <protection locked="0"/>
    </xf>
    <xf numFmtId="0" fontId="0" fillId="0" borderId="3" xfId="0" applyFont="1" applyFill="1" applyBorder="1" applyAlignment="1">
      <alignment vertical="center"/>
    </xf>
    <xf numFmtId="14" fontId="0" fillId="0" borderId="0" xfId="0" applyNumberFormat="1"/>
    <xf numFmtId="166" fontId="12" fillId="0" borderId="1" xfId="0" applyNumberFormat="1" applyFont="1" applyBorder="1" applyAlignment="1" applyProtection="1">
      <alignment horizontal="center" vertical="center" wrapText="1"/>
    </xf>
    <xf numFmtId="166" fontId="12" fillId="0" borderId="3" xfId="0" applyNumberFormat="1" applyFont="1" applyBorder="1" applyAlignment="1" applyProtection="1">
      <alignment horizontal="center" vertical="center" wrapText="1"/>
    </xf>
    <xf numFmtId="0" fontId="12" fillId="0" borderId="0" xfId="0" applyFont="1" applyAlignment="1" applyProtection="1">
      <alignment horizontal="center" vertical="center" wrapText="1"/>
    </xf>
    <xf numFmtId="0" fontId="12" fillId="0" borderId="1" xfId="0" applyFont="1" applyBorder="1" applyAlignment="1" applyProtection="1">
      <alignment horizontal="center" vertical="center" wrapText="1"/>
    </xf>
    <xf numFmtId="0" fontId="12" fillId="0" borderId="3" xfId="0" applyFont="1" applyBorder="1" applyAlignment="1" applyProtection="1">
      <alignment horizontal="center" vertical="center" wrapText="1"/>
    </xf>
    <xf numFmtId="0" fontId="12" fillId="0" borderId="3" xfId="0" applyFont="1" applyBorder="1" applyAlignment="1" applyProtection="1">
      <alignment horizontal="center" vertical="center"/>
    </xf>
    <xf numFmtId="0" fontId="12" fillId="0" borderId="4" xfId="0" applyFont="1" applyBorder="1" applyAlignment="1" applyProtection="1">
      <alignment horizontal="center" vertical="center"/>
    </xf>
    <xf numFmtId="0" fontId="12" fillId="0" borderId="6" xfId="0" applyFont="1" applyBorder="1" applyAlignment="1" applyProtection="1">
      <alignment horizontal="center" vertical="center"/>
    </xf>
    <xf numFmtId="0" fontId="12" fillId="0" borderId="7" xfId="0" applyFont="1" applyBorder="1" applyAlignment="1" applyProtection="1">
      <alignment horizontal="center" vertical="center"/>
    </xf>
    <xf numFmtId="0" fontId="5" fillId="0" borderId="1" xfId="0" applyFont="1" applyBorder="1" applyAlignment="1" applyProtection="1">
      <alignment horizontal="center" vertical="center"/>
    </xf>
    <xf numFmtId="0" fontId="57" fillId="0" borderId="1" xfId="0" applyFont="1" applyBorder="1" applyAlignment="1" applyProtection="1">
      <alignment horizontal="center" vertical="center"/>
    </xf>
    <xf numFmtId="0" fontId="45" fillId="0" borderId="4" xfId="0" applyFont="1" applyBorder="1" applyAlignment="1" applyProtection="1">
      <alignment horizontal="center" vertical="center"/>
    </xf>
    <xf numFmtId="0" fontId="45" fillId="0" borderId="6" xfId="0" applyFont="1" applyBorder="1" applyAlignment="1" applyProtection="1">
      <alignment horizontal="center" vertical="center"/>
    </xf>
    <xf numFmtId="0" fontId="45" fillId="0" borderId="7" xfId="0" applyFont="1" applyBorder="1" applyAlignment="1" applyProtection="1">
      <alignment horizontal="center" vertical="center"/>
    </xf>
    <xf numFmtId="0" fontId="12" fillId="0" borderId="6" xfId="0" applyFont="1" applyFill="1" applyBorder="1" applyAlignment="1" applyProtection="1">
      <alignment horizontal="center"/>
      <protection locked="0"/>
    </xf>
    <xf numFmtId="49" fontId="12" fillId="0" borderId="6" xfId="0" applyNumberFormat="1" applyFont="1" applyFill="1" applyBorder="1" applyAlignment="1" applyProtection="1">
      <alignment horizontal="center"/>
      <protection locked="0"/>
    </xf>
    <xf numFmtId="14" fontId="12" fillId="0" borderId="6" xfId="0" applyNumberFormat="1" applyFont="1" applyFill="1" applyBorder="1" applyAlignment="1" applyProtection="1">
      <alignment horizontal="center"/>
      <protection locked="0"/>
    </xf>
    <xf numFmtId="14" fontId="0" fillId="0" borderId="6" xfId="0" applyNumberFormat="1" applyFont="1" applyFill="1" applyBorder="1"/>
    <xf numFmtId="164" fontId="45" fillId="0" borderId="2" xfId="0" applyNumberFormat="1" applyFont="1" applyBorder="1" applyAlignment="1" applyProtection="1">
      <alignment horizontal="center" vertical="center"/>
    </xf>
    <xf numFmtId="0" fontId="45" fillId="0" borderId="5" xfId="0" applyNumberFormat="1" applyFont="1" applyBorder="1" applyAlignment="1" applyProtection="1">
      <alignment horizontal="center" vertical="center"/>
    </xf>
    <xf numFmtId="0" fontId="45" fillId="0" borderId="41" xfId="0" applyFont="1" applyBorder="1" applyAlignment="1" applyProtection="1">
      <alignment horizontal="center" vertical="center"/>
    </xf>
    <xf numFmtId="164" fontId="45" fillId="0" borderId="41" xfId="0" applyNumberFormat="1" applyFont="1" applyBorder="1" applyAlignment="1" applyProtection="1">
      <alignment horizontal="center" vertical="center"/>
    </xf>
    <xf numFmtId="164" fontId="45" fillId="0" borderId="41" xfId="0" quotePrefix="1" applyNumberFormat="1" applyFont="1" applyFill="1" applyBorder="1" applyAlignment="1" applyProtection="1">
      <alignment horizontal="center" vertical="center"/>
    </xf>
    <xf numFmtId="166" fontId="45" fillId="0" borderId="41" xfId="0" applyNumberFormat="1" applyFont="1" applyBorder="1" applyAlignment="1" applyProtection="1">
      <alignment horizontal="center" vertical="center"/>
    </xf>
    <xf numFmtId="165" fontId="45" fillId="0" borderId="41" xfId="0" applyNumberFormat="1" applyFont="1" applyBorder="1" applyAlignment="1" applyProtection="1">
      <alignment horizontal="center" vertical="center"/>
    </xf>
    <xf numFmtId="164" fontId="45" fillId="0" borderId="41" xfId="0" applyNumberFormat="1" applyFont="1" applyBorder="1" applyAlignment="1" applyProtection="1">
      <alignment horizontal="center" vertical="center"/>
      <protection locked="0"/>
    </xf>
    <xf numFmtId="0" fontId="46" fillId="0" borderId="11" xfId="0" applyFont="1" applyBorder="1" applyAlignment="1" applyProtection="1">
      <alignment horizontal="center" vertical="center" wrapText="1"/>
    </xf>
    <xf numFmtId="0" fontId="58" fillId="0" borderId="1" xfId="0" applyFont="1" applyBorder="1" applyAlignment="1" applyProtection="1">
      <alignment horizontal="center" vertical="center" wrapText="1"/>
    </xf>
    <xf numFmtId="0" fontId="46" fillId="0" borderId="38" xfId="0" applyFont="1" applyBorder="1" applyAlignment="1" applyProtection="1">
      <alignment horizontal="center" vertical="center" wrapText="1"/>
    </xf>
    <xf numFmtId="0" fontId="45" fillId="0" borderId="11" xfId="0" applyFont="1" applyBorder="1" applyAlignment="1" applyProtection="1">
      <alignment horizontal="center" vertical="center"/>
    </xf>
    <xf numFmtId="0" fontId="45" fillId="0" borderId="1" xfId="0" applyFont="1" applyBorder="1" applyAlignment="1" applyProtection="1">
      <alignment horizontal="center" vertical="center"/>
    </xf>
    <xf numFmtId="166" fontId="45" fillId="0" borderId="1" xfId="0" applyNumberFormat="1" applyFont="1" applyBorder="1" applyAlignment="1" applyProtection="1">
      <alignment horizontal="center" vertical="center" wrapText="1"/>
    </xf>
    <xf numFmtId="0" fontId="46" fillId="0" borderId="1" xfId="0" applyFont="1" applyBorder="1" applyAlignment="1" applyProtection="1">
      <alignment horizontal="center" vertical="center"/>
    </xf>
    <xf numFmtId="0" fontId="45" fillId="0" borderId="38" xfId="0" applyFont="1" applyBorder="1" applyAlignment="1" applyProtection="1">
      <alignment horizontal="center" vertical="center" wrapText="1"/>
    </xf>
    <xf numFmtId="0" fontId="56" fillId="0" borderId="1" xfId="0" applyFont="1" applyFill="1" applyBorder="1" applyAlignment="1" applyProtection="1">
      <alignment horizontal="center" vertical="center"/>
      <protection locked="0"/>
    </xf>
    <xf numFmtId="166" fontId="45" fillId="0" borderId="3" xfId="0" applyNumberFormat="1" applyFont="1" applyBorder="1" applyAlignment="1" applyProtection="1">
      <alignment horizontal="center" vertical="center" wrapText="1"/>
    </xf>
    <xf numFmtId="1" fontId="46" fillId="0" borderId="3" xfId="0" applyNumberFormat="1" applyFont="1" applyBorder="1" applyAlignment="1" applyProtection="1">
      <alignment horizontal="center" vertical="center"/>
    </xf>
    <xf numFmtId="0" fontId="45" fillId="0" borderId="3" xfId="0" applyFont="1" applyBorder="1" applyAlignment="1" applyProtection="1">
      <alignment horizontal="center" vertical="center" wrapText="1"/>
    </xf>
    <xf numFmtId="0" fontId="45" fillId="0" borderId="4" xfId="0" applyFont="1" applyBorder="1" applyAlignment="1" applyProtection="1">
      <alignment horizontal="center" vertical="center" wrapText="1"/>
    </xf>
    <xf numFmtId="166" fontId="56" fillId="0" borderId="3" xfId="0" applyNumberFormat="1" applyFont="1" applyFill="1" applyBorder="1" applyAlignment="1" applyProtection="1">
      <alignment horizontal="center" vertical="center"/>
      <protection locked="0"/>
    </xf>
    <xf numFmtId="0" fontId="56" fillId="0" borderId="3" xfId="0" applyFont="1" applyFill="1" applyBorder="1" applyAlignment="1" applyProtection="1">
      <alignment horizontal="center" vertical="center"/>
      <protection locked="0"/>
    </xf>
    <xf numFmtId="0" fontId="59" fillId="0" borderId="4" xfId="0" applyFont="1" applyFill="1" applyBorder="1" applyAlignment="1" applyProtection="1">
      <alignment horizontal="center" vertical="center"/>
      <protection locked="0"/>
    </xf>
    <xf numFmtId="0" fontId="59" fillId="0" borderId="7" xfId="0" applyFont="1" applyFill="1" applyBorder="1" applyAlignment="1" applyProtection="1">
      <alignment horizontal="center" vertical="center"/>
      <protection locked="0"/>
    </xf>
    <xf numFmtId="0" fontId="4" fillId="48" borderId="11" xfId="0" applyFont="1" applyFill="1" applyBorder="1" applyAlignment="1">
      <alignment horizontal="center" vertical="center"/>
    </xf>
    <xf numFmtId="0" fontId="4" fillId="48" borderId="38" xfId="0" applyFont="1" applyFill="1" applyBorder="1" applyAlignment="1">
      <alignment horizontal="center" vertical="center"/>
    </xf>
    <xf numFmtId="0" fontId="4" fillId="48" borderId="43" xfId="0" applyFont="1" applyFill="1" applyBorder="1" applyAlignment="1">
      <alignment horizontal="center" vertical="center"/>
    </xf>
    <xf numFmtId="0" fontId="4" fillId="48" borderId="42" xfId="0" applyFont="1" applyFill="1" applyBorder="1" applyAlignment="1">
      <alignment horizontal="center" vertical="center"/>
    </xf>
    <xf numFmtId="0" fontId="45" fillId="48" borderId="2" xfId="0" applyFont="1" applyFill="1" applyBorder="1" applyAlignment="1">
      <alignment horizontal="center" vertical="center"/>
    </xf>
    <xf numFmtId="0" fontId="45" fillId="48" borderId="4" xfId="0" applyFont="1" applyFill="1" applyBorder="1" applyAlignment="1">
      <alignment horizontal="center" vertical="center"/>
    </xf>
    <xf numFmtId="0" fontId="45" fillId="48" borderId="19" xfId="0" applyFont="1" applyFill="1" applyBorder="1" applyAlignment="1">
      <alignment horizontal="center" vertical="center"/>
    </xf>
    <xf numFmtId="0" fontId="45" fillId="48" borderId="44" xfId="0" applyFont="1" applyFill="1" applyBorder="1" applyAlignment="1">
      <alignment horizontal="center" vertical="center"/>
    </xf>
    <xf numFmtId="0" fontId="45" fillId="48" borderId="45" xfId="0" applyFont="1" applyFill="1" applyBorder="1" applyAlignment="1">
      <alignment horizontal="center" vertical="center"/>
    </xf>
    <xf numFmtId="0" fontId="60" fillId="0" borderId="46" xfId="0" applyFont="1" applyBorder="1" applyAlignment="1">
      <alignment horizontal="center"/>
    </xf>
    <xf numFmtId="0" fontId="60" fillId="0" borderId="16" xfId="0" applyFont="1" applyBorder="1" applyAlignment="1">
      <alignment horizontal="center"/>
    </xf>
    <xf numFmtId="0" fontId="45" fillId="0" borderId="2" xfId="0" applyFont="1" applyBorder="1"/>
    <xf numFmtId="0" fontId="45" fillId="0" borderId="17" xfId="0" applyFont="1" applyBorder="1"/>
    <xf numFmtId="0" fontId="45" fillId="0" borderId="12" xfId="0" applyFont="1" applyBorder="1"/>
    <xf numFmtId="0" fontId="45" fillId="0" borderId="11" xfId="0" applyFont="1" applyBorder="1"/>
    <xf numFmtId="0" fontId="45" fillId="0" borderId="4" xfId="0" applyFont="1" applyBorder="1"/>
    <xf numFmtId="0" fontId="60" fillId="0" borderId="2" xfId="0" applyFont="1" applyBorder="1" applyAlignment="1">
      <alignment horizontal="center"/>
    </xf>
    <xf numFmtId="0" fontId="60" fillId="0" borderId="17" xfId="0" applyFont="1" applyBorder="1" applyAlignment="1">
      <alignment horizontal="center"/>
    </xf>
    <xf numFmtId="0" fontId="45" fillId="48" borderId="5" xfId="0" applyFont="1" applyFill="1" applyBorder="1" applyAlignment="1">
      <alignment horizontal="center" vertical="center"/>
    </xf>
    <xf numFmtId="0" fontId="60" fillId="0" borderId="5" xfId="0" applyFont="1" applyBorder="1" applyAlignment="1">
      <alignment horizontal="center"/>
    </xf>
    <xf numFmtId="0" fontId="60" fillId="0" borderId="47" xfId="0" applyFont="1" applyBorder="1" applyAlignment="1">
      <alignment horizontal="center"/>
    </xf>
    <xf numFmtId="0" fontId="61" fillId="0" borderId="5" xfId="0" applyFont="1" applyBorder="1" applyAlignment="1" applyProtection="1">
      <alignment horizontal="center" vertical="center"/>
    </xf>
    <xf numFmtId="0" fontId="61" fillId="0" borderId="6" xfId="0" applyFont="1" applyBorder="1" applyAlignment="1" applyProtection="1">
      <alignment horizontal="center" vertical="center"/>
    </xf>
    <xf numFmtId="166" fontId="12" fillId="0" borderId="6" xfId="0" applyNumberFormat="1" applyFont="1" applyBorder="1" applyAlignment="1" applyProtection="1">
      <alignment horizontal="center" vertical="center" wrapText="1"/>
    </xf>
    <xf numFmtId="0" fontId="57" fillId="0" borderId="6" xfId="0" applyFont="1" applyBorder="1" applyAlignment="1" applyProtection="1">
      <alignment horizontal="center" vertical="center"/>
    </xf>
    <xf numFmtId="0" fontId="61" fillId="0" borderId="6" xfId="0" applyFont="1" applyBorder="1" applyAlignment="1" applyProtection="1">
      <alignment horizontal="center" vertical="center" wrapText="1"/>
    </xf>
    <xf numFmtId="0" fontId="61" fillId="0" borderId="7" xfId="0" applyFont="1" applyBorder="1" applyAlignment="1" applyProtection="1">
      <alignment horizontal="center" vertical="center" wrapText="1"/>
    </xf>
    <xf numFmtId="166" fontId="61" fillId="0" borderId="5" xfId="0" applyNumberFormat="1" applyFont="1" applyBorder="1" applyAlignment="1" applyProtection="1">
      <alignment horizontal="center" vertical="center"/>
    </xf>
    <xf numFmtId="0" fontId="61" fillId="0" borderId="7" xfId="0" applyFont="1" applyBorder="1" applyAlignment="1" applyProtection="1">
      <alignment horizontal="center" vertical="center"/>
    </xf>
    <xf numFmtId="0" fontId="13" fillId="0" borderId="3" xfId="0" applyFont="1" applyBorder="1" applyAlignment="1">
      <alignment horizontal="center" vertical="center" wrapText="1"/>
    </xf>
    <xf numFmtId="0" fontId="12" fillId="4" borderId="3" xfId="0" applyFont="1" applyFill="1" applyBorder="1" applyAlignment="1">
      <alignment horizontal="center" vertical="center"/>
    </xf>
    <xf numFmtId="164" fontId="12" fillId="4" borderId="3" xfId="0" applyNumberFormat="1" applyFont="1" applyFill="1" applyBorder="1" applyAlignment="1">
      <alignment horizontal="center" vertical="center"/>
    </xf>
    <xf numFmtId="164" fontId="12" fillId="4" borderId="3" xfId="0" quotePrefix="1" applyNumberFormat="1" applyFont="1" applyFill="1" applyBorder="1" applyAlignment="1">
      <alignment horizontal="center" vertical="center"/>
    </xf>
    <xf numFmtId="0" fontId="12" fillId="0" borderId="3" xfId="0" applyFont="1" applyBorder="1" applyAlignment="1">
      <alignment horizontal="center" vertical="center"/>
    </xf>
    <xf numFmtId="164" fontId="12" fillId="0" borderId="3" xfId="0" applyNumberFormat="1" applyFont="1" applyBorder="1" applyAlignment="1">
      <alignment horizontal="center" vertical="center"/>
    </xf>
    <xf numFmtId="164" fontId="12" fillId="0" borderId="3" xfId="0" quotePrefix="1" applyNumberFormat="1" applyFont="1" applyBorder="1" applyAlignment="1">
      <alignment horizontal="center" vertical="center"/>
    </xf>
    <xf numFmtId="0" fontId="41" fillId="3" borderId="8" xfId="1" applyFont="1" applyFill="1" applyBorder="1" applyAlignment="1" applyProtection="1">
      <alignment horizontal="left"/>
    </xf>
    <xf numFmtId="0" fontId="41" fillId="3" borderId="9" xfId="1" applyFont="1" applyFill="1" applyBorder="1" applyAlignment="1" applyProtection="1">
      <alignment horizontal="left"/>
    </xf>
    <xf numFmtId="0" fontId="4" fillId="0" borderId="14" xfId="0" applyFont="1" applyBorder="1" applyAlignment="1" applyProtection="1">
      <alignment horizontal="left"/>
    </xf>
    <xf numFmtId="0" fontId="4" fillId="0" borderId="24" xfId="0" applyFont="1" applyBorder="1" applyAlignment="1" applyProtection="1">
      <alignment horizontal="left"/>
    </xf>
  </cellXfs>
  <cellStyles count="4017">
    <cellStyle name="20 % - Accent1 2" xfId="292" xr:uid="{00000000-0005-0000-0000-000000000000}"/>
    <cellStyle name="20 % - Accent1 2 2" xfId="409" xr:uid="{00000000-0005-0000-0000-000001000000}"/>
    <cellStyle name="20 % - Accent1 2 2 2" xfId="2139" xr:uid="{00000000-0005-0000-0000-000002000000}"/>
    <cellStyle name="20 % - Accent1 2 3" xfId="3705" xr:uid="{00000000-0005-0000-0000-000003000000}"/>
    <cellStyle name="20 % - Accent2 2" xfId="293" xr:uid="{00000000-0005-0000-0000-000004000000}"/>
    <cellStyle name="20 % - Accent2 2 2" xfId="408" xr:uid="{00000000-0005-0000-0000-000005000000}"/>
    <cellStyle name="20 % - Accent2 2 2 2" xfId="2530" xr:uid="{00000000-0005-0000-0000-000006000000}"/>
    <cellStyle name="20 % - Accent2 2 3" xfId="3536" xr:uid="{00000000-0005-0000-0000-000007000000}"/>
    <cellStyle name="20 % - Accent3 2" xfId="294" xr:uid="{00000000-0005-0000-0000-000008000000}"/>
    <cellStyle name="20 % - Accent3 2 2" xfId="407" xr:uid="{00000000-0005-0000-0000-000009000000}"/>
    <cellStyle name="20 % - Accent3 2 2 2" xfId="2695" xr:uid="{00000000-0005-0000-0000-00000A000000}"/>
    <cellStyle name="20 % - Accent3 2 3" xfId="3366" xr:uid="{00000000-0005-0000-0000-00000B000000}"/>
    <cellStyle name="20 % - Accent4 2" xfId="295" xr:uid="{00000000-0005-0000-0000-00000C000000}"/>
    <cellStyle name="20 % - Accent4 2 2" xfId="405" xr:uid="{00000000-0005-0000-0000-00000D000000}"/>
    <cellStyle name="20 % - Accent4 2 2 2" xfId="3020" xr:uid="{00000000-0005-0000-0000-00000E000000}"/>
    <cellStyle name="20 % - Accent4 2 3" xfId="3192" xr:uid="{00000000-0005-0000-0000-00000F000000}"/>
    <cellStyle name="20 % - Accent5 2" xfId="296" xr:uid="{00000000-0005-0000-0000-000010000000}"/>
    <cellStyle name="20 % - Accent5 2 2" xfId="395" xr:uid="{00000000-0005-0000-0000-000011000000}"/>
    <cellStyle name="20 % - Accent5 2 2 2" xfId="3189" xr:uid="{00000000-0005-0000-0000-000012000000}"/>
    <cellStyle name="20 % - Accent5 2 3" xfId="3025" xr:uid="{00000000-0005-0000-0000-000013000000}"/>
    <cellStyle name="20 % - Accent6 2" xfId="297" xr:uid="{00000000-0005-0000-0000-000014000000}"/>
    <cellStyle name="20 % - Accent6 2 2" xfId="403" xr:uid="{00000000-0005-0000-0000-000015000000}"/>
    <cellStyle name="20 % - Accent6 2 2 2" xfId="3360" xr:uid="{00000000-0005-0000-0000-000016000000}"/>
    <cellStyle name="20 % - Accent6 2 3" xfId="2862" xr:uid="{00000000-0005-0000-0000-000017000000}"/>
    <cellStyle name="20% - Accent1" xfId="2059" xr:uid="{00000000-0005-0000-0000-000018000000}"/>
    <cellStyle name="20% - Accent1 2" xfId="242" xr:uid="{00000000-0005-0000-0000-000019000000}"/>
    <cellStyle name="20% - Accent1 2 2" xfId="397" xr:uid="{00000000-0005-0000-0000-00001A000000}"/>
    <cellStyle name="20% - Accent1 2 2 2" xfId="2859" xr:uid="{00000000-0005-0000-0000-00001B000000}"/>
    <cellStyle name="20% - Accent1 2 3" xfId="3538" xr:uid="{00000000-0005-0000-0000-00001C000000}"/>
    <cellStyle name="20% - Accent1 3" xfId="218" xr:uid="{00000000-0005-0000-0000-00001D000000}"/>
    <cellStyle name="20% - Accent1 3 2" xfId="4004" xr:uid="{00000000-0005-0000-0000-00001E000000}"/>
    <cellStyle name="20% - Accent1 4" xfId="2456" xr:uid="{00000000-0005-0000-0000-00001F000000}"/>
    <cellStyle name="20% - Accent2" xfId="2063" xr:uid="{00000000-0005-0000-0000-000020000000}"/>
    <cellStyle name="20% - Accent2 2" xfId="243" xr:uid="{00000000-0005-0000-0000-000021000000}"/>
    <cellStyle name="20% - Accent2 2 2" xfId="404" xr:uid="{00000000-0005-0000-0000-000022000000}"/>
    <cellStyle name="20% - Accent2 2 2 2" xfId="3188" xr:uid="{00000000-0005-0000-0000-000023000000}"/>
    <cellStyle name="20% - Accent2 2 3" xfId="3368" xr:uid="{00000000-0005-0000-0000-000024000000}"/>
    <cellStyle name="20% - Accent2 3" xfId="222" xr:uid="{00000000-0005-0000-0000-000025000000}"/>
    <cellStyle name="20% - Accent2 3 2" xfId="4006" xr:uid="{00000000-0005-0000-0000-000026000000}"/>
    <cellStyle name="20% - Accent2 4" xfId="2352" xr:uid="{00000000-0005-0000-0000-000027000000}"/>
    <cellStyle name="20% - Accent3" xfId="2067" xr:uid="{00000000-0005-0000-0000-000028000000}"/>
    <cellStyle name="20% - Accent3 2" xfId="244" xr:uid="{00000000-0005-0000-0000-000029000000}"/>
    <cellStyle name="20% - Accent3 2 2" xfId="401" xr:uid="{00000000-0005-0000-0000-00002A000000}"/>
    <cellStyle name="20% - Accent3 2 2 2" xfId="3700" xr:uid="{00000000-0005-0000-0000-00002B000000}"/>
    <cellStyle name="20% - Accent3 2 3" xfId="3195" xr:uid="{00000000-0005-0000-0000-00002C000000}"/>
    <cellStyle name="20% - Accent3 3" xfId="226" xr:uid="{00000000-0005-0000-0000-00002D000000}"/>
    <cellStyle name="20% - Accent3 3 2" xfId="4008" xr:uid="{00000000-0005-0000-0000-00002E000000}"/>
    <cellStyle name="20% - Accent3 4" xfId="3313" xr:uid="{00000000-0005-0000-0000-00002F000000}"/>
    <cellStyle name="20% - Accent4" xfId="2071" xr:uid="{00000000-0005-0000-0000-000030000000}"/>
    <cellStyle name="20% - Accent4 2" xfId="245" xr:uid="{00000000-0005-0000-0000-000031000000}"/>
    <cellStyle name="20% - Accent4 2 2" xfId="398" xr:uid="{00000000-0005-0000-0000-000032000000}"/>
    <cellStyle name="20% - Accent4 2 2 2" xfId="2696" xr:uid="{00000000-0005-0000-0000-000033000000}"/>
    <cellStyle name="20% - Accent4 2 3" xfId="3026" xr:uid="{00000000-0005-0000-0000-000034000000}"/>
    <cellStyle name="20% - Accent4 3" xfId="230" xr:uid="{00000000-0005-0000-0000-000035000000}"/>
    <cellStyle name="20% - Accent4 3 2" xfId="4010" xr:uid="{00000000-0005-0000-0000-000036000000}"/>
    <cellStyle name="20% - Accent4 4" xfId="2092" xr:uid="{00000000-0005-0000-0000-000037000000}"/>
    <cellStyle name="20% - Accent5" xfId="2075" xr:uid="{00000000-0005-0000-0000-000038000000}"/>
    <cellStyle name="20% - Accent5 2" xfId="246" xr:uid="{00000000-0005-0000-0000-000039000000}"/>
    <cellStyle name="20% - Accent5 2 2" xfId="400" xr:uid="{00000000-0005-0000-0000-00003A000000}"/>
    <cellStyle name="20% - Accent5 2 2 2" xfId="2140" xr:uid="{00000000-0005-0000-0000-00003B000000}"/>
    <cellStyle name="20% - Accent5 2 3" xfId="2863" xr:uid="{00000000-0005-0000-0000-00003C000000}"/>
    <cellStyle name="20% - Accent5 3" xfId="234" xr:uid="{00000000-0005-0000-0000-00003D000000}"/>
    <cellStyle name="20% - Accent5 3 2" xfId="4012" xr:uid="{00000000-0005-0000-0000-00003E000000}"/>
    <cellStyle name="20% - Accent5 4" xfId="3213" xr:uid="{00000000-0005-0000-0000-00003F000000}"/>
    <cellStyle name="20% - Accent6" xfId="2079" xr:uid="{00000000-0005-0000-0000-000040000000}"/>
    <cellStyle name="20% - Accent6 2" xfId="247" xr:uid="{00000000-0005-0000-0000-000041000000}"/>
    <cellStyle name="20% - Accent6 2 2" xfId="402" xr:uid="{00000000-0005-0000-0000-000042000000}"/>
    <cellStyle name="20% - Accent6 2 2 2" xfId="3531" xr:uid="{00000000-0005-0000-0000-000043000000}"/>
    <cellStyle name="20% - Accent6 2 3" xfId="2702" xr:uid="{00000000-0005-0000-0000-000044000000}"/>
    <cellStyle name="20% - Accent6 3" xfId="238" xr:uid="{00000000-0005-0000-0000-000045000000}"/>
    <cellStyle name="20% - Accent6 3 2" xfId="4014" xr:uid="{00000000-0005-0000-0000-000046000000}"/>
    <cellStyle name="20% - Accent6 4" xfId="2553" xr:uid="{00000000-0005-0000-0000-000047000000}"/>
    <cellStyle name="40 % - Accent1 2" xfId="298" xr:uid="{00000000-0005-0000-0000-000048000000}"/>
    <cellStyle name="40 % - Accent1 2 2" xfId="393" xr:uid="{00000000-0005-0000-0000-000049000000}"/>
    <cellStyle name="40 % - Accent1 2 2 2" xfId="3532" xr:uid="{00000000-0005-0000-0000-00004A000000}"/>
    <cellStyle name="40 % - Accent1 2 3" xfId="2701" xr:uid="{00000000-0005-0000-0000-00004B000000}"/>
    <cellStyle name="40 % - Accent2 2" xfId="299" xr:uid="{00000000-0005-0000-0000-00004C000000}"/>
    <cellStyle name="40 % - Accent2 2 2" xfId="394" xr:uid="{00000000-0005-0000-0000-00004D000000}"/>
    <cellStyle name="40 % - Accent2 2 2 2" xfId="3361" xr:uid="{00000000-0005-0000-0000-00004E000000}"/>
    <cellStyle name="40 % - Accent2 2 3" xfId="2534" xr:uid="{00000000-0005-0000-0000-00004F000000}"/>
    <cellStyle name="40 % - Accent3 2" xfId="300" xr:uid="{00000000-0005-0000-0000-000050000000}"/>
    <cellStyle name="40 % - Accent3 2 2" xfId="399" xr:uid="{00000000-0005-0000-0000-000051000000}"/>
    <cellStyle name="40 % - Accent3 2 2 2" xfId="2531" xr:uid="{00000000-0005-0000-0000-000052000000}"/>
    <cellStyle name="40 % - Accent3 2 3" xfId="2145" xr:uid="{00000000-0005-0000-0000-000053000000}"/>
    <cellStyle name="40 % - Accent4 2" xfId="301" xr:uid="{00000000-0005-0000-0000-000054000000}"/>
    <cellStyle name="40 % - Accent4 2 2" xfId="396" xr:uid="{00000000-0005-0000-0000-000055000000}"/>
    <cellStyle name="40 % - Accent4 2 2 2" xfId="3021" xr:uid="{00000000-0005-0000-0000-000056000000}"/>
    <cellStyle name="40 % - Accent4 2 3" xfId="3704" xr:uid="{00000000-0005-0000-0000-000057000000}"/>
    <cellStyle name="40 % - Accent5 2" xfId="302" xr:uid="{00000000-0005-0000-0000-000058000000}"/>
    <cellStyle name="40 % - Accent5 2 2" xfId="406" xr:uid="{00000000-0005-0000-0000-000059000000}"/>
    <cellStyle name="40 % - Accent5 2 2 2" xfId="2858" xr:uid="{00000000-0005-0000-0000-00005A000000}"/>
    <cellStyle name="40 % - Accent5 2 3" xfId="3535" xr:uid="{00000000-0005-0000-0000-00005B000000}"/>
    <cellStyle name="40 % - Accent6 2" xfId="303" xr:uid="{00000000-0005-0000-0000-00005C000000}"/>
    <cellStyle name="40 % - Accent6 2 2" xfId="410" xr:uid="{00000000-0005-0000-0000-00005D000000}"/>
    <cellStyle name="40 % - Accent6 2 2 2" xfId="3699" xr:uid="{00000000-0005-0000-0000-00005E000000}"/>
    <cellStyle name="40 % - Accent6 2 3" xfId="3365" xr:uid="{00000000-0005-0000-0000-00005F000000}"/>
    <cellStyle name="40% - Accent1" xfId="2060" xr:uid="{00000000-0005-0000-0000-000060000000}"/>
    <cellStyle name="40% - Accent1 2" xfId="248" xr:uid="{00000000-0005-0000-0000-000061000000}"/>
    <cellStyle name="40% - Accent1 2 2" xfId="411" xr:uid="{00000000-0005-0000-0000-000062000000}"/>
    <cellStyle name="40% - Accent1 2 2 2" xfId="3530" xr:uid="{00000000-0005-0000-0000-000063000000}"/>
    <cellStyle name="40% - Accent1 2 3" xfId="2535" xr:uid="{00000000-0005-0000-0000-000064000000}"/>
    <cellStyle name="40% - Accent1 3" xfId="219" xr:uid="{00000000-0005-0000-0000-000065000000}"/>
    <cellStyle name="40% - Accent1 3 2" xfId="4005" xr:uid="{00000000-0005-0000-0000-000066000000}"/>
    <cellStyle name="40% - Accent1 4" xfId="2424" xr:uid="{00000000-0005-0000-0000-000067000000}"/>
    <cellStyle name="40% - Accent2" xfId="2064" xr:uid="{00000000-0005-0000-0000-000068000000}"/>
    <cellStyle name="40% - Accent2 2" xfId="249" xr:uid="{00000000-0005-0000-0000-000069000000}"/>
    <cellStyle name="40% - Accent2 2 2" xfId="412" xr:uid="{00000000-0005-0000-0000-00006A000000}"/>
    <cellStyle name="40% - Accent2 2 2 2" xfId="3359" xr:uid="{00000000-0005-0000-0000-00006B000000}"/>
    <cellStyle name="40% - Accent2 2 3" xfId="2146" xr:uid="{00000000-0005-0000-0000-00006C000000}"/>
    <cellStyle name="40% - Accent2 3" xfId="223" xr:uid="{00000000-0005-0000-0000-00006D000000}"/>
    <cellStyle name="40% - Accent2 3 2" xfId="4007" xr:uid="{00000000-0005-0000-0000-00006E000000}"/>
    <cellStyle name="40% - Accent2 4" xfId="2295" xr:uid="{00000000-0005-0000-0000-00006F000000}"/>
    <cellStyle name="40% - Accent3" xfId="2068" xr:uid="{00000000-0005-0000-0000-000070000000}"/>
    <cellStyle name="40% - Accent3 2" xfId="250" xr:uid="{00000000-0005-0000-0000-000071000000}"/>
    <cellStyle name="40% - Accent3 2 2" xfId="413" xr:uid="{00000000-0005-0000-0000-000072000000}"/>
    <cellStyle name="40% - Accent3 2 2 2" xfId="3187" xr:uid="{00000000-0005-0000-0000-000073000000}"/>
    <cellStyle name="40% - Accent3 2 3" xfId="3706" xr:uid="{00000000-0005-0000-0000-000074000000}"/>
    <cellStyle name="40% - Accent3 3" xfId="227" xr:uid="{00000000-0005-0000-0000-000075000000}"/>
    <cellStyle name="40% - Accent3 3 2" xfId="4009" xr:uid="{00000000-0005-0000-0000-000076000000}"/>
    <cellStyle name="40% - Accent3 4" xfId="3141" xr:uid="{00000000-0005-0000-0000-000077000000}"/>
    <cellStyle name="40% - Accent4" xfId="2072" xr:uid="{00000000-0005-0000-0000-000078000000}"/>
    <cellStyle name="40% - Accent4 2" xfId="251" xr:uid="{00000000-0005-0000-0000-000079000000}"/>
    <cellStyle name="40% - Accent4 2 2" xfId="414" xr:uid="{00000000-0005-0000-0000-00007A000000}"/>
    <cellStyle name="40% - Accent4 2 2 2" xfId="3019" xr:uid="{00000000-0005-0000-0000-00007B000000}"/>
    <cellStyle name="40% - Accent4 2 3" xfId="3537" xr:uid="{00000000-0005-0000-0000-00007C000000}"/>
    <cellStyle name="40% - Accent4 3" xfId="231" xr:uid="{00000000-0005-0000-0000-00007D000000}"/>
    <cellStyle name="40% - Accent4 3 2" xfId="4011" xr:uid="{00000000-0005-0000-0000-00007E000000}"/>
    <cellStyle name="40% - Accent4 4" xfId="3723" xr:uid="{00000000-0005-0000-0000-00007F000000}"/>
    <cellStyle name="40% - Accent5" xfId="2076" xr:uid="{00000000-0005-0000-0000-000080000000}"/>
    <cellStyle name="40% - Accent5 2" xfId="252" xr:uid="{00000000-0005-0000-0000-000081000000}"/>
    <cellStyle name="40% - Accent5 2 2" xfId="415" xr:uid="{00000000-0005-0000-0000-000082000000}"/>
    <cellStyle name="40% - Accent5 2 2 2" xfId="2857" xr:uid="{00000000-0005-0000-0000-000083000000}"/>
    <cellStyle name="40% - Accent5 2 3" xfId="3367" xr:uid="{00000000-0005-0000-0000-000084000000}"/>
    <cellStyle name="40% - Accent5 3" xfId="235" xr:uid="{00000000-0005-0000-0000-000085000000}"/>
    <cellStyle name="40% - Accent5 3 2" xfId="4013" xr:uid="{00000000-0005-0000-0000-000086000000}"/>
    <cellStyle name="40% - Accent5 4" xfId="3044" xr:uid="{00000000-0005-0000-0000-000087000000}"/>
    <cellStyle name="40% - Accent6" xfId="2080" xr:uid="{00000000-0005-0000-0000-000088000000}"/>
    <cellStyle name="40% - Accent6 2" xfId="253" xr:uid="{00000000-0005-0000-0000-000089000000}"/>
    <cellStyle name="40% - Accent6 2 2" xfId="416" xr:uid="{00000000-0005-0000-0000-00008A000000}"/>
    <cellStyle name="40% - Accent6 2 2 2" xfId="2694" xr:uid="{00000000-0005-0000-0000-00008B000000}"/>
    <cellStyle name="40% - Accent6 2 3" xfId="3194" xr:uid="{00000000-0005-0000-0000-00008C000000}"/>
    <cellStyle name="40% - Accent6 3" xfId="239" xr:uid="{00000000-0005-0000-0000-00008D000000}"/>
    <cellStyle name="40% - Accent6 3 2" xfId="4015" xr:uid="{00000000-0005-0000-0000-00008E000000}"/>
    <cellStyle name="40% - Accent6 4" xfId="2164" xr:uid="{00000000-0005-0000-0000-00008F000000}"/>
    <cellStyle name="60 % - Accent1 2" xfId="304" xr:uid="{00000000-0005-0000-0000-000090000000}"/>
    <cellStyle name="60 % - Accent2 2" xfId="305" xr:uid="{00000000-0005-0000-0000-000091000000}"/>
    <cellStyle name="60 % - Accent3 2" xfId="306" xr:uid="{00000000-0005-0000-0000-000092000000}"/>
    <cellStyle name="60 % - Accent4 2" xfId="307" xr:uid="{00000000-0005-0000-0000-000093000000}"/>
    <cellStyle name="60 % - Accent5 2" xfId="308" xr:uid="{00000000-0005-0000-0000-000094000000}"/>
    <cellStyle name="60 % - Accent6 2" xfId="309" xr:uid="{00000000-0005-0000-0000-000095000000}"/>
    <cellStyle name="60% - Accent1" xfId="2061" builtinId="32" customBuiltin="1"/>
    <cellStyle name="60% - Accent1 2" xfId="254" xr:uid="{00000000-0005-0000-0000-000097000000}"/>
    <cellStyle name="60% - Accent1 3" xfId="220" xr:uid="{00000000-0005-0000-0000-000098000000}"/>
    <cellStyle name="60% - Accent2" xfId="2065" builtinId="36" customBuiltin="1"/>
    <cellStyle name="60% - Accent2 2" xfId="255" xr:uid="{00000000-0005-0000-0000-00009A000000}"/>
    <cellStyle name="60% - Accent2 3" xfId="224" xr:uid="{00000000-0005-0000-0000-00009B000000}"/>
    <cellStyle name="60% - Accent3" xfId="2069" builtinId="40" customBuiltin="1"/>
    <cellStyle name="60% - Accent3 2" xfId="256" xr:uid="{00000000-0005-0000-0000-00009D000000}"/>
    <cellStyle name="60% - Accent3 3" xfId="228" xr:uid="{00000000-0005-0000-0000-00009E000000}"/>
    <cellStyle name="60% - Accent4" xfId="2073" builtinId="44" customBuiltin="1"/>
    <cellStyle name="60% - Accent4 2" xfId="257" xr:uid="{00000000-0005-0000-0000-0000A0000000}"/>
    <cellStyle name="60% - Accent4 3" xfId="232" xr:uid="{00000000-0005-0000-0000-0000A1000000}"/>
    <cellStyle name="60% - Accent5" xfId="2077" builtinId="48" customBuiltin="1"/>
    <cellStyle name="60% - Accent5 2" xfId="258" xr:uid="{00000000-0005-0000-0000-0000A3000000}"/>
    <cellStyle name="60% - Accent5 3" xfId="236" xr:uid="{00000000-0005-0000-0000-0000A4000000}"/>
    <cellStyle name="60% - Accent6" xfId="2081" builtinId="52" customBuiltin="1"/>
    <cellStyle name="60% - Accent6 2" xfId="259" xr:uid="{00000000-0005-0000-0000-0000A6000000}"/>
    <cellStyle name="60% - Accent6 3" xfId="240" xr:uid="{00000000-0005-0000-0000-0000A7000000}"/>
    <cellStyle name="Accent1" xfId="2058" builtinId="29" customBuiltin="1"/>
    <cellStyle name="Accent1 2" xfId="260" xr:uid="{00000000-0005-0000-0000-0000A9000000}"/>
    <cellStyle name="Accent1 2 2" xfId="310" xr:uid="{00000000-0005-0000-0000-0000AA000000}"/>
    <cellStyle name="Accent1 2 3" xfId="311" xr:uid="{00000000-0005-0000-0000-0000AB000000}"/>
    <cellStyle name="Accent1 3" xfId="261" xr:uid="{00000000-0005-0000-0000-0000AC000000}"/>
    <cellStyle name="Accent1 4" xfId="217" xr:uid="{00000000-0005-0000-0000-0000AD000000}"/>
    <cellStyle name="Accent2" xfId="2062" builtinId="33" customBuiltin="1"/>
    <cellStyle name="Accent2 2" xfId="262" xr:uid="{00000000-0005-0000-0000-0000AF000000}"/>
    <cellStyle name="Accent2 2 2" xfId="312" xr:uid="{00000000-0005-0000-0000-0000B0000000}"/>
    <cellStyle name="Accent2 2 3" xfId="313" xr:uid="{00000000-0005-0000-0000-0000B1000000}"/>
    <cellStyle name="Accent2 3" xfId="263" xr:uid="{00000000-0005-0000-0000-0000B2000000}"/>
    <cellStyle name="Accent2 4" xfId="221" xr:uid="{00000000-0005-0000-0000-0000B3000000}"/>
    <cellStyle name="Accent3" xfId="2066" builtinId="37" customBuiltin="1"/>
    <cellStyle name="Accent3 2" xfId="264" xr:uid="{00000000-0005-0000-0000-0000B5000000}"/>
    <cellStyle name="Accent3 2 2" xfId="314" xr:uid="{00000000-0005-0000-0000-0000B6000000}"/>
    <cellStyle name="Accent3 2 3" xfId="315" xr:uid="{00000000-0005-0000-0000-0000B7000000}"/>
    <cellStyle name="Accent3 3" xfId="265" xr:uid="{00000000-0005-0000-0000-0000B8000000}"/>
    <cellStyle name="Accent3 4" xfId="225" xr:uid="{00000000-0005-0000-0000-0000B9000000}"/>
    <cellStyle name="Accent4" xfId="2070" builtinId="41" customBuiltin="1"/>
    <cellStyle name="Accent4 2" xfId="266" xr:uid="{00000000-0005-0000-0000-0000BB000000}"/>
    <cellStyle name="Accent4 2 2" xfId="316" xr:uid="{00000000-0005-0000-0000-0000BC000000}"/>
    <cellStyle name="Accent4 2 3" xfId="317" xr:uid="{00000000-0005-0000-0000-0000BD000000}"/>
    <cellStyle name="Accent4 3" xfId="267" xr:uid="{00000000-0005-0000-0000-0000BE000000}"/>
    <cellStyle name="Accent4 4" xfId="229" xr:uid="{00000000-0005-0000-0000-0000BF000000}"/>
    <cellStyle name="Accent5" xfId="2074" builtinId="45" customBuiltin="1"/>
    <cellStyle name="Accent5 2" xfId="268" xr:uid="{00000000-0005-0000-0000-0000C1000000}"/>
    <cellStyle name="Accent5 2 2" xfId="318" xr:uid="{00000000-0005-0000-0000-0000C2000000}"/>
    <cellStyle name="Accent5 2 3" xfId="319" xr:uid="{00000000-0005-0000-0000-0000C3000000}"/>
    <cellStyle name="Accent5 3" xfId="269" xr:uid="{00000000-0005-0000-0000-0000C4000000}"/>
    <cellStyle name="Accent5 4" xfId="233" xr:uid="{00000000-0005-0000-0000-0000C5000000}"/>
    <cellStyle name="Accent6" xfId="2078" builtinId="49" customBuiltin="1"/>
    <cellStyle name="Accent6 2" xfId="270" xr:uid="{00000000-0005-0000-0000-0000C7000000}"/>
    <cellStyle name="Accent6 2 2" xfId="320" xr:uid="{00000000-0005-0000-0000-0000C8000000}"/>
    <cellStyle name="Accent6 2 3" xfId="321" xr:uid="{00000000-0005-0000-0000-0000C9000000}"/>
    <cellStyle name="Accent6 3" xfId="271" xr:uid="{00000000-0005-0000-0000-0000CA000000}"/>
    <cellStyle name="Accent6 4" xfId="237" xr:uid="{00000000-0005-0000-0000-0000CB000000}"/>
    <cellStyle name="Avertissement 2" xfId="322" xr:uid="{00000000-0005-0000-0000-0000CC000000}"/>
    <cellStyle name="Bad" xfId="2048" builtinId="27" customBuiltin="1"/>
    <cellStyle name="Bad 2" xfId="272" xr:uid="{00000000-0005-0000-0000-0000CE000000}"/>
    <cellStyle name="Bad 3" xfId="207" xr:uid="{00000000-0005-0000-0000-0000CF000000}"/>
    <cellStyle name="Calcul 2" xfId="323" xr:uid="{00000000-0005-0000-0000-0000D0000000}"/>
    <cellStyle name="Calculation" xfId="2052" builtinId="22" customBuiltin="1"/>
    <cellStyle name="Calculation 2" xfId="273" xr:uid="{00000000-0005-0000-0000-0000D2000000}"/>
    <cellStyle name="Calculation 3" xfId="211" xr:uid="{00000000-0005-0000-0000-0000D3000000}"/>
    <cellStyle name="Cellule liée 2" xfId="324" xr:uid="{00000000-0005-0000-0000-0000D4000000}"/>
    <cellStyle name="Check Cell" xfId="2054" builtinId="23" customBuiltin="1"/>
    <cellStyle name="Check Cell 2" xfId="274" xr:uid="{00000000-0005-0000-0000-0000D6000000}"/>
    <cellStyle name="Check Cell 3" xfId="213" xr:uid="{00000000-0005-0000-0000-0000D7000000}"/>
    <cellStyle name="Commentaire 2" xfId="325" xr:uid="{00000000-0005-0000-0000-0000D8000000}"/>
    <cellStyle name="Commentaire 2 2" xfId="417" xr:uid="{00000000-0005-0000-0000-0000D9000000}"/>
    <cellStyle name="Commentaire 2 2 2" xfId="2529" xr:uid="{00000000-0005-0000-0000-0000DA000000}"/>
    <cellStyle name="Commentaire 2 3" xfId="2700" xr:uid="{00000000-0005-0000-0000-0000DB000000}"/>
    <cellStyle name="Currency 2" xfId="360" xr:uid="{00000000-0005-0000-0000-0000DC000000}"/>
    <cellStyle name="Currency 2 2" xfId="3023" xr:uid="{00000000-0005-0000-0000-0000DD000000}"/>
    <cellStyle name="Currency 3" xfId="466" xr:uid="{00000000-0005-0000-0000-0000DE000000}"/>
    <cellStyle name="Currency 3 2" xfId="3353" xr:uid="{00000000-0005-0000-0000-0000DF000000}"/>
    <cellStyle name="Currency 4" xfId="499" xr:uid="{00000000-0005-0000-0000-0000E0000000}"/>
    <cellStyle name="Currency 4 2" xfId="2522" xr:uid="{00000000-0005-0000-0000-0000E1000000}"/>
    <cellStyle name="Entrée 2" xfId="326" xr:uid="{00000000-0005-0000-0000-0000E2000000}"/>
    <cellStyle name="Explanatory Text" xfId="2056" builtinId="53" customBuiltin="1"/>
    <cellStyle name="Explanatory Text 2" xfId="275" xr:uid="{00000000-0005-0000-0000-0000E4000000}"/>
    <cellStyle name="Explanatory Text 3" xfId="215" xr:uid="{00000000-0005-0000-0000-0000E5000000}"/>
    <cellStyle name="Good" xfId="2047" builtinId="26" customBuiltin="1"/>
    <cellStyle name="Good 2" xfId="276" xr:uid="{00000000-0005-0000-0000-0000E7000000}"/>
    <cellStyle name="Good 3" xfId="206" xr:uid="{00000000-0005-0000-0000-0000E8000000}"/>
    <cellStyle name="Heading 1" xfId="2043" builtinId="16" customBuiltin="1"/>
    <cellStyle name="Heading 1 2" xfId="277" xr:uid="{00000000-0005-0000-0000-0000EA000000}"/>
    <cellStyle name="Heading 1 3" xfId="202" xr:uid="{00000000-0005-0000-0000-0000EB000000}"/>
    <cellStyle name="Heading 2" xfId="2044" builtinId="17" customBuiltin="1"/>
    <cellStyle name="Heading 2 2" xfId="278" xr:uid="{00000000-0005-0000-0000-0000ED000000}"/>
    <cellStyle name="Heading 2 3" xfId="203" xr:uid="{00000000-0005-0000-0000-0000EE000000}"/>
    <cellStyle name="Heading 3" xfId="2045" builtinId="18" customBuiltin="1"/>
    <cellStyle name="Heading 3 2" xfId="279" xr:uid="{00000000-0005-0000-0000-0000F0000000}"/>
    <cellStyle name="Heading 3 3" xfId="204" xr:uid="{00000000-0005-0000-0000-0000F1000000}"/>
    <cellStyle name="Heading 4" xfId="2046" builtinId="19" customBuiltin="1"/>
    <cellStyle name="Heading 4 2" xfId="280" xr:uid="{00000000-0005-0000-0000-0000F3000000}"/>
    <cellStyle name="Heading 4 3" xfId="205" xr:uid="{00000000-0005-0000-0000-0000F4000000}"/>
    <cellStyle name="Hyperlink" xfId="1" builtinId="8"/>
    <cellStyle name="Hyperlink 2" xfId="419" xr:uid="{00000000-0005-0000-0000-0000F6000000}"/>
    <cellStyle name="Hyperlink 3" xfId="12" xr:uid="{00000000-0005-0000-0000-0000F7000000}"/>
    <cellStyle name="Input" xfId="2050" builtinId="20" customBuiltin="1"/>
    <cellStyle name="Input 2" xfId="281" xr:uid="{00000000-0005-0000-0000-0000F9000000}"/>
    <cellStyle name="Input 3" xfId="209" xr:uid="{00000000-0005-0000-0000-0000FA000000}"/>
    <cellStyle name="Insatisfaisant 2" xfId="327" xr:uid="{00000000-0005-0000-0000-0000FB000000}"/>
    <cellStyle name="Linked Cell" xfId="2053" builtinId="24" customBuiltin="1"/>
    <cellStyle name="Linked Cell 2" xfId="282" xr:uid="{00000000-0005-0000-0000-0000FD000000}"/>
    <cellStyle name="Linked Cell 3" xfId="212" xr:uid="{00000000-0005-0000-0000-0000FE000000}"/>
    <cellStyle name="Neutral" xfId="2049" builtinId="28" customBuiltin="1"/>
    <cellStyle name="Neutral 2" xfId="283" xr:uid="{00000000-0005-0000-0000-000000010000}"/>
    <cellStyle name="Neutral 3" xfId="208" xr:uid="{00000000-0005-0000-0000-000001010000}"/>
    <cellStyle name="Neutre 2" xfId="328" xr:uid="{00000000-0005-0000-0000-000002010000}"/>
    <cellStyle name="Normal" xfId="0" builtinId="0"/>
    <cellStyle name="Normal 10" xfId="24" xr:uid="{00000000-0005-0000-0000-000004010000}"/>
    <cellStyle name="Normal 10 10" xfId="935" xr:uid="{00000000-0005-0000-0000-000005010000}"/>
    <cellStyle name="Normal 10 10 2" xfId="2963" xr:uid="{00000000-0005-0000-0000-000006010000}"/>
    <cellStyle name="Normal 10 11" xfId="1118" xr:uid="{00000000-0005-0000-0000-000007010000}"/>
    <cellStyle name="Normal 10 11 2" xfId="3280" xr:uid="{00000000-0005-0000-0000-000008010000}"/>
    <cellStyle name="Normal 10 12" xfId="1303" xr:uid="{00000000-0005-0000-0000-000009010000}"/>
    <cellStyle name="Normal 10 12 2" xfId="2930" xr:uid="{00000000-0005-0000-0000-00000A010000}"/>
    <cellStyle name="Normal 10 13" xfId="1491" xr:uid="{00000000-0005-0000-0000-00000B010000}"/>
    <cellStyle name="Normal 10 13 2" xfId="3587" xr:uid="{00000000-0005-0000-0000-00000C010000}"/>
    <cellStyle name="Normal 10 14" xfId="1679" xr:uid="{00000000-0005-0000-0000-00000D010000}"/>
    <cellStyle name="Normal 10 14 2" xfId="3226" xr:uid="{00000000-0005-0000-0000-00000E010000}"/>
    <cellStyle name="Normal 10 15" xfId="1867" xr:uid="{00000000-0005-0000-0000-00000F010000}"/>
    <cellStyle name="Normal 10 15 2" xfId="3827" xr:uid="{00000000-0005-0000-0000-000010010000}"/>
    <cellStyle name="Normal 10 16" xfId="3725" xr:uid="{00000000-0005-0000-0000-000011010000}"/>
    <cellStyle name="Normal 10 2" xfId="363" xr:uid="{00000000-0005-0000-0000-000012010000}"/>
    <cellStyle name="Normal 10 2 2" xfId="2532" xr:uid="{00000000-0005-0000-0000-000013010000}"/>
    <cellStyle name="Normal 10 3" xfId="431" xr:uid="{00000000-0005-0000-0000-000014010000}"/>
    <cellStyle name="Normal 10 3 2" xfId="3185" xr:uid="{00000000-0005-0000-0000-000015010000}"/>
    <cellStyle name="Normal 10 4" xfId="453" xr:uid="{00000000-0005-0000-0000-000016010000}"/>
    <cellStyle name="Normal 10 4 2" xfId="2525" xr:uid="{00000000-0005-0000-0000-000017010000}"/>
    <cellStyle name="Normal 10 5" xfId="469" xr:uid="{00000000-0005-0000-0000-000018010000}"/>
    <cellStyle name="Normal 10 5 2" xfId="2851" xr:uid="{00000000-0005-0000-0000-000019010000}"/>
    <cellStyle name="Normal 10 6" xfId="502" xr:uid="{00000000-0005-0000-0000-00001A010000}"/>
    <cellStyle name="Normal 10 6 2" xfId="3522" xr:uid="{00000000-0005-0000-0000-00001B010000}"/>
    <cellStyle name="Normal 10 7" xfId="542" xr:uid="{00000000-0005-0000-0000-00001C010000}"/>
    <cellStyle name="Normal 10 7 2" xfId="2845" xr:uid="{00000000-0005-0000-0000-00001D010000}"/>
    <cellStyle name="Normal 10 8" xfId="571" xr:uid="{00000000-0005-0000-0000-00001E010000}"/>
    <cellStyle name="Normal 10 8 2" xfId="2514" xr:uid="{00000000-0005-0000-0000-00001F010000}"/>
    <cellStyle name="Normal 10 9" xfId="753" xr:uid="{00000000-0005-0000-0000-000020010000}"/>
    <cellStyle name="Normal 10 9 2" xfId="2501" xr:uid="{00000000-0005-0000-0000-000021010000}"/>
    <cellStyle name="Normal 100" xfId="114" xr:uid="{00000000-0005-0000-0000-000022010000}"/>
    <cellStyle name="Normal 100 10" xfId="2155" xr:uid="{00000000-0005-0000-0000-000023010000}"/>
    <cellStyle name="Normal 100 2" xfId="660" xr:uid="{00000000-0005-0000-0000-000024010000}"/>
    <cellStyle name="Normal 100 2 2" xfId="2115" xr:uid="{00000000-0005-0000-0000-000025010000}"/>
    <cellStyle name="Normal 100 3" xfId="842" xr:uid="{00000000-0005-0000-0000-000026010000}"/>
    <cellStyle name="Normal 100 3 2" xfId="2409" xr:uid="{00000000-0005-0000-0000-000027010000}"/>
    <cellStyle name="Normal 100 4" xfId="1024" xr:uid="{00000000-0005-0000-0000-000028010000}"/>
    <cellStyle name="Normal 100 4 2" xfId="2955" xr:uid="{00000000-0005-0000-0000-000029010000}"/>
    <cellStyle name="Normal 100 5" xfId="1207" xr:uid="{00000000-0005-0000-0000-00002A010000}"/>
    <cellStyle name="Normal 100 5 2" xfId="2941" xr:uid="{00000000-0005-0000-0000-00002B010000}"/>
    <cellStyle name="Normal 100 6" xfId="1392" xr:uid="{00000000-0005-0000-0000-00002C010000}"/>
    <cellStyle name="Normal 100 6 2" xfId="2597" xr:uid="{00000000-0005-0000-0000-00002D010000}"/>
    <cellStyle name="Normal 100 7" xfId="1580" xr:uid="{00000000-0005-0000-0000-00002E010000}"/>
    <cellStyle name="Normal 100 7 2" xfId="2651" xr:uid="{00000000-0005-0000-0000-00002F010000}"/>
    <cellStyle name="Normal 100 8" xfId="1768" xr:uid="{00000000-0005-0000-0000-000030010000}"/>
    <cellStyle name="Normal 100 8 2" xfId="2885" xr:uid="{00000000-0005-0000-0000-000031010000}"/>
    <cellStyle name="Normal 100 9" xfId="1956" xr:uid="{00000000-0005-0000-0000-000032010000}"/>
    <cellStyle name="Normal 100 9 2" xfId="3916" xr:uid="{00000000-0005-0000-0000-000033010000}"/>
    <cellStyle name="Normal 101" xfId="115" xr:uid="{00000000-0005-0000-0000-000034010000}"/>
    <cellStyle name="Normal 101 10" xfId="2648" xr:uid="{00000000-0005-0000-0000-000035010000}"/>
    <cellStyle name="Normal 101 2" xfId="661" xr:uid="{00000000-0005-0000-0000-000036010000}"/>
    <cellStyle name="Normal 101 2 2" xfId="3676" xr:uid="{00000000-0005-0000-0000-000037010000}"/>
    <cellStyle name="Normal 101 3" xfId="843" xr:uid="{00000000-0005-0000-0000-000038010000}"/>
    <cellStyle name="Normal 101 3 2" xfId="2370" xr:uid="{00000000-0005-0000-0000-000039010000}"/>
    <cellStyle name="Normal 101 4" xfId="1025" xr:uid="{00000000-0005-0000-0000-00003A010000}"/>
    <cellStyle name="Normal 101 4 2" xfId="2793" xr:uid="{00000000-0005-0000-0000-00003B010000}"/>
    <cellStyle name="Normal 101 5" xfId="1208" xr:uid="{00000000-0005-0000-0000-00003C010000}"/>
    <cellStyle name="Normal 101 5 2" xfId="2779" xr:uid="{00000000-0005-0000-0000-00003D010000}"/>
    <cellStyle name="Normal 101 6" xfId="1393" xr:uid="{00000000-0005-0000-0000-00003E010000}"/>
    <cellStyle name="Normal 101 6 2" xfId="2207" xr:uid="{00000000-0005-0000-0000-00003F010000}"/>
    <cellStyle name="Normal 101 7" xfId="1581" xr:uid="{00000000-0005-0000-0000-000040010000}"/>
    <cellStyle name="Normal 101 7 2" xfId="2486" xr:uid="{00000000-0005-0000-0000-000041010000}"/>
    <cellStyle name="Normal 101 8" xfId="1769" xr:uid="{00000000-0005-0000-0000-000042010000}"/>
    <cellStyle name="Normal 101 8 2" xfId="2723" xr:uid="{00000000-0005-0000-0000-000043010000}"/>
    <cellStyle name="Normal 101 9" xfId="1957" xr:uid="{00000000-0005-0000-0000-000044010000}"/>
    <cellStyle name="Normal 101 9 2" xfId="3917" xr:uid="{00000000-0005-0000-0000-000045010000}"/>
    <cellStyle name="Normal 102" xfId="116" xr:uid="{00000000-0005-0000-0000-000046010000}"/>
    <cellStyle name="Normal 102 10" xfId="2483" xr:uid="{00000000-0005-0000-0000-000047010000}"/>
    <cellStyle name="Normal 102 2" xfId="662" xr:uid="{00000000-0005-0000-0000-000048010000}"/>
    <cellStyle name="Normal 102 2 2" xfId="3506" xr:uid="{00000000-0005-0000-0000-000049010000}"/>
    <cellStyle name="Normal 102 3" xfId="844" xr:uid="{00000000-0005-0000-0000-00004A010000}"/>
    <cellStyle name="Normal 102 3 2" xfId="2349" xr:uid="{00000000-0005-0000-0000-00004B010000}"/>
    <cellStyle name="Normal 102 4" xfId="1026" xr:uid="{00000000-0005-0000-0000-00004C010000}"/>
    <cellStyle name="Normal 102 4 2" xfId="2630" xr:uid="{00000000-0005-0000-0000-00004D010000}"/>
    <cellStyle name="Normal 102 5" xfId="1209" xr:uid="{00000000-0005-0000-0000-00004E010000}"/>
    <cellStyle name="Normal 102 5 2" xfId="2616" xr:uid="{00000000-0005-0000-0000-00004F010000}"/>
    <cellStyle name="Normal 102 6" xfId="1394" xr:uid="{00000000-0005-0000-0000-000050010000}"/>
    <cellStyle name="Normal 102 6 2" xfId="3765" xr:uid="{00000000-0005-0000-0000-000051010000}"/>
    <cellStyle name="Normal 102 7" xfId="1582" xr:uid="{00000000-0005-0000-0000-000052010000}"/>
    <cellStyle name="Normal 102 7 2" xfId="2459" xr:uid="{00000000-0005-0000-0000-000053010000}"/>
    <cellStyle name="Normal 102 8" xfId="1770" xr:uid="{00000000-0005-0000-0000-000054010000}"/>
    <cellStyle name="Normal 102 8 2" xfId="2560" xr:uid="{00000000-0005-0000-0000-000055010000}"/>
    <cellStyle name="Normal 102 9" xfId="1958" xr:uid="{00000000-0005-0000-0000-000056010000}"/>
    <cellStyle name="Normal 102 9 2" xfId="3918" xr:uid="{00000000-0005-0000-0000-000057010000}"/>
    <cellStyle name="Normal 103" xfId="117" xr:uid="{00000000-0005-0000-0000-000058010000}"/>
    <cellStyle name="Normal 103 10" xfId="2455" xr:uid="{00000000-0005-0000-0000-000059010000}"/>
    <cellStyle name="Normal 103 2" xfId="663" xr:uid="{00000000-0005-0000-0000-00005A010000}"/>
    <cellStyle name="Normal 103 2 2" xfId="3335" xr:uid="{00000000-0005-0000-0000-00005B010000}"/>
    <cellStyle name="Normal 103 3" xfId="845" xr:uid="{00000000-0005-0000-0000-00005C010000}"/>
    <cellStyle name="Normal 103 3 2" xfId="2312" xr:uid="{00000000-0005-0000-0000-00005D010000}"/>
    <cellStyle name="Normal 103 4" xfId="1027" xr:uid="{00000000-0005-0000-0000-00005E010000}"/>
    <cellStyle name="Normal 103 4 2" xfId="2240" xr:uid="{00000000-0005-0000-0000-00005F010000}"/>
    <cellStyle name="Normal 103 5" xfId="1210" xr:uid="{00000000-0005-0000-0000-000060010000}"/>
    <cellStyle name="Normal 103 5 2" xfId="2226" xr:uid="{00000000-0005-0000-0000-000061010000}"/>
    <cellStyle name="Normal 103 6" xfId="1395" xr:uid="{00000000-0005-0000-0000-000062010000}"/>
    <cellStyle name="Normal 103 6 2" xfId="3596" xr:uid="{00000000-0005-0000-0000-000063010000}"/>
    <cellStyle name="Normal 103 7" xfId="1583" xr:uid="{00000000-0005-0000-0000-000064010000}"/>
    <cellStyle name="Normal 103 7 2" xfId="2418" xr:uid="{00000000-0005-0000-0000-000065010000}"/>
    <cellStyle name="Normal 103 8" xfId="1771" xr:uid="{00000000-0005-0000-0000-000066010000}"/>
    <cellStyle name="Normal 103 8 2" xfId="2170" xr:uid="{00000000-0005-0000-0000-000067010000}"/>
    <cellStyle name="Normal 103 9" xfId="1959" xr:uid="{00000000-0005-0000-0000-000068010000}"/>
    <cellStyle name="Normal 103 9 2" xfId="3919" xr:uid="{00000000-0005-0000-0000-000069010000}"/>
    <cellStyle name="Normal 104" xfId="118" xr:uid="{00000000-0005-0000-0000-00006A010000}"/>
    <cellStyle name="Normal 104 10" xfId="2423" xr:uid="{00000000-0005-0000-0000-00006B010000}"/>
    <cellStyle name="Normal 104 2" xfId="664" xr:uid="{00000000-0005-0000-0000-00006C010000}"/>
    <cellStyle name="Normal 104 2 2" xfId="3163" xr:uid="{00000000-0005-0000-0000-00006D010000}"/>
    <cellStyle name="Normal 104 3" xfId="846" xr:uid="{00000000-0005-0000-0000-00006E010000}"/>
    <cellStyle name="Normal 104 3 2" xfId="3652" xr:uid="{00000000-0005-0000-0000-00006F010000}"/>
    <cellStyle name="Normal 104 4" xfId="1028" xr:uid="{00000000-0005-0000-0000-000070010000}"/>
    <cellStyle name="Normal 104 4 2" xfId="3798" xr:uid="{00000000-0005-0000-0000-000071010000}"/>
    <cellStyle name="Normal 104 5" xfId="1211" xr:uid="{00000000-0005-0000-0000-000072010000}"/>
    <cellStyle name="Normal 104 5 2" xfId="3782" xr:uid="{00000000-0005-0000-0000-000073010000}"/>
    <cellStyle name="Normal 104 6" xfId="1396" xr:uid="{00000000-0005-0000-0000-000074010000}"/>
    <cellStyle name="Normal 104 6 2" xfId="3426" xr:uid="{00000000-0005-0000-0000-000075010000}"/>
    <cellStyle name="Normal 104 7" xfId="1584" xr:uid="{00000000-0005-0000-0000-000076010000}"/>
    <cellStyle name="Normal 104 7 2" xfId="2387" xr:uid="{00000000-0005-0000-0000-000077010000}"/>
    <cellStyle name="Normal 104 8" xfId="1772" xr:uid="{00000000-0005-0000-0000-000078010000}"/>
    <cellStyle name="Normal 104 8 2" xfId="3728" xr:uid="{00000000-0005-0000-0000-000079010000}"/>
    <cellStyle name="Normal 104 9" xfId="1960" xr:uid="{00000000-0005-0000-0000-00007A010000}"/>
    <cellStyle name="Normal 104 9 2" xfId="3920" xr:uid="{00000000-0005-0000-0000-00007B010000}"/>
    <cellStyle name="Normal 105" xfId="119" xr:uid="{00000000-0005-0000-0000-00007C010000}"/>
    <cellStyle name="Normal 105 10" xfId="2392" xr:uid="{00000000-0005-0000-0000-00007D010000}"/>
    <cellStyle name="Normal 105 2" xfId="665" xr:uid="{00000000-0005-0000-0000-00007E010000}"/>
    <cellStyle name="Normal 105 2 2" xfId="2995" xr:uid="{00000000-0005-0000-0000-00007F010000}"/>
    <cellStyle name="Normal 105 3" xfId="847" xr:uid="{00000000-0005-0000-0000-000080010000}"/>
    <cellStyle name="Normal 105 3 2" xfId="3482" xr:uid="{00000000-0005-0000-0000-000081010000}"/>
    <cellStyle name="Normal 105 4" xfId="1029" xr:uid="{00000000-0005-0000-0000-000082010000}"/>
    <cellStyle name="Normal 105 4 2" xfId="3629" xr:uid="{00000000-0005-0000-0000-000083010000}"/>
    <cellStyle name="Normal 105 5" xfId="1212" xr:uid="{00000000-0005-0000-0000-000084010000}"/>
    <cellStyle name="Normal 105 5 2" xfId="3613" xr:uid="{00000000-0005-0000-0000-000085010000}"/>
    <cellStyle name="Normal 105 6" xfId="1397" xr:uid="{00000000-0005-0000-0000-000086010000}"/>
    <cellStyle name="Normal 105 6 2" xfId="3254" xr:uid="{00000000-0005-0000-0000-000087010000}"/>
    <cellStyle name="Normal 105 7" xfId="1585" xr:uid="{00000000-0005-0000-0000-000088010000}"/>
    <cellStyle name="Normal 105 7 2" xfId="2375" xr:uid="{00000000-0005-0000-0000-000089010000}"/>
    <cellStyle name="Normal 105 8" xfId="1773" xr:uid="{00000000-0005-0000-0000-00008A010000}"/>
    <cellStyle name="Normal 105 8 2" xfId="3559" xr:uid="{00000000-0005-0000-0000-00008B010000}"/>
    <cellStyle name="Normal 105 9" xfId="1961" xr:uid="{00000000-0005-0000-0000-00008C010000}"/>
    <cellStyle name="Normal 105 9 2" xfId="3921" xr:uid="{00000000-0005-0000-0000-00008D010000}"/>
    <cellStyle name="Normal 106" xfId="120" xr:uid="{00000000-0005-0000-0000-00008E010000}"/>
    <cellStyle name="Normal 106 10" xfId="2372" xr:uid="{00000000-0005-0000-0000-00008F010000}"/>
    <cellStyle name="Normal 106 2" xfId="666" xr:uid="{00000000-0005-0000-0000-000090010000}"/>
    <cellStyle name="Normal 106 2 2" xfId="2833" xr:uid="{00000000-0005-0000-0000-000091010000}"/>
    <cellStyle name="Normal 106 3" xfId="848" xr:uid="{00000000-0005-0000-0000-000092010000}"/>
    <cellStyle name="Normal 106 3 2" xfId="3310" xr:uid="{00000000-0005-0000-0000-000093010000}"/>
    <cellStyle name="Normal 106 4" xfId="1030" xr:uid="{00000000-0005-0000-0000-000094010000}"/>
    <cellStyle name="Normal 106 4 2" xfId="3459" xr:uid="{00000000-0005-0000-0000-000095010000}"/>
    <cellStyle name="Normal 106 5" xfId="1213" xr:uid="{00000000-0005-0000-0000-000096010000}"/>
    <cellStyle name="Normal 106 5 2" xfId="3443" xr:uid="{00000000-0005-0000-0000-000097010000}"/>
    <cellStyle name="Normal 106 6" xfId="1398" xr:uid="{00000000-0005-0000-0000-000098010000}"/>
    <cellStyle name="Normal 106 6 2" xfId="3085" xr:uid="{00000000-0005-0000-0000-000099010000}"/>
    <cellStyle name="Normal 106 7" xfId="1586" xr:uid="{00000000-0005-0000-0000-00009A010000}"/>
    <cellStyle name="Normal 106 7 2" xfId="2355" xr:uid="{00000000-0005-0000-0000-00009B010000}"/>
    <cellStyle name="Normal 106 8" xfId="1774" xr:uid="{00000000-0005-0000-0000-00009C010000}"/>
    <cellStyle name="Normal 106 8 2" xfId="3389" xr:uid="{00000000-0005-0000-0000-00009D010000}"/>
    <cellStyle name="Normal 106 9" xfId="1962" xr:uid="{00000000-0005-0000-0000-00009E010000}"/>
    <cellStyle name="Normal 106 9 2" xfId="3922" xr:uid="{00000000-0005-0000-0000-00009F010000}"/>
    <cellStyle name="Normal 107" xfId="121" xr:uid="{00000000-0005-0000-0000-0000A0010000}"/>
    <cellStyle name="Normal 107 10" xfId="2351" xr:uid="{00000000-0005-0000-0000-0000A1010000}"/>
    <cellStyle name="Normal 107 2" xfId="667" xr:uid="{00000000-0005-0000-0000-0000A2010000}"/>
    <cellStyle name="Normal 107 2 2" xfId="2670" xr:uid="{00000000-0005-0000-0000-0000A3010000}"/>
    <cellStyle name="Normal 107 3" xfId="849" xr:uid="{00000000-0005-0000-0000-0000A4010000}"/>
    <cellStyle name="Normal 107 3 2" xfId="3138" xr:uid="{00000000-0005-0000-0000-0000A5010000}"/>
    <cellStyle name="Normal 107 4" xfId="1031" xr:uid="{00000000-0005-0000-0000-0000A6010000}"/>
    <cellStyle name="Normal 107 4 2" xfId="3287" xr:uid="{00000000-0005-0000-0000-0000A7010000}"/>
    <cellStyle name="Normal 107 5" xfId="1214" xr:uid="{00000000-0005-0000-0000-0000A8010000}"/>
    <cellStyle name="Normal 107 5 2" xfId="3271" xr:uid="{00000000-0005-0000-0000-0000A9010000}"/>
    <cellStyle name="Normal 107 6" xfId="1399" xr:uid="{00000000-0005-0000-0000-0000AA010000}"/>
    <cellStyle name="Normal 107 6 2" xfId="2921" xr:uid="{00000000-0005-0000-0000-0000AB010000}"/>
    <cellStyle name="Normal 107 7" xfId="1587" xr:uid="{00000000-0005-0000-0000-0000AC010000}"/>
    <cellStyle name="Normal 107 7 2" xfId="2289" xr:uid="{00000000-0005-0000-0000-0000AD010000}"/>
    <cellStyle name="Normal 107 8" xfId="1775" xr:uid="{00000000-0005-0000-0000-0000AE010000}"/>
    <cellStyle name="Normal 107 8 2" xfId="3217" xr:uid="{00000000-0005-0000-0000-0000AF010000}"/>
    <cellStyle name="Normal 107 9" xfId="1963" xr:uid="{00000000-0005-0000-0000-0000B0010000}"/>
    <cellStyle name="Normal 107 9 2" xfId="3923" xr:uid="{00000000-0005-0000-0000-0000B1010000}"/>
    <cellStyle name="Normal 108" xfId="122" xr:uid="{00000000-0005-0000-0000-0000B2010000}"/>
    <cellStyle name="Normal 108 10" xfId="2294" xr:uid="{00000000-0005-0000-0000-0000B3010000}"/>
    <cellStyle name="Normal 108 2" xfId="668" xr:uid="{00000000-0005-0000-0000-0000B4010000}"/>
    <cellStyle name="Normal 108 2 2" xfId="2505" xr:uid="{00000000-0005-0000-0000-0000B5010000}"/>
    <cellStyle name="Normal 108 3" xfId="850" xr:uid="{00000000-0005-0000-0000-0000B6010000}"/>
    <cellStyle name="Normal 108 3 2" xfId="2971" xr:uid="{00000000-0005-0000-0000-0000B7010000}"/>
    <cellStyle name="Normal 108 4" xfId="1032" xr:uid="{00000000-0005-0000-0000-0000B8010000}"/>
    <cellStyle name="Normal 108 4 2" xfId="3118" xr:uid="{00000000-0005-0000-0000-0000B9010000}"/>
    <cellStyle name="Normal 108 5" xfId="1215" xr:uid="{00000000-0005-0000-0000-0000BA010000}"/>
    <cellStyle name="Normal 108 5 2" xfId="3102" xr:uid="{00000000-0005-0000-0000-0000BB010000}"/>
    <cellStyle name="Normal 108 6" xfId="1400" xr:uid="{00000000-0005-0000-0000-0000BC010000}"/>
    <cellStyle name="Normal 108 6 2" xfId="2759" xr:uid="{00000000-0005-0000-0000-0000BD010000}"/>
    <cellStyle name="Normal 108 7" xfId="1588" xr:uid="{00000000-0005-0000-0000-0000BE010000}"/>
    <cellStyle name="Normal 108 7 2" xfId="3657" xr:uid="{00000000-0005-0000-0000-0000BF010000}"/>
    <cellStyle name="Normal 108 8" xfId="1776" xr:uid="{00000000-0005-0000-0000-0000C0010000}"/>
    <cellStyle name="Normal 108 8 2" xfId="3048" xr:uid="{00000000-0005-0000-0000-0000C1010000}"/>
    <cellStyle name="Normal 108 9" xfId="1964" xr:uid="{00000000-0005-0000-0000-0000C2010000}"/>
    <cellStyle name="Normal 108 9 2" xfId="3924" xr:uid="{00000000-0005-0000-0000-0000C3010000}"/>
    <cellStyle name="Normal 109" xfId="123" xr:uid="{00000000-0005-0000-0000-0000C4010000}"/>
    <cellStyle name="Normal 109 10" xfId="3654" xr:uid="{00000000-0005-0000-0000-0000C5010000}"/>
    <cellStyle name="Normal 109 2" xfId="669" xr:uid="{00000000-0005-0000-0000-0000C6010000}"/>
    <cellStyle name="Normal 109 2 2" xfId="2114" xr:uid="{00000000-0005-0000-0000-0000C7010000}"/>
    <cellStyle name="Normal 109 3" xfId="851" xr:uid="{00000000-0005-0000-0000-0000C8010000}"/>
    <cellStyle name="Normal 109 3 2" xfId="2809" xr:uid="{00000000-0005-0000-0000-0000C9010000}"/>
    <cellStyle name="Normal 109 4" xfId="1033" xr:uid="{00000000-0005-0000-0000-0000CA010000}"/>
    <cellStyle name="Normal 109 4 2" xfId="2954" xr:uid="{00000000-0005-0000-0000-0000CB010000}"/>
    <cellStyle name="Normal 109 5" xfId="1216" xr:uid="{00000000-0005-0000-0000-0000CC010000}"/>
    <cellStyle name="Normal 109 5 2" xfId="2938" xr:uid="{00000000-0005-0000-0000-0000CD010000}"/>
    <cellStyle name="Normal 109 6" xfId="1401" xr:uid="{00000000-0005-0000-0000-0000CE010000}"/>
    <cellStyle name="Normal 109 6 2" xfId="2596" xr:uid="{00000000-0005-0000-0000-0000CF010000}"/>
    <cellStyle name="Normal 109 7" xfId="1589" xr:uid="{00000000-0005-0000-0000-0000D0010000}"/>
    <cellStyle name="Normal 109 7 2" xfId="3487" xr:uid="{00000000-0005-0000-0000-0000D1010000}"/>
    <cellStyle name="Normal 109 8" xfId="1777" xr:uid="{00000000-0005-0000-0000-0000D2010000}"/>
    <cellStyle name="Normal 109 8 2" xfId="2884" xr:uid="{00000000-0005-0000-0000-0000D3010000}"/>
    <cellStyle name="Normal 109 9" xfId="1965" xr:uid="{00000000-0005-0000-0000-0000D4010000}"/>
    <cellStyle name="Normal 109 9 2" xfId="3925" xr:uid="{00000000-0005-0000-0000-0000D5010000}"/>
    <cellStyle name="Normal 11" xfId="25" xr:uid="{00000000-0005-0000-0000-0000D6010000}"/>
    <cellStyle name="Normal 11 10" xfId="936" xr:uid="{00000000-0005-0000-0000-0000D7010000}"/>
    <cellStyle name="Normal 11 10 2" xfId="2801" xr:uid="{00000000-0005-0000-0000-0000D8010000}"/>
    <cellStyle name="Normal 11 11" xfId="1119" xr:uid="{00000000-0005-0000-0000-0000D9010000}"/>
    <cellStyle name="Normal 11 11 2" xfId="3111" xr:uid="{00000000-0005-0000-0000-0000DA010000}"/>
    <cellStyle name="Normal 11 12" xfId="1304" xr:uid="{00000000-0005-0000-0000-0000DB010000}"/>
    <cellStyle name="Normal 11 12 2" xfId="2768" xr:uid="{00000000-0005-0000-0000-0000DC010000}"/>
    <cellStyle name="Normal 11 13" xfId="1492" xr:uid="{00000000-0005-0000-0000-0000DD010000}"/>
    <cellStyle name="Normal 11 13 2" xfId="3417" xr:uid="{00000000-0005-0000-0000-0000DE010000}"/>
    <cellStyle name="Normal 11 14" xfId="1680" xr:uid="{00000000-0005-0000-0000-0000DF010000}"/>
    <cellStyle name="Normal 11 14 2" xfId="3057" xr:uid="{00000000-0005-0000-0000-0000E0010000}"/>
    <cellStyle name="Normal 11 15" xfId="1868" xr:uid="{00000000-0005-0000-0000-0000E1010000}"/>
    <cellStyle name="Normal 11 15 2" xfId="3828" xr:uid="{00000000-0005-0000-0000-0000E2010000}"/>
    <cellStyle name="Normal 11 16" xfId="3556" xr:uid="{00000000-0005-0000-0000-0000E3010000}"/>
    <cellStyle name="Normal 11 2" xfId="372" xr:uid="{00000000-0005-0000-0000-0000E4010000}"/>
    <cellStyle name="Normal 11 2 2" xfId="2414" xr:uid="{00000000-0005-0000-0000-0000E5010000}"/>
    <cellStyle name="Normal 11 3" xfId="432" xr:uid="{00000000-0005-0000-0000-0000E6010000}"/>
    <cellStyle name="Normal 11 3 2" xfId="3017" xr:uid="{00000000-0005-0000-0000-0000E7010000}"/>
    <cellStyle name="Normal 11 4" xfId="454" xr:uid="{00000000-0005-0000-0000-0000E8010000}"/>
    <cellStyle name="Normal 11 4 2" xfId="2134" xr:uid="{00000000-0005-0000-0000-0000E9010000}"/>
    <cellStyle name="Normal 11 5" xfId="477" xr:uid="{00000000-0005-0000-0000-0000EA010000}"/>
    <cellStyle name="Normal 11 5 2" xfId="2368" xr:uid="{00000000-0005-0000-0000-0000EB010000}"/>
    <cellStyle name="Normal 11 6" xfId="510" xr:uid="{00000000-0005-0000-0000-0000EC010000}"/>
    <cellStyle name="Normal 11 6 2" xfId="3691" xr:uid="{00000000-0005-0000-0000-0000ED010000}"/>
    <cellStyle name="Normal 11 7" xfId="543" xr:uid="{00000000-0005-0000-0000-0000EE010000}"/>
    <cellStyle name="Normal 11 7 2" xfId="2682" xr:uid="{00000000-0005-0000-0000-0000EF010000}"/>
    <cellStyle name="Normal 11 8" xfId="572" xr:uid="{00000000-0005-0000-0000-0000F0010000}"/>
    <cellStyle name="Normal 11 8 2" xfId="2123" xr:uid="{00000000-0005-0000-0000-0000F1010000}"/>
    <cellStyle name="Normal 11 9" xfId="754" xr:uid="{00000000-0005-0000-0000-0000F2010000}"/>
    <cellStyle name="Normal 11 9 2" xfId="2471" xr:uid="{00000000-0005-0000-0000-0000F3010000}"/>
    <cellStyle name="Normal 110" xfId="124" xr:uid="{00000000-0005-0000-0000-0000F4010000}"/>
    <cellStyle name="Normal 110 10" xfId="3484" xr:uid="{00000000-0005-0000-0000-0000F5010000}"/>
    <cellStyle name="Normal 110 2" xfId="670" xr:uid="{00000000-0005-0000-0000-0000F6010000}"/>
    <cellStyle name="Normal 110 2 2" xfId="3813" xr:uid="{00000000-0005-0000-0000-0000F7010000}"/>
    <cellStyle name="Normal 110 3" xfId="852" xr:uid="{00000000-0005-0000-0000-0000F8010000}"/>
    <cellStyle name="Normal 110 3 2" xfId="2089" xr:uid="{00000000-0005-0000-0000-0000F9010000}"/>
    <cellStyle name="Normal 110 4" xfId="1034" xr:uid="{00000000-0005-0000-0000-0000FA010000}"/>
    <cellStyle name="Normal 110 4 2" xfId="2792" xr:uid="{00000000-0005-0000-0000-0000FB010000}"/>
    <cellStyle name="Normal 110 5" xfId="1217" xr:uid="{00000000-0005-0000-0000-0000FC010000}"/>
    <cellStyle name="Normal 110 5 2" xfId="2776" xr:uid="{00000000-0005-0000-0000-0000FD010000}"/>
    <cellStyle name="Normal 110 6" xfId="1402" xr:uid="{00000000-0005-0000-0000-0000FE010000}"/>
    <cellStyle name="Normal 110 6 2" xfId="2206" xr:uid="{00000000-0005-0000-0000-0000FF010000}"/>
    <cellStyle name="Normal 110 7" xfId="1590" xr:uid="{00000000-0005-0000-0000-000000020000}"/>
    <cellStyle name="Normal 110 7 2" xfId="3316" xr:uid="{00000000-0005-0000-0000-000001020000}"/>
    <cellStyle name="Normal 110 8" xfId="1778" xr:uid="{00000000-0005-0000-0000-000002020000}"/>
    <cellStyle name="Normal 110 8 2" xfId="2722" xr:uid="{00000000-0005-0000-0000-000003020000}"/>
    <cellStyle name="Normal 110 9" xfId="1966" xr:uid="{00000000-0005-0000-0000-000004020000}"/>
    <cellStyle name="Normal 110 9 2" xfId="3926" xr:uid="{00000000-0005-0000-0000-000005020000}"/>
    <cellStyle name="Normal 111" xfId="125" xr:uid="{00000000-0005-0000-0000-000006020000}"/>
    <cellStyle name="Normal 111 10" xfId="3312" xr:uid="{00000000-0005-0000-0000-000007020000}"/>
    <cellStyle name="Normal 111 2" xfId="671" xr:uid="{00000000-0005-0000-0000-000008020000}"/>
    <cellStyle name="Normal 111 2 2" xfId="3644" xr:uid="{00000000-0005-0000-0000-000009020000}"/>
    <cellStyle name="Normal 111 3" xfId="853" xr:uid="{00000000-0005-0000-0000-00000A020000}"/>
    <cellStyle name="Normal 111 3 2" xfId="2440" xr:uid="{00000000-0005-0000-0000-00000B020000}"/>
    <cellStyle name="Normal 111 4" xfId="1035" xr:uid="{00000000-0005-0000-0000-00000C020000}"/>
    <cellStyle name="Normal 111 4 2" xfId="2629" xr:uid="{00000000-0005-0000-0000-00000D020000}"/>
    <cellStyle name="Normal 111 5" xfId="1218" xr:uid="{00000000-0005-0000-0000-00000E020000}"/>
    <cellStyle name="Normal 111 5 2" xfId="2613" xr:uid="{00000000-0005-0000-0000-00000F020000}"/>
    <cellStyle name="Normal 111 6" xfId="1403" xr:uid="{00000000-0005-0000-0000-000010020000}"/>
    <cellStyle name="Normal 111 6 2" xfId="3764" xr:uid="{00000000-0005-0000-0000-000011020000}"/>
    <cellStyle name="Normal 111 7" xfId="1591" xr:uid="{00000000-0005-0000-0000-000012020000}"/>
    <cellStyle name="Normal 111 7 2" xfId="3144" xr:uid="{00000000-0005-0000-0000-000013020000}"/>
    <cellStyle name="Normal 111 8" xfId="1779" xr:uid="{00000000-0005-0000-0000-000014020000}"/>
    <cellStyle name="Normal 111 8 2" xfId="2559" xr:uid="{00000000-0005-0000-0000-000015020000}"/>
    <cellStyle name="Normal 111 9" xfId="1967" xr:uid="{00000000-0005-0000-0000-000016020000}"/>
    <cellStyle name="Normal 111 9 2" xfId="3927" xr:uid="{00000000-0005-0000-0000-000017020000}"/>
    <cellStyle name="Normal 112" xfId="126" xr:uid="{00000000-0005-0000-0000-000018020000}"/>
    <cellStyle name="Normal 112 10" xfId="3140" xr:uid="{00000000-0005-0000-0000-000019020000}"/>
    <cellStyle name="Normal 112 2" xfId="672" xr:uid="{00000000-0005-0000-0000-00001A020000}"/>
    <cellStyle name="Normal 112 2 2" xfId="3474" xr:uid="{00000000-0005-0000-0000-00001B020000}"/>
    <cellStyle name="Normal 112 3" xfId="854" xr:uid="{00000000-0005-0000-0000-00001C020000}"/>
    <cellStyle name="Normal 112 3 2" xfId="2408" xr:uid="{00000000-0005-0000-0000-00001D020000}"/>
    <cellStyle name="Normal 112 4" xfId="1036" xr:uid="{00000000-0005-0000-0000-00001E020000}"/>
    <cellStyle name="Normal 112 4 2" xfId="2239" xr:uid="{00000000-0005-0000-0000-00001F020000}"/>
    <cellStyle name="Normal 112 5" xfId="1219" xr:uid="{00000000-0005-0000-0000-000020020000}"/>
    <cellStyle name="Normal 112 5 2" xfId="2223" xr:uid="{00000000-0005-0000-0000-000021020000}"/>
    <cellStyle name="Normal 112 6" xfId="1404" xr:uid="{00000000-0005-0000-0000-000022020000}"/>
    <cellStyle name="Normal 112 6 2" xfId="3595" xr:uid="{00000000-0005-0000-0000-000023020000}"/>
    <cellStyle name="Normal 112 7" xfId="1592" xr:uid="{00000000-0005-0000-0000-000024020000}"/>
    <cellStyle name="Normal 112 7 2" xfId="2976" xr:uid="{00000000-0005-0000-0000-000025020000}"/>
    <cellStyle name="Normal 112 8" xfId="1780" xr:uid="{00000000-0005-0000-0000-000026020000}"/>
    <cellStyle name="Normal 112 8 2" xfId="2169" xr:uid="{00000000-0005-0000-0000-000027020000}"/>
    <cellStyle name="Normal 112 9" xfId="1968" xr:uid="{00000000-0005-0000-0000-000028020000}"/>
    <cellStyle name="Normal 112 9 2" xfId="3928" xr:uid="{00000000-0005-0000-0000-000029020000}"/>
    <cellStyle name="Normal 113" xfId="127" xr:uid="{00000000-0005-0000-0000-00002A020000}"/>
    <cellStyle name="Normal 113 10" xfId="2973" xr:uid="{00000000-0005-0000-0000-00002B020000}"/>
    <cellStyle name="Normal 113 2" xfId="673" xr:uid="{00000000-0005-0000-0000-00002C020000}"/>
    <cellStyle name="Normal 113 2 2" xfId="3302" xr:uid="{00000000-0005-0000-0000-00002D020000}"/>
    <cellStyle name="Normal 113 3" xfId="855" xr:uid="{00000000-0005-0000-0000-00002E020000}"/>
    <cellStyle name="Normal 113 3 2" xfId="2311" xr:uid="{00000000-0005-0000-0000-00002F020000}"/>
    <cellStyle name="Normal 113 4" xfId="1037" xr:uid="{00000000-0005-0000-0000-000030020000}"/>
    <cellStyle name="Normal 113 4 2" xfId="3797" xr:uid="{00000000-0005-0000-0000-000031020000}"/>
    <cellStyle name="Normal 113 5" xfId="1220" xr:uid="{00000000-0005-0000-0000-000032020000}"/>
    <cellStyle name="Normal 113 5 2" xfId="3781" xr:uid="{00000000-0005-0000-0000-000033020000}"/>
    <cellStyle name="Normal 113 6" xfId="1405" xr:uid="{00000000-0005-0000-0000-000034020000}"/>
    <cellStyle name="Normal 113 6 2" xfId="3425" xr:uid="{00000000-0005-0000-0000-000035020000}"/>
    <cellStyle name="Normal 113 7" xfId="1593" xr:uid="{00000000-0005-0000-0000-000036020000}"/>
    <cellStyle name="Normal 113 7 2" xfId="2814" xr:uid="{00000000-0005-0000-0000-000037020000}"/>
    <cellStyle name="Normal 113 8" xfId="1781" xr:uid="{00000000-0005-0000-0000-000038020000}"/>
    <cellStyle name="Normal 113 8 2" xfId="3727" xr:uid="{00000000-0005-0000-0000-000039020000}"/>
    <cellStyle name="Normal 113 9" xfId="1969" xr:uid="{00000000-0005-0000-0000-00003A020000}"/>
    <cellStyle name="Normal 113 9 2" xfId="3929" xr:uid="{00000000-0005-0000-0000-00003B020000}"/>
    <cellStyle name="Normal 114" xfId="128" xr:uid="{00000000-0005-0000-0000-00003C020000}"/>
    <cellStyle name="Normal 114 10" xfId="2811" xr:uid="{00000000-0005-0000-0000-00003D020000}"/>
    <cellStyle name="Normal 114 2" xfId="674" xr:uid="{00000000-0005-0000-0000-00003E020000}"/>
    <cellStyle name="Normal 114 2 2" xfId="2254" xr:uid="{00000000-0005-0000-0000-00003F020000}"/>
    <cellStyle name="Normal 114 3" xfId="856" xr:uid="{00000000-0005-0000-0000-000040020000}"/>
    <cellStyle name="Normal 114 3 2" xfId="2439" xr:uid="{00000000-0005-0000-0000-000041020000}"/>
    <cellStyle name="Normal 114 4" xfId="1038" xr:uid="{00000000-0005-0000-0000-000042020000}"/>
    <cellStyle name="Normal 114 4 2" xfId="3628" xr:uid="{00000000-0005-0000-0000-000043020000}"/>
    <cellStyle name="Normal 114 5" xfId="1221" xr:uid="{00000000-0005-0000-0000-000044020000}"/>
    <cellStyle name="Normal 114 5 2" xfId="3612" xr:uid="{00000000-0005-0000-0000-000045020000}"/>
    <cellStyle name="Normal 114 6" xfId="1406" xr:uid="{00000000-0005-0000-0000-000046020000}"/>
    <cellStyle name="Normal 114 6 2" xfId="3253" xr:uid="{00000000-0005-0000-0000-000047020000}"/>
    <cellStyle name="Normal 114 7" xfId="1594" xr:uid="{00000000-0005-0000-0000-000048020000}"/>
    <cellStyle name="Normal 114 7 2" xfId="2095" xr:uid="{00000000-0005-0000-0000-000049020000}"/>
    <cellStyle name="Normal 114 8" xfId="1782" xr:uid="{00000000-0005-0000-0000-00004A020000}"/>
    <cellStyle name="Normal 114 8 2" xfId="3558" xr:uid="{00000000-0005-0000-0000-00004B020000}"/>
    <cellStyle name="Normal 114 9" xfId="1970" xr:uid="{00000000-0005-0000-0000-00004C020000}"/>
    <cellStyle name="Normal 114 9 2" xfId="3930" xr:uid="{00000000-0005-0000-0000-00004D020000}"/>
    <cellStyle name="Normal 115" xfId="129" xr:uid="{00000000-0005-0000-0000-00004E020000}"/>
    <cellStyle name="Normal 115 10" xfId="2091" xr:uid="{00000000-0005-0000-0000-00004F020000}"/>
    <cellStyle name="Normal 115 2" xfId="675" xr:uid="{00000000-0005-0000-0000-000050020000}"/>
    <cellStyle name="Normal 115 2 2" xfId="3812" xr:uid="{00000000-0005-0000-0000-000051020000}"/>
    <cellStyle name="Normal 115 3" xfId="857" xr:uid="{00000000-0005-0000-0000-000052020000}"/>
    <cellStyle name="Normal 115 3 2" xfId="2407" xr:uid="{00000000-0005-0000-0000-000053020000}"/>
    <cellStyle name="Normal 115 4" xfId="1039" xr:uid="{00000000-0005-0000-0000-000054020000}"/>
    <cellStyle name="Normal 115 4 2" xfId="3458" xr:uid="{00000000-0005-0000-0000-000055020000}"/>
    <cellStyle name="Normal 115 5" xfId="1222" xr:uid="{00000000-0005-0000-0000-000056020000}"/>
    <cellStyle name="Normal 115 5 2" xfId="3442" xr:uid="{00000000-0005-0000-0000-000057020000}"/>
    <cellStyle name="Normal 115 6" xfId="1407" xr:uid="{00000000-0005-0000-0000-000058020000}"/>
    <cellStyle name="Normal 115 6 2" xfId="3084" xr:uid="{00000000-0005-0000-0000-000059020000}"/>
    <cellStyle name="Normal 115 7" xfId="1595" xr:uid="{00000000-0005-0000-0000-00005A020000}"/>
    <cellStyle name="Normal 115 7 2" xfId="3746" xr:uid="{00000000-0005-0000-0000-00005B020000}"/>
    <cellStyle name="Normal 115 8" xfId="1783" xr:uid="{00000000-0005-0000-0000-00005C020000}"/>
    <cellStyle name="Normal 115 8 2" xfId="3388" xr:uid="{00000000-0005-0000-0000-00005D020000}"/>
    <cellStyle name="Normal 115 9" xfId="1971" xr:uid="{00000000-0005-0000-0000-00005E020000}"/>
    <cellStyle name="Normal 115 9 2" xfId="3931" xr:uid="{00000000-0005-0000-0000-00005F020000}"/>
    <cellStyle name="Normal 116" xfId="130" xr:uid="{00000000-0005-0000-0000-000060020000}"/>
    <cellStyle name="Normal 116 10" xfId="3714" xr:uid="{00000000-0005-0000-0000-000061020000}"/>
    <cellStyle name="Normal 116 2" xfId="676" xr:uid="{00000000-0005-0000-0000-000062020000}"/>
    <cellStyle name="Normal 116 2 2" xfId="3643" xr:uid="{00000000-0005-0000-0000-000063020000}"/>
    <cellStyle name="Normal 116 3" xfId="858" xr:uid="{00000000-0005-0000-0000-000064020000}"/>
    <cellStyle name="Normal 116 3 2" xfId="2310" xr:uid="{00000000-0005-0000-0000-000065020000}"/>
    <cellStyle name="Normal 116 4" xfId="1040" xr:uid="{00000000-0005-0000-0000-000066020000}"/>
    <cellStyle name="Normal 116 4 2" xfId="3286" xr:uid="{00000000-0005-0000-0000-000067020000}"/>
    <cellStyle name="Normal 116 5" xfId="1223" xr:uid="{00000000-0005-0000-0000-000068020000}"/>
    <cellStyle name="Normal 116 5 2" xfId="3270" xr:uid="{00000000-0005-0000-0000-000069020000}"/>
    <cellStyle name="Normal 116 6" xfId="1408" xr:uid="{00000000-0005-0000-0000-00006A020000}"/>
    <cellStyle name="Normal 116 6 2" xfId="2920" xr:uid="{00000000-0005-0000-0000-00006B020000}"/>
    <cellStyle name="Normal 116 7" xfId="1596" xr:uid="{00000000-0005-0000-0000-00006C020000}"/>
    <cellStyle name="Normal 116 7 2" xfId="3577" xr:uid="{00000000-0005-0000-0000-00006D020000}"/>
    <cellStyle name="Normal 116 8" xfId="1784" xr:uid="{00000000-0005-0000-0000-00006E020000}"/>
    <cellStyle name="Normal 116 8 2" xfId="3216" xr:uid="{00000000-0005-0000-0000-00006F020000}"/>
    <cellStyle name="Normal 116 9" xfId="1972" xr:uid="{00000000-0005-0000-0000-000070020000}"/>
    <cellStyle name="Normal 116 9 2" xfId="3932" xr:uid="{00000000-0005-0000-0000-000071020000}"/>
    <cellStyle name="Normal 117" xfId="131" xr:uid="{00000000-0005-0000-0000-000072020000}"/>
    <cellStyle name="Normal 117 10" xfId="3546" xr:uid="{00000000-0005-0000-0000-000073020000}"/>
    <cellStyle name="Normal 117 2" xfId="677" xr:uid="{00000000-0005-0000-0000-000074020000}"/>
    <cellStyle name="Normal 117 2 2" xfId="3473" xr:uid="{00000000-0005-0000-0000-000075020000}"/>
    <cellStyle name="Normal 117 3" xfId="859" xr:uid="{00000000-0005-0000-0000-000076020000}"/>
    <cellStyle name="Normal 117 3 2" xfId="2438" xr:uid="{00000000-0005-0000-0000-000077020000}"/>
    <cellStyle name="Normal 117 4" xfId="1041" xr:uid="{00000000-0005-0000-0000-000078020000}"/>
    <cellStyle name="Normal 117 4 2" xfId="3117" xr:uid="{00000000-0005-0000-0000-000079020000}"/>
    <cellStyle name="Normal 117 5" xfId="1224" xr:uid="{00000000-0005-0000-0000-00007A020000}"/>
    <cellStyle name="Normal 117 5 2" xfId="3101" xr:uid="{00000000-0005-0000-0000-00007B020000}"/>
    <cellStyle name="Normal 117 6" xfId="1409" xr:uid="{00000000-0005-0000-0000-00007C020000}"/>
    <cellStyle name="Normal 117 6 2" xfId="2758" xr:uid="{00000000-0005-0000-0000-00007D020000}"/>
    <cellStyle name="Normal 117 7" xfId="1597" xr:uid="{00000000-0005-0000-0000-00007E020000}"/>
    <cellStyle name="Normal 117 7 2" xfId="3407" xr:uid="{00000000-0005-0000-0000-00007F020000}"/>
    <cellStyle name="Normal 117 8" xfId="1785" xr:uid="{00000000-0005-0000-0000-000080020000}"/>
    <cellStyle name="Normal 117 8 2" xfId="3047" xr:uid="{00000000-0005-0000-0000-000081020000}"/>
    <cellStyle name="Normal 117 9" xfId="1973" xr:uid="{00000000-0005-0000-0000-000082020000}"/>
    <cellStyle name="Normal 117 9 2" xfId="3933" xr:uid="{00000000-0005-0000-0000-000083020000}"/>
    <cellStyle name="Normal 118" xfId="132" xr:uid="{00000000-0005-0000-0000-000084020000}"/>
    <cellStyle name="Normal 118 10" xfId="3376" xr:uid="{00000000-0005-0000-0000-000085020000}"/>
    <cellStyle name="Normal 118 2" xfId="678" xr:uid="{00000000-0005-0000-0000-000086020000}"/>
    <cellStyle name="Normal 118 2 2" xfId="3301" xr:uid="{00000000-0005-0000-0000-000087020000}"/>
    <cellStyle name="Normal 118 3" xfId="860" xr:uid="{00000000-0005-0000-0000-000088020000}"/>
    <cellStyle name="Normal 118 3 2" xfId="2406" xr:uid="{00000000-0005-0000-0000-000089020000}"/>
    <cellStyle name="Normal 118 4" xfId="1042" xr:uid="{00000000-0005-0000-0000-00008A020000}"/>
    <cellStyle name="Normal 118 4 2" xfId="2953" xr:uid="{00000000-0005-0000-0000-00008B020000}"/>
    <cellStyle name="Normal 118 5" xfId="1225" xr:uid="{00000000-0005-0000-0000-00008C020000}"/>
    <cellStyle name="Normal 118 5 2" xfId="2937" xr:uid="{00000000-0005-0000-0000-00008D020000}"/>
    <cellStyle name="Normal 118 6" xfId="1410" xr:uid="{00000000-0005-0000-0000-00008E020000}"/>
    <cellStyle name="Normal 118 6 2" xfId="2595" xr:uid="{00000000-0005-0000-0000-00008F020000}"/>
    <cellStyle name="Normal 118 7" xfId="1598" xr:uid="{00000000-0005-0000-0000-000090020000}"/>
    <cellStyle name="Normal 118 7 2" xfId="3235" xr:uid="{00000000-0005-0000-0000-000091020000}"/>
    <cellStyle name="Normal 118 8" xfId="1786" xr:uid="{00000000-0005-0000-0000-000092020000}"/>
    <cellStyle name="Normal 118 8 2" xfId="2883" xr:uid="{00000000-0005-0000-0000-000093020000}"/>
    <cellStyle name="Normal 118 9" xfId="1974" xr:uid="{00000000-0005-0000-0000-000094020000}"/>
    <cellStyle name="Normal 118 9 2" xfId="3934" xr:uid="{00000000-0005-0000-0000-000095020000}"/>
    <cellStyle name="Normal 119" xfId="133" xr:uid="{00000000-0005-0000-0000-000096020000}"/>
    <cellStyle name="Normal 119 10" xfId="3203" xr:uid="{00000000-0005-0000-0000-000097020000}"/>
    <cellStyle name="Normal 119 2" xfId="679" xr:uid="{00000000-0005-0000-0000-000098020000}"/>
    <cellStyle name="Normal 119 2 2" xfId="2253" xr:uid="{00000000-0005-0000-0000-000099020000}"/>
    <cellStyle name="Normal 119 3" xfId="861" xr:uid="{00000000-0005-0000-0000-00009A020000}"/>
    <cellStyle name="Normal 119 3 2" xfId="2309" xr:uid="{00000000-0005-0000-0000-00009B020000}"/>
    <cellStyle name="Normal 119 4" xfId="1043" xr:uid="{00000000-0005-0000-0000-00009C020000}"/>
    <cellStyle name="Normal 119 4 2" xfId="2791" xr:uid="{00000000-0005-0000-0000-00009D020000}"/>
    <cellStyle name="Normal 119 5" xfId="1226" xr:uid="{00000000-0005-0000-0000-00009E020000}"/>
    <cellStyle name="Normal 119 5 2" xfId="2775" xr:uid="{00000000-0005-0000-0000-00009F020000}"/>
    <cellStyle name="Normal 119 6" xfId="1411" xr:uid="{00000000-0005-0000-0000-0000A0020000}"/>
    <cellStyle name="Normal 119 6 2" xfId="2205" xr:uid="{00000000-0005-0000-0000-0000A1020000}"/>
    <cellStyle name="Normal 119 7" xfId="1599" xr:uid="{00000000-0005-0000-0000-0000A2020000}"/>
    <cellStyle name="Normal 119 7 2" xfId="3066" xr:uid="{00000000-0005-0000-0000-0000A3020000}"/>
    <cellStyle name="Normal 119 8" xfId="1787" xr:uid="{00000000-0005-0000-0000-0000A4020000}"/>
    <cellStyle name="Normal 119 8 2" xfId="2721" xr:uid="{00000000-0005-0000-0000-0000A5020000}"/>
    <cellStyle name="Normal 119 9" xfId="1975" xr:uid="{00000000-0005-0000-0000-0000A6020000}"/>
    <cellStyle name="Normal 119 9 2" xfId="3935" xr:uid="{00000000-0005-0000-0000-0000A7020000}"/>
    <cellStyle name="Normal 12" xfId="26" xr:uid="{00000000-0005-0000-0000-0000A8020000}"/>
    <cellStyle name="Normal 12 10" xfId="937" xr:uid="{00000000-0005-0000-0000-0000A9020000}"/>
    <cellStyle name="Normal 12 10 2" xfId="2638" xr:uid="{00000000-0005-0000-0000-0000AA020000}"/>
    <cellStyle name="Normal 12 11" xfId="1120" xr:uid="{00000000-0005-0000-0000-0000AB020000}"/>
    <cellStyle name="Normal 12 11 2" xfId="2947" xr:uid="{00000000-0005-0000-0000-0000AC020000}"/>
    <cellStyle name="Normal 12 12" xfId="1305" xr:uid="{00000000-0005-0000-0000-0000AD020000}"/>
    <cellStyle name="Normal 12 12 2" xfId="2605" xr:uid="{00000000-0005-0000-0000-0000AE020000}"/>
    <cellStyle name="Normal 12 13" xfId="1493" xr:uid="{00000000-0005-0000-0000-0000AF020000}"/>
    <cellStyle name="Normal 12 13 2" xfId="3245" xr:uid="{00000000-0005-0000-0000-0000B0020000}"/>
    <cellStyle name="Normal 12 14" xfId="1681" xr:uid="{00000000-0005-0000-0000-0000B1020000}"/>
    <cellStyle name="Normal 12 14 2" xfId="2893" xr:uid="{00000000-0005-0000-0000-0000B2020000}"/>
    <cellStyle name="Normal 12 15" xfId="1869" xr:uid="{00000000-0005-0000-0000-0000B3020000}"/>
    <cellStyle name="Normal 12 15 2" xfId="3829" xr:uid="{00000000-0005-0000-0000-0000B4020000}"/>
    <cellStyle name="Normal 12 16" xfId="3386" xr:uid="{00000000-0005-0000-0000-0000B5020000}"/>
    <cellStyle name="Normal 12 2" xfId="361" xr:uid="{00000000-0005-0000-0000-0000B6020000}"/>
    <cellStyle name="Normal 12 2 2" xfId="2861" xr:uid="{00000000-0005-0000-0000-0000B7020000}"/>
    <cellStyle name="Normal 12 3" xfId="433" xr:uid="{00000000-0005-0000-0000-0000B8020000}"/>
    <cellStyle name="Normal 12 3 2" xfId="2855" xr:uid="{00000000-0005-0000-0000-0000B9020000}"/>
    <cellStyle name="Normal 12 4" xfId="455" xr:uid="{00000000-0005-0000-0000-0000BA020000}"/>
    <cellStyle name="Normal 12 4 2" xfId="3695" xr:uid="{00000000-0005-0000-0000-0000BB020000}"/>
    <cellStyle name="Normal 12 5" xfId="467" xr:uid="{00000000-0005-0000-0000-0000BC020000}"/>
    <cellStyle name="Normal 12 5 2" xfId="3181" xr:uid="{00000000-0005-0000-0000-0000BD020000}"/>
    <cellStyle name="Normal 12 6" xfId="500" xr:uid="{00000000-0005-0000-0000-0000BE020000}"/>
    <cellStyle name="Normal 12 6 2" xfId="2131" xr:uid="{00000000-0005-0000-0000-0000BF020000}"/>
    <cellStyle name="Normal 12 7" xfId="544" xr:uid="{00000000-0005-0000-0000-0000C0020000}"/>
    <cellStyle name="Normal 12 7 2" xfId="2517" xr:uid="{00000000-0005-0000-0000-0000C1020000}"/>
    <cellStyle name="Normal 12 8" xfId="573" xr:uid="{00000000-0005-0000-0000-0000C2020000}"/>
    <cellStyle name="Normal 12 8 2" xfId="3684" xr:uid="{00000000-0005-0000-0000-0000C3020000}"/>
    <cellStyle name="Normal 12 9" xfId="755" xr:uid="{00000000-0005-0000-0000-0000C4020000}"/>
    <cellStyle name="Normal 12 9 2" xfId="3672" xr:uid="{00000000-0005-0000-0000-0000C5020000}"/>
    <cellStyle name="Normal 120" xfId="134" xr:uid="{00000000-0005-0000-0000-0000C6020000}"/>
    <cellStyle name="Normal 120 10" xfId="3034" xr:uid="{00000000-0005-0000-0000-0000C7020000}"/>
    <cellStyle name="Normal 120 2" xfId="680" xr:uid="{00000000-0005-0000-0000-0000C8020000}"/>
    <cellStyle name="Normal 120 2 2" xfId="3811" xr:uid="{00000000-0005-0000-0000-0000C9020000}"/>
    <cellStyle name="Normal 120 3" xfId="862" xr:uid="{00000000-0005-0000-0000-0000CA020000}"/>
    <cellStyle name="Normal 120 3 2" xfId="2437" xr:uid="{00000000-0005-0000-0000-0000CB020000}"/>
    <cellStyle name="Normal 120 4" xfId="1044" xr:uid="{00000000-0005-0000-0000-0000CC020000}"/>
    <cellStyle name="Normal 120 4 2" xfId="2628" xr:uid="{00000000-0005-0000-0000-0000CD020000}"/>
    <cellStyle name="Normal 120 5" xfId="1227" xr:uid="{00000000-0005-0000-0000-0000CE020000}"/>
    <cellStyle name="Normal 120 5 2" xfId="2612" xr:uid="{00000000-0005-0000-0000-0000CF020000}"/>
    <cellStyle name="Normal 120 6" xfId="1412" xr:uid="{00000000-0005-0000-0000-0000D0020000}"/>
    <cellStyle name="Normal 120 6 2" xfId="3763" xr:uid="{00000000-0005-0000-0000-0000D1020000}"/>
    <cellStyle name="Normal 120 7" xfId="1600" xr:uid="{00000000-0005-0000-0000-0000D2020000}"/>
    <cellStyle name="Normal 120 7 2" xfId="2902" xr:uid="{00000000-0005-0000-0000-0000D3020000}"/>
    <cellStyle name="Normal 120 8" xfId="1788" xr:uid="{00000000-0005-0000-0000-0000D4020000}"/>
    <cellStyle name="Normal 120 8 2" xfId="2558" xr:uid="{00000000-0005-0000-0000-0000D5020000}"/>
    <cellStyle name="Normal 120 9" xfId="1976" xr:uid="{00000000-0005-0000-0000-0000D6020000}"/>
    <cellStyle name="Normal 120 9 2" xfId="3936" xr:uid="{00000000-0005-0000-0000-0000D7020000}"/>
    <cellStyle name="Normal 121" xfId="135" xr:uid="{00000000-0005-0000-0000-0000D8020000}"/>
    <cellStyle name="Normal 121 10" xfId="2871" xr:uid="{00000000-0005-0000-0000-0000D9020000}"/>
    <cellStyle name="Normal 121 2" xfId="681" xr:uid="{00000000-0005-0000-0000-0000DA020000}"/>
    <cellStyle name="Normal 121 2 2" xfId="3642" xr:uid="{00000000-0005-0000-0000-0000DB020000}"/>
    <cellStyle name="Normal 121 3" xfId="863" xr:uid="{00000000-0005-0000-0000-0000DC020000}"/>
    <cellStyle name="Normal 121 3 2" xfId="2405" xr:uid="{00000000-0005-0000-0000-0000DD020000}"/>
    <cellStyle name="Normal 121 4" xfId="1045" xr:uid="{00000000-0005-0000-0000-0000DE020000}"/>
    <cellStyle name="Normal 121 4 2" xfId="2238" xr:uid="{00000000-0005-0000-0000-0000DF020000}"/>
    <cellStyle name="Normal 121 5" xfId="1228" xr:uid="{00000000-0005-0000-0000-0000E0020000}"/>
    <cellStyle name="Normal 121 5 2" xfId="2222" xr:uid="{00000000-0005-0000-0000-0000E1020000}"/>
    <cellStyle name="Normal 121 6" xfId="1413" xr:uid="{00000000-0005-0000-0000-0000E2020000}"/>
    <cellStyle name="Normal 121 6 2" xfId="3594" xr:uid="{00000000-0005-0000-0000-0000E3020000}"/>
    <cellStyle name="Normal 121 7" xfId="1601" xr:uid="{00000000-0005-0000-0000-0000E4020000}"/>
    <cellStyle name="Normal 121 7 2" xfId="2740" xr:uid="{00000000-0005-0000-0000-0000E5020000}"/>
    <cellStyle name="Normal 121 8" xfId="1789" xr:uid="{00000000-0005-0000-0000-0000E6020000}"/>
    <cellStyle name="Normal 121 8 2" xfId="2168" xr:uid="{00000000-0005-0000-0000-0000E7020000}"/>
    <cellStyle name="Normal 121 9" xfId="1977" xr:uid="{00000000-0005-0000-0000-0000E8020000}"/>
    <cellStyle name="Normal 121 9 2" xfId="3937" xr:uid="{00000000-0005-0000-0000-0000E9020000}"/>
    <cellStyle name="Normal 122" xfId="136" xr:uid="{00000000-0005-0000-0000-0000EA020000}"/>
    <cellStyle name="Normal 122 10" xfId="2709" xr:uid="{00000000-0005-0000-0000-0000EB020000}"/>
    <cellStyle name="Normal 122 2" xfId="682" xr:uid="{00000000-0005-0000-0000-0000EC020000}"/>
    <cellStyle name="Normal 122 2 2" xfId="3472" xr:uid="{00000000-0005-0000-0000-0000ED020000}"/>
    <cellStyle name="Normal 122 3" xfId="864" xr:uid="{00000000-0005-0000-0000-0000EE020000}"/>
    <cellStyle name="Normal 122 3 2" xfId="2308" xr:uid="{00000000-0005-0000-0000-0000EF020000}"/>
    <cellStyle name="Normal 122 4" xfId="1046" xr:uid="{00000000-0005-0000-0000-0000F0020000}"/>
    <cellStyle name="Normal 122 4 2" xfId="3796" xr:uid="{00000000-0005-0000-0000-0000F1020000}"/>
    <cellStyle name="Normal 122 5" xfId="1229" xr:uid="{00000000-0005-0000-0000-0000F2020000}"/>
    <cellStyle name="Normal 122 5 2" xfId="3780" xr:uid="{00000000-0005-0000-0000-0000F3020000}"/>
    <cellStyle name="Normal 122 6" xfId="1414" xr:uid="{00000000-0005-0000-0000-0000F4020000}"/>
    <cellStyle name="Normal 122 6 2" xfId="3424" xr:uid="{00000000-0005-0000-0000-0000F5020000}"/>
    <cellStyle name="Normal 122 7" xfId="1602" xr:uid="{00000000-0005-0000-0000-0000F6020000}"/>
    <cellStyle name="Normal 122 7 2" xfId="2577" xr:uid="{00000000-0005-0000-0000-0000F7020000}"/>
    <cellStyle name="Normal 122 8" xfId="1790" xr:uid="{00000000-0005-0000-0000-0000F8020000}"/>
    <cellStyle name="Normal 122 8 2" xfId="2649" xr:uid="{00000000-0005-0000-0000-0000F9020000}"/>
    <cellStyle name="Normal 122 9" xfId="1978" xr:uid="{00000000-0005-0000-0000-0000FA020000}"/>
    <cellStyle name="Normal 122 9 2" xfId="3938" xr:uid="{00000000-0005-0000-0000-0000FB020000}"/>
    <cellStyle name="Normal 123" xfId="137" xr:uid="{00000000-0005-0000-0000-0000FC020000}"/>
    <cellStyle name="Normal 123 10" xfId="2543" xr:uid="{00000000-0005-0000-0000-0000FD020000}"/>
    <cellStyle name="Normal 123 2" xfId="683" xr:uid="{00000000-0005-0000-0000-0000FE020000}"/>
    <cellStyle name="Normal 123 2 2" xfId="3300" xr:uid="{00000000-0005-0000-0000-0000FF020000}"/>
    <cellStyle name="Normal 123 3" xfId="865" xr:uid="{00000000-0005-0000-0000-000000030000}"/>
    <cellStyle name="Normal 123 3 2" xfId="2436" xr:uid="{00000000-0005-0000-0000-000001030000}"/>
    <cellStyle name="Normal 123 4" xfId="1047" xr:uid="{00000000-0005-0000-0000-000002030000}"/>
    <cellStyle name="Normal 123 4 2" xfId="3627" xr:uid="{00000000-0005-0000-0000-000003030000}"/>
    <cellStyle name="Normal 123 5" xfId="1230" xr:uid="{00000000-0005-0000-0000-000004030000}"/>
    <cellStyle name="Normal 123 5 2" xfId="3611" xr:uid="{00000000-0005-0000-0000-000005030000}"/>
    <cellStyle name="Normal 123 6" xfId="1415" xr:uid="{00000000-0005-0000-0000-000006030000}"/>
    <cellStyle name="Normal 123 6 2" xfId="3252" xr:uid="{00000000-0005-0000-0000-000007030000}"/>
    <cellStyle name="Normal 123 7" xfId="1603" xr:uid="{00000000-0005-0000-0000-000008030000}"/>
    <cellStyle name="Normal 123 7 2" xfId="2187" xr:uid="{00000000-0005-0000-0000-000009030000}"/>
    <cellStyle name="Normal 123 8" xfId="1791" xr:uid="{00000000-0005-0000-0000-00000A030000}"/>
    <cellStyle name="Normal 123 8 2" xfId="2484" xr:uid="{00000000-0005-0000-0000-00000B030000}"/>
    <cellStyle name="Normal 123 9" xfId="1979" xr:uid="{00000000-0005-0000-0000-00000C030000}"/>
    <cellStyle name="Normal 123 9 2" xfId="3939" xr:uid="{00000000-0005-0000-0000-00000D030000}"/>
    <cellStyle name="Normal 124" xfId="138" xr:uid="{00000000-0005-0000-0000-00000E030000}"/>
    <cellStyle name="Normal 124 10" xfId="2154" xr:uid="{00000000-0005-0000-0000-00000F030000}"/>
    <cellStyle name="Normal 124 2" xfId="684" xr:uid="{00000000-0005-0000-0000-000010030000}"/>
    <cellStyle name="Normal 124 2 2" xfId="2252" xr:uid="{00000000-0005-0000-0000-000011030000}"/>
    <cellStyle name="Normal 124 3" xfId="866" xr:uid="{00000000-0005-0000-0000-000012030000}"/>
    <cellStyle name="Normal 124 3 2" xfId="2404" xr:uid="{00000000-0005-0000-0000-000013030000}"/>
    <cellStyle name="Normal 124 4" xfId="1048" xr:uid="{00000000-0005-0000-0000-000014030000}"/>
    <cellStyle name="Normal 124 4 2" xfId="3457" xr:uid="{00000000-0005-0000-0000-000015030000}"/>
    <cellStyle name="Normal 124 5" xfId="1231" xr:uid="{00000000-0005-0000-0000-000016030000}"/>
    <cellStyle name="Normal 124 5 2" xfId="3441" xr:uid="{00000000-0005-0000-0000-000017030000}"/>
    <cellStyle name="Normal 124 6" xfId="1416" xr:uid="{00000000-0005-0000-0000-000018030000}"/>
    <cellStyle name="Normal 124 6 2" xfId="3083" xr:uid="{00000000-0005-0000-0000-000019030000}"/>
    <cellStyle name="Normal 124 7" xfId="1604" xr:uid="{00000000-0005-0000-0000-00001A030000}"/>
    <cellStyle name="Normal 124 7 2" xfId="3745" xr:uid="{00000000-0005-0000-0000-00001B030000}"/>
    <cellStyle name="Normal 124 8" xfId="1792" xr:uid="{00000000-0005-0000-0000-00001C030000}"/>
    <cellStyle name="Normal 124 8 2" xfId="2457" xr:uid="{00000000-0005-0000-0000-00001D030000}"/>
    <cellStyle name="Normal 124 9" xfId="1980" xr:uid="{00000000-0005-0000-0000-00001E030000}"/>
    <cellStyle name="Normal 124 9 2" xfId="3940" xr:uid="{00000000-0005-0000-0000-00001F030000}"/>
    <cellStyle name="Normal 125" xfId="139" xr:uid="{00000000-0005-0000-0000-000020030000}"/>
    <cellStyle name="Normal 125 10" xfId="3713" xr:uid="{00000000-0005-0000-0000-000021030000}"/>
    <cellStyle name="Normal 125 2" xfId="685" xr:uid="{00000000-0005-0000-0000-000022030000}"/>
    <cellStyle name="Normal 125 2 2" xfId="3675" xr:uid="{00000000-0005-0000-0000-000023030000}"/>
    <cellStyle name="Normal 125 3" xfId="867" xr:uid="{00000000-0005-0000-0000-000024030000}"/>
    <cellStyle name="Normal 125 3 2" xfId="2307" xr:uid="{00000000-0005-0000-0000-000025030000}"/>
    <cellStyle name="Normal 125 4" xfId="1049" xr:uid="{00000000-0005-0000-0000-000026030000}"/>
    <cellStyle name="Normal 125 4 2" xfId="3285" xr:uid="{00000000-0005-0000-0000-000027030000}"/>
    <cellStyle name="Normal 125 5" xfId="1232" xr:uid="{00000000-0005-0000-0000-000028030000}"/>
    <cellStyle name="Normal 125 5 2" xfId="3269" xr:uid="{00000000-0005-0000-0000-000029030000}"/>
    <cellStyle name="Normal 125 6" xfId="1417" xr:uid="{00000000-0005-0000-0000-00002A030000}"/>
    <cellStyle name="Normal 125 6 2" xfId="2919" xr:uid="{00000000-0005-0000-0000-00002B030000}"/>
    <cellStyle name="Normal 125 7" xfId="1605" xr:uid="{00000000-0005-0000-0000-00002C030000}"/>
    <cellStyle name="Normal 125 7 2" xfId="3576" xr:uid="{00000000-0005-0000-0000-00002D030000}"/>
    <cellStyle name="Normal 125 8" xfId="1793" xr:uid="{00000000-0005-0000-0000-00002E030000}"/>
    <cellStyle name="Normal 125 8 2" xfId="2420" xr:uid="{00000000-0005-0000-0000-00002F030000}"/>
    <cellStyle name="Normal 125 9" xfId="1981" xr:uid="{00000000-0005-0000-0000-000030030000}"/>
    <cellStyle name="Normal 125 9 2" xfId="3941" xr:uid="{00000000-0005-0000-0000-000031030000}"/>
    <cellStyle name="Normal 126" xfId="140" xr:uid="{00000000-0005-0000-0000-000032030000}"/>
    <cellStyle name="Normal 126 10" xfId="3545" xr:uid="{00000000-0005-0000-0000-000033030000}"/>
    <cellStyle name="Normal 126 2" xfId="686" xr:uid="{00000000-0005-0000-0000-000034030000}"/>
    <cellStyle name="Normal 126 2 2" xfId="3505" xr:uid="{00000000-0005-0000-0000-000035030000}"/>
    <cellStyle name="Normal 126 3" xfId="868" xr:uid="{00000000-0005-0000-0000-000036030000}"/>
    <cellStyle name="Normal 126 3 2" xfId="2285" xr:uid="{00000000-0005-0000-0000-000037030000}"/>
    <cellStyle name="Normal 126 4" xfId="1050" xr:uid="{00000000-0005-0000-0000-000038030000}"/>
    <cellStyle name="Normal 126 4 2" xfId="3116" xr:uid="{00000000-0005-0000-0000-000039030000}"/>
    <cellStyle name="Normal 126 5" xfId="1233" xr:uid="{00000000-0005-0000-0000-00003A030000}"/>
    <cellStyle name="Normal 126 5 2" xfId="3100" xr:uid="{00000000-0005-0000-0000-00003B030000}"/>
    <cellStyle name="Normal 126 6" xfId="1418" xr:uid="{00000000-0005-0000-0000-00003C030000}"/>
    <cellStyle name="Normal 126 6 2" xfId="2757" xr:uid="{00000000-0005-0000-0000-00003D030000}"/>
    <cellStyle name="Normal 126 7" xfId="1606" xr:uid="{00000000-0005-0000-0000-00003E030000}"/>
    <cellStyle name="Normal 126 7 2" xfId="3406" xr:uid="{00000000-0005-0000-0000-00003F030000}"/>
    <cellStyle name="Normal 126 8" xfId="1794" xr:uid="{00000000-0005-0000-0000-000040030000}"/>
    <cellStyle name="Normal 126 8 2" xfId="2389" xr:uid="{00000000-0005-0000-0000-000041030000}"/>
    <cellStyle name="Normal 126 9" xfId="1982" xr:uid="{00000000-0005-0000-0000-000042030000}"/>
    <cellStyle name="Normal 126 9 2" xfId="3942" xr:uid="{00000000-0005-0000-0000-000043030000}"/>
    <cellStyle name="Normal 127" xfId="141" xr:uid="{00000000-0005-0000-0000-000044030000}"/>
    <cellStyle name="Normal 127 10" xfId="3375" xr:uid="{00000000-0005-0000-0000-000045030000}"/>
    <cellStyle name="Normal 127 2" xfId="687" xr:uid="{00000000-0005-0000-0000-000046030000}"/>
    <cellStyle name="Normal 127 2 2" xfId="3334" xr:uid="{00000000-0005-0000-0000-000047030000}"/>
    <cellStyle name="Normal 127 3" xfId="869" xr:uid="{00000000-0005-0000-0000-000048030000}"/>
    <cellStyle name="Normal 127 3 2" xfId="2435" xr:uid="{00000000-0005-0000-0000-000049030000}"/>
    <cellStyle name="Normal 127 4" xfId="1051" xr:uid="{00000000-0005-0000-0000-00004A030000}"/>
    <cellStyle name="Normal 127 4 2" xfId="2952" xr:uid="{00000000-0005-0000-0000-00004B030000}"/>
    <cellStyle name="Normal 127 5" xfId="1234" xr:uid="{00000000-0005-0000-0000-00004C030000}"/>
    <cellStyle name="Normal 127 5 2" xfId="2936" xr:uid="{00000000-0005-0000-0000-00004D030000}"/>
    <cellStyle name="Normal 127 6" xfId="1419" xr:uid="{00000000-0005-0000-0000-00004E030000}"/>
    <cellStyle name="Normal 127 6 2" xfId="2594" xr:uid="{00000000-0005-0000-0000-00004F030000}"/>
    <cellStyle name="Normal 127 7" xfId="1607" xr:uid="{00000000-0005-0000-0000-000050030000}"/>
    <cellStyle name="Normal 127 7 2" xfId="3234" xr:uid="{00000000-0005-0000-0000-000051030000}"/>
    <cellStyle name="Normal 127 8" xfId="1795" xr:uid="{00000000-0005-0000-0000-000052030000}"/>
    <cellStyle name="Normal 127 8 2" xfId="2373" xr:uid="{00000000-0005-0000-0000-000053030000}"/>
    <cellStyle name="Normal 127 9" xfId="1983" xr:uid="{00000000-0005-0000-0000-000054030000}"/>
    <cellStyle name="Normal 127 9 2" xfId="3943" xr:uid="{00000000-0005-0000-0000-000055030000}"/>
    <cellStyle name="Normal 128" xfId="142" xr:uid="{00000000-0005-0000-0000-000056030000}"/>
    <cellStyle name="Normal 128 10" xfId="3202" xr:uid="{00000000-0005-0000-0000-000057030000}"/>
    <cellStyle name="Normal 128 2" xfId="688" xr:uid="{00000000-0005-0000-0000-000058030000}"/>
    <cellStyle name="Normal 128 2 2" xfId="3162" xr:uid="{00000000-0005-0000-0000-000059030000}"/>
    <cellStyle name="Normal 128 3" xfId="870" xr:uid="{00000000-0005-0000-0000-00005A030000}"/>
    <cellStyle name="Normal 128 3 2" xfId="2403" xr:uid="{00000000-0005-0000-0000-00005B030000}"/>
    <cellStyle name="Normal 128 4" xfId="1052" xr:uid="{00000000-0005-0000-0000-00005C030000}"/>
    <cellStyle name="Normal 128 4 2" xfId="2790" xr:uid="{00000000-0005-0000-0000-00005D030000}"/>
    <cellStyle name="Normal 128 5" xfId="1235" xr:uid="{00000000-0005-0000-0000-00005E030000}"/>
    <cellStyle name="Normal 128 5 2" xfId="2774" xr:uid="{00000000-0005-0000-0000-00005F030000}"/>
    <cellStyle name="Normal 128 6" xfId="1420" xr:uid="{00000000-0005-0000-0000-000060030000}"/>
    <cellStyle name="Normal 128 6 2" xfId="2204" xr:uid="{00000000-0005-0000-0000-000061030000}"/>
    <cellStyle name="Normal 128 7" xfId="1608" xr:uid="{00000000-0005-0000-0000-000062030000}"/>
    <cellStyle name="Normal 128 7 2" xfId="3065" xr:uid="{00000000-0005-0000-0000-000063030000}"/>
    <cellStyle name="Normal 128 8" xfId="1796" xr:uid="{00000000-0005-0000-0000-000064030000}"/>
    <cellStyle name="Normal 128 8 2" xfId="2353" xr:uid="{00000000-0005-0000-0000-000065030000}"/>
    <cellStyle name="Normal 128 9" xfId="1984" xr:uid="{00000000-0005-0000-0000-000066030000}"/>
    <cellStyle name="Normal 128 9 2" xfId="3944" xr:uid="{00000000-0005-0000-0000-000067030000}"/>
    <cellStyle name="Normal 129" xfId="143" xr:uid="{00000000-0005-0000-0000-000068030000}"/>
    <cellStyle name="Normal 129 10" xfId="3033" xr:uid="{00000000-0005-0000-0000-000069030000}"/>
    <cellStyle name="Normal 129 2" xfId="689" xr:uid="{00000000-0005-0000-0000-00006A030000}"/>
    <cellStyle name="Normal 129 2 2" xfId="2994" xr:uid="{00000000-0005-0000-0000-00006B030000}"/>
    <cellStyle name="Normal 129 3" xfId="871" xr:uid="{00000000-0005-0000-0000-00006C030000}"/>
    <cellStyle name="Normal 129 3 2" xfId="2306" xr:uid="{00000000-0005-0000-0000-00006D030000}"/>
    <cellStyle name="Normal 129 4" xfId="1053" xr:uid="{00000000-0005-0000-0000-00006E030000}"/>
    <cellStyle name="Normal 129 4 2" xfId="2627" xr:uid="{00000000-0005-0000-0000-00006F030000}"/>
    <cellStyle name="Normal 129 5" xfId="1236" xr:uid="{00000000-0005-0000-0000-000070030000}"/>
    <cellStyle name="Normal 129 5 2" xfId="2611" xr:uid="{00000000-0005-0000-0000-000071030000}"/>
    <cellStyle name="Normal 129 6" xfId="1421" xr:uid="{00000000-0005-0000-0000-000072030000}"/>
    <cellStyle name="Normal 129 6 2" xfId="3762" xr:uid="{00000000-0005-0000-0000-000073030000}"/>
    <cellStyle name="Normal 129 7" xfId="1609" xr:uid="{00000000-0005-0000-0000-000074030000}"/>
    <cellStyle name="Normal 129 7 2" xfId="2901" xr:uid="{00000000-0005-0000-0000-000075030000}"/>
    <cellStyle name="Normal 129 8" xfId="1797" xr:uid="{00000000-0005-0000-0000-000076030000}"/>
    <cellStyle name="Normal 129 8 2" xfId="2291" xr:uid="{00000000-0005-0000-0000-000077030000}"/>
    <cellStyle name="Normal 129 9" xfId="1985" xr:uid="{00000000-0005-0000-0000-000078030000}"/>
    <cellStyle name="Normal 129 9 2" xfId="3945" xr:uid="{00000000-0005-0000-0000-000079030000}"/>
    <cellStyle name="Normal 13" xfId="27" xr:uid="{00000000-0005-0000-0000-00007A030000}"/>
    <cellStyle name="Normal 13 10" xfId="938" xr:uid="{00000000-0005-0000-0000-00007B030000}"/>
    <cellStyle name="Normal 13 10 2" xfId="2473" xr:uid="{00000000-0005-0000-0000-00007C030000}"/>
    <cellStyle name="Normal 13 11" xfId="1121" xr:uid="{00000000-0005-0000-0000-00007D030000}"/>
    <cellStyle name="Normal 13 11 2" xfId="2785" xr:uid="{00000000-0005-0000-0000-00007E030000}"/>
    <cellStyle name="Normal 13 12" xfId="1306" xr:uid="{00000000-0005-0000-0000-00007F030000}"/>
    <cellStyle name="Normal 13 12 2" xfId="2215" xr:uid="{00000000-0005-0000-0000-000080030000}"/>
    <cellStyle name="Normal 13 13" xfId="1494" xr:uid="{00000000-0005-0000-0000-000081030000}"/>
    <cellStyle name="Normal 13 13 2" xfId="3076" xr:uid="{00000000-0005-0000-0000-000082030000}"/>
    <cellStyle name="Normal 13 14" xfId="1682" xr:uid="{00000000-0005-0000-0000-000083030000}"/>
    <cellStyle name="Normal 13 14 2" xfId="2731" xr:uid="{00000000-0005-0000-0000-000084030000}"/>
    <cellStyle name="Normal 13 15" xfId="1870" xr:uid="{00000000-0005-0000-0000-000085030000}"/>
    <cellStyle name="Normal 13 15 2" xfId="3830" xr:uid="{00000000-0005-0000-0000-000086030000}"/>
    <cellStyle name="Normal 13 16" xfId="3214" xr:uid="{00000000-0005-0000-0000-000087030000}"/>
    <cellStyle name="Normal 13 2" xfId="362" xr:uid="{00000000-0005-0000-0000-000088030000}"/>
    <cellStyle name="Normal 13 2 2" xfId="2698" xr:uid="{00000000-0005-0000-0000-000089030000}"/>
    <cellStyle name="Normal 13 3" xfId="434" xr:uid="{00000000-0005-0000-0000-00008A030000}"/>
    <cellStyle name="Normal 13 3 2" xfId="2692" xr:uid="{00000000-0005-0000-0000-00008B030000}"/>
    <cellStyle name="Normal 13 4" xfId="456" xr:uid="{00000000-0005-0000-0000-00008C030000}"/>
    <cellStyle name="Normal 13 4 2" xfId="3525" xr:uid="{00000000-0005-0000-0000-00008D030000}"/>
    <cellStyle name="Normal 13 5" xfId="468" xr:uid="{00000000-0005-0000-0000-00008E030000}"/>
    <cellStyle name="Normal 13 5 2" xfId="3013" xr:uid="{00000000-0005-0000-0000-00008F030000}"/>
    <cellStyle name="Normal 13 6" xfId="501" xr:uid="{00000000-0005-0000-0000-000090030000}"/>
    <cellStyle name="Normal 13 6 2" xfId="3692" xr:uid="{00000000-0005-0000-0000-000091030000}"/>
    <cellStyle name="Normal 13 7" xfId="545" xr:uid="{00000000-0005-0000-0000-000092030000}"/>
    <cellStyle name="Normal 13 7 2" xfId="2126" xr:uid="{00000000-0005-0000-0000-000093030000}"/>
    <cellStyle name="Normal 13 8" xfId="574" xr:uid="{00000000-0005-0000-0000-000094030000}"/>
    <cellStyle name="Normal 13 8 2" xfId="3514" xr:uid="{00000000-0005-0000-0000-000095030000}"/>
    <cellStyle name="Normal 13 9" xfId="756" xr:uid="{00000000-0005-0000-0000-000096030000}"/>
    <cellStyle name="Normal 13 9 2" xfId="2110" xr:uid="{00000000-0005-0000-0000-000097030000}"/>
    <cellStyle name="Normal 130" xfId="144" xr:uid="{00000000-0005-0000-0000-000098030000}"/>
    <cellStyle name="Normal 130 10" xfId="2870" xr:uid="{00000000-0005-0000-0000-000099030000}"/>
    <cellStyle name="Normal 130 2" xfId="690" xr:uid="{00000000-0005-0000-0000-00009A030000}"/>
    <cellStyle name="Normal 130 2 2" xfId="2832" xr:uid="{00000000-0005-0000-0000-00009B030000}"/>
    <cellStyle name="Normal 130 3" xfId="872" xr:uid="{00000000-0005-0000-0000-00009C030000}"/>
    <cellStyle name="Normal 130 3 2" xfId="2434" xr:uid="{00000000-0005-0000-0000-00009D030000}"/>
    <cellStyle name="Normal 130 4" xfId="1054" xr:uid="{00000000-0005-0000-0000-00009E030000}"/>
    <cellStyle name="Normal 130 4 2" xfId="2237" xr:uid="{00000000-0005-0000-0000-00009F030000}"/>
    <cellStyle name="Normal 130 5" xfId="1237" xr:uid="{00000000-0005-0000-0000-0000A0030000}"/>
    <cellStyle name="Normal 130 5 2" xfId="2221" xr:uid="{00000000-0005-0000-0000-0000A1030000}"/>
    <cellStyle name="Normal 130 6" xfId="1422" xr:uid="{00000000-0005-0000-0000-0000A2030000}"/>
    <cellStyle name="Normal 130 6 2" xfId="3593" xr:uid="{00000000-0005-0000-0000-0000A3030000}"/>
    <cellStyle name="Normal 130 7" xfId="1610" xr:uid="{00000000-0005-0000-0000-0000A4030000}"/>
    <cellStyle name="Normal 130 7 2" xfId="2739" xr:uid="{00000000-0005-0000-0000-0000A5030000}"/>
    <cellStyle name="Normal 130 8" xfId="1798" xr:uid="{00000000-0005-0000-0000-0000A6030000}"/>
    <cellStyle name="Normal 130 8 2" xfId="3655" xr:uid="{00000000-0005-0000-0000-0000A7030000}"/>
    <cellStyle name="Normal 130 9" xfId="1986" xr:uid="{00000000-0005-0000-0000-0000A8030000}"/>
    <cellStyle name="Normal 130 9 2" xfId="3946" xr:uid="{00000000-0005-0000-0000-0000A9030000}"/>
    <cellStyle name="Normal 131" xfId="146" xr:uid="{00000000-0005-0000-0000-0000AA030000}"/>
    <cellStyle name="Normal 131 10" xfId="2542" xr:uid="{00000000-0005-0000-0000-0000AB030000}"/>
    <cellStyle name="Normal 131 2" xfId="691" xr:uid="{00000000-0005-0000-0000-0000AC030000}"/>
    <cellStyle name="Normal 131 2 2" xfId="2669" xr:uid="{00000000-0005-0000-0000-0000AD030000}"/>
    <cellStyle name="Normal 131 3" xfId="873" xr:uid="{00000000-0005-0000-0000-0000AE030000}"/>
    <cellStyle name="Normal 131 3 2" xfId="2402" xr:uid="{00000000-0005-0000-0000-0000AF030000}"/>
    <cellStyle name="Normal 131 4" xfId="1055" xr:uid="{00000000-0005-0000-0000-0000B0030000}"/>
    <cellStyle name="Normal 131 4 2" xfId="2656" xr:uid="{00000000-0005-0000-0000-0000B1030000}"/>
    <cellStyle name="Normal 131 5" xfId="1238" xr:uid="{00000000-0005-0000-0000-0000B2030000}"/>
    <cellStyle name="Normal 131 5 2" xfId="3779" xr:uid="{00000000-0005-0000-0000-0000B3030000}"/>
    <cellStyle name="Normal 131 6" xfId="1423" xr:uid="{00000000-0005-0000-0000-0000B4030000}"/>
    <cellStyle name="Normal 131 6 2" xfId="3423" xr:uid="{00000000-0005-0000-0000-0000B5030000}"/>
    <cellStyle name="Normal 131 7" xfId="1611" xr:uid="{00000000-0005-0000-0000-0000B6030000}"/>
    <cellStyle name="Normal 131 7 2" xfId="2576" xr:uid="{00000000-0005-0000-0000-0000B7030000}"/>
    <cellStyle name="Normal 131 8" xfId="1799" xr:uid="{00000000-0005-0000-0000-0000B8030000}"/>
    <cellStyle name="Normal 131 8 2" xfId="3485" xr:uid="{00000000-0005-0000-0000-0000B9030000}"/>
    <cellStyle name="Normal 131 9" xfId="1987" xr:uid="{00000000-0005-0000-0000-0000BA030000}"/>
    <cellStyle name="Normal 131 9 2" xfId="3947" xr:uid="{00000000-0005-0000-0000-0000BB030000}"/>
    <cellStyle name="Normal 132" xfId="147" xr:uid="{00000000-0005-0000-0000-0000BC030000}"/>
    <cellStyle name="Normal 132 10" xfId="2153" xr:uid="{00000000-0005-0000-0000-0000BD030000}"/>
    <cellStyle name="Normal 132 2" xfId="692" xr:uid="{00000000-0005-0000-0000-0000BE030000}"/>
    <cellStyle name="Normal 132 2 2" xfId="2504" xr:uid="{00000000-0005-0000-0000-0000BF030000}"/>
    <cellStyle name="Normal 132 3" xfId="874" xr:uid="{00000000-0005-0000-0000-0000C0030000}"/>
    <cellStyle name="Normal 132 3 2" xfId="2305" xr:uid="{00000000-0005-0000-0000-0000C1030000}"/>
    <cellStyle name="Normal 132 4" xfId="1056" xr:uid="{00000000-0005-0000-0000-0000C2030000}"/>
    <cellStyle name="Normal 132 4 2" xfId="2491" xr:uid="{00000000-0005-0000-0000-0000C3030000}"/>
    <cellStyle name="Normal 132 5" xfId="1239" xr:uid="{00000000-0005-0000-0000-0000C4030000}"/>
    <cellStyle name="Normal 132 5 2" xfId="3610" xr:uid="{00000000-0005-0000-0000-0000C5030000}"/>
    <cellStyle name="Normal 132 6" xfId="1424" xr:uid="{00000000-0005-0000-0000-0000C6030000}"/>
    <cellStyle name="Normal 132 6 2" xfId="3251" xr:uid="{00000000-0005-0000-0000-0000C7030000}"/>
    <cellStyle name="Normal 132 7" xfId="1612" xr:uid="{00000000-0005-0000-0000-0000C8030000}"/>
    <cellStyle name="Normal 132 7 2" xfId="2186" xr:uid="{00000000-0005-0000-0000-0000C9030000}"/>
    <cellStyle name="Normal 132 8" xfId="1800" xr:uid="{00000000-0005-0000-0000-0000CA030000}"/>
    <cellStyle name="Normal 132 8 2" xfId="3314" xr:uid="{00000000-0005-0000-0000-0000CB030000}"/>
    <cellStyle name="Normal 132 9" xfId="1988" xr:uid="{00000000-0005-0000-0000-0000CC030000}"/>
    <cellStyle name="Normal 132 9 2" xfId="3948" xr:uid="{00000000-0005-0000-0000-0000CD030000}"/>
    <cellStyle name="Normal 133" xfId="148" xr:uid="{00000000-0005-0000-0000-0000CE030000}"/>
    <cellStyle name="Normal 133 10" xfId="3712" xr:uid="{00000000-0005-0000-0000-0000CF030000}"/>
    <cellStyle name="Normal 133 2" xfId="693" xr:uid="{00000000-0005-0000-0000-0000D0030000}"/>
    <cellStyle name="Normal 133 2 2" xfId="2113" xr:uid="{00000000-0005-0000-0000-0000D1030000}"/>
    <cellStyle name="Normal 133 3" xfId="875" xr:uid="{00000000-0005-0000-0000-0000D2030000}"/>
    <cellStyle name="Normal 133 3 2" xfId="2282" xr:uid="{00000000-0005-0000-0000-0000D3030000}"/>
    <cellStyle name="Normal 133 4" xfId="1057" xr:uid="{00000000-0005-0000-0000-0000D4030000}"/>
    <cellStyle name="Normal 133 4 2" xfId="2464" xr:uid="{00000000-0005-0000-0000-0000D5030000}"/>
    <cellStyle name="Normal 133 5" xfId="1240" xr:uid="{00000000-0005-0000-0000-0000D6030000}"/>
    <cellStyle name="Normal 133 5 2" xfId="3440" xr:uid="{00000000-0005-0000-0000-0000D7030000}"/>
    <cellStyle name="Normal 133 6" xfId="1425" xr:uid="{00000000-0005-0000-0000-0000D8030000}"/>
    <cellStyle name="Normal 133 6 2" xfId="3082" xr:uid="{00000000-0005-0000-0000-0000D9030000}"/>
    <cellStyle name="Normal 133 7" xfId="1613" xr:uid="{00000000-0005-0000-0000-0000DA030000}"/>
    <cellStyle name="Normal 133 7 2" xfId="3744" xr:uid="{00000000-0005-0000-0000-0000DB030000}"/>
    <cellStyle name="Normal 133 8" xfId="1801" xr:uid="{00000000-0005-0000-0000-0000DC030000}"/>
    <cellStyle name="Normal 133 8 2" xfId="3142" xr:uid="{00000000-0005-0000-0000-0000DD030000}"/>
    <cellStyle name="Normal 133 9" xfId="1989" xr:uid="{00000000-0005-0000-0000-0000DE030000}"/>
    <cellStyle name="Normal 133 9 2" xfId="3949" xr:uid="{00000000-0005-0000-0000-0000DF030000}"/>
    <cellStyle name="Normal 134" xfId="149" xr:uid="{00000000-0005-0000-0000-0000E0030000}"/>
    <cellStyle name="Normal 134 10" xfId="3544" xr:uid="{00000000-0005-0000-0000-0000E1030000}"/>
    <cellStyle name="Normal 134 2" xfId="694" xr:uid="{00000000-0005-0000-0000-0000E2030000}"/>
    <cellStyle name="Normal 134 2 2" xfId="3808" xr:uid="{00000000-0005-0000-0000-0000E3030000}"/>
    <cellStyle name="Normal 134 3" xfId="876" xr:uid="{00000000-0005-0000-0000-0000E4030000}"/>
    <cellStyle name="Normal 134 3 2" xfId="2281" xr:uid="{00000000-0005-0000-0000-0000E5030000}"/>
    <cellStyle name="Normal 134 4" xfId="1058" xr:uid="{00000000-0005-0000-0000-0000E6030000}"/>
    <cellStyle name="Normal 134 4 2" xfId="2430" xr:uid="{00000000-0005-0000-0000-0000E7030000}"/>
    <cellStyle name="Normal 134 5" xfId="1241" xr:uid="{00000000-0005-0000-0000-0000E8030000}"/>
    <cellStyle name="Normal 134 5 2" xfId="3268" xr:uid="{00000000-0005-0000-0000-0000E9030000}"/>
    <cellStyle name="Normal 134 6" xfId="1426" xr:uid="{00000000-0005-0000-0000-0000EA030000}"/>
    <cellStyle name="Normal 134 6 2" xfId="2918" xr:uid="{00000000-0005-0000-0000-0000EB030000}"/>
    <cellStyle name="Normal 134 7" xfId="1614" xr:uid="{00000000-0005-0000-0000-0000EC030000}"/>
    <cellStyle name="Normal 134 7 2" xfId="3575" xr:uid="{00000000-0005-0000-0000-0000ED030000}"/>
    <cellStyle name="Normal 134 8" xfId="1802" xr:uid="{00000000-0005-0000-0000-0000EE030000}"/>
    <cellStyle name="Normal 134 8 2" xfId="2974" xr:uid="{00000000-0005-0000-0000-0000EF030000}"/>
    <cellStyle name="Normal 134 9" xfId="1990" xr:uid="{00000000-0005-0000-0000-0000F0030000}"/>
    <cellStyle name="Normal 134 9 2" xfId="3950" xr:uid="{00000000-0005-0000-0000-0000F1030000}"/>
    <cellStyle name="Normal 135" xfId="150" xr:uid="{00000000-0005-0000-0000-0000F2030000}"/>
    <cellStyle name="Normal 135 10" xfId="3374" xr:uid="{00000000-0005-0000-0000-0000F3030000}"/>
    <cellStyle name="Normal 135 2" xfId="695" xr:uid="{00000000-0005-0000-0000-0000F4030000}"/>
    <cellStyle name="Normal 135 2 2" xfId="3639" xr:uid="{00000000-0005-0000-0000-0000F5030000}"/>
    <cellStyle name="Normal 135 3" xfId="877" xr:uid="{00000000-0005-0000-0000-0000F6030000}"/>
    <cellStyle name="Normal 135 3 2" xfId="3647" xr:uid="{00000000-0005-0000-0000-0000F7030000}"/>
    <cellStyle name="Normal 135 4" xfId="1059" xr:uid="{00000000-0005-0000-0000-0000F8030000}"/>
    <cellStyle name="Normal 135 4 2" xfId="2398" xr:uid="{00000000-0005-0000-0000-0000F9030000}"/>
    <cellStyle name="Normal 135 5" xfId="1242" xr:uid="{00000000-0005-0000-0000-0000FA030000}"/>
    <cellStyle name="Normal 135 5 2" xfId="3099" xr:uid="{00000000-0005-0000-0000-0000FB030000}"/>
    <cellStyle name="Normal 135 6" xfId="1427" xr:uid="{00000000-0005-0000-0000-0000FC030000}"/>
    <cellStyle name="Normal 135 6 2" xfId="2756" xr:uid="{00000000-0005-0000-0000-0000FD030000}"/>
    <cellStyle name="Normal 135 7" xfId="1615" xr:uid="{00000000-0005-0000-0000-0000FE030000}"/>
    <cellStyle name="Normal 135 7 2" xfId="3405" xr:uid="{00000000-0005-0000-0000-0000FF030000}"/>
    <cellStyle name="Normal 135 8" xfId="1803" xr:uid="{00000000-0005-0000-0000-000000040000}"/>
    <cellStyle name="Normal 135 8 2" xfId="2812" xr:uid="{00000000-0005-0000-0000-000001040000}"/>
    <cellStyle name="Normal 135 9" xfId="1991" xr:uid="{00000000-0005-0000-0000-000002040000}"/>
    <cellStyle name="Normal 135 9 2" xfId="3951" xr:uid="{00000000-0005-0000-0000-000003040000}"/>
    <cellStyle name="Normal 136" xfId="151" xr:uid="{00000000-0005-0000-0000-000004040000}"/>
    <cellStyle name="Normal 136 10" xfId="3201" xr:uid="{00000000-0005-0000-0000-000005040000}"/>
    <cellStyle name="Normal 136 2" xfId="696" xr:uid="{00000000-0005-0000-0000-000006040000}"/>
    <cellStyle name="Normal 136 2 2" xfId="3469" xr:uid="{00000000-0005-0000-0000-000007040000}"/>
    <cellStyle name="Normal 136 3" xfId="878" xr:uid="{00000000-0005-0000-0000-000008040000}"/>
    <cellStyle name="Normal 136 3 2" xfId="3477" xr:uid="{00000000-0005-0000-0000-000009040000}"/>
    <cellStyle name="Normal 136 4" xfId="1060" xr:uid="{00000000-0005-0000-0000-00000A040000}"/>
    <cellStyle name="Normal 136 4 2" xfId="2380" xr:uid="{00000000-0005-0000-0000-00000B040000}"/>
    <cellStyle name="Normal 136 5" xfId="1243" xr:uid="{00000000-0005-0000-0000-00000C040000}"/>
    <cellStyle name="Normal 136 5 2" xfId="2935" xr:uid="{00000000-0005-0000-0000-00000D040000}"/>
    <cellStyle name="Normal 136 6" xfId="1428" xr:uid="{00000000-0005-0000-0000-00000E040000}"/>
    <cellStyle name="Normal 136 6 2" xfId="2593" xr:uid="{00000000-0005-0000-0000-00000F040000}"/>
    <cellStyle name="Normal 136 7" xfId="1616" xr:uid="{00000000-0005-0000-0000-000010040000}"/>
    <cellStyle name="Normal 136 7 2" xfId="3233" xr:uid="{00000000-0005-0000-0000-000011040000}"/>
    <cellStyle name="Normal 136 8" xfId="1804" xr:uid="{00000000-0005-0000-0000-000012040000}"/>
    <cellStyle name="Normal 136 8 2" xfId="2093" xr:uid="{00000000-0005-0000-0000-000013040000}"/>
    <cellStyle name="Normal 136 9" xfId="1992" xr:uid="{00000000-0005-0000-0000-000014040000}"/>
    <cellStyle name="Normal 136 9 2" xfId="3952" xr:uid="{00000000-0005-0000-0000-000015040000}"/>
    <cellStyle name="Normal 137" xfId="152" xr:uid="{00000000-0005-0000-0000-000016040000}"/>
    <cellStyle name="Normal 137 10" xfId="3032" xr:uid="{00000000-0005-0000-0000-000017040000}"/>
    <cellStyle name="Normal 137 2" xfId="697" xr:uid="{00000000-0005-0000-0000-000018040000}"/>
    <cellStyle name="Normal 137 2 2" xfId="3297" xr:uid="{00000000-0005-0000-0000-000019040000}"/>
    <cellStyle name="Normal 137 3" xfId="879" xr:uid="{00000000-0005-0000-0000-00001A040000}"/>
    <cellStyle name="Normal 137 3 2" xfId="3305" xr:uid="{00000000-0005-0000-0000-00001B040000}"/>
    <cellStyle name="Normal 137 4" xfId="1061" xr:uid="{00000000-0005-0000-0000-00001C040000}"/>
    <cellStyle name="Normal 137 4 2" xfId="2360" xr:uid="{00000000-0005-0000-0000-00001D040000}"/>
    <cellStyle name="Normal 137 5" xfId="1244" xr:uid="{00000000-0005-0000-0000-00001E040000}"/>
    <cellStyle name="Normal 137 5 2" xfId="2773" xr:uid="{00000000-0005-0000-0000-00001F040000}"/>
    <cellStyle name="Normal 137 6" xfId="1429" xr:uid="{00000000-0005-0000-0000-000020040000}"/>
    <cellStyle name="Normal 137 6 2" xfId="2203" xr:uid="{00000000-0005-0000-0000-000021040000}"/>
    <cellStyle name="Normal 137 7" xfId="1617" xr:uid="{00000000-0005-0000-0000-000022040000}"/>
    <cellStyle name="Normal 137 7 2" xfId="3064" xr:uid="{00000000-0005-0000-0000-000023040000}"/>
    <cellStyle name="Normal 137 8" xfId="1805" xr:uid="{00000000-0005-0000-0000-000024040000}"/>
    <cellStyle name="Normal 137 8 2" xfId="2082" xr:uid="{00000000-0005-0000-0000-000025040000}"/>
    <cellStyle name="Normal 137 9" xfId="1993" xr:uid="{00000000-0005-0000-0000-000026040000}"/>
    <cellStyle name="Normal 137 9 2" xfId="3953" xr:uid="{00000000-0005-0000-0000-000027040000}"/>
    <cellStyle name="Normal 138" xfId="153" xr:uid="{00000000-0005-0000-0000-000028040000}"/>
    <cellStyle name="Normal 138 10" xfId="2869" xr:uid="{00000000-0005-0000-0000-000029040000}"/>
    <cellStyle name="Normal 138 2" xfId="698" xr:uid="{00000000-0005-0000-0000-00002A040000}"/>
    <cellStyle name="Normal 138 2 2" xfId="3128" xr:uid="{00000000-0005-0000-0000-00002B040000}"/>
    <cellStyle name="Normal 138 3" xfId="880" xr:uid="{00000000-0005-0000-0000-00002C040000}"/>
    <cellStyle name="Normal 138 3 2" xfId="2433" xr:uid="{00000000-0005-0000-0000-00002D040000}"/>
    <cellStyle name="Normal 138 4" xfId="1062" xr:uid="{00000000-0005-0000-0000-00002E040000}"/>
    <cellStyle name="Normal 138 4 2" xfId="2301" xr:uid="{00000000-0005-0000-0000-00002F040000}"/>
    <cellStyle name="Normal 138 5" xfId="1245" xr:uid="{00000000-0005-0000-0000-000030040000}"/>
    <cellStyle name="Normal 138 5 2" xfId="2610" xr:uid="{00000000-0005-0000-0000-000031040000}"/>
    <cellStyle name="Normal 138 6" xfId="1430" xr:uid="{00000000-0005-0000-0000-000032040000}"/>
    <cellStyle name="Normal 138 6 2" xfId="3761" xr:uid="{00000000-0005-0000-0000-000033040000}"/>
    <cellStyle name="Normal 138 7" xfId="1618" xr:uid="{00000000-0005-0000-0000-000034040000}"/>
    <cellStyle name="Normal 138 7 2" xfId="2900" xr:uid="{00000000-0005-0000-0000-000035040000}"/>
    <cellStyle name="Normal 138 8" xfId="1806" xr:uid="{00000000-0005-0000-0000-000036040000}"/>
    <cellStyle name="Normal 138 8 2" xfId="2417" xr:uid="{00000000-0005-0000-0000-000037040000}"/>
    <cellStyle name="Normal 138 9" xfId="1994" xr:uid="{00000000-0005-0000-0000-000038040000}"/>
    <cellStyle name="Normal 138 9 2" xfId="3954" xr:uid="{00000000-0005-0000-0000-000039040000}"/>
    <cellStyle name="Normal 139" xfId="154" xr:uid="{00000000-0005-0000-0000-00003A040000}"/>
    <cellStyle name="Normal 139 10" xfId="2708" xr:uid="{00000000-0005-0000-0000-00003B040000}"/>
    <cellStyle name="Normal 139 2" xfId="699" xr:uid="{00000000-0005-0000-0000-00003C040000}"/>
    <cellStyle name="Normal 139 2 2" xfId="2249" xr:uid="{00000000-0005-0000-0000-00003D040000}"/>
    <cellStyle name="Normal 139 3" xfId="881" xr:uid="{00000000-0005-0000-0000-00003E040000}"/>
    <cellStyle name="Normal 139 3 2" xfId="2401" xr:uid="{00000000-0005-0000-0000-00003F040000}"/>
    <cellStyle name="Normal 139 4" xfId="1063" xr:uid="{00000000-0005-0000-0000-000040040000}"/>
    <cellStyle name="Normal 139 4 2" xfId="3662" xr:uid="{00000000-0005-0000-0000-000041040000}"/>
    <cellStyle name="Normal 139 5" xfId="1246" xr:uid="{00000000-0005-0000-0000-000042040000}"/>
    <cellStyle name="Normal 139 5 2" xfId="2220" xr:uid="{00000000-0005-0000-0000-000043040000}"/>
    <cellStyle name="Normal 139 6" xfId="1431" xr:uid="{00000000-0005-0000-0000-000044040000}"/>
    <cellStyle name="Normal 139 6 2" xfId="3592" xr:uid="{00000000-0005-0000-0000-000045040000}"/>
    <cellStyle name="Normal 139 7" xfId="1619" xr:uid="{00000000-0005-0000-0000-000046040000}"/>
    <cellStyle name="Normal 139 7 2" xfId="2738" xr:uid="{00000000-0005-0000-0000-000047040000}"/>
    <cellStyle name="Normal 139 8" xfId="1807" xr:uid="{00000000-0005-0000-0000-000048040000}"/>
    <cellStyle name="Normal 139 8 2" xfId="2386" xr:uid="{00000000-0005-0000-0000-000049040000}"/>
    <cellStyle name="Normal 139 9" xfId="1995" xr:uid="{00000000-0005-0000-0000-00004A040000}"/>
    <cellStyle name="Normal 139 9 2" xfId="3955" xr:uid="{00000000-0005-0000-0000-00004B040000}"/>
    <cellStyle name="Normal 14" xfId="28" xr:uid="{00000000-0005-0000-0000-00004C040000}"/>
    <cellStyle name="Normal 14 10" xfId="939" xr:uid="{00000000-0005-0000-0000-00004D040000}"/>
    <cellStyle name="Normal 14 10 2" xfId="3807" xr:uid="{00000000-0005-0000-0000-00004E040000}"/>
    <cellStyle name="Normal 14 11" xfId="1122" xr:uid="{00000000-0005-0000-0000-00004F040000}"/>
    <cellStyle name="Normal 14 11 2" xfId="2622" xr:uid="{00000000-0005-0000-0000-000050040000}"/>
    <cellStyle name="Normal 14 12" xfId="1307" xr:uid="{00000000-0005-0000-0000-000051040000}"/>
    <cellStyle name="Normal 14 12 2" xfId="3773" xr:uid="{00000000-0005-0000-0000-000052040000}"/>
    <cellStyle name="Normal 14 13" xfId="1495" xr:uid="{00000000-0005-0000-0000-000053040000}"/>
    <cellStyle name="Normal 14 13 2" xfId="2912" xr:uid="{00000000-0005-0000-0000-000054040000}"/>
    <cellStyle name="Normal 14 14" xfId="1683" xr:uid="{00000000-0005-0000-0000-000055040000}"/>
    <cellStyle name="Normal 14 14 2" xfId="2568" xr:uid="{00000000-0005-0000-0000-000056040000}"/>
    <cellStyle name="Normal 14 15" xfId="1871" xr:uid="{00000000-0005-0000-0000-000057040000}"/>
    <cellStyle name="Normal 14 15 2" xfId="3831" xr:uid="{00000000-0005-0000-0000-000058040000}"/>
    <cellStyle name="Normal 14 16" xfId="3045" xr:uid="{00000000-0005-0000-0000-000059040000}"/>
    <cellStyle name="Normal 14 2" xfId="373" xr:uid="{00000000-0005-0000-0000-00005A040000}"/>
    <cellStyle name="Normal 14 2 2" xfId="2317" xr:uid="{00000000-0005-0000-0000-00005B040000}"/>
    <cellStyle name="Normal 14 3" xfId="435" xr:uid="{00000000-0005-0000-0000-00005C040000}"/>
    <cellStyle name="Normal 14 3 2" xfId="2527" xr:uid="{00000000-0005-0000-0000-00005D040000}"/>
    <cellStyle name="Normal 14 4" xfId="457" xr:uid="{00000000-0005-0000-0000-00005E040000}"/>
    <cellStyle name="Normal 14 4 2" xfId="3354" xr:uid="{00000000-0005-0000-0000-00005F040000}"/>
    <cellStyle name="Normal 14 5" xfId="478" xr:uid="{00000000-0005-0000-0000-000060040000}"/>
    <cellStyle name="Normal 14 5 2" xfId="2347" xr:uid="{00000000-0005-0000-0000-000061040000}"/>
    <cellStyle name="Normal 14 6" xfId="511" xr:uid="{00000000-0005-0000-0000-000062040000}"/>
    <cellStyle name="Normal 14 6 2" xfId="3521" xr:uid="{00000000-0005-0000-0000-000063040000}"/>
    <cellStyle name="Normal 14 7" xfId="546" xr:uid="{00000000-0005-0000-0000-000064040000}"/>
    <cellStyle name="Normal 14 7 2" xfId="3687" xr:uid="{00000000-0005-0000-0000-000065040000}"/>
    <cellStyle name="Normal 14 8" xfId="575" xr:uid="{00000000-0005-0000-0000-000066040000}"/>
    <cellStyle name="Normal 14 8 2" xfId="3343" xr:uid="{00000000-0005-0000-0000-000067040000}"/>
    <cellStyle name="Normal 14 9" xfId="757" xr:uid="{00000000-0005-0000-0000-000068040000}"/>
    <cellStyle name="Normal 14 9 2" xfId="3501" xr:uid="{00000000-0005-0000-0000-000069040000}"/>
    <cellStyle name="Normal 140" xfId="155" xr:uid="{00000000-0005-0000-0000-00006A040000}"/>
    <cellStyle name="Normal 140 10" xfId="2541" xr:uid="{00000000-0005-0000-0000-00006B040000}"/>
    <cellStyle name="Normal 140 2" xfId="700" xr:uid="{00000000-0005-0000-0000-00006C040000}"/>
    <cellStyle name="Normal 140 2 2" xfId="3809" xr:uid="{00000000-0005-0000-0000-00006D040000}"/>
    <cellStyle name="Normal 140 3" xfId="882" xr:uid="{00000000-0005-0000-0000-00006E040000}"/>
    <cellStyle name="Normal 140 3 2" xfId="2304" xr:uid="{00000000-0005-0000-0000-00006F040000}"/>
    <cellStyle name="Normal 140 4" xfId="1064" xr:uid="{00000000-0005-0000-0000-000070040000}"/>
    <cellStyle name="Normal 140 4 2" xfId="3492" xr:uid="{00000000-0005-0000-0000-000071040000}"/>
    <cellStyle name="Normal 140 5" xfId="1247" xr:uid="{00000000-0005-0000-0000-000072040000}"/>
    <cellStyle name="Normal 140 5 2" xfId="3778" xr:uid="{00000000-0005-0000-0000-000073040000}"/>
    <cellStyle name="Normal 140 6" xfId="1432" xr:uid="{00000000-0005-0000-0000-000074040000}"/>
    <cellStyle name="Normal 140 6 2" xfId="3422" xr:uid="{00000000-0005-0000-0000-000075040000}"/>
    <cellStyle name="Normal 140 7" xfId="1620" xr:uid="{00000000-0005-0000-0000-000076040000}"/>
    <cellStyle name="Normal 140 7 2" xfId="2575" xr:uid="{00000000-0005-0000-0000-000077040000}"/>
    <cellStyle name="Normal 140 8" xfId="1808" xr:uid="{00000000-0005-0000-0000-000078040000}"/>
    <cellStyle name="Normal 140 8 2" xfId="2288" xr:uid="{00000000-0005-0000-0000-000079040000}"/>
    <cellStyle name="Normal 140 9" xfId="1996" xr:uid="{00000000-0005-0000-0000-00007A040000}"/>
    <cellStyle name="Normal 140 9 2" xfId="3956" xr:uid="{00000000-0005-0000-0000-00007B040000}"/>
    <cellStyle name="Normal 141" xfId="156" xr:uid="{00000000-0005-0000-0000-00007C040000}"/>
    <cellStyle name="Normal 141 10" xfId="2152" xr:uid="{00000000-0005-0000-0000-00007D040000}"/>
    <cellStyle name="Normal 141 2" xfId="701" xr:uid="{00000000-0005-0000-0000-00007E040000}"/>
    <cellStyle name="Normal 141 2 2" xfId="3640" xr:uid="{00000000-0005-0000-0000-00007F040000}"/>
    <cellStyle name="Normal 141 3" xfId="883" xr:uid="{00000000-0005-0000-0000-000080040000}"/>
    <cellStyle name="Normal 141 3 2" xfId="3133" xr:uid="{00000000-0005-0000-0000-000081040000}"/>
    <cellStyle name="Normal 141 4" xfId="1065" xr:uid="{00000000-0005-0000-0000-000082040000}"/>
    <cellStyle name="Normal 141 4 2" xfId="3321" xr:uid="{00000000-0005-0000-0000-000083040000}"/>
    <cellStyle name="Normal 141 5" xfId="1248" xr:uid="{00000000-0005-0000-0000-000084040000}"/>
    <cellStyle name="Normal 141 5 2" xfId="3609" xr:uid="{00000000-0005-0000-0000-000085040000}"/>
    <cellStyle name="Normal 141 6" xfId="1433" xr:uid="{00000000-0005-0000-0000-000086040000}"/>
    <cellStyle name="Normal 141 6 2" xfId="3250" xr:uid="{00000000-0005-0000-0000-000087040000}"/>
    <cellStyle name="Normal 141 7" xfId="1621" xr:uid="{00000000-0005-0000-0000-000088040000}"/>
    <cellStyle name="Normal 141 7 2" xfId="2185" xr:uid="{00000000-0005-0000-0000-000089040000}"/>
    <cellStyle name="Normal 141 8" xfId="1809" xr:uid="{00000000-0005-0000-0000-00008A040000}"/>
    <cellStyle name="Normal 141 8 2" xfId="2342" xr:uid="{00000000-0005-0000-0000-00008B040000}"/>
    <cellStyle name="Normal 141 9" xfId="1997" xr:uid="{00000000-0005-0000-0000-00008C040000}"/>
    <cellStyle name="Normal 141 9 2" xfId="3957" xr:uid="{00000000-0005-0000-0000-00008D040000}"/>
    <cellStyle name="Normal 142" xfId="157" xr:uid="{00000000-0005-0000-0000-00008E040000}"/>
    <cellStyle name="Normal 142 10" xfId="3711" xr:uid="{00000000-0005-0000-0000-00008F040000}"/>
    <cellStyle name="Normal 142 2" xfId="702" xr:uid="{00000000-0005-0000-0000-000090040000}"/>
    <cellStyle name="Normal 142 2 2" xfId="3470" xr:uid="{00000000-0005-0000-0000-000091040000}"/>
    <cellStyle name="Normal 142 3" xfId="884" xr:uid="{00000000-0005-0000-0000-000092040000}"/>
    <cellStyle name="Normal 142 3 2" xfId="2966" xr:uid="{00000000-0005-0000-0000-000093040000}"/>
    <cellStyle name="Normal 142 4" xfId="1066" xr:uid="{00000000-0005-0000-0000-000094040000}"/>
    <cellStyle name="Normal 142 4 2" xfId="3149" xr:uid="{00000000-0005-0000-0000-000095040000}"/>
    <cellStyle name="Normal 142 5" xfId="1249" xr:uid="{00000000-0005-0000-0000-000096040000}"/>
    <cellStyle name="Normal 142 5 2" xfId="3439" xr:uid="{00000000-0005-0000-0000-000097040000}"/>
    <cellStyle name="Normal 142 6" xfId="1434" xr:uid="{00000000-0005-0000-0000-000098040000}"/>
    <cellStyle name="Normal 142 6 2" xfId="3081" xr:uid="{00000000-0005-0000-0000-000099040000}"/>
    <cellStyle name="Normal 142 7" xfId="1622" xr:uid="{00000000-0005-0000-0000-00009A040000}"/>
    <cellStyle name="Normal 142 7 2" xfId="3743" xr:uid="{00000000-0005-0000-0000-00009B040000}"/>
    <cellStyle name="Normal 142 8" xfId="1810" xr:uid="{00000000-0005-0000-0000-00009C040000}"/>
    <cellStyle name="Normal 142 8 2" xfId="2279" xr:uid="{00000000-0005-0000-0000-00009D040000}"/>
    <cellStyle name="Normal 142 9" xfId="1998" xr:uid="{00000000-0005-0000-0000-00009E040000}"/>
    <cellStyle name="Normal 142 9 2" xfId="3958" xr:uid="{00000000-0005-0000-0000-00009F040000}"/>
    <cellStyle name="Normal 143" xfId="160" xr:uid="{00000000-0005-0000-0000-0000A0040000}"/>
    <cellStyle name="Normal 143 10" xfId="3200" xr:uid="{00000000-0005-0000-0000-0000A1040000}"/>
    <cellStyle name="Normal 143 2" xfId="705" xr:uid="{00000000-0005-0000-0000-0000A2040000}"/>
    <cellStyle name="Normal 143 2 2" xfId="2250" xr:uid="{00000000-0005-0000-0000-0000A3040000}"/>
    <cellStyle name="Normal 143 3" xfId="887" xr:uid="{00000000-0005-0000-0000-0000A4040000}"/>
    <cellStyle name="Normal 143 3 2" xfId="2476" xr:uid="{00000000-0005-0000-0000-0000A5040000}"/>
    <cellStyle name="Normal 143 4" xfId="1069" xr:uid="{00000000-0005-0000-0000-0000A6040000}"/>
    <cellStyle name="Normal 143 4 2" xfId="2100" xr:uid="{00000000-0005-0000-0000-0000A7040000}"/>
    <cellStyle name="Normal 143 5" xfId="1252" xr:uid="{00000000-0005-0000-0000-0000A8040000}"/>
    <cellStyle name="Normal 143 5 2" xfId="2934" xr:uid="{00000000-0005-0000-0000-0000A9040000}"/>
    <cellStyle name="Normal 143 6" xfId="1437" xr:uid="{00000000-0005-0000-0000-0000AA040000}"/>
    <cellStyle name="Normal 143 6 2" xfId="2592" xr:uid="{00000000-0005-0000-0000-0000AB040000}"/>
    <cellStyle name="Normal 143 7" xfId="1625" xr:uid="{00000000-0005-0000-0000-0000AC040000}"/>
    <cellStyle name="Normal 143 7 2" xfId="3232" xr:uid="{00000000-0005-0000-0000-0000AD040000}"/>
    <cellStyle name="Normal 143 8" xfId="1813" xr:uid="{00000000-0005-0000-0000-0000AE040000}"/>
    <cellStyle name="Normal 143 8 2" xfId="2340" xr:uid="{00000000-0005-0000-0000-0000AF040000}"/>
    <cellStyle name="Normal 143 9" xfId="2001" xr:uid="{00000000-0005-0000-0000-0000B0040000}"/>
    <cellStyle name="Normal 143 9 2" xfId="3961" xr:uid="{00000000-0005-0000-0000-0000B1040000}"/>
    <cellStyle name="Normal 144" xfId="159" xr:uid="{00000000-0005-0000-0000-0000B2040000}"/>
    <cellStyle name="Normal 144 10" xfId="3373" xr:uid="{00000000-0005-0000-0000-0000B3040000}"/>
    <cellStyle name="Normal 144 2" xfId="704" xr:uid="{00000000-0005-0000-0000-0000B4040000}"/>
    <cellStyle name="Normal 144 2 2" xfId="3129" xr:uid="{00000000-0005-0000-0000-0000B5040000}"/>
    <cellStyle name="Normal 144 3" xfId="886" xr:uid="{00000000-0005-0000-0000-0000B6040000}"/>
    <cellStyle name="Normal 144 3 2" xfId="2641" xr:uid="{00000000-0005-0000-0000-0000B7040000}"/>
    <cellStyle name="Normal 144 4" xfId="1068" xr:uid="{00000000-0005-0000-0000-0000B8040000}"/>
    <cellStyle name="Normal 144 4 2" xfId="2819" xr:uid="{00000000-0005-0000-0000-0000B9040000}"/>
    <cellStyle name="Normal 144 5" xfId="1251" xr:uid="{00000000-0005-0000-0000-0000BA040000}"/>
    <cellStyle name="Normal 144 5 2" xfId="3098" xr:uid="{00000000-0005-0000-0000-0000BB040000}"/>
    <cellStyle name="Normal 144 6" xfId="1436" xr:uid="{00000000-0005-0000-0000-0000BC040000}"/>
    <cellStyle name="Normal 144 6 2" xfId="2755" xr:uid="{00000000-0005-0000-0000-0000BD040000}"/>
    <cellStyle name="Normal 144 7" xfId="1624" xr:uid="{00000000-0005-0000-0000-0000BE040000}"/>
    <cellStyle name="Normal 144 7 2" xfId="3404" xr:uid="{00000000-0005-0000-0000-0000BF040000}"/>
    <cellStyle name="Normal 144 8" xfId="1812" xr:uid="{00000000-0005-0000-0000-0000C0040000}"/>
    <cellStyle name="Normal 144 8 2" xfId="2266" xr:uid="{00000000-0005-0000-0000-0000C1040000}"/>
    <cellStyle name="Normal 144 9" xfId="2000" xr:uid="{00000000-0005-0000-0000-0000C2040000}"/>
    <cellStyle name="Normal 144 9 2" xfId="3960" xr:uid="{00000000-0005-0000-0000-0000C3040000}"/>
    <cellStyle name="Normal 145" xfId="158" xr:uid="{00000000-0005-0000-0000-0000C4040000}"/>
    <cellStyle name="Normal 145 10" xfId="3543" xr:uid="{00000000-0005-0000-0000-0000C5040000}"/>
    <cellStyle name="Normal 145 2" xfId="703" xr:uid="{00000000-0005-0000-0000-0000C6040000}"/>
    <cellStyle name="Normal 145 2 2" xfId="3298" xr:uid="{00000000-0005-0000-0000-0000C7040000}"/>
    <cellStyle name="Normal 145 3" xfId="885" xr:uid="{00000000-0005-0000-0000-0000C8040000}"/>
    <cellStyle name="Normal 145 3 2" xfId="2804" xr:uid="{00000000-0005-0000-0000-0000C9040000}"/>
    <cellStyle name="Normal 145 4" xfId="1067" xr:uid="{00000000-0005-0000-0000-0000CA040000}"/>
    <cellStyle name="Normal 145 4 2" xfId="2981" xr:uid="{00000000-0005-0000-0000-0000CB040000}"/>
    <cellStyle name="Normal 145 5" xfId="1250" xr:uid="{00000000-0005-0000-0000-0000CC040000}"/>
    <cellStyle name="Normal 145 5 2" xfId="3267" xr:uid="{00000000-0005-0000-0000-0000CD040000}"/>
    <cellStyle name="Normal 145 6" xfId="1435" xr:uid="{00000000-0005-0000-0000-0000CE040000}"/>
    <cellStyle name="Normal 145 6 2" xfId="2917" xr:uid="{00000000-0005-0000-0000-0000CF040000}"/>
    <cellStyle name="Normal 145 7" xfId="1623" xr:uid="{00000000-0005-0000-0000-0000D0040000}"/>
    <cellStyle name="Normal 145 7 2" xfId="3574" xr:uid="{00000000-0005-0000-0000-0000D1040000}"/>
    <cellStyle name="Normal 145 8" xfId="1811" xr:uid="{00000000-0005-0000-0000-0000D2040000}"/>
    <cellStyle name="Normal 145 8 2" xfId="2341" xr:uid="{00000000-0005-0000-0000-0000D3040000}"/>
    <cellStyle name="Normal 145 9" xfId="1999" xr:uid="{00000000-0005-0000-0000-0000D4040000}"/>
    <cellStyle name="Normal 145 9 2" xfId="3959" xr:uid="{00000000-0005-0000-0000-0000D5040000}"/>
    <cellStyle name="Normal 146" xfId="161" xr:uid="{00000000-0005-0000-0000-0000D6040000}"/>
    <cellStyle name="Normal 146 10" xfId="3031" xr:uid="{00000000-0005-0000-0000-0000D7040000}"/>
    <cellStyle name="Normal 146 2" xfId="706" xr:uid="{00000000-0005-0000-0000-0000D8040000}"/>
    <cellStyle name="Normal 146 2 2" xfId="3810" xr:uid="{00000000-0005-0000-0000-0000D9040000}"/>
    <cellStyle name="Normal 146 3" xfId="888" xr:uid="{00000000-0005-0000-0000-0000DA040000}"/>
    <cellStyle name="Normal 146 3 2" xfId="2448" xr:uid="{00000000-0005-0000-0000-0000DB040000}"/>
    <cellStyle name="Normal 146 4" xfId="1070" xr:uid="{00000000-0005-0000-0000-0000DC040000}"/>
    <cellStyle name="Normal 146 4 2" xfId="3795" xr:uid="{00000000-0005-0000-0000-0000DD040000}"/>
    <cellStyle name="Normal 146 5" xfId="1253" xr:uid="{00000000-0005-0000-0000-0000DE040000}"/>
    <cellStyle name="Normal 146 5 2" xfId="2772" xr:uid="{00000000-0005-0000-0000-0000DF040000}"/>
    <cellStyle name="Normal 146 6" xfId="1438" xr:uid="{00000000-0005-0000-0000-0000E0040000}"/>
    <cellStyle name="Normal 146 6 2" xfId="2202" xr:uid="{00000000-0005-0000-0000-0000E1040000}"/>
    <cellStyle name="Normal 146 7" xfId="1626" xr:uid="{00000000-0005-0000-0000-0000E2040000}"/>
    <cellStyle name="Normal 146 7 2" xfId="3063" xr:uid="{00000000-0005-0000-0000-0000E3040000}"/>
    <cellStyle name="Normal 146 8" xfId="1814" xr:uid="{00000000-0005-0000-0000-0000E4040000}"/>
    <cellStyle name="Normal 146 8 2" xfId="2265" xr:uid="{00000000-0005-0000-0000-0000E5040000}"/>
    <cellStyle name="Normal 146 9" xfId="2002" xr:uid="{00000000-0005-0000-0000-0000E6040000}"/>
    <cellStyle name="Normal 146 9 2" xfId="3962" xr:uid="{00000000-0005-0000-0000-0000E7040000}"/>
    <cellStyle name="Normal 147" xfId="162" xr:uid="{00000000-0005-0000-0000-0000E8040000}"/>
    <cellStyle name="Normal 147 10" xfId="2868" xr:uid="{00000000-0005-0000-0000-0000E9040000}"/>
    <cellStyle name="Normal 147 2" xfId="707" xr:uid="{00000000-0005-0000-0000-0000EA040000}"/>
    <cellStyle name="Normal 147 2 2" xfId="3641" xr:uid="{00000000-0005-0000-0000-0000EB040000}"/>
    <cellStyle name="Normal 147 3" xfId="889" xr:uid="{00000000-0005-0000-0000-0000EC040000}"/>
    <cellStyle name="Normal 147 3 2" xfId="2365" xr:uid="{00000000-0005-0000-0000-0000ED040000}"/>
    <cellStyle name="Normal 147 4" xfId="1071" xr:uid="{00000000-0005-0000-0000-0000EE040000}"/>
    <cellStyle name="Normal 147 4 2" xfId="3626" xr:uid="{00000000-0005-0000-0000-0000EF040000}"/>
    <cellStyle name="Normal 147 5" xfId="1254" xr:uid="{00000000-0005-0000-0000-0000F0040000}"/>
    <cellStyle name="Normal 147 5 2" xfId="2609" xr:uid="{00000000-0005-0000-0000-0000F1040000}"/>
    <cellStyle name="Normal 147 6" xfId="1439" xr:uid="{00000000-0005-0000-0000-0000F2040000}"/>
    <cellStyle name="Normal 147 6 2" xfId="3760" xr:uid="{00000000-0005-0000-0000-0000F3040000}"/>
    <cellStyle name="Normal 147 7" xfId="1627" xr:uid="{00000000-0005-0000-0000-0000F4040000}"/>
    <cellStyle name="Normal 147 7 2" xfId="2899" xr:uid="{00000000-0005-0000-0000-0000F5040000}"/>
    <cellStyle name="Normal 147 8" xfId="1815" xr:uid="{00000000-0005-0000-0000-0000F6040000}"/>
    <cellStyle name="Normal 147 8 2" xfId="2339" xr:uid="{00000000-0005-0000-0000-0000F7040000}"/>
    <cellStyle name="Normal 147 9" xfId="2003" xr:uid="{00000000-0005-0000-0000-0000F8040000}"/>
    <cellStyle name="Normal 147 9 2" xfId="3963" xr:uid="{00000000-0005-0000-0000-0000F9040000}"/>
    <cellStyle name="Normal 148" xfId="163" xr:uid="{00000000-0005-0000-0000-0000FA040000}"/>
    <cellStyle name="Normal 148 10" xfId="2707" xr:uid="{00000000-0005-0000-0000-0000FB040000}"/>
    <cellStyle name="Normal 148 2" xfId="708" xr:uid="{00000000-0005-0000-0000-0000FC040000}"/>
    <cellStyle name="Normal 148 2 2" xfId="3471" xr:uid="{00000000-0005-0000-0000-0000FD040000}"/>
    <cellStyle name="Normal 148 3" xfId="890" xr:uid="{00000000-0005-0000-0000-0000FE040000}"/>
    <cellStyle name="Normal 148 3 2" xfId="2344" xr:uid="{00000000-0005-0000-0000-0000FF040000}"/>
    <cellStyle name="Normal 148 4" xfId="1072" xr:uid="{00000000-0005-0000-0000-000000050000}"/>
    <cellStyle name="Normal 148 4 2" xfId="3456" xr:uid="{00000000-0005-0000-0000-000001050000}"/>
    <cellStyle name="Normal 148 5" xfId="1255" xr:uid="{00000000-0005-0000-0000-000002050000}"/>
    <cellStyle name="Normal 148 5 2" xfId="2219" xr:uid="{00000000-0005-0000-0000-000003050000}"/>
    <cellStyle name="Normal 148 6" xfId="1440" xr:uid="{00000000-0005-0000-0000-000004050000}"/>
    <cellStyle name="Normal 148 6 2" xfId="3591" xr:uid="{00000000-0005-0000-0000-000005050000}"/>
    <cellStyle name="Normal 148 7" xfId="1628" xr:uid="{00000000-0005-0000-0000-000006050000}"/>
    <cellStyle name="Normal 148 7 2" xfId="2737" xr:uid="{00000000-0005-0000-0000-000007050000}"/>
    <cellStyle name="Normal 148 8" xfId="1816" xr:uid="{00000000-0005-0000-0000-000008050000}"/>
    <cellStyle name="Normal 148 8 2" xfId="2264" xr:uid="{00000000-0005-0000-0000-000009050000}"/>
    <cellStyle name="Normal 148 9" xfId="2004" xr:uid="{00000000-0005-0000-0000-00000A050000}"/>
    <cellStyle name="Normal 148 9 2" xfId="3964" xr:uid="{00000000-0005-0000-0000-00000B050000}"/>
    <cellStyle name="Normal 149" xfId="164" xr:uid="{00000000-0005-0000-0000-00000C050000}"/>
    <cellStyle name="Normal 149 10" xfId="2540" xr:uid="{00000000-0005-0000-0000-00000D050000}"/>
    <cellStyle name="Normal 149 2" xfId="709" xr:uid="{00000000-0005-0000-0000-00000E050000}"/>
    <cellStyle name="Normal 149 2 2" xfId="3299" xr:uid="{00000000-0005-0000-0000-00000F050000}"/>
    <cellStyle name="Normal 149 3" xfId="891" xr:uid="{00000000-0005-0000-0000-000010050000}"/>
    <cellStyle name="Normal 149 3 2" xfId="2432" xr:uid="{00000000-0005-0000-0000-000011050000}"/>
    <cellStyle name="Normal 149 4" xfId="1073" xr:uid="{00000000-0005-0000-0000-000012050000}"/>
    <cellStyle name="Normal 149 4 2" xfId="3284" xr:uid="{00000000-0005-0000-0000-000013050000}"/>
    <cellStyle name="Normal 149 5" xfId="1256" xr:uid="{00000000-0005-0000-0000-000014050000}"/>
    <cellStyle name="Normal 149 5 2" xfId="3777" xr:uid="{00000000-0005-0000-0000-000015050000}"/>
    <cellStyle name="Normal 149 6" xfId="1441" xr:uid="{00000000-0005-0000-0000-000016050000}"/>
    <cellStyle name="Normal 149 6 2" xfId="3421" xr:uid="{00000000-0005-0000-0000-000017050000}"/>
    <cellStyle name="Normal 149 7" xfId="1629" xr:uid="{00000000-0005-0000-0000-000018050000}"/>
    <cellStyle name="Normal 149 7 2" xfId="2574" xr:uid="{00000000-0005-0000-0000-000019050000}"/>
    <cellStyle name="Normal 149 8" xfId="1817" xr:uid="{00000000-0005-0000-0000-00001A050000}"/>
    <cellStyle name="Normal 149 8 2" xfId="2338" xr:uid="{00000000-0005-0000-0000-00001B050000}"/>
    <cellStyle name="Normal 149 9" xfId="2005" xr:uid="{00000000-0005-0000-0000-00001C050000}"/>
    <cellStyle name="Normal 149 9 2" xfId="3965" xr:uid="{00000000-0005-0000-0000-00001D050000}"/>
    <cellStyle name="Normal 15" xfId="29" xr:uid="{00000000-0005-0000-0000-00001E050000}"/>
    <cellStyle name="Normal 15 10" xfId="940" xr:uid="{00000000-0005-0000-0000-00001F050000}"/>
    <cellStyle name="Normal 15 10 2" xfId="2248" xr:uid="{00000000-0005-0000-0000-000020050000}"/>
    <cellStyle name="Normal 15 11" xfId="1123" xr:uid="{00000000-0005-0000-0000-000021050000}"/>
    <cellStyle name="Normal 15 11 2" xfId="2232" xr:uid="{00000000-0005-0000-0000-000022050000}"/>
    <cellStyle name="Normal 15 12" xfId="1308" xr:uid="{00000000-0005-0000-0000-000023050000}"/>
    <cellStyle name="Normal 15 12 2" xfId="3604" xr:uid="{00000000-0005-0000-0000-000024050000}"/>
    <cellStyle name="Normal 15 13" xfId="1496" xr:uid="{00000000-0005-0000-0000-000025050000}"/>
    <cellStyle name="Normal 15 13 2" xfId="2750" xr:uid="{00000000-0005-0000-0000-000026050000}"/>
    <cellStyle name="Normal 15 14" xfId="1684" xr:uid="{00000000-0005-0000-0000-000027050000}"/>
    <cellStyle name="Normal 15 14 2" xfId="2178" xr:uid="{00000000-0005-0000-0000-000028050000}"/>
    <cellStyle name="Normal 15 15" xfId="1872" xr:uid="{00000000-0005-0000-0000-000029050000}"/>
    <cellStyle name="Normal 15 15 2" xfId="3832" xr:uid="{00000000-0005-0000-0000-00002A050000}"/>
    <cellStyle name="Normal 15 16" xfId="2881" xr:uid="{00000000-0005-0000-0000-00002B050000}"/>
    <cellStyle name="Normal 15 2" xfId="374" xr:uid="{00000000-0005-0000-0000-00002C050000}"/>
    <cellStyle name="Normal 15 2 2" xfId="3646" xr:uid="{00000000-0005-0000-0000-00002D050000}"/>
    <cellStyle name="Normal 15 3" xfId="436" xr:uid="{00000000-0005-0000-0000-00002E050000}"/>
    <cellStyle name="Normal 15 3 2" xfId="2136" xr:uid="{00000000-0005-0000-0000-00002F050000}"/>
    <cellStyle name="Normal 15 4" xfId="458" xr:uid="{00000000-0005-0000-0000-000030050000}"/>
    <cellStyle name="Normal 15 4 2" xfId="3182" xr:uid="{00000000-0005-0000-0000-000031050000}"/>
    <cellStyle name="Normal 15 5" xfId="479" xr:uid="{00000000-0005-0000-0000-000032050000}"/>
    <cellStyle name="Normal 15 5 2" xfId="2287" xr:uid="{00000000-0005-0000-0000-000033050000}"/>
    <cellStyle name="Normal 15 6" xfId="512" xr:uid="{00000000-0005-0000-0000-000034050000}"/>
    <cellStyle name="Normal 15 6 2" xfId="3350" xr:uid="{00000000-0005-0000-0000-000035050000}"/>
    <cellStyle name="Normal 15 7" xfId="547" xr:uid="{00000000-0005-0000-0000-000036050000}"/>
    <cellStyle name="Normal 15 7 2" xfId="3517" xr:uid="{00000000-0005-0000-0000-000037050000}"/>
    <cellStyle name="Normal 15 8" xfId="576" xr:uid="{00000000-0005-0000-0000-000038050000}"/>
    <cellStyle name="Normal 15 8 2" xfId="3171" xr:uid="{00000000-0005-0000-0000-000039050000}"/>
    <cellStyle name="Normal 15 9" xfId="758" xr:uid="{00000000-0005-0000-0000-00003A050000}"/>
    <cellStyle name="Normal 15 9 2" xfId="3330" xr:uid="{00000000-0005-0000-0000-00003B050000}"/>
    <cellStyle name="Normal 150" xfId="165" xr:uid="{00000000-0005-0000-0000-00003C050000}"/>
    <cellStyle name="Normal 150 10" xfId="2151" xr:uid="{00000000-0005-0000-0000-00003D050000}"/>
    <cellStyle name="Normal 150 2" xfId="710" xr:uid="{00000000-0005-0000-0000-00003E050000}"/>
    <cellStyle name="Normal 150 2 2" xfId="3130" xr:uid="{00000000-0005-0000-0000-00003F050000}"/>
    <cellStyle name="Normal 150 3" xfId="892" xr:uid="{00000000-0005-0000-0000-000040050000}"/>
    <cellStyle name="Normal 150 3 2" xfId="2400" xr:uid="{00000000-0005-0000-0000-000041050000}"/>
    <cellStyle name="Normal 150 4" xfId="1074" xr:uid="{00000000-0005-0000-0000-000042050000}"/>
    <cellStyle name="Normal 150 4 2" xfId="3115" xr:uid="{00000000-0005-0000-0000-000043050000}"/>
    <cellStyle name="Normal 150 5" xfId="1257" xr:uid="{00000000-0005-0000-0000-000044050000}"/>
    <cellStyle name="Normal 150 5 2" xfId="3608" xr:uid="{00000000-0005-0000-0000-000045050000}"/>
    <cellStyle name="Normal 150 6" xfId="1442" xr:uid="{00000000-0005-0000-0000-000046050000}"/>
    <cellStyle name="Normal 150 6 2" xfId="3249" xr:uid="{00000000-0005-0000-0000-000047050000}"/>
    <cellStyle name="Normal 150 7" xfId="1630" xr:uid="{00000000-0005-0000-0000-000048050000}"/>
    <cellStyle name="Normal 150 7 2" xfId="2184" xr:uid="{00000000-0005-0000-0000-000049050000}"/>
    <cellStyle name="Normal 150 8" xfId="1818" xr:uid="{00000000-0005-0000-0000-00004A050000}"/>
    <cellStyle name="Normal 150 8 2" xfId="2263" xr:uid="{00000000-0005-0000-0000-00004B050000}"/>
    <cellStyle name="Normal 150 9" xfId="2006" xr:uid="{00000000-0005-0000-0000-00004C050000}"/>
    <cellStyle name="Normal 150 9 2" xfId="3966" xr:uid="{00000000-0005-0000-0000-00004D050000}"/>
    <cellStyle name="Normal 151" xfId="166" xr:uid="{00000000-0005-0000-0000-00004E050000}"/>
    <cellStyle name="Normal 151 10" xfId="3710" xr:uid="{00000000-0005-0000-0000-00004F050000}"/>
    <cellStyle name="Normal 151 2" xfId="711" xr:uid="{00000000-0005-0000-0000-000050050000}"/>
    <cellStyle name="Normal 151 2 2" xfId="2251" xr:uid="{00000000-0005-0000-0000-000051050000}"/>
    <cellStyle name="Normal 151 3" xfId="893" xr:uid="{00000000-0005-0000-0000-000052050000}"/>
    <cellStyle name="Normal 151 3 2" xfId="2303" xr:uid="{00000000-0005-0000-0000-000053050000}"/>
    <cellStyle name="Normal 151 4" xfId="1075" xr:uid="{00000000-0005-0000-0000-000054050000}"/>
    <cellStyle name="Normal 151 4 2" xfId="2951" xr:uid="{00000000-0005-0000-0000-000055050000}"/>
    <cellStyle name="Normal 151 5" xfId="1258" xr:uid="{00000000-0005-0000-0000-000056050000}"/>
    <cellStyle name="Normal 151 5 2" xfId="3438" xr:uid="{00000000-0005-0000-0000-000057050000}"/>
    <cellStyle name="Normal 151 6" xfId="1443" xr:uid="{00000000-0005-0000-0000-000058050000}"/>
    <cellStyle name="Normal 151 6 2" xfId="3080" xr:uid="{00000000-0005-0000-0000-000059050000}"/>
    <cellStyle name="Normal 151 7" xfId="1631" xr:uid="{00000000-0005-0000-0000-00005A050000}"/>
    <cellStyle name="Normal 151 7 2" xfId="3742" xr:uid="{00000000-0005-0000-0000-00005B050000}"/>
    <cellStyle name="Normal 151 8" xfId="1819" xr:uid="{00000000-0005-0000-0000-00005C050000}"/>
    <cellStyle name="Normal 151 8 2" xfId="2337" xr:uid="{00000000-0005-0000-0000-00005D050000}"/>
    <cellStyle name="Normal 151 9" xfId="2007" xr:uid="{00000000-0005-0000-0000-00005E050000}"/>
    <cellStyle name="Normal 151 9 2" xfId="3967" xr:uid="{00000000-0005-0000-0000-00005F050000}"/>
    <cellStyle name="Normal 152" xfId="167" xr:uid="{00000000-0005-0000-0000-000060050000}"/>
    <cellStyle name="Normal 152 10" xfId="3542" xr:uid="{00000000-0005-0000-0000-000061050000}"/>
    <cellStyle name="Normal 152 2" xfId="712" xr:uid="{00000000-0005-0000-0000-000062050000}"/>
    <cellStyle name="Normal 152 2 2" xfId="3674" xr:uid="{00000000-0005-0000-0000-000063050000}"/>
    <cellStyle name="Normal 152 3" xfId="894" xr:uid="{00000000-0005-0000-0000-000064050000}"/>
    <cellStyle name="Normal 152 3 2" xfId="2084" xr:uid="{00000000-0005-0000-0000-000065050000}"/>
    <cellStyle name="Normal 152 4" xfId="1076" xr:uid="{00000000-0005-0000-0000-000066050000}"/>
    <cellStyle name="Normal 152 4 2" xfId="2789" xr:uid="{00000000-0005-0000-0000-000067050000}"/>
    <cellStyle name="Normal 152 5" xfId="1259" xr:uid="{00000000-0005-0000-0000-000068050000}"/>
    <cellStyle name="Normal 152 5 2" xfId="3266" xr:uid="{00000000-0005-0000-0000-000069050000}"/>
    <cellStyle name="Normal 152 6" xfId="1444" xr:uid="{00000000-0005-0000-0000-00006A050000}"/>
    <cellStyle name="Normal 152 6 2" xfId="2916" xr:uid="{00000000-0005-0000-0000-00006B050000}"/>
    <cellStyle name="Normal 152 7" xfId="1632" xr:uid="{00000000-0005-0000-0000-00006C050000}"/>
    <cellStyle name="Normal 152 7 2" xfId="3573" xr:uid="{00000000-0005-0000-0000-00006D050000}"/>
    <cellStyle name="Normal 152 8" xfId="1820" xr:uid="{00000000-0005-0000-0000-00006E050000}"/>
    <cellStyle name="Normal 152 8 2" xfId="2262" xr:uid="{00000000-0005-0000-0000-00006F050000}"/>
    <cellStyle name="Normal 152 9" xfId="2008" xr:uid="{00000000-0005-0000-0000-000070050000}"/>
    <cellStyle name="Normal 152 9 2" xfId="3968" xr:uid="{00000000-0005-0000-0000-000071050000}"/>
    <cellStyle name="Normal 153" xfId="168" xr:uid="{00000000-0005-0000-0000-000072050000}"/>
    <cellStyle name="Normal 153 10" xfId="3372" xr:uid="{00000000-0005-0000-0000-000073050000}"/>
    <cellStyle name="Normal 153 2" xfId="713" xr:uid="{00000000-0005-0000-0000-000074050000}"/>
    <cellStyle name="Normal 153 2 2" xfId="3504" xr:uid="{00000000-0005-0000-0000-000075050000}"/>
    <cellStyle name="Normal 153 3" xfId="895" xr:uid="{00000000-0005-0000-0000-000076050000}"/>
    <cellStyle name="Normal 153 3 2" xfId="3645" xr:uid="{00000000-0005-0000-0000-000077050000}"/>
    <cellStyle name="Normal 153 4" xfId="1077" xr:uid="{00000000-0005-0000-0000-000078050000}"/>
    <cellStyle name="Normal 153 4 2" xfId="2626" xr:uid="{00000000-0005-0000-0000-000079050000}"/>
    <cellStyle name="Normal 153 5" xfId="1260" xr:uid="{00000000-0005-0000-0000-00007A050000}"/>
    <cellStyle name="Normal 153 5 2" xfId="3097" xr:uid="{00000000-0005-0000-0000-00007B050000}"/>
    <cellStyle name="Normal 153 6" xfId="1445" xr:uid="{00000000-0005-0000-0000-00007C050000}"/>
    <cellStyle name="Normal 153 6 2" xfId="2754" xr:uid="{00000000-0005-0000-0000-00007D050000}"/>
    <cellStyle name="Normal 153 7" xfId="1633" xr:uid="{00000000-0005-0000-0000-00007E050000}"/>
    <cellStyle name="Normal 153 7 2" xfId="3403" xr:uid="{00000000-0005-0000-0000-00007F050000}"/>
    <cellStyle name="Normal 153 8" xfId="1821" xr:uid="{00000000-0005-0000-0000-000080050000}"/>
    <cellStyle name="Normal 153 8 2" xfId="2336" xr:uid="{00000000-0005-0000-0000-000081050000}"/>
    <cellStyle name="Normal 153 9" xfId="2009" xr:uid="{00000000-0005-0000-0000-000082050000}"/>
    <cellStyle name="Normal 153 9 2" xfId="3969" xr:uid="{00000000-0005-0000-0000-000083050000}"/>
    <cellStyle name="Normal 154" xfId="169" xr:uid="{00000000-0005-0000-0000-000084050000}"/>
    <cellStyle name="Normal 154 10" xfId="3199" xr:uid="{00000000-0005-0000-0000-000085050000}"/>
    <cellStyle name="Normal 154 2" xfId="714" xr:uid="{00000000-0005-0000-0000-000086050000}"/>
    <cellStyle name="Normal 154 2 2" xfId="3333" xr:uid="{00000000-0005-0000-0000-000087050000}"/>
    <cellStyle name="Normal 154 3" xfId="896" xr:uid="{00000000-0005-0000-0000-000088050000}"/>
    <cellStyle name="Normal 154 3 2" xfId="3475" xr:uid="{00000000-0005-0000-0000-000089050000}"/>
    <cellStyle name="Normal 154 4" xfId="1078" xr:uid="{00000000-0005-0000-0000-00008A050000}"/>
    <cellStyle name="Normal 154 4 2" xfId="2236" xr:uid="{00000000-0005-0000-0000-00008B050000}"/>
    <cellStyle name="Normal 154 5" xfId="1261" xr:uid="{00000000-0005-0000-0000-00008C050000}"/>
    <cellStyle name="Normal 154 5 2" xfId="2933" xr:uid="{00000000-0005-0000-0000-00008D050000}"/>
    <cellStyle name="Normal 154 6" xfId="1446" xr:uid="{00000000-0005-0000-0000-00008E050000}"/>
    <cellStyle name="Normal 154 6 2" xfId="2591" xr:uid="{00000000-0005-0000-0000-00008F050000}"/>
    <cellStyle name="Normal 154 7" xfId="1634" xr:uid="{00000000-0005-0000-0000-000090050000}"/>
    <cellStyle name="Normal 154 7 2" xfId="3231" xr:uid="{00000000-0005-0000-0000-000091050000}"/>
    <cellStyle name="Normal 154 8" xfId="1822" xr:uid="{00000000-0005-0000-0000-000092050000}"/>
    <cellStyle name="Normal 154 8 2" xfId="2261" xr:uid="{00000000-0005-0000-0000-000093050000}"/>
    <cellStyle name="Normal 154 9" xfId="2010" xr:uid="{00000000-0005-0000-0000-000094050000}"/>
    <cellStyle name="Normal 154 9 2" xfId="3970" xr:uid="{00000000-0005-0000-0000-000095050000}"/>
    <cellStyle name="Normal 155" xfId="170" xr:uid="{00000000-0005-0000-0000-000096050000}"/>
    <cellStyle name="Normal 155 10" xfId="3030" xr:uid="{00000000-0005-0000-0000-000097050000}"/>
    <cellStyle name="Normal 155 2" xfId="715" xr:uid="{00000000-0005-0000-0000-000098050000}"/>
    <cellStyle name="Normal 155 2 2" xfId="3161" xr:uid="{00000000-0005-0000-0000-000099050000}"/>
    <cellStyle name="Normal 155 3" xfId="897" xr:uid="{00000000-0005-0000-0000-00009A050000}"/>
    <cellStyle name="Normal 155 3 2" xfId="2493" xr:uid="{00000000-0005-0000-0000-00009B050000}"/>
    <cellStyle name="Normal 155 4" xfId="1079" xr:uid="{00000000-0005-0000-0000-00009C050000}"/>
    <cellStyle name="Normal 155 4 2" xfId="3794" xr:uid="{00000000-0005-0000-0000-00009D050000}"/>
    <cellStyle name="Normal 155 5" xfId="1262" xr:uid="{00000000-0005-0000-0000-00009E050000}"/>
    <cellStyle name="Normal 155 5 2" xfId="2771" xr:uid="{00000000-0005-0000-0000-00009F050000}"/>
    <cellStyle name="Normal 155 6" xfId="1447" xr:uid="{00000000-0005-0000-0000-0000A0050000}"/>
    <cellStyle name="Normal 155 6 2" xfId="2201" xr:uid="{00000000-0005-0000-0000-0000A1050000}"/>
    <cellStyle name="Normal 155 7" xfId="1635" xr:uid="{00000000-0005-0000-0000-0000A2050000}"/>
    <cellStyle name="Normal 155 7 2" xfId="3062" xr:uid="{00000000-0005-0000-0000-0000A3050000}"/>
    <cellStyle name="Normal 155 8" xfId="1823" xr:uid="{00000000-0005-0000-0000-0000A4050000}"/>
    <cellStyle name="Normal 155 8 2" xfId="2335" xr:uid="{00000000-0005-0000-0000-0000A5050000}"/>
    <cellStyle name="Normal 155 9" xfId="2011" xr:uid="{00000000-0005-0000-0000-0000A6050000}"/>
    <cellStyle name="Normal 155 9 2" xfId="3971" xr:uid="{00000000-0005-0000-0000-0000A7050000}"/>
    <cellStyle name="Normal 156" xfId="173" xr:uid="{00000000-0005-0000-0000-0000A8050000}"/>
    <cellStyle name="Normal 156 10" xfId="2539" xr:uid="{00000000-0005-0000-0000-0000A9050000}"/>
    <cellStyle name="Normal 156 2" xfId="718" xr:uid="{00000000-0005-0000-0000-0000AA050000}"/>
    <cellStyle name="Normal 156 2 2" xfId="2668" xr:uid="{00000000-0005-0000-0000-0000AB050000}"/>
    <cellStyle name="Normal 156 3" xfId="900" xr:uid="{00000000-0005-0000-0000-0000AC050000}"/>
    <cellStyle name="Normal 156 3 2" xfId="2384" xr:uid="{00000000-0005-0000-0000-0000AD050000}"/>
    <cellStyle name="Normal 156 4" xfId="1082" xr:uid="{00000000-0005-0000-0000-0000AE050000}"/>
    <cellStyle name="Normal 156 4 2" xfId="3283" xr:uid="{00000000-0005-0000-0000-0000AF050000}"/>
    <cellStyle name="Normal 156 5" xfId="1265" xr:uid="{00000000-0005-0000-0000-0000B0050000}"/>
    <cellStyle name="Normal 156 5 2" xfId="2654" xr:uid="{00000000-0005-0000-0000-0000B1050000}"/>
    <cellStyle name="Normal 156 6" xfId="1450" xr:uid="{00000000-0005-0000-0000-0000B2050000}"/>
    <cellStyle name="Normal 156 6 2" xfId="3420" xr:uid="{00000000-0005-0000-0000-0000B3050000}"/>
    <cellStyle name="Normal 156 7" xfId="1638" xr:uid="{00000000-0005-0000-0000-0000B4050000}"/>
    <cellStyle name="Normal 156 7 2" xfId="2573" xr:uid="{00000000-0005-0000-0000-0000B5050000}"/>
    <cellStyle name="Normal 156 8" xfId="1826" xr:uid="{00000000-0005-0000-0000-0000B6050000}"/>
    <cellStyle name="Normal 156 8 2" xfId="2277" xr:uid="{00000000-0005-0000-0000-0000B7050000}"/>
    <cellStyle name="Normal 156 9" xfId="2014" xr:uid="{00000000-0005-0000-0000-0000B8050000}"/>
    <cellStyle name="Normal 156 9 2" xfId="3974" xr:uid="{00000000-0005-0000-0000-0000B9050000}"/>
    <cellStyle name="Normal 157" xfId="172" xr:uid="{00000000-0005-0000-0000-0000BA050000}"/>
    <cellStyle name="Normal 157 10" xfId="2706" xr:uid="{00000000-0005-0000-0000-0000BB050000}"/>
    <cellStyle name="Normal 157 2" xfId="717" xr:uid="{00000000-0005-0000-0000-0000BC050000}"/>
    <cellStyle name="Normal 157 2 2" xfId="2831" xr:uid="{00000000-0005-0000-0000-0000BD050000}"/>
    <cellStyle name="Normal 157 3" xfId="899" xr:uid="{00000000-0005-0000-0000-0000BE050000}"/>
    <cellStyle name="Normal 157 3 2" xfId="2415" xr:uid="{00000000-0005-0000-0000-0000BF050000}"/>
    <cellStyle name="Normal 157 4" xfId="1081" xr:uid="{00000000-0005-0000-0000-0000C0050000}"/>
    <cellStyle name="Normal 157 4 2" xfId="3455" xr:uid="{00000000-0005-0000-0000-0000C1050000}"/>
    <cellStyle name="Normal 157 5" xfId="1264" xr:uid="{00000000-0005-0000-0000-0000C2050000}"/>
    <cellStyle name="Normal 157 5 2" xfId="2218" xr:uid="{00000000-0005-0000-0000-0000C3050000}"/>
    <cellStyle name="Normal 157 6" xfId="1449" xr:uid="{00000000-0005-0000-0000-0000C4050000}"/>
    <cellStyle name="Normal 157 6 2" xfId="3590" xr:uid="{00000000-0005-0000-0000-0000C5050000}"/>
    <cellStyle name="Normal 157 7" xfId="1637" xr:uid="{00000000-0005-0000-0000-0000C6050000}"/>
    <cellStyle name="Normal 157 7 2" xfId="2736" xr:uid="{00000000-0005-0000-0000-0000C7050000}"/>
    <cellStyle name="Normal 157 8" xfId="1825" xr:uid="{00000000-0005-0000-0000-0000C8050000}"/>
    <cellStyle name="Normal 157 8 2" xfId="2331" xr:uid="{00000000-0005-0000-0000-0000C9050000}"/>
    <cellStyle name="Normal 157 9" xfId="2013" xr:uid="{00000000-0005-0000-0000-0000CA050000}"/>
    <cellStyle name="Normal 157 9 2" xfId="3973" xr:uid="{00000000-0005-0000-0000-0000CB050000}"/>
    <cellStyle name="Normal 158" xfId="171" xr:uid="{00000000-0005-0000-0000-0000CC050000}"/>
    <cellStyle name="Normal 158 10" xfId="2867" xr:uid="{00000000-0005-0000-0000-0000CD050000}"/>
    <cellStyle name="Normal 158 2" xfId="716" xr:uid="{00000000-0005-0000-0000-0000CE050000}"/>
    <cellStyle name="Normal 158 2 2" xfId="2993" xr:uid="{00000000-0005-0000-0000-0000CF050000}"/>
    <cellStyle name="Normal 158 3" xfId="898" xr:uid="{00000000-0005-0000-0000-0000D0050000}"/>
    <cellStyle name="Normal 158 3 2" xfId="2466" xr:uid="{00000000-0005-0000-0000-0000D1050000}"/>
    <cellStyle name="Normal 158 4" xfId="1080" xr:uid="{00000000-0005-0000-0000-0000D2050000}"/>
    <cellStyle name="Normal 158 4 2" xfId="3625" xr:uid="{00000000-0005-0000-0000-0000D3050000}"/>
    <cellStyle name="Normal 158 5" xfId="1263" xr:uid="{00000000-0005-0000-0000-0000D4050000}"/>
    <cellStyle name="Normal 158 5 2" xfId="2608" xr:uid="{00000000-0005-0000-0000-0000D5050000}"/>
    <cellStyle name="Normal 158 6" xfId="1448" xr:uid="{00000000-0005-0000-0000-0000D6050000}"/>
    <cellStyle name="Normal 158 6 2" xfId="3759" xr:uid="{00000000-0005-0000-0000-0000D7050000}"/>
    <cellStyle name="Normal 158 7" xfId="1636" xr:uid="{00000000-0005-0000-0000-0000D8050000}"/>
    <cellStyle name="Normal 158 7 2" xfId="2898" xr:uid="{00000000-0005-0000-0000-0000D9050000}"/>
    <cellStyle name="Normal 158 8" xfId="1824" xr:uid="{00000000-0005-0000-0000-0000DA050000}"/>
    <cellStyle name="Normal 158 8 2" xfId="2278" xr:uid="{00000000-0005-0000-0000-0000DB050000}"/>
    <cellStyle name="Normal 158 9" xfId="2012" xr:uid="{00000000-0005-0000-0000-0000DC050000}"/>
    <cellStyle name="Normal 158 9 2" xfId="3972" xr:uid="{00000000-0005-0000-0000-0000DD050000}"/>
    <cellStyle name="Normal 159" xfId="174" xr:uid="{00000000-0005-0000-0000-0000DE050000}"/>
    <cellStyle name="Normal 159 10" xfId="2150" xr:uid="{00000000-0005-0000-0000-0000DF050000}"/>
    <cellStyle name="Normal 159 2" xfId="719" xr:uid="{00000000-0005-0000-0000-0000E0050000}"/>
    <cellStyle name="Normal 159 2 2" xfId="2503" xr:uid="{00000000-0005-0000-0000-0000E1050000}"/>
    <cellStyle name="Normal 159 3" xfId="901" xr:uid="{00000000-0005-0000-0000-0000E2050000}"/>
    <cellStyle name="Normal 159 3 2" xfId="2382" xr:uid="{00000000-0005-0000-0000-0000E3050000}"/>
    <cellStyle name="Normal 159 4" xfId="1083" xr:uid="{00000000-0005-0000-0000-0000E4050000}"/>
    <cellStyle name="Normal 159 4 2" xfId="3114" xr:uid="{00000000-0005-0000-0000-0000E5050000}"/>
    <cellStyle name="Normal 159 5" xfId="1266" xr:uid="{00000000-0005-0000-0000-0000E6050000}"/>
    <cellStyle name="Normal 159 5 2" xfId="2489" xr:uid="{00000000-0005-0000-0000-0000E7050000}"/>
    <cellStyle name="Normal 159 6" xfId="1451" xr:uid="{00000000-0005-0000-0000-0000E8050000}"/>
    <cellStyle name="Normal 159 6 2" xfId="3248" xr:uid="{00000000-0005-0000-0000-0000E9050000}"/>
    <cellStyle name="Normal 159 7" xfId="1639" xr:uid="{00000000-0005-0000-0000-0000EA050000}"/>
    <cellStyle name="Normal 159 7 2" xfId="2183" xr:uid="{00000000-0005-0000-0000-0000EB050000}"/>
    <cellStyle name="Normal 159 8" xfId="1827" xr:uid="{00000000-0005-0000-0000-0000EC050000}"/>
    <cellStyle name="Normal 159 8 2" xfId="2321" xr:uid="{00000000-0005-0000-0000-0000ED050000}"/>
    <cellStyle name="Normal 159 9" xfId="2015" xr:uid="{00000000-0005-0000-0000-0000EE050000}"/>
    <cellStyle name="Normal 159 9 2" xfId="3975" xr:uid="{00000000-0005-0000-0000-0000EF050000}"/>
    <cellStyle name="Normal 16" xfId="30" xr:uid="{00000000-0005-0000-0000-0000F0050000}"/>
    <cellStyle name="Normal 16 10" xfId="941" xr:uid="{00000000-0005-0000-0000-0000F1050000}"/>
    <cellStyle name="Normal 16 10 2" xfId="3806" xr:uid="{00000000-0005-0000-0000-0000F2050000}"/>
    <cellStyle name="Normal 16 11" xfId="1124" xr:uid="{00000000-0005-0000-0000-0000F3050000}"/>
    <cellStyle name="Normal 16 11 2" xfId="3790" xr:uid="{00000000-0005-0000-0000-0000F4050000}"/>
    <cellStyle name="Normal 16 12" xfId="1309" xr:uid="{00000000-0005-0000-0000-0000F5050000}"/>
    <cellStyle name="Normal 16 12 2" xfId="3434" xr:uid="{00000000-0005-0000-0000-0000F6050000}"/>
    <cellStyle name="Normal 16 13" xfId="1497" xr:uid="{00000000-0005-0000-0000-0000F7050000}"/>
    <cellStyle name="Normal 16 13 2" xfId="2587" xr:uid="{00000000-0005-0000-0000-0000F8050000}"/>
    <cellStyle name="Normal 16 14" xfId="1685" xr:uid="{00000000-0005-0000-0000-0000F9050000}"/>
    <cellStyle name="Normal 16 14 2" xfId="2650" xr:uid="{00000000-0005-0000-0000-0000FA050000}"/>
    <cellStyle name="Normal 16 15" xfId="1873" xr:uid="{00000000-0005-0000-0000-0000FB050000}"/>
    <cellStyle name="Normal 16 15 2" xfId="3833" xr:uid="{00000000-0005-0000-0000-0000FC050000}"/>
    <cellStyle name="Normal 16 16" xfId="2719" xr:uid="{00000000-0005-0000-0000-0000FD050000}"/>
    <cellStyle name="Normal 16 2" xfId="370" xr:uid="{00000000-0005-0000-0000-0000FE050000}"/>
    <cellStyle name="Normal 16 2 2" xfId="2292" xr:uid="{00000000-0005-0000-0000-0000FF050000}"/>
    <cellStyle name="Normal 16 3" xfId="437" xr:uid="{00000000-0005-0000-0000-000000060000}"/>
    <cellStyle name="Normal 16 3 2" xfId="3697" xr:uid="{00000000-0005-0000-0000-000001060000}"/>
    <cellStyle name="Normal 16 4" xfId="459" xr:uid="{00000000-0005-0000-0000-000002060000}"/>
    <cellStyle name="Normal 16 4 2" xfId="3014" xr:uid="{00000000-0005-0000-0000-000003060000}"/>
    <cellStyle name="Normal 16 5" xfId="476" xr:uid="{00000000-0005-0000-0000-000004060000}"/>
    <cellStyle name="Normal 16 5 2" xfId="2385" xr:uid="{00000000-0005-0000-0000-000005060000}"/>
    <cellStyle name="Normal 16 6" xfId="509" xr:uid="{00000000-0005-0000-0000-000006060000}"/>
    <cellStyle name="Normal 16 6 2" xfId="2130" xr:uid="{00000000-0005-0000-0000-000007060000}"/>
    <cellStyle name="Normal 16 7" xfId="548" xr:uid="{00000000-0005-0000-0000-000008060000}"/>
    <cellStyle name="Normal 16 7 2" xfId="3346" xr:uid="{00000000-0005-0000-0000-000009060000}"/>
    <cellStyle name="Normal 16 8" xfId="577" xr:uid="{00000000-0005-0000-0000-00000A060000}"/>
    <cellStyle name="Normal 16 8 2" xfId="3003" xr:uid="{00000000-0005-0000-0000-00000B060000}"/>
    <cellStyle name="Normal 16 9" xfId="759" xr:uid="{00000000-0005-0000-0000-00000C060000}"/>
    <cellStyle name="Normal 16 9 2" xfId="3158" xr:uid="{00000000-0005-0000-0000-00000D060000}"/>
    <cellStyle name="Normal 160" xfId="175" xr:uid="{00000000-0005-0000-0000-00000E060000}"/>
    <cellStyle name="Normal 160 10" xfId="3709" xr:uid="{00000000-0005-0000-0000-00000F060000}"/>
    <cellStyle name="Normal 160 2" xfId="720" xr:uid="{00000000-0005-0000-0000-000010060000}"/>
    <cellStyle name="Normal 160 2 2" xfId="2112" xr:uid="{00000000-0005-0000-0000-000011060000}"/>
    <cellStyle name="Normal 160 3" xfId="902" xr:uid="{00000000-0005-0000-0000-000012060000}"/>
    <cellStyle name="Normal 160 3 2" xfId="2362" xr:uid="{00000000-0005-0000-0000-000013060000}"/>
    <cellStyle name="Normal 160 4" xfId="1084" xr:uid="{00000000-0005-0000-0000-000014060000}"/>
    <cellStyle name="Normal 160 4 2" xfId="2950" xr:uid="{00000000-0005-0000-0000-000015060000}"/>
    <cellStyle name="Normal 160 5" xfId="1267" xr:uid="{00000000-0005-0000-0000-000016060000}"/>
    <cellStyle name="Normal 160 5 2" xfId="2462" xr:uid="{00000000-0005-0000-0000-000017060000}"/>
    <cellStyle name="Normal 160 6" xfId="1452" xr:uid="{00000000-0005-0000-0000-000018060000}"/>
    <cellStyle name="Normal 160 6 2" xfId="3079" xr:uid="{00000000-0005-0000-0000-000019060000}"/>
    <cellStyle name="Normal 160 7" xfId="1640" xr:uid="{00000000-0005-0000-0000-00001A060000}"/>
    <cellStyle name="Normal 160 7 2" xfId="3741" xr:uid="{00000000-0005-0000-0000-00001B060000}"/>
    <cellStyle name="Normal 160 8" xfId="1828" xr:uid="{00000000-0005-0000-0000-00001C060000}"/>
    <cellStyle name="Normal 160 8 2" xfId="2276" xr:uid="{00000000-0005-0000-0000-00001D060000}"/>
    <cellStyle name="Normal 160 9" xfId="2016" xr:uid="{00000000-0005-0000-0000-00001E060000}"/>
    <cellStyle name="Normal 160 9 2" xfId="3976" xr:uid="{00000000-0005-0000-0000-00001F060000}"/>
    <cellStyle name="Normal 161" xfId="176" xr:uid="{00000000-0005-0000-0000-000020060000}"/>
    <cellStyle name="Normal 161 10" xfId="3541" xr:uid="{00000000-0005-0000-0000-000021060000}"/>
    <cellStyle name="Normal 161 2" xfId="721" xr:uid="{00000000-0005-0000-0000-000022060000}"/>
    <cellStyle name="Normal 161 2 2" xfId="2449" xr:uid="{00000000-0005-0000-0000-000023060000}"/>
    <cellStyle name="Normal 161 3" xfId="903" xr:uid="{00000000-0005-0000-0000-000024060000}"/>
    <cellStyle name="Normal 161 3 2" xfId="2286" xr:uid="{00000000-0005-0000-0000-000025060000}"/>
    <cellStyle name="Normal 161 4" xfId="1085" xr:uid="{00000000-0005-0000-0000-000026060000}"/>
    <cellStyle name="Normal 161 4 2" xfId="2788" xr:uid="{00000000-0005-0000-0000-000027060000}"/>
    <cellStyle name="Normal 161 5" xfId="1268" xr:uid="{00000000-0005-0000-0000-000028060000}"/>
    <cellStyle name="Normal 161 5 2" xfId="2429" xr:uid="{00000000-0005-0000-0000-000029060000}"/>
    <cellStyle name="Normal 161 6" xfId="1453" xr:uid="{00000000-0005-0000-0000-00002A060000}"/>
    <cellStyle name="Normal 161 6 2" xfId="2915" xr:uid="{00000000-0005-0000-0000-00002B060000}"/>
    <cellStyle name="Normal 161 7" xfId="1641" xr:uid="{00000000-0005-0000-0000-00002C060000}"/>
    <cellStyle name="Normal 161 7 2" xfId="3572" xr:uid="{00000000-0005-0000-0000-00002D060000}"/>
    <cellStyle name="Normal 161 8" xfId="1829" xr:uid="{00000000-0005-0000-0000-00002E060000}"/>
    <cellStyle name="Normal 161 8 2" xfId="2324" xr:uid="{00000000-0005-0000-0000-00002F060000}"/>
    <cellStyle name="Normal 161 9" xfId="2017" xr:uid="{00000000-0005-0000-0000-000030060000}"/>
    <cellStyle name="Normal 161 9 2" xfId="3977" xr:uid="{00000000-0005-0000-0000-000031060000}"/>
    <cellStyle name="Normal 162" xfId="177" xr:uid="{00000000-0005-0000-0000-000032060000}"/>
    <cellStyle name="Normal 162 10" xfId="3371" xr:uid="{00000000-0005-0000-0000-000033060000}"/>
    <cellStyle name="Normal 162 2" xfId="722" xr:uid="{00000000-0005-0000-0000-000034060000}"/>
    <cellStyle name="Normal 162 2 2" xfId="2444" xr:uid="{00000000-0005-0000-0000-000035060000}"/>
    <cellStyle name="Normal 162 3" xfId="904" xr:uid="{00000000-0005-0000-0000-000036060000}"/>
    <cellStyle name="Normal 162 3 2" xfId="2422" xr:uid="{00000000-0005-0000-0000-000037060000}"/>
    <cellStyle name="Normal 162 4" xfId="1086" xr:uid="{00000000-0005-0000-0000-000038060000}"/>
    <cellStyle name="Normal 162 4 2" xfId="2625" xr:uid="{00000000-0005-0000-0000-000039060000}"/>
    <cellStyle name="Normal 162 5" xfId="1269" xr:uid="{00000000-0005-0000-0000-00003A060000}"/>
    <cellStyle name="Normal 162 5 2" xfId="2397" xr:uid="{00000000-0005-0000-0000-00003B060000}"/>
    <cellStyle name="Normal 162 6" xfId="1454" xr:uid="{00000000-0005-0000-0000-00003C060000}"/>
    <cellStyle name="Normal 162 6 2" xfId="2753" xr:uid="{00000000-0005-0000-0000-00003D060000}"/>
    <cellStyle name="Normal 162 7" xfId="1642" xr:uid="{00000000-0005-0000-0000-00003E060000}"/>
    <cellStyle name="Normal 162 7 2" xfId="3402" xr:uid="{00000000-0005-0000-0000-00003F060000}"/>
    <cellStyle name="Normal 162 8" xfId="1830" xr:uid="{00000000-0005-0000-0000-000040060000}"/>
    <cellStyle name="Normal 162 8 2" xfId="2275" xr:uid="{00000000-0005-0000-0000-000041060000}"/>
    <cellStyle name="Normal 162 9" xfId="2018" xr:uid="{00000000-0005-0000-0000-000042060000}"/>
    <cellStyle name="Normal 162 9 2" xfId="3978" xr:uid="{00000000-0005-0000-0000-000043060000}"/>
    <cellStyle name="Normal 163" xfId="178" xr:uid="{00000000-0005-0000-0000-000044060000}"/>
    <cellStyle name="Normal 163 10" xfId="3198" xr:uid="{00000000-0005-0000-0000-000045060000}"/>
    <cellStyle name="Normal 163 2" xfId="723" xr:uid="{00000000-0005-0000-0000-000046060000}"/>
    <cellStyle name="Normal 163 2 2" xfId="2412" xr:uid="{00000000-0005-0000-0000-000047060000}"/>
    <cellStyle name="Normal 163 3" xfId="905" xr:uid="{00000000-0005-0000-0000-000048060000}"/>
    <cellStyle name="Normal 163 3 2" xfId="2391" xr:uid="{00000000-0005-0000-0000-000049060000}"/>
    <cellStyle name="Normal 163 4" xfId="1087" xr:uid="{00000000-0005-0000-0000-00004A060000}"/>
    <cellStyle name="Normal 163 4 2" xfId="2235" xr:uid="{00000000-0005-0000-0000-00004B060000}"/>
    <cellStyle name="Normal 163 5" xfId="1270" xr:uid="{00000000-0005-0000-0000-00004C060000}"/>
    <cellStyle name="Normal 163 5 2" xfId="2378" xr:uid="{00000000-0005-0000-0000-00004D060000}"/>
    <cellStyle name="Normal 163 6" xfId="1455" xr:uid="{00000000-0005-0000-0000-00004E060000}"/>
    <cellStyle name="Normal 163 6 2" xfId="2590" xr:uid="{00000000-0005-0000-0000-00004F060000}"/>
    <cellStyle name="Normal 163 7" xfId="1643" xr:uid="{00000000-0005-0000-0000-000050060000}"/>
    <cellStyle name="Normal 163 7 2" xfId="3230" xr:uid="{00000000-0005-0000-0000-000051060000}"/>
    <cellStyle name="Normal 163 8" xfId="1831" xr:uid="{00000000-0005-0000-0000-000052060000}"/>
    <cellStyle name="Normal 163 8 2" xfId="2319" xr:uid="{00000000-0005-0000-0000-000053060000}"/>
    <cellStyle name="Normal 163 9" xfId="2019" xr:uid="{00000000-0005-0000-0000-000054060000}"/>
    <cellStyle name="Normal 163 9 2" xfId="3979" xr:uid="{00000000-0005-0000-0000-000055060000}"/>
    <cellStyle name="Normal 164" xfId="179" xr:uid="{00000000-0005-0000-0000-000056060000}"/>
    <cellStyle name="Normal 164 10" xfId="3029" xr:uid="{00000000-0005-0000-0000-000057060000}"/>
    <cellStyle name="Normal 164 2" xfId="724" xr:uid="{00000000-0005-0000-0000-000058060000}"/>
    <cellStyle name="Normal 164 2 2" xfId="2366" xr:uid="{00000000-0005-0000-0000-000059060000}"/>
    <cellStyle name="Normal 164 3" xfId="906" xr:uid="{00000000-0005-0000-0000-00005A060000}"/>
    <cellStyle name="Normal 164 3 2" xfId="2293" xr:uid="{00000000-0005-0000-0000-00005B060000}"/>
    <cellStyle name="Normal 164 4" xfId="1088" xr:uid="{00000000-0005-0000-0000-00005C060000}"/>
    <cellStyle name="Normal 164 4 2" xfId="3793" xr:uid="{00000000-0005-0000-0000-00005D060000}"/>
    <cellStyle name="Normal 164 5" xfId="1271" xr:uid="{00000000-0005-0000-0000-00005E060000}"/>
    <cellStyle name="Normal 164 5 2" xfId="2358" xr:uid="{00000000-0005-0000-0000-00005F060000}"/>
    <cellStyle name="Normal 164 6" xfId="1456" xr:uid="{00000000-0005-0000-0000-000060060000}"/>
    <cellStyle name="Normal 164 6 2" xfId="2200" xr:uid="{00000000-0005-0000-0000-000061060000}"/>
    <cellStyle name="Normal 164 7" xfId="1644" xr:uid="{00000000-0005-0000-0000-000062060000}"/>
    <cellStyle name="Normal 164 7 2" xfId="3061" xr:uid="{00000000-0005-0000-0000-000063060000}"/>
    <cellStyle name="Normal 164 8" xfId="1832" xr:uid="{00000000-0005-0000-0000-000064060000}"/>
    <cellStyle name="Normal 164 8 2" xfId="2274" xr:uid="{00000000-0005-0000-0000-000065060000}"/>
    <cellStyle name="Normal 164 9" xfId="2020" xr:uid="{00000000-0005-0000-0000-000066060000}"/>
    <cellStyle name="Normal 164 9 2" xfId="3980" xr:uid="{00000000-0005-0000-0000-000067060000}"/>
    <cellStyle name="Normal 165" xfId="36" xr:uid="{00000000-0005-0000-0000-000068060000}"/>
    <cellStyle name="Normal 165 10" xfId="3385" xr:uid="{00000000-0005-0000-0000-000069060000}"/>
    <cellStyle name="Normal 165 2" xfId="582" xr:uid="{00000000-0005-0000-0000-00006A060000}"/>
    <cellStyle name="Normal 165 2 2" xfId="2478" xr:uid="{00000000-0005-0000-0000-00006B060000}"/>
    <cellStyle name="Normal 165 3" xfId="764" xr:uid="{00000000-0005-0000-0000-00006C060000}"/>
    <cellStyle name="Normal 165 3 2" xfId="2470" xr:uid="{00000000-0005-0000-0000-00006D060000}"/>
    <cellStyle name="Normal 165 4" xfId="946" xr:uid="{00000000-0005-0000-0000-00006E060000}"/>
    <cellStyle name="Normal 165 4 2" xfId="2962" xr:uid="{00000000-0005-0000-0000-00006F060000}"/>
    <cellStyle name="Normal 165 5" xfId="1129" xr:uid="{00000000-0005-0000-0000-000070060000}"/>
    <cellStyle name="Normal 165 5 2" xfId="2946" xr:uid="{00000000-0005-0000-0000-000071060000}"/>
    <cellStyle name="Normal 165 6" xfId="1314" xr:uid="{00000000-0005-0000-0000-000072060000}"/>
    <cellStyle name="Normal 165 6 2" xfId="2604" xr:uid="{00000000-0005-0000-0000-000073060000}"/>
    <cellStyle name="Normal 165 7" xfId="1502" xr:uid="{00000000-0005-0000-0000-000074060000}"/>
    <cellStyle name="Normal 165 7 2" xfId="3244" xr:uid="{00000000-0005-0000-0000-000075060000}"/>
    <cellStyle name="Normal 165 8" xfId="1690" xr:uid="{00000000-0005-0000-0000-000076060000}"/>
    <cellStyle name="Normal 165 8 2" xfId="2374" xr:uid="{00000000-0005-0000-0000-000077060000}"/>
    <cellStyle name="Normal 165 9" xfId="1878" xr:uid="{00000000-0005-0000-0000-000078060000}"/>
    <cellStyle name="Normal 165 9 2" xfId="3838" xr:uid="{00000000-0005-0000-0000-000079060000}"/>
    <cellStyle name="Normal 166" xfId="180" xr:uid="{00000000-0005-0000-0000-00007A060000}"/>
    <cellStyle name="Normal 166 10" xfId="2866" xr:uid="{00000000-0005-0000-0000-00007B060000}"/>
    <cellStyle name="Normal 166 2" xfId="725" xr:uid="{00000000-0005-0000-0000-00007C060000}"/>
    <cellStyle name="Normal 166 2 2" xfId="2345" xr:uid="{00000000-0005-0000-0000-00007D060000}"/>
    <cellStyle name="Normal 166 3" xfId="907" xr:uid="{00000000-0005-0000-0000-00007E060000}"/>
    <cellStyle name="Normal 166 3 2" xfId="3664" xr:uid="{00000000-0005-0000-0000-00007F060000}"/>
    <cellStyle name="Normal 166 4" xfId="1089" xr:uid="{00000000-0005-0000-0000-000080060000}"/>
    <cellStyle name="Normal 166 4 2" xfId="3624" xr:uid="{00000000-0005-0000-0000-000081060000}"/>
    <cellStyle name="Normal 166 5" xfId="1272" xr:uid="{00000000-0005-0000-0000-000082060000}"/>
    <cellStyle name="Normal 166 5 2" xfId="2300" xr:uid="{00000000-0005-0000-0000-000083060000}"/>
    <cellStyle name="Normal 166 6" xfId="1457" xr:uid="{00000000-0005-0000-0000-000084060000}"/>
    <cellStyle name="Normal 166 6 2" xfId="3758" xr:uid="{00000000-0005-0000-0000-000085060000}"/>
    <cellStyle name="Normal 166 7" xfId="1645" xr:uid="{00000000-0005-0000-0000-000086060000}"/>
    <cellStyle name="Normal 166 7 2" xfId="2897" xr:uid="{00000000-0005-0000-0000-000087060000}"/>
    <cellStyle name="Normal 166 8" xfId="1833" xr:uid="{00000000-0005-0000-0000-000088060000}"/>
    <cellStyle name="Normal 166 8 2" xfId="2318" xr:uid="{00000000-0005-0000-0000-000089060000}"/>
    <cellStyle name="Normal 166 9" xfId="2021" xr:uid="{00000000-0005-0000-0000-00008A060000}"/>
    <cellStyle name="Normal 166 9 2" xfId="3981" xr:uid="{00000000-0005-0000-0000-00008B060000}"/>
    <cellStyle name="Normal 167" xfId="181" xr:uid="{00000000-0005-0000-0000-00008C060000}"/>
    <cellStyle name="Normal 167 10" xfId="2705" xr:uid="{00000000-0005-0000-0000-00008D060000}"/>
    <cellStyle name="Normal 167 2" xfId="726" xr:uid="{00000000-0005-0000-0000-00008E060000}"/>
    <cellStyle name="Normal 167 2 2" xfId="2315" xr:uid="{00000000-0005-0000-0000-00008F060000}"/>
    <cellStyle name="Normal 167 3" xfId="908" xr:uid="{00000000-0005-0000-0000-000090060000}"/>
    <cellStyle name="Normal 167 3 2" xfId="3494" xr:uid="{00000000-0005-0000-0000-000091060000}"/>
    <cellStyle name="Normal 167 4" xfId="1090" xr:uid="{00000000-0005-0000-0000-000092060000}"/>
    <cellStyle name="Normal 167 4 2" xfId="3454" xr:uid="{00000000-0005-0000-0000-000093060000}"/>
    <cellStyle name="Normal 167 5" xfId="1273" xr:uid="{00000000-0005-0000-0000-000094060000}"/>
    <cellStyle name="Normal 167 5 2" xfId="3660" xr:uid="{00000000-0005-0000-0000-000095060000}"/>
    <cellStyle name="Normal 167 6" xfId="1458" xr:uid="{00000000-0005-0000-0000-000096060000}"/>
    <cellStyle name="Normal 167 6 2" xfId="3589" xr:uid="{00000000-0005-0000-0000-000097060000}"/>
    <cellStyle name="Normal 167 7" xfId="1646" xr:uid="{00000000-0005-0000-0000-000098060000}"/>
    <cellStyle name="Normal 167 7 2" xfId="2735" xr:uid="{00000000-0005-0000-0000-000099060000}"/>
    <cellStyle name="Normal 167 8" xfId="1834" xr:uid="{00000000-0005-0000-0000-00009A060000}"/>
    <cellStyle name="Normal 167 8 2" xfId="2273" xr:uid="{00000000-0005-0000-0000-00009B060000}"/>
    <cellStyle name="Normal 167 9" xfId="2022" xr:uid="{00000000-0005-0000-0000-00009C060000}"/>
    <cellStyle name="Normal 167 9 2" xfId="3982" xr:uid="{00000000-0005-0000-0000-00009D060000}"/>
    <cellStyle name="Normal 168" xfId="182" xr:uid="{00000000-0005-0000-0000-00009E060000}"/>
    <cellStyle name="Normal 168 10" xfId="2538" xr:uid="{00000000-0005-0000-0000-00009F060000}"/>
    <cellStyle name="Normal 168 2" xfId="727" xr:uid="{00000000-0005-0000-0000-0000A0060000}"/>
    <cellStyle name="Normal 168 2 2" xfId="2280" xr:uid="{00000000-0005-0000-0000-0000A1060000}"/>
    <cellStyle name="Normal 168 3" xfId="909" xr:uid="{00000000-0005-0000-0000-0000A2060000}"/>
    <cellStyle name="Normal 168 3 2" xfId="3323" xr:uid="{00000000-0005-0000-0000-0000A3060000}"/>
    <cellStyle name="Normal 168 4" xfId="1091" xr:uid="{00000000-0005-0000-0000-0000A4060000}"/>
    <cellStyle name="Normal 168 4 2" xfId="3282" xr:uid="{00000000-0005-0000-0000-0000A5060000}"/>
    <cellStyle name="Normal 168 5" xfId="1274" xr:uid="{00000000-0005-0000-0000-0000A6060000}"/>
    <cellStyle name="Normal 168 5 2" xfId="3490" xr:uid="{00000000-0005-0000-0000-0000A7060000}"/>
    <cellStyle name="Normal 168 6" xfId="1459" xr:uid="{00000000-0005-0000-0000-0000A8060000}"/>
    <cellStyle name="Normal 168 6 2" xfId="3419" xr:uid="{00000000-0005-0000-0000-0000A9060000}"/>
    <cellStyle name="Normal 168 7" xfId="1647" xr:uid="{00000000-0005-0000-0000-0000AA060000}"/>
    <cellStyle name="Normal 168 7 2" xfId="2572" xr:uid="{00000000-0005-0000-0000-0000AB060000}"/>
    <cellStyle name="Normal 168 8" xfId="1835" xr:uid="{00000000-0005-0000-0000-0000AC060000}"/>
    <cellStyle name="Normal 168 8 2" xfId="2327" xr:uid="{00000000-0005-0000-0000-0000AD060000}"/>
    <cellStyle name="Normal 168 9" xfId="2023" xr:uid="{00000000-0005-0000-0000-0000AE060000}"/>
    <cellStyle name="Normal 168 9 2" xfId="3983" xr:uid="{00000000-0005-0000-0000-0000AF060000}"/>
    <cellStyle name="Normal 169" xfId="183" xr:uid="{00000000-0005-0000-0000-0000B0060000}"/>
    <cellStyle name="Normal 169 10" xfId="2149" xr:uid="{00000000-0005-0000-0000-0000B1060000}"/>
    <cellStyle name="Normal 169 2" xfId="728" xr:uid="{00000000-0005-0000-0000-0000B2060000}"/>
    <cellStyle name="Normal 169 2 2" xfId="3648" xr:uid="{00000000-0005-0000-0000-0000B3060000}"/>
    <cellStyle name="Normal 169 3" xfId="910" xr:uid="{00000000-0005-0000-0000-0000B4060000}"/>
    <cellStyle name="Normal 169 3 2" xfId="3151" xr:uid="{00000000-0005-0000-0000-0000B5060000}"/>
    <cellStyle name="Normal 169 4" xfId="1092" xr:uid="{00000000-0005-0000-0000-0000B6060000}"/>
    <cellStyle name="Normal 169 4 2" xfId="3113" xr:uid="{00000000-0005-0000-0000-0000B7060000}"/>
    <cellStyle name="Normal 169 5" xfId="1275" xr:uid="{00000000-0005-0000-0000-0000B8060000}"/>
    <cellStyle name="Normal 169 5 2" xfId="3319" xr:uid="{00000000-0005-0000-0000-0000B9060000}"/>
    <cellStyle name="Normal 169 6" xfId="1460" xr:uid="{00000000-0005-0000-0000-0000BA060000}"/>
    <cellStyle name="Normal 169 6 2" xfId="3247" xr:uid="{00000000-0005-0000-0000-0000BB060000}"/>
    <cellStyle name="Normal 169 7" xfId="1648" xr:uid="{00000000-0005-0000-0000-0000BC060000}"/>
    <cellStyle name="Normal 169 7 2" xfId="2182" xr:uid="{00000000-0005-0000-0000-0000BD060000}"/>
    <cellStyle name="Normal 169 8" xfId="1836" xr:uid="{00000000-0005-0000-0000-0000BE060000}"/>
    <cellStyle name="Normal 169 8 2" xfId="2260" xr:uid="{00000000-0005-0000-0000-0000BF060000}"/>
    <cellStyle name="Normal 169 9" xfId="2024" xr:uid="{00000000-0005-0000-0000-0000C0060000}"/>
    <cellStyle name="Normal 169 9 2" xfId="3984" xr:uid="{00000000-0005-0000-0000-0000C1060000}"/>
    <cellStyle name="Normal 17" xfId="31" xr:uid="{00000000-0005-0000-0000-0000C2060000}"/>
    <cellStyle name="Normal 17 10" xfId="942" xr:uid="{00000000-0005-0000-0000-0000C3060000}"/>
    <cellStyle name="Normal 17 10 2" xfId="3637" xr:uid="{00000000-0005-0000-0000-0000C4060000}"/>
    <cellStyle name="Normal 17 11" xfId="1125" xr:uid="{00000000-0005-0000-0000-0000C5060000}"/>
    <cellStyle name="Normal 17 11 2" xfId="3621" xr:uid="{00000000-0005-0000-0000-0000C6060000}"/>
    <cellStyle name="Normal 17 12" xfId="1310" xr:uid="{00000000-0005-0000-0000-0000C7060000}"/>
    <cellStyle name="Normal 17 12 2" xfId="3262" xr:uid="{00000000-0005-0000-0000-0000C8060000}"/>
    <cellStyle name="Normal 17 13" xfId="1498" xr:uid="{00000000-0005-0000-0000-0000C9060000}"/>
    <cellStyle name="Normal 17 13 2" xfId="2197" xr:uid="{00000000-0005-0000-0000-0000CA060000}"/>
    <cellStyle name="Normal 17 14" xfId="1686" xr:uid="{00000000-0005-0000-0000-0000CB060000}"/>
    <cellStyle name="Normal 17 14 2" xfId="2485" xr:uid="{00000000-0005-0000-0000-0000CC060000}"/>
    <cellStyle name="Normal 17 15" xfId="1874" xr:uid="{00000000-0005-0000-0000-0000CD060000}"/>
    <cellStyle name="Normal 17 15 2" xfId="3834" xr:uid="{00000000-0005-0000-0000-0000CE060000}"/>
    <cellStyle name="Normal 17 16" xfId="2554" xr:uid="{00000000-0005-0000-0000-0000CF060000}"/>
    <cellStyle name="Normal 17 2" xfId="375" xr:uid="{00000000-0005-0000-0000-0000D0060000}"/>
    <cellStyle name="Normal 17 2 2" xfId="3476" xr:uid="{00000000-0005-0000-0000-0000D1060000}"/>
    <cellStyle name="Normal 17 3" xfId="438" xr:uid="{00000000-0005-0000-0000-0000D2060000}"/>
    <cellStyle name="Normal 17 3 2" xfId="3527" xr:uid="{00000000-0005-0000-0000-0000D3060000}"/>
    <cellStyle name="Normal 17 4" xfId="460" xr:uid="{00000000-0005-0000-0000-0000D4060000}"/>
    <cellStyle name="Normal 17 4 2" xfId="2852" xr:uid="{00000000-0005-0000-0000-0000D5060000}"/>
    <cellStyle name="Normal 17 5" xfId="480" xr:uid="{00000000-0005-0000-0000-0000D6060000}"/>
    <cellStyle name="Normal 17 5 2" xfId="2425" xr:uid="{00000000-0005-0000-0000-0000D7060000}"/>
    <cellStyle name="Normal 17 6" xfId="513" xr:uid="{00000000-0005-0000-0000-0000D8060000}"/>
    <cellStyle name="Normal 17 6 2" xfId="3178" xr:uid="{00000000-0005-0000-0000-0000D9060000}"/>
    <cellStyle name="Normal 17 7" xfId="549" xr:uid="{00000000-0005-0000-0000-0000DA060000}"/>
    <cellStyle name="Normal 17 7 2" xfId="3174" xr:uid="{00000000-0005-0000-0000-0000DB060000}"/>
    <cellStyle name="Normal 17 8" xfId="578" xr:uid="{00000000-0005-0000-0000-0000DC060000}"/>
    <cellStyle name="Normal 17 8 2" xfId="2841" xr:uid="{00000000-0005-0000-0000-0000DD060000}"/>
    <cellStyle name="Normal 17 9" xfId="760" xr:uid="{00000000-0005-0000-0000-0000DE060000}"/>
    <cellStyle name="Normal 17 9 2" xfId="2990" xr:uid="{00000000-0005-0000-0000-0000DF060000}"/>
    <cellStyle name="Normal 170" xfId="184" xr:uid="{00000000-0005-0000-0000-0000E0060000}"/>
    <cellStyle name="Normal 170 10" xfId="3708" xr:uid="{00000000-0005-0000-0000-0000E1060000}"/>
    <cellStyle name="Normal 170 2" xfId="729" xr:uid="{00000000-0005-0000-0000-0000E2060000}"/>
    <cellStyle name="Normal 170 2 2" xfId="3478" xr:uid="{00000000-0005-0000-0000-0000E3060000}"/>
    <cellStyle name="Normal 170 3" xfId="911" xr:uid="{00000000-0005-0000-0000-0000E4060000}"/>
    <cellStyle name="Normal 170 3 2" xfId="2983" xr:uid="{00000000-0005-0000-0000-0000E5060000}"/>
    <cellStyle name="Normal 170 4" xfId="1093" xr:uid="{00000000-0005-0000-0000-0000E6060000}"/>
    <cellStyle name="Normal 170 4 2" xfId="2949" xr:uid="{00000000-0005-0000-0000-0000E7060000}"/>
    <cellStyle name="Normal 170 5" xfId="1276" xr:uid="{00000000-0005-0000-0000-0000E8060000}"/>
    <cellStyle name="Normal 170 5 2" xfId="3147" xr:uid="{00000000-0005-0000-0000-0000E9060000}"/>
    <cellStyle name="Normal 170 6" xfId="1461" xr:uid="{00000000-0005-0000-0000-0000EA060000}"/>
    <cellStyle name="Normal 170 6 2" xfId="3078" xr:uid="{00000000-0005-0000-0000-0000EB060000}"/>
    <cellStyle name="Normal 170 7" xfId="1649" xr:uid="{00000000-0005-0000-0000-0000EC060000}"/>
    <cellStyle name="Normal 170 7 2" xfId="3740" xr:uid="{00000000-0005-0000-0000-0000ED060000}"/>
    <cellStyle name="Normal 170 8" xfId="1837" xr:uid="{00000000-0005-0000-0000-0000EE060000}"/>
    <cellStyle name="Normal 170 8 2" xfId="2325" xr:uid="{00000000-0005-0000-0000-0000EF060000}"/>
    <cellStyle name="Normal 170 9" xfId="2025" xr:uid="{00000000-0005-0000-0000-0000F0060000}"/>
    <cellStyle name="Normal 170 9 2" xfId="3985" xr:uid="{00000000-0005-0000-0000-0000F1060000}"/>
    <cellStyle name="Normal 171" xfId="185" xr:uid="{00000000-0005-0000-0000-0000F2060000}"/>
    <cellStyle name="Normal 171 10" xfId="3540" xr:uid="{00000000-0005-0000-0000-0000F3060000}"/>
    <cellStyle name="Normal 171 2" xfId="730" xr:uid="{00000000-0005-0000-0000-0000F4060000}"/>
    <cellStyle name="Normal 171 2 2" xfId="3306" xr:uid="{00000000-0005-0000-0000-0000F5060000}"/>
    <cellStyle name="Normal 171 3" xfId="912" xr:uid="{00000000-0005-0000-0000-0000F6060000}"/>
    <cellStyle name="Normal 171 3 2" xfId="2821" xr:uid="{00000000-0005-0000-0000-0000F7060000}"/>
    <cellStyle name="Normal 171 4" xfId="1094" xr:uid="{00000000-0005-0000-0000-0000F8060000}"/>
    <cellStyle name="Normal 171 4 2" xfId="2787" xr:uid="{00000000-0005-0000-0000-0000F9060000}"/>
    <cellStyle name="Normal 171 5" xfId="1277" xr:uid="{00000000-0005-0000-0000-0000FA060000}"/>
    <cellStyle name="Normal 171 5 2" xfId="2979" xr:uid="{00000000-0005-0000-0000-0000FB060000}"/>
    <cellStyle name="Normal 171 6" xfId="1462" xr:uid="{00000000-0005-0000-0000-0000FC060000}"/>
    <cellStyle name="Normal 171 6 2" xfId="2914" xr:uid="{00000000-0005-0000-0000-0000FD060000}"/>
    <cellStyle name="Normal 171 7" xfId="1650" xr:uid="{00000000-0005-0000-0000-0000FE060000}"/>
    <cellStyle name="Normal 171 7 2" xfId="3571" xr:uid="{00000000-0005-0000-0000-0000FF060000}"/>
    <cellStyle name="Normal 171 8" xfId="1838" xr:uid="{00000000-0005-0000-0000-000000070000}"/>
    <cellStyle name="Normal 171 8 2" xfId="2259" xr:uid="{00000000-0005-0000-0000-000001070000}"/>
    <cellStyle name="Normal 171 9" xfId="2026" xr:uid="{00000000-0005-0000-0000-000002070000}"/>
    <cellStyle name="Normal 171 9 2" xfId="3986" xr:uid="{00000000-0005-0000-0000-000003070000}"/>
    <cellStyle name="Normal 172" xfId="186" xr:uid="{00000000-0005-0000-0000-000004070000}"/>
    <cellStyle name="Normal 172 10" xfId="3370" xr:uid="{00000000-0005-0000-0000-000005070000}"/>
    <cellStyle name="Normal 172 2" xfId="731" xr:uid="{00000000-0005-0000-0000-000006070000}"/>
    <cellStyle name="Normal 172 2 2" xfId="3134" xr:uid="{00000000-0005-0000-0000-000007070000}"/>
    <cellStyle name="Normal 172 3" xfId="913" xr:uid="{00000000-0005-0000-0000-000008070000}"/>
    <cellStyle name="Normal 172 3 2" xfId="2658" xr:uid="{00000000-0005-0000-0000-000009070000}"/>
    <cellStyle name="Normal 172 4" xfId="1095" xr:uid="{00000000-0005-0000-0000-00000A070000}"/>
    <cellStyle name="Normal 172 4 2" xfId="2624" xr:uid="{00000000-0005-0000-0000-00000B070000}"/>
    <cellStyle name="Normal 172 5" xfId="1278" xr:uid="{00000000-0005-0000-0000-00000C070000}"/>
    <cellStyle name="Normal 172 5 2" xfId="2817" xr:uid="{00000000-0005-0000-0000-00000D070000}"/>
    <cellStyle name="Normal 172 6" xfId="1463" xr:uid="{00000000-0005-0000-0000-00000E070000}"/>
    <cellStyle name="Normal 172 6 2" xfId="2752" xr:uid="{00000000-0005-0000-0000-00000F070000}"/>
    <cellStyle name="Normal 172 7" xfId="1651" xr:uid="{00000000-0005-0000-0000-000010070000}"/>
    <cellStyle name="Normal 172 7 2" xfId="3401" xr:uid="{00000000-0005-0000-0000-000011070000}"/>
    <cellStyle name="Normal 172 8" xfId="1839" xr:uid="{00000000-0005-0000-0000-000012070000}"/>
    <cellStyle name="Normal 172 8 2" xfId="2323" xr:uid="{00000000-0005-0000-0000-000013070000}"/>
    <cellStyle name="Normal 172 9" xfId="2027" xr:uid="{00000000-0005-0000-0000-000014070000}"/>
    <cellStyle name="Normal 172 9 2" xfId="3987" xr:uid="{00000000-0005-0000-0000-000015070000}"/>
    <cellStyle name="Normal 173" xfId="187" xr:uid="{00000000-0005-0000-0000-000016070000}"/>
    <cellStyle name="Normal 173 10" xfId="3197" xr:uid="{00000000-0005-0000-0000-000017070000}"/>
    <cellStyle name="Normal 173 2" xfId="732" xr:uid="{00000000-0005-0000-0000-000018070000}"/>
    <cellStyle name="Normal 173 2 2" xfId="2967" xr:uid="{00000000-0005-0000-0000-000019070000}"/>
    <cellStyle name="Normal 173 3" xfId="914" xr:uid="{00000000-0005-0000-0000-00001A070000}"/>
    <cellStyle name="Normal 173 3 2" xfId="2102" xr:uid="{00000000-0005-0000-0000-00001B070000}"/>
    <cellStyle name="Normal 173 4" xfId="1096" xr:uid="{00000000-0005-0000-0000-00001C070000}"/>
    <cellStyle name="Normal 173 4 2" xfId="2234" xr:uid="{00000000-0005-0000-0000-00001D070000}"/>
    <cellStyle name="Normal 173 5" xfId="1279" xr:uid="{00000000-0005-0000-0000-00001E070000}"/>
    <cellStyle name="Normal 173 5 2" xfId="2098" xr:uid="{00000000-0005-0000-0000-00001F070000}"/>
    <cellStyle name="Normal 173 6" xfId="1464" xr:uid="{00000000-0005-0000-0000-000020070000}"/>
    <cellStyle name="Normal 173 6 2" xfId="2589" xr:uid="{00000000-0005-0000-0000-000021070000}"/>
    <cellStyle name="Normal 173 7" xfId="1652" xr:uid="{00000000-0005-0000-0000-000022070000}"/>
    <cellStyle name="Normal 173 7 2" xfId="3229" xr:uid="{00000000-0005-0000-0000-000023070000}"/>
    <cellStyle name="Normal 173 8" xfId="1840" xr:uid="{00000000-0005-0000-0000-000024070000}"/>
    <cellStyle name="Normal 173 8 2" xfId="2258" xr:uid="{00000000-0005-0000-0000-000025070000}"/>
    <cellStyle name="Normal 173 9" xfId="2028" xr:uid="{00000000-0005-0000-0000-000026070000}"/>
    <cellStyle name="Normal 173 9 2" xfId="3988" xr:uid="{00000000-0005-0000-0000-000027070000}"/>
    <cellStyle name="Normal 174" xfId="188" xr:uid="{00000000-0005-0000-0000-000028070000}"/>
    <cellStyle name="Normal 174 10" xfId="3028" xr:uid="{00000000-0005-0000-0000-000029070000}"/>
    <cellStyle name="Normal 174 2" xfId="733" xr:uid="{00000000-0005-0000-0000-00002A070000}"/>
    <cellStyle name="Normal 174 2 2" xfId="2805" xr:uid="{00000000-0005-0000-0000-00002B070000}"/>
    <cellStyle name="Normal 174 3" xfId="915" xr:uid="{00000000-0005-0000-0000-00002C070000}"/>
    <cellStyle name="Normal 174 3 2" xfId="3303" xr:uid="{00000000-0005-0000-0000-00002D070000}"/>
    <cellStyle name="Normal 174 4" xfId="1097" xr:uid="{00000000-0005-0000-0000-00002E070000}"/>
    <cellStyle name="Normal 174 4 2" xfId="3792" xr:uid="{00000000-0005-0000-0000-00002F070000}"/>
    <cellStyle name="Normal 174 5" xfId="1280" xr:uid="{00000000-0005-0000-0000-000030070000}"/>
    <cellStyle name="Normal 174 5 2" xfId="3776" xr:uid="{00000000-0005-0000-0000-000031070000}"/>
    <cellStyle name="Normal 174 6" xfId="1465" xr:uid="{00000000-0005-0000-0000-000032070000}"/>
    <cellStyle name="Normal 174 6 2" xfId="2199" xr:uid="{00000000-0005-0000-0000-000033070000}"/>
    <cellStyle name="Normal 174 7" xfId="1653" xr:uid="{00000000-0005-0000-0000-000034070000}"/>
    <cellStyle name="Normal 174 7 2" xfId="3060" xr:uid="{00000000-0005-0000-0000-000035070000}"/>
    <cellStyle name="Normal 174 8" xfId="1841" xr:uid="{00000000-0005-0000-0000-000036070000}"/>
    <cellStyle name="Normal 174 8 2" xfId="2326" xr:uid="{00000000-0005-0000-0000-000037070000}"/>
    <cellStyle name="Normal 174 9" xfId="2029" xr:uid="{00000000-0005-0000-0000-000038070000}"/>
    <cellStyle name="Normal 174 9 2" xfId="3989" xr:uid="{00000000-0005-0000-0000-000039070000}"/>
    <cellStyle name="Normal 175" xfId="189" xr:uid="{00000000-0005-0000-0000-00003A070000}"/>
    <cellStyle name="Normal 175 10" xfId="2865" xr:uid="{00000000-0005-0000-0000-00003B070000}"/>
    <cellStyle name="Normal 175 2" xfId="734" xr:uid="{00000000-0005-0000-0000-00003C070000}"/>
    <cellStyle name="Normal 175 2 2" xfId="2642" xr:uid="{00000000-0005-0000-0000-00003D070000}"/>
    <cellStyle name="Normal 175 3" xfId="916" xr:uid="{00000000-0005-0000-0000-00003E070000}"/>
    <cellStyle name="Normal 175 3 2" xfId="3131" xr:uid="{00000000-0005-0000-0000-00003F070000}"/>
    <cellStyle name="Normal 175 4" xfId="1098" xr:uid="{00000000-0005-0000-0000-000040070000}"/>
    <cellStyle name="Normal 175 4 2" xfId="3623" xr:uid="{00000000-0005-0000-0000-000041070000}"/>
    <cellStyle name="Normal 175 5" xfId="1281" xr:uid="{00000000-0005-0000-0000-000042070000}"/>
    <cellStyle name="Normal 175 5 2" xfId="3607" xr:uid="{00000000-0005-0000-0000-000043070000}"/>
    <cellStyle name="Normal 175 6" xfId="1466" xr:uid="{00000000-0005-0000-0000-000044070000}"/>
    <cellStyle name="Normal 175 6 2" xfId="3757" xr:uid="{00000000-0005-0000-0000-000045070000}"/>
    <cellStyle name="Normal 175 7" xfId="1654" xr:uid="{00000000-0005-0000-0000-000046070000}"/>
    <cellStyle name="Normal 175 7 2" xfId="2896" xr:uid="{00000000-0005-0000-0000-000047070000}"/>
    <cellStyle name="Normal 175 8" xfId="1842" xr:uid="{00000000-0005-0000-0000-000048070000}"/>
    <cellStyle name="Normal 175 8 2" xfId="2257" xr:uid="{00000000-0005-0000-0000-000049070000}"/>
    <cellStyle name="Normal 175 9" xfId="2030" xr:uid="{00000000-0005-0000-0000-00004A070000}"/>
    <cellStyle name="Normal 175 9 2" xfId="3990" xr:uid="{00000000-0005-0000-0000-00004B070000}"/>
    <cellStyle name="Normal 176" xfId="190" xr:uid="{00000000-0005-0000-0000-00004C070000}"/>
    <cellStyle name="Normal 176 10" xfId="2704" xr:uid="{00000000-0005-0000-0000-00004D070000}"/>
    <cellStyle name="Normal 176 2" xfId="735" xr:uid="{00000000-0005-0000-0000-00004E070000}"/>
    <cellStyle name="Normal 176 2 2" xfId="2477" xr:uid="{00000000-0005-0000-0000-00004F070000}"/>
    <cellStyle name="Normal 176 3" xfId="917" xr:uid="{00000000-0005-0000-0000-000050070000}"/>
    <cellStyle name="Normal 176 3 2" xfId="2964" xr:uid="{00000000-0005-0000-0000-000051070000}"/>
    <cellStyle name="Normal 176 4" xfId="1099" xr:uid="{00000000-0005-0000-0000-000052070000}"/>
    <cellStyle name="Normal 176 4 2" xfId="3453" xr:uid="{00000000-0005-0000-0000-000053070000}"/>
    <cellStyle name="Normal 176 5" xfId="1282" xr:uid="{00000000-0005-0000-0000-000054070000}"/>
    <cellStyle name="Normal 176 5 2" xfId="3437" xr:uid="{00000000-0005-0000-0000-000055070000}"/>
    <cellStyle name="Normal 176 6" xfId="1467" xr:uid="{00000000-0005-0000-0000-000056070000}"/>
    <cellStyle name="Normal 176 6 2" xfId="3588" xr:uid="{00000000-0005-0000-0000-000057070000}"/>
    <cellStyle name="Normal 176 7" xfId="1655" xr:uid="{00000000-0005-0000-0000-000058070000}"/>
    <cellStyle name="Normal 176 7 2" xfId="2734" xr:uid="{00000000-0005-0000-0000-000059070000}"/>
    <cellStyle name="Normal 176 8" xfId="1843" xr:uid="{00000000-0005-0000-0000-00005A070000}"/>
    <cellStyle name="Normal 176 8 2" xfId="2329" xr:uid="{00000000-0005-0000-0000-00005B070000}"/>
    <cellStyle name="Normal 176 9" xfId="2031" xr:uid="{00000000-0005-0000-0000-00005C070000}"/>
    <cellStyle name="Normal 176 9 2" xfId="3991" xr:uid="{00000000-0005-0000-0000-00005D070000}"/>
    <cellStyle name="Normal 177" xfId="191" xr:uid="{00000000-0005-0000-0000-00005E070000}"/>
    <cellStyle name="Normal 177 10" xfId="2537" xr:uid="{00000000-0005-0000-0000-00005F070000}"/>
    <cellStyle name="Normal 177 2" xfId="736" xr:uid="{00000000-0005-0000-0000-000060070000}"/>
    <cellStyle name="Normal 177 2 2" xfId="2085" xr:uid="{00000000-0005-0000-0000-000061070000}"/>
    <cellStyle name="Normal 177 3" xfId="918" xr:uid="{00000000-0005-0000-0000-000062070000}"/>
    <cellStyle name="Normal 177 3 2" xfId="2802" xr:uid="{00000000-0005-0000-0000-000063070000}"/>
    <cellStyle name="Normal 177 4" xfId="1100" xr:uid="{00000000-0005-0000-0000-000064070000}"/>
    <cellStyle name="Normal 177 4 2" xfId="3281" xr:uid="{00000000-0005-0000-0000-000065070000}"/>
    <cellStyle name="Normal 177 5" xfId="1283" xr:uid="{00000000-0005-0000-0000-000066070000}"/>
    <cellStyle name="Normal 177 5 2" xfId="3265" xr:uid="{00000000-0005-0000-0000-000067070000}"/>
    <cellStyle name="Normal 177 6" xfId="1468" xr:uid="{00000000-0005-0000-0000-000068070000}"/>
    <cellStyle name="Normal 177 6 2" xfId="3418" xr:uid="{00000000-0005-0000-0000-000069070000}"/>
    <cellStyle name="Normal 177 7" xfId="1656" xr:uid="{00000000-0005-0000-0000-00006A070000}"/>
    <cellStyle name="Normal 177 7 2" xfId="2571" xr:uid="{00000000-0005-0000-0000-00006B070000}"/>
    <cellStyle name="Normal 177 8" xfId="1844" xr:uid="{00000000-0005-0000-0000-00006C070000}"/>
    <cellStyle name="Normal 177 8 2" xfId="2256" xr:uid="{00000000-0005-0000-0000-00006D070000}"/>
    <cellStyle name="Normal 177 9" xfId="2032" xr:uid="{00000000-0005-0000-0000-00006E070000}"/>
    <cellStyle name="Normal 177 9 2" xfId="3992" xr:uid="{00000000-0005-0000-0000-00006F070000}"/>
    <cellStyle name="Normal 178" xfId="192" xr:uid="{00000000-0005-0000-0000-000070070000}"/>
    <cellStyle name="Normal 178 10" xfId="2148" xr:uid="{00000000-0005-0000-0000-000071070000}"/>
    <cellStyle name="Normal 178 2" xfId="737" xr:uid="{00000000-0005-0000-0000-000072070000}"/>
    <cellStyle name="Normal 178 2 2" xfId="3503" xr:uid="{00000000-0005-0000-0000-000073070000}"/>
    <cellStyle name="Normal 178 3" xfId="919" xr:uid="{00000000-0005-0000-0000-000074070000}"/>
    <cellStyle name="Normal 178 3 2" xfId="2639" xr:uid="{00000000-0005-0000-0000-000075070000}"/>
    <cellStyle name="Normal 178 4" xfId="1101" xr:uid="{00000000-0005-0000-0000-000076070000}"/>
    <cellStyle name="Normal 178 4 2" xfId="3112" xr:uid="{00000000-0005-0000-0000-000077070000}"/>
    <cellStyle name="Normal 178 5" xfId="1284" xr:uid="{00000000-0005-0000-0000-000078070000}"/>
    <cellStyle name="Normal 178 5 2" xfId="3096" xr:uid="{00000000-0005-0000-0000-000079070000}"/>
    <cellStyle name="Normal 178 6" xfId="1469" xr:uid="{00000000-0005-0000-0000-00007A070000}"/>
    <cellStyle name="Normal 178 6 2" xfId="3246" xr:uid="{00000000-0005-0000-0000-00007B070000}"/>
    <cellStyle name="Normal 178 7" xfId="1657" xr:uid="{00000000-0005-0000-0000-00007C070000}"/>
    <cellStyle name="Normal 178 7 2" xfId="2181" xr:uid="{00000000-0005-0000-0000-00007D070000}"/>
    <cellStyle name="Normal 178 8" xfId="1845" xr:uid="{00000000-0005-0000-0000-00007E070000}"/>
    <cellStyle name="Normal 178 8 2" xfId="2322" xr:uid="{00000000-0005-0000-0000-00007F070000}"/>
    <cellStyle name="Normal 178 9" xfId="2033" xr:uid="{00000000-0005-0000-0000-000080070000}"/>
    <cellStyle name="Normal 178 9 2" xfId="3993" xr:uid="{00000000-0005-0000-0000-000081070000}"/>
    <cellStyle name="Normal 179" xfId="193" xr:uid="{00000000-0005-0000-0000-000082070000}"/>
    <cellStyle name="Normal 179 10" xfId="3707" xr:uid="{00000000-0005-0000-0000-000083070000}"/>
    <cellStyle name="Normal 179 2" xfId="738" xr:uid="{00000000-0005-0000-0000-000084070000}"/>
    <cellStyle name="Normal 179 2 2" xfId="3332" xr:uid="{00000000-0005-0000-0000-000085070000}"/>
    <cellStyle name="Normal 179 3" xfId="920" xr:uid="{00000000-0005-0000-0000-000086070000}"/>
    <cellStyle name="Normal 179 3 2" xfId="2474" xr:uid="{00000000-0005-0000-0000-000087070000}"/>
    <cellStyle name="Normal 179 4" xfId="1102" xr:uid="{00000000-0005-0000-0000-000088070000}"/>
    <cellStyle name="Normal 179 4 2" xfId="2948" xr:uid="{00000000-0005-0000-0000-000089070000}"/>
    <cellStyle name="Normal 179 5" xfId="1285" xr:uid="{00000000-0005-0000-0000-00008A070000}"/>
    <cellStyle name="Normal 179 5 2" xfId="2932" xr:uid="{00000000-0005-0000-0000-00008B070000}"/>
    <cellStyle name="Normal 179 6" xfId="1470" xr:uid="{00000000-0005-0000-0000-00008C070000}"/>
    <cellStyle name="Normal 179 6 2" xfId="3077" xr:uid="{00000000-0005-0000-0000-00008D070000}"/>
    <cellStyle name="Normal 179 7" xfId="1658" xr:uid="{00000000-0005-0000-0000-00008E070000}"/>
    <cellStyle name="Normal 179 7 2" xfId="3739" xr:uid="{00000000-0005-0000-0000-00008F070000}"/>
    <cellStyle name="Normal 179 8" xfId="1846" xr:uid="{00000000-0005-0000-0000-000090070000}"/>
    <cellStyle name="Normal 179 8 2" xfId="2255" xr:uid="{00000000-0005-0000-0000-000091070000}"/>
    <cellStyle name="Normal 179 9" xfId="2034" xr:uid="{00000000-0005-0000-0000-000092070000}"/>
    <cellStyle name="Normal 179 9 2" xfId="3994" xr:uid="{00000000-0005-0000-0000-000093070000}"/>
    <cellStyle name="Normal 18" xfId="32" xr:uid="{00000000-0005-0000-0000-000094070000}"/>
    <cellStyle name="Normal 18 10" xfId="943" xr:uid="{00000000-0005-0000-0000-000095070000}"/>
    <cellStyle name="Normal 18 10 2" xfId="3467" xr:uid="{00000000-0005-0000-0000-000096070000}"/>
    <cellStyle name="Normal 18 11" xfId="1126" xr:uid="{00000000-0005-0000-0000-000097070000}"/>
    <cellStyle name="Normal 18 11 2" xfId="3451" xr:uid="{00000000-0005-0000-0000-000098070000}"/>
    <cellStyle name="Normal 18 12" xfId="1311" xr:uid="{00000000-0005-0000-0000-000099070000}"/>
    <cellStyle name="Normal 18 12 2" xfId="3093" xr:uid="{00000000-0005-0000-0000-00009A070000}"/>
    <cellStyle name="Normal 18 13" xfId="1499" xr:uid="{00000000-0005-0000-0000-00009B070000}"/>
    <cellStyle name="Normal 18 13 2" xfId="3755" xr:uid="{00000000-0005-0000-0000-00009C070000}"/>
    <cellStyle name="Normal 18 14" xfId="1687" xr:uid="{00000000-0005-0000-0000-00009D070000}"/>
    <cellStyle name="Normal 18 14 2" xfId="2458" xr:uid="{00000000-0005-0000-0000-00009E070000}"/>
    <cellStyle name="Normal 18 15" xfId="1875" xr:uid="{00000000-0005-0000-0000-00009F070000}"/>
    <cellStyle name="Normal 18 15 2" xfId="3835" xr:uid="{00000000-0005-0000-0000-0000A0070000}"/>
    <cellStyle name="Normal 18 16" xfId="2165" xr:uid="{00000000-0005-0000-0000-0000A1070000}"/>
    <cellStyle name="Normal 18 2" xfId="376" xr:uid="{00000000-0005-0000-0000-0000A2070000}"/>
    <cellStyle name="Normal 18 2 2" xfId="3304" xr:uid="{00000000-0005-0000-0000-0000A3070000}"/>
    <cellStyle name="Normal 18 3" xfId="439" xr:uid="{00000000-0005-0000-0000-0000A4070000}"/>
    <cellStyle name="Normal 18 3 2" xfId="3356" xr:uid="{00000000-0005-0000-0000-0000A5070000}"/>
    <cellStyle name="Normal 18 4" xfId="461" xr:uid="{00000000-0005-0000-0000-0000A6070000}"/>
    <cellStyle name="Normal 18 4 2" xfId="2689" xr:uid="{00000000-0005-0000-0000-0000A7070000}"/>
    <cellStyle name="Normal 18 5" xfId="481" xr:uid="{00000000-0005-0000-0000-0000A8070000}"/>
    <cellStyle name="Normal 18 5 2" xfId="2393" xr:uid="{00000000-0005-0000-0000-0000A9070000}"/>
    <cellStyle name="Normal 18 6" xfId="514" xr:uid="{00000000-0005-0000-0000-0000AA070000}"/>
    <cellStyle name="Normal 18 6 2" xfId="3010" xr:uid="{00000000-0005-0000-0000-0000AB070000}"/>
    <cellStyle name="Normal 18 7" xfId="550" xr:uid="{00000000-0005-0000-0000-0000AC070000}"/>
    <cellStyle name="Normal 18 7 2" xfId="3006" xr:uid="{00000000-0005-0000-0000-0000AD070000}"/>
    <cellStyle name="Normal 18 8" xfId="579" xr:uid="{00000000-0005-0000-0000-0000AE070000}"/>
    <cellStyle name="Normal 18 8 2" xfId="2678" xr:uid="{00000000-0005-0000-0000-0000AF070000}"/>
    <cellStyle name="Normal 18 9" xfId="761" xr:uid="{00000000-0005-0000-0000-0000B0070000}"/>
    <cellStyle name="Normal 18 9 2" xfId="2828" xr:uid="{00000000-0005-0000-0000-0000B1070000}"/>
    <cellStyle name="Normal 180" xfId="194" xr:uid="{00000000-0005-0000-0000-0000B2070000}"/>
    <cellStyle name="Normal 180 10" xfId="3539" xr:uid="{00000000-0005-0000-0000-0000B3070000}"/>
    <cellStyle name="Normal 180 2" xfId="739" xr:uid="{00000000-0005-0000-0000-0000B4070000}"/>
    <cellStyle name="Normal 180 2 2" xfId="3160" xr:uid="{00000000-0005-0000-0000-0000B5070000}"/>
    <cellStyle name="Normal 180 3" xfId="921" xr:uid="{00000000-0005-0000-0000-0000B6070000}"/>
    <cellStyle name="Normal 180 3 2" xfId="2446" xr:uid="{00000000-0005-0000-0000-0000B7070000}"/>
    <cellStyle name="Normal 180 4" xfId="1103" xr:uid="{00000000-0005-0000-0000-0000B8070000}"/>
    <cellStyle name="Normal 180 4 2" xfId="2786" xr:uid="{00000000-0005-0000-0000-0000B9070000}"/>
    <cellStyle name="Normal 180 5" xfId="1286" xr:uid="{00000000-0005-0000-0000-0000BA070000}"/>
    <cellStyle name="Normal 180 5 2" xfId="2770" xr:uid="{00000000-0005-0000-0000-0000BB070000}"/>
    <cellStyle name="Normal 180 6" xfId="1471" xr:uid="{00000000-0005-0000-0000-0000BC070000}"/>
    <cellStyle name="Normal 180 6 2" xfId="2913" xr:uid="{00000000-0005-0000-0000-0000BD070000}"/>
    <cellStyle name="Normal 180 7" xfId="1659" xr:uid="{00000000-0005-0000-0000-0000BE070000}"/>
    <cellStyle name="Normal 180 7 2" xfId="3570" xr:uid="{00000000-0005-0000-0000-0000BF070000}"/>
    <cellStyle name="Normal 180 8" xfId="1847" xr:uid="{00000000-0005-0000-0000-0000C0070000}"/>
    <cellStyle name="Normal 180 8 2" xfId="2328" xr:uid="{00000000-0005-0000-0000-0000C1070000}"/>
    <cellStyle name="Normal 180 9" xfId="2035" xr:uid="{00000000-0005-0000-0000-0000C2070000}"/>
    <cellStyle name="Normal 180 9 2" xfId="3995" xr:uid="{00000000-0005-0000-0000-0000C3070000}"/>
    <cellStyle name="Normal 181" xfId="195" xr:uid="{00000000-0005-0000-0000-0000C4070000}"/>
    <cellStyle name="Normal 181 10" xfId="2036" xr:uid="{00000000-0005-0000-0000-0000C5070000}"/>
    <cellStyle name="Normal 181 10 2" xfId="3996" xr:uid="{00000000-0005-0000-0000-0000C6070000}"/>
    <cellStyle name="Normal 181 11" xfId="3369" xr:uid="{00000000-0005-0000-0000-0000C7070000}"/>
    <cellStyle name="Normal 181 2" xfId="558" xr:uid="{00000000-0005-0000-0000-0000C8070000}"/>
    <cellStyle name="Normal 181 2 2" xfId="3173" xr:uid="{00000000-0005-0000-0000-0000C9070000}"/>
    <cellStyle name="Normal 181 3" xfId="740" xr:uid="{00000000-0005-0000-0000-0000CA070000}"/>
    <cellStyle name="Normal 181 3 2" xfId="2992" xr:uid="{00000000-0005-0000-0000-0000CB070000}"/>
    <cellStyle name="Normal 181 4" xfId="922" xr:uid="{00000000-0005-0000-0000-0000CC070000}"/>
    <cellStyle name="Normal 181 4 2" xfId="3667" xr:uid="{00000000-0005-0000-0000-0000CD070000}"/>
    <cellStyle name="Normal 181 5" xfId="1104" xr:uid="{00000000-0005-0000-0000-0000CE070000}"/>
    <cellStyle name="Normal 181 5 2" xfId="2623" xr:uid="{00000000-0005-0000-0000-0000CF070000}"/>
    <cellStyle name="Normal 181 6" xfId="1287" xr:uid="{00000000-0005-0000-0000-0000D0070000}"/>
    <cellStyle name="Normal 181 6 2" xfId="2607" xr:uid="{00000000-0005-0000-0000-0000D1070000}"/>
    <cellStyle name="Normal 181 7" xfId="1472" xr:uid="{00000000-0005-0000-0000-0000D2070000}"/>
    <cellStyle name="Normal 181 7 2" xfId="2751" xr:uid="{00000000-0005-0000-0000-0000D3070000}"/>
    <cellStyle name="Normal 181 8" xfId="1660" xr:uid="{00000000-0005-0000-0000-0000D4070000}"/>
    <cellStyle name="Normal 181 8 2" xfId="3400" xr:uid="{00000000-0005-0000-0000-0000D5070000}"/>
    <cellStyle name="Normal 181 9" xfId="1848" xr:uid="{00000000-0005-0000-0000-0000D6070000}"/>
    <cellStyle name="Normal 181 9 2" xfId="2272" xr:uid="{00000000-0005-0000-0000-0000D7070000}"/>
    <cellStyle name="Normal 182" xfId="37" xr:uid="{00000000-0005-0000-0000-0000D8070000}"/>
    <cellStyle name="Normal 182 10" xfId="3212" xr:uid="{00000000-0005-0000-0000-0000D9070000}"/>
    <cellStyle name="Normal 182 2" xfId="583" xr:uid="{00000000-0005-0000-0000-0000DA070000}"/>
    <cellStyle name="Normal 182 2 2" xfId="2450" xr:uid="{00000000-0005-0000-0000-0000DB070000}"/>
    <cellStyle name="Normal 182 3" xfId="765" xr:uid="{00000000-0005-0000-0000-0000DC070000}"/>
    <cellStyle name="Normal 182 3 2" xfId="3671" xr:uid="{00000000-0005-0000-0000-0000DD070000}"/>
    <cellStyle name="Normal 182 4" xfId="947" xr:uid="{00000000-0005-0000-0000-0000DE070000}"/>
    <cellStyle name="Normal 182 4 2" xfId="2800" xr:uid="{00000000-0005-0000-0000-0000DF070000}"/>
    <cellStyle name="Normal 182 5" xfId="1130" xr:uid="{00000000-0005-0000-0000-0000E0070000}"/>
    <cellStyle name="Normal 182 5 2" xfId="2784" xr:uid="{00000000-0005-0000-0000-0000E1070000}"/>
    <cellStyle name="Normal 182 6" xfId="1315" xr:uid="{00000000-0005-0000-0000-0000E2070000}"/>
    <cellStyle name="Normal 182 6 2" xfId="2214" xr:uid="{00000000-0005-0000-0000-0000E3070000}"/>
    <cellStyle name="Normal 182 7" xfId="1503" xr:uid="{00000000-0005-0000-0000-0000E4070000}"/>
    <cellStyle name="Normal 182 7 2" xfId="3075" xr:uid="{00000000-0005-0000-0000-0000E5070000}"/>
    <cellStyle name="Normal 182 8" xfId="1691" xr:uid="{00000000-0005-0000-0000-0000E6070000}"/>
    <cellStyle name="Normal 182 8 2" xfId="2354" xr:uid="{00000000-0005-0000-0000-0000E7070000}"/>
    <cellStyle name="Normal 182 9" xfId="1879" xr:uid="{00000000-0005-0000-0000-0000E8070000}"/>
    <cellStyle name="Normal 182 9 2" xfId="3839" xr:uid="{00000000-0005-0000-0000-0000E9070000}"/>
    <cellStyle name="Normal 183" xfId="530" xr:uid="{00000000-0005-0000-0000-0000EA070000}"/>
    <cellStyle name="Normal 183 2" xfId="3348" xr:uid="{00000000-0005-0000-0000-0000EB070000}"/>
    <cellStyle name="Normal 184" xfId="559" xr:uid="{00000000-0005-0000-0000-0000EC070000}"/>
    <cellStyle name="Normal 184 2" xfId="3005" xr:uid="{00000000-0005-0000-0000-0000ED070000}"/>
    <cellStyle name="Normal 185" xfId="741" xr:uid="{00000000-0005-0000-0000-0000EE070000}"/>
    <cellStyle name="Normal 185 2" xfId="2830" xr:uid="{00000000-0005-0000-0000-0000EF070000}"/>
    <cellStyle name="Normal 186" xfId="923" xr:uid="{00000000-0005-0000-0000-0000F0070000}"/>
    <cellStyle name="Normal 186 2" xfId="3497" xr:uid="{00000000-0005-0000-0000-0000F1070000}"/>
    <cellStyle name="Normal 187" xfId="1106" xr:uid="{00000000-0005-0000-0000-0000F2070000}"/>
    <cellStyle name="Normal 187 2" xfId="3666" xr:uid="{00000000-0005-0000-0000-0000F3070000}"/>
    <cellStyle name="Normal 188" xfId="1291" xr:uid="{00000000-0005-0000-0000-0000F4070000}"/>
    <cellStyle name="Normal 188 2" xfId="3436" xr:uid="{00000000-0005-0000-0000-0000F5070000}"/>
    <cellStyle name="Normal 189" xfId="1479" xr:uid="{00000000-0005-0000-0000-0000F6070000}"/>
    <cellStyle name="Normal 189 2" xfId="2388" xr:uid="{00000000-0005-0000-0000-0000F7070000}"/>
    <cellStyle name="Normal 19" xfId="33" xr:uid="{00000000-0005-0000-0000-0000F8070000}"/>
    <cellStyle name="Normal 19 10" xfId="762" xr:uid="{00000000-0005-0000-0000-0000F9070000}"/>
    <cellStyle name="Normal 19 10 2" xfId="2665" xr:uid="{00000000-0005-0000-0000-0000FA070000}"/>
    <cellStyle name="Normal 19 11" xfId="944" xr:uid="{00000000-0005-0000-0000-0000FB070000}"/>
    <cellStyle name="Normal 19 11 2" xfId="3295" xr:uid="{00000000-0005-0000-0000-0000FC070000}"/>
    <cellStyle name="Normal 19 12" xfId="1127" xr:uid="{00000000-0005-0000-0000-0000FD070000}"/>
    <cellStyle name="Normal 19 12 2" xfId="3279" xr:uid="{00000000-0005-0000-0000-0000FE070000}"/>
    <cellStyle name="Normal 19 13" xfId="1312" xr:uid="{00000000-0005-0000-0000-0000FF070000}"/>
    <cellStyle name="Normal 19 13 2" xfId="2929" xr:uid="{00000000-0005-0000-0000-000000080000}"/>
    <cellStyle name="Normal 19 14" xfId="1500" xr:uid="{00000000-0005-0000-0000-000001080000}"/>
    <cellStyle name="Normal 19 14 2" xfId="3586" xr:uid="{00000000-0005-0000-0000-000002080000}"/>
    <cellStyle name="Normal 19 15" xfId="1688" xr:uid="{00000000-0005-0000-0000-000003080000}"/>
    <cellStyle name="Normal 19 15 2" xfId="2427" xr:uid="{00000000-0005-0000-0000-000004080000}"/>
    <cellStyle name="Normal 19 16" xfId="1876" xr:uid="{00000000-0005-0000-0000-000005080000}"/>
    <cellStyle name="Normal 19 16 2" xfId="3836" xr:uid="{00000000-0005-0000-0000-000006080000}"/>
    <cellStyle name="Normal 19 17" xfId="3724" xr:uid="{00000000-0005-0000-0000-000007080000}"/>
    <cellStyle name="Normal 19 2" xfId="365" xr:uid="{00000000-0005-0000-0000-000008080000}"/>
    <cellStyle name="Normal 19 2 2" xfId="471" xr:uid="{00000000-0005-0000-0000-000009080000}"/>
    <cellStyle name="Normal 19 2 2 2" xfId="2523" xr:uid="{00000000-0005-0000-0000-00000A080000}"/>
    <cellStyle name="Normal 19 2 3" xfId="504" xr:uid="{00000000-0005-0000-0000-00000B080000}"/>
    <cellStyle name="Normal 19 2 3 2" xfId="3179" xr:uid="{00000000-0005-0000-0000-00000C080000}"/>
    <cellStyle name="Normal 19 2 4" xfId="2447" xr:uid="{00000000-0005-0000-0000-00000D080000}"/>
    <cellStyle name="Normal 19 3" xfId="358" xr:uid="{00000000-0005-0000-0000-00000E080000}"/>
    <cellStyle name="Normal 19 3 2" xfId="3363" xr:uid="{00000000-0005-0000-0000-00000F080000}"/>
    <cellStyle name="Normal 19 4" xfId="440" xr:uid="{00000000-0005-0000-0000-000010080000}"/>
    <cellStyle name="Normal 19 4 2" xfId="3184" xr:uid="{00000000-0005-0000-0000-000011080000}"/>
    <cellStyle name="Normal 19 5" xfId="462" xr:uid="{00000000-0005-0000-0000-000012080000}"/>
    <cellStyle name="Normal 19 5 2" xfId="2524" xr:uid="{00000000-0005-0000-0000-000013080000}"/>
    <cellStyle name="Normal 19 6" xfId="464" xr:uid="{00000000-0005-0000-0000-000014080000}"/>
    <cellStyle name="Normal 19 6 2" xfId="3694" xr:uid="{00000000-0005-0000-0000-000015080000}"/>
    <cellStyle name="Normal 19 7" xfId="497" xr:uid="{00000000-0005-0000-0000-000016080000}"/>
    <cellStyle name="Normal 19 7 2" xfId="2850" xr:uid="{00000000-0005-0000-0000-000017080000}"/>
    <cellStyle name="Normal 19 8" xfId="551" xr:uid="{00000000-0005-0000-0000-000018080000}"/>
    <cellStyle name="Normal 19 8 2" xfId="2844" xr:uid="{00000000-0005-0000-0000-000019080000}"/>
    <cellStyle name="Normal 19 9" xfId="580" xr:uid="{00000000-0005-0000-0000-00001A080000}"/>
    <cellStyle name="Normal 19 9 2" xfId="2513" xr:uid="{00000000-0005-0000-0000-00001B080000}"/>
    <cellStyle name="Normal 190" xfId="1667" xr:uid="{00000000-0005-0000-0000-00001C080000}"/>
    <cellStyle name="Normal 190 2" xfId="3738" xr:uid="{00000000-0005-0000-0000-00001D080000}"/>
    <cellStyle name="Normal 191" xfId="1855" xr:uid="{00000000-0005-0000-0000-00001E080000}"/>
    <cellStyle name="Normal 191 2" xfId="2333" xr:uid="{00000000-0005-0000-0000-00001F080000}"/>
    <cellStyle name="Normal 192" xfId="241" xr:uid="{00000000-0005-0000-0000-000020080000}"/>
    <cellStyle name="Normal 193" xfId="3" xr:uid="{00000000-0005-0000-0000-000021080000}"/>
    <cellStyle name="Normal 193 2" xfId="4003" xr:uid="{00000000-0005-0000-0000-000022080000}"/>
    <cellStyle name="Normal 194" xfId="2557" xr:uid="{00000000-0005-0000-0000-000023080000}"/>
    <cellStyle name="Normal 195" xfId="4016" xr:uid="{00000000-0005-0000-0000-000024080000}"/>
    <cellStyle name="Normal 2" xfId="14" xr:uid="{00000000-0005-0000-0000-000025080000}"/>
    <cellStyle name="Normal 2 10" xfId="377" xr:uid="{00000000-0005-0000-0000-000026080000}"/>
    <cellStyle name="Normal 2 10 2" xfId="482" xr:uid="{00000000-0005-0000-0000-000027080000}"/>
    <cellStyle name="Normal 2 10 2 2" xfId="2296" xr:uid="{00000000-0005-0000-0000-000028080000}"/>
    <cellStyle name="Normal 2 10 3" xfId="515" xr:uid="{00000000-0005-0000-0000-000029080000}"/>
    <cellStyle name="Normal 2 10 3 2" xfId="2848" xr:uid="{00000000-0005-0000-0000-00002A080000}"/>
    <cellStyle name="Normal 2 10 4" xfId="3132" xr:uid="{00000000-0005-0000-0000-00002B080000}"/>
    <cellStyle name="Normal 2 11" xfId="371" xr:uid="{00000000-0005-0000-0000-00002C080000}"/>
    <cellStyle name="Normal 2 12" xfId="421" xr:uid="{00000000-0005-0000-0000-00002D080000}"/>
    <cellStyle name="Normal 2 12 2" xfId="3358" xr:uid="{00000000-0005-0000-0000-00002E080000}"/>
    <cellStyle name="Normal 2 13" xfId="443" xr:uid="{00000000-0005-0000-0000-00002F080000}"/>
    <cellStyle name="Normal 2 13 2" xfId="2691" xr:uid="{00000000-0005-0000-0000-000030080000}"/>
    <cellStyle name="Normal 2 14" xfId="532" xr:uid="{00000000-0005-0000-0000-000031080000}"/>
    <cellStyle name="Normal 2 14 2" xfId="3008" xr:uid="{00000000-0005-0000-0000-000032080000}"/>
    <cellStyle name="Normal 2 15" xfId="561" xr:uid="{00000000-0005-0000-0000-000033080000}"/>
    <cellStyle name="Normal 2 15 2" xfId="2680" xr:uid="{00000000-0005-0000-0000-000034080000}"/>
    <cellStyle name="Normal 2 16" xfId="743" xr:uid="{00000000-0005-0000-0000-000035080000}"/>
    <cellStyle name="Normal 2 16 2" xfId="2502" xr:uid="{00000000-0005-0000-0000-000036080000}"/>
    <cellStyle name="Normal 2 17" xfId="925" xr:uid="{00000000-0005-0000-0000-000037080000}"/>
    <cellStyle name="Normal 2 17 2" xfId="3154" xr:uid="{00000000-0005-0000-0000-000038080000}"/>
    <cellStyle name="Normal 2 18" xfId="1108" xr:uid="{00000000-0005-0000-0000-000039080000}"/>
    <cellStyle name="Normal 2 18 2" xfId="3325" xr:uid="{00000000-0005-0000-0000-00003A080000}"/>
    <cellStyle name="Normal 2 19" xfId="1293" xr:uid="{00000000-0005-0000-0000-00003B080000}"/>
    <cellStyle name="Normal 2 19 2" xfId="3095" xr:uid="{00000000-0005-0000-0000-00003C080000}"/>
    <cellStyle name="Normal 2 2" xfId="329" xr:uid="{00000000-0005-0000-0000-00003D080000}"/>
    <cellStyle name="Normal 2 2 2" xfId="378" xr:uid="{00000000-0005-0000-0000-00003E080000}"/>
    <cellStyle name="Normal 2 2 2 2" xfId="2965" xr:uid="{00000000-0005-0000-0000-00003F080000}"/>
    <cellStyle name="Normal 2 2 3" xfId="483" xr:uid="{00000000-0005-0000-0000-000040080000}"/>
    <cellStyle name="Normal 2 2 3 2" xfId="2284" xr:uid="{00000000-0005-0000-0000-000041080000}"/>
    <cellStyle name="Normal 2 2 4" xfId="516" xr:uid="{00000000-0005-0000-0000-000042080000}"/>
    <cellStyle name="Normal 2 2 4 2" xfId="2685" xr:uid="{00000000-0005-0000-0000-000043080000}"/>
    <cellStyle name="Normal 2 2 5" xfId="3818" xr:uid="{00000000-0005-0000-0000-000044080000}"/>
    <cellStyle name="Normal 2 20" xfId="1481" xr:uid="{00000000-0005-0000-0000-000045080000}"/>
    <cellStyle name="Normal 2 20 2" xfId="2356" xr:uid="{00000000-0005-0000-0000-000046080000}"/>
    <cellStyle name="Normal 2 21" xfId="1669" xr:uid="{00000000-0005-0000-0000-000047080000}"/>
    <cellStyle name="Normal 2 21 2" xfId="3399" xr:uid="{00000000-0005-0000-0000-000048080000}"/>
    <cellStyle name="Normal 2 22" xfId="1857" xr:uid="{00000000-0005-0000-0000-000049080000}"/>
    <cellStyle name="Normal 2 22 2" xfId="2334" xr:uid="{00000000-0005-0000-0000-00004A080000}"/>
    <cellStyle name="Normal 2 23" xfId="284" xr:uid="{00000000-0005-0000-0000-00004B080000}"/>
    <cellStyle name="Normal 2 24" xfId="3814" xr:uid="{00000000-0005-0000-0000-00004C080000}"/>
    <cellStyle name="Normal 2 25" xfId="2167" xr:uid="{00000000-0005-0000-0000-00004D080000}"/>
    <cellStyle name="Normal 2 3" xfId="348" xr:uid="{00000000-0005-0000-0000-00004E080000}"/>
    <cellStyle name="Normal 2 3 2" xfId="353" xr:uid="{00000000-0005-0000-0000-00004F080000}"/>
    <cellStyle name="Normal 2 3 2 2" xfId="2699" xr:uid="{00000000-0005-0000-0000-000050080000}"/>
    <cellStyle name="Normal 2 3 3" xfId="379" xr:uid="{00000000-0005-0000-0000-000051080000}"/>
    <cellStyle name="Normal 2 3 3 2" xfId="2803" xr:uid="{00000000-0005-0000-0000-000052080000}"/>
    <cellStyle name="Normal 2 3 4" xfId="484" xr:uid="{00000000-0005-0000-0000-000053080000}"/>
    <cellStyle name="Normal 2 3 4 2" xfId="3650" xr:uid="{00000000-0005-0000-0000-000054080000}"/>
    <cellStyle name="Normal 2 3 5" xfId="517" xr:uid="{00000000-0005-0000-0000-000055080000}"/>
    <cellStyle name="Normal 2 3 5 2" xfId="2520" xr:uid="{00000000-0005-0000-0000-000056080000}"/>
    <cellStyle name="Normal 2 3 6" xfId="3534" xr:uid="{00000000-0005-0000-0000-000057080000}"/>
    <cellStyle name="Normal 2 4" xfId="350" xr:uid="{00000000-0005-0000-0000-000058080000}"/>
    <cellStyle name="Normal 2 4 2" xfId="380" xr:uid="{00000000-0005-0000-0000-000059080000}"/>
    <cellStyle name="Normal 2 4 2 2" xfId="2640" xr:uid="{00000000-0005-0000-0000-00005A080000}"/>
    <cellStyle name="Normal 2 4 3" xfId="485" xr:uid="{00000000-0005-0000-0000-00005B080000}"/>
    <cellStyle name="Normal 2 4 3 2" xfId="3480" xr:uid="{00000000-0005-0000-0000-00005C080000}"/>
    <cellStyle name="Normal 2 4 4" xfId="518" xr:uid="{00000000-0005-0000-0000-00005D080000}"/>
    <cellStyle name="Normal 2 4 4 2" xfId="2129" xr:uid="{00000000-0005-0000-0000-00005E080000}"/>
    <cellStyle name="Normal 2 5" xfId="356" xr:uid="{00000000-0005-0000-0000-00005F080000}"/>
    <cellStyle name="Normal 2 5 2" xfId="381" xr:uid="{00000000-0005-0000-0000-000060080000}"/>
    <cellStyle name="Normal 2 5 2 2" xfId="2475" xr:uid="{00000000-0005-0000-0000-000061080000}"/>
    <cellStyle name="Normal 2 5 3" xfId="486" xr:uid="{00000000-0005-0000-0000-000062080000}"/>
    <cellStyle name="Normal 2 5 3 2" xfId="3308" xr:uid="{00000000-0005-0000-0000-000063080000}"/>
    <cellStyle name="Normal 2 5 4" xfId="519" xr:uid="{00000000-0005-0000-0000-000064080000}"/>
    <cellStyle name="Normal 2 5 4 2" xfId="3690" xr:uid="{00000000-0005-0000-0000-000065080000}"/>
    <cellStyle name="Normal 2 5 5" xfId="3703" xr:uid="{00000000-0005-0000-0000-000066080000}"/>
    <cellStyle name="Normal 2 6" xfId="382" xr:uid="{00000000-0005-0000-0000-000067080000}"/>
    <cellStyle name="Normal 2 6 2" xfId="487" xr:uid="{00000000-0005-0000-0000-000068080000}"/>
    <cellStyle name="Normal 2 6 2 2" xfId="3136" xr:uid="{00000000-0005-0000-0000-000069080000}"/>
    <cellStyle name="Normal 2 6 3" xfId="520" xr:uid="{00000000-0005-0000-0000-00006A080000}"/>
    <cellStyle name="Normal 2 6 3 2" xfId="3520" xr:uid="{00000000-0005-0000-0000-00006B080000}"/>
    <cellStyle name="Normal 2 6 4" xfId="2083" xr:uid="{00000000-0005-0000-0000-00006C080000}"/>
    <cellStyle name="Normal 2 7" xfId="383" xr:uid="{00000000-0005-0000-0000-00006D080000}"/>
    <cellStyle name="Normal 2 7 2" xfId="488" xr:uid="{00000000-0005-0000-0000-00006E080000}"/>
    <cellStyle name="Normal 2 7 2 2" xfId="2969" xr:uid="{00000000-0005-0000-0000-00006F080000}"/>
    <cellStyle name="Normal 2 7 3" xfId="521" xr:uid="{00000000-0005-0000-0000-000070080000}"/>
    <cellStyle name="Normal 2 7 3 2" xfId="3349" xr:uid="{00000000-0005-0000-0000-000071080000}"/>
    <cellStyle name="Normal 2 7 4" xfId="3702" xr:uid="{00000000-0005-0000-0000-000072080000}"/>
    <cellStyle name="Normal 2 8" xfId="384" xr:uid="{00000000-0005-0000-0000-000073080000}"/>
    <cellStyle name="Normal 2 8 2" xfId="489" xr:uid="{00000000-0005-0000-0000-000074080000}"/>
    <cellStyle name="Normal 2 8 2 2" xfId="2807" xr:uid="{00000000-0005-0000-0000-000075080000}"/>
    <cellStyle name="Normal 2 8 3" xfId="522" xr:uid="{00000000-0005-0000-0000-000076080000}"/>
    <cellStyle name="Normal 2 8 3 2" xfId="3177" xr:uid="{00000000-0005-0000-0000-000077080000}"/>
    <cellStyle name="Normal 2 8 4" xfId="3533" xr:uid="{00000000-0005-0000-0000-000078080000}"/>
    <cellStyle name="Normal 2 9" xfId="385" xr:uid="{00000000-0005-0000-0000-000079080000}"/>
    <cellStyle name="Normal 2 9 2" xfId="490" xr:uid="{00000000-0005-0000-0000-00007A080000}"/>
    <cellStyle name="Normal 2 9 2 2" xfId="2644" xr:uid="{00000000-0005-0000-0000-00007B080000}"/>
    <cellStyle name="Normal 2 9 3" xfId="523" xr:uid="{00000000-0005-0000-0000-00007C080000}"/>
    <cellStyle name="Normal 2 9 3 2" xfId="3009" xr:uid="{00000000-0005-0000-0000-00007D080000}"/>
    <cellStyle name="Normal 2 9 4" xfId="3362" xr:uid="{00000000-0005-0000-0000-00007E080000}"/>
    <cellStyle name="Normal 20" xfId="19" xr:uid="{00000000-0005-0000-0000-00007F080000}"/>
    <cellStyle name="Normal 20 10" xfId="930" xr:uid="{00000000-0005-0000-0000-000080080000}"/>
    <cellStyle name="Normal 20 10 2" xfId="2105" xr:uid="{00000000-0005-0000-0000-000081080000}"/>
    <cellStyle name="Normal 20 11" xfId="1113" xr:uid="{00000000-0005-0000-0000-000082080000}"/>
    <cellStyle name="Normal 20 11 2" xfId="2495" xr:uid="{00000000-0005-0000-0000-000083080000}"/>
    <cellStyle name="Normal 20 12" xfId="1298" xr:uid="{00000000-0005-0000-0000-000084080000}"/>
    <cellStyle name="Normal 20 12 2" xfId="3774" xr:uid="{00000000-0005-0000-0000-000085080000}"/>
    <cellStyle name="Normal 20 13" xfId="1486" xr:uid="{00000000-0005-0000-0000-000086080000}"/>
    <cellStyle name="Normal 20 13 2" xfId="3145" xr:uid="{00000000-0005-0000-0000-000087080000}"/>
    <cellStyle name="Normal 20 14" xfId="1674" xr:uid="{00000000-0005-0000-0000-000088080000}"/>
    <cellStyle name="Normal 20 14 2" xfId="2569" xr:uid="{00000000-0005-0000-0000-000089080000}"/>
    <cellStyle name="Normal 20 15" xfId="1862" xr:uid="{00000000-0005-0000-0000-00008A080000}"/>
    <cellStyle name="Normal 20 15 2" xfId="3822" xr:uid="{00000000-0005-0000-0000-00008B080000}"/>
    <cellStyle name="Normal 20 16" xfId="3046" xr:uid="{00000000-0005-0000-0000-00008C080000}"/>
    <cellStyle name="Normal 20 2" xfId="386" xr:uid="{00000000-0005-0000-0000-00008D080000}"/>
    <cellStyle name="Normal 20 2 2" xfId="3190" xr:uid="{00000000-0005-0000-0000-00008E080000}"/>
    <cellStyle name="Normal 20 3" xfId="426" xr:uid="{00000000-0005-0000-0000-00008F080000}"/>
    <cellStyle name="Normal 20 3 2" xfId="2528" xr:uid="{00000000-0005-0000-0000-000090080000}"/>
    <cellStyle name="Normal 20 4" xfId="448" xr:uid="{00000000-0005-0000-0000-000091080000}"/>
    <cellStyle name="Normal 20 4 2" xfId="3355" xr:uid="{00000000-0005-0000-0000-000092080000}"/>
    <cellStyle name="Normal 20 5" xfId="491" xr:uid="{00000000-0005-0000-0000-000093080000}"/>
    <cellStyle name="Normal 20 5 2" xfId="2087" xr:uid="{00000000-0005-0000-0000-000094080000}"/>
    <cellStyle name="Normal 20 6" xfId="524" xr:uid="{00000000-0005-0000-0000-000095080000}"/>
    <cellStyle name="Normal 20 6 2" xfId="2847" xr:uid="{00000000-0005-0000-0000-000096080000}"/>
    <cellStyle name="Normal 20 7" xfId="537" xr:uid="{00000000-0005-0000-0000-000097080000}"/>
    <cellStyle name="Normal 20 7 2" xfId="3688" xr:uid="{00000000-0005-0000-0000-000098080000}"/>
    <cellStyle name="Normal 20 8" xfId="566" xr:uid="{00000000-0005-0000-0000-000099080000}"/>
    <cellStyle name="Normal 20 8 2" xfId="3344" xr:uid="{00000000-0005-0000-0000-00009A080000}"/>
    <cellStyle name="Normal 20 9" xfId="748" xr:uid="{00000000-0005-0000-0000-00009B080000}"/>
    <cellStyle name="Normal 20 9 2" xfId="3331" xr:uid="{00000000-0005-0000-0000-00009C080000}"/>
    <cellStyle name="Normal 21" xfId="20" xr:uid="{00000000-0005-0000-0000-00009D080000}"/>
    <cellStyle name="Normal 21 10" xfId="931" xr:uid="{00000000-0005-0000-0000-00009E080000}"/>
    <cellStyle name="Normal 21 10 2" xfId="3638" xr:uid="{00000000-0005-0000-0000-00009F080000}"/>
    <cellStyle name="Normal 21 11" xfId="1114" xr:uid="{00000000-0005-0000-0000-0000A0080000}"/>
    <cellStyle name="Normal 21 11 2" xfId="2104" xr:uid="{00000000-0005-0000-0000-0000A1080000}"/>
    <cellStyle name="Normal 21 12" xfId="1299" xr:uid="{00000000-0005-0000-0000-0000A2080000}"/>
    <cellStyle name="Normal 21 12 2" xfId="3605" xr:uid="{00000000-0005-0000-0000-0000A3080000}"/>
    <cellStyle name="Normal 21 13" xfId="1487" xr:uid="{00000000-0005-0000-0000-0000A4080000}"/>
    <cellStyle name="Normal 21 13 2" xfId="2977" xr:uid="{00000000-0005-0000-0000-0000A5080000}"/>
    <cellStyle name="Normal 21 14" xfId="1675" xr:uid="{00000000-0005-0000-0000-0000A6080000}"/>
    <cellStyle name="Normal 21 14 2" xfId="2179" xr:uid="{00000000-0005-0000-0000-0000A7080000}"/>
    <cellStyle name="Normal 21 15" xfId="1863" xr:uid="{00000000-0005-0000-0000-0000A8080000}"/>
    <cellStyle name="Normal 21 15 2" xfId="3823" xr:uid="{00000000-0005-0000-0000-0000A9080000}"/>
    <cellStyle name="Normal 21 16" xfId="2882" xr:uid="{00000000-0005-0000-0000-0000AA080000}"/>
    <cellStyle name="Normal 21 2" xfId="387" xr:uid="{00000000-0005-0000-0000-0000AB080000}"/>
    <cellStyle name="Normal 21 2 2" xfId="3022" xr:uid="{00000000-0005-0000-0000-0000AC080000}"/>
    <cellStyle name="Normal 21 3" xfId="427" xr:uid="{00000000-0005-0000-0000-0000AD080000}"/>
    <cellStyle name="Normal 21 3 2" xfId="2137" xr:uid="{00000000-0005-0000-0000-0000AE080000}"/>
    <cellStyle name="Normal 21 4" xfId="449" xr:uid="{00000000-0005-0000-0000-0000AF080000}"/>
    <cellStyle name="Normal 21 4 2" xfId="3183" xr:uid="{00000000-0005-0000-0000-0000B0080000}"/>
    <cellStyle name="Normal 21 5" xfId="492" xr:uid="{00000000-0005-0000-0000-0000B1080000}"/>
    <cellStyle name="Normal 21 5 2" xfId="3693" xr:uid="{00000000-0005-0000-0000-0000B2080000}"/>
    <cellStyle name="Normal 21 6" xfId="525" xr:uid="{00000000-0005-0000-0000-0000B3080000}"/>
    <cellStyle name="Normal 21 6 2" xfId="2684" xr:uid="{00000000-0005-0000-0000-0000B4080000}"/>
    <cellStyle name="Normal 21 7" xfId="538" xr:uid="{00000000-0005-0000-0000-0000B5080000}"/>
    <cellStyle name="Normal 21 7 2" xfId="3518" xr:uid="{00000000-0005-0000-0000-0000B6080000}"/>
    <cellStyle name="Normal 21 8" xfId="567" xr:uid="{00000000-0005-0000-0000-0000B7080000}"/>
    <cellStyle name="Normal 21 8 2" xfId="3172" xr:uid="{00000000-0005-0000-0000-0000B8080000}"/>
    <cellStyle name="Normal 21 9" xfId="749" xr:uid="{00000000-0005-0000-0000-0000B9080000}"/>
    <cellStyle name="Normal 21 9 2" xfId="3159" xr:uid="{00000000-0005-0000-0000-0000BA080000}"/>
    <cellStyle name="Normal 22" xfId="18" xr:uid="{00000000-0005-0000-0000-0000BB080000}"/>
    <cellStyle name="Normal 22 10" xfId="929" xr:uid="{00000000-0005-0000-0000-0000BC080000}"/>
    <cellStyle name="Normal 22 10 2" xfId="2496" xr:uid="{00000000-0005-0000-0000-0000BD080000}"/>
    <cellStyle name="Normal 22 11" xfId="1112" xr:uid="{00000000-0005-0000-0000-0000BE080000}"/>
    <cellStyle name="Normal 22 11 2" xfId="2660" xr:uid="{00000000-0005-0000-0000-0000BF080000}"/>
    <cellStyle name="Normal 22 12" xfId="1297" xr:uid="{00000000-0005-0000-0000-0000C0080000}"/>
    <cellStyle name="Normal 22 12 2" xfId="2216" xr:uid="{00000000-0005-0000-0000-0000C1080000}"/>
    <cellStyle name="Normal 22 13" xfId="1485" xr:uid="{00000000-0005-0000-0000-0000C2080000}"/>
    <cellStyle name="Normal 22 13 2" xfId="3317" xr:uid="{00000000-0005-0000-0000-0000C3080000}"/>
    <cellStyle name="Normal 22 14" xfId="1673" xr:uid="{00000000-0005-0000-0000-0000C4080000}"/>
    <cellStyle name="Normal 22 14 2" xfId="2732" xr:uid="{00000000-0005-0000-0000-0000C5080000}"/>
    <cellStyle name="Normal 22 15" xfId="1861" xr:uid="{00000000-0005-0000-0000-0000C6080000}"/>
    <cellStyle name="Normal 22 15 2" xfId="3821" xr:uid="{00000000-0005-0000-0000-0000C7080000}"/>
    <cellStyle name="Normal 22 16" xfId="3215" xr:uid="{00000000-0005-0000-0000-0000C8080000}"/>
    <cellStyle name="Normal 22 2" xfId="388" xr:uid="{00000000-0005-0000-0000-0000C9080000}"/>
    <cellStyle name="Normal 22 2 2" xfId="2860" xr:uid="{00000000-0005-0000-0000-0000CA080000}"/>
    <cellStyle name="Normal 22 3" xfId="425" xr:uid="{00000000-0005-0000-0000-0000CB080000}"/>
    <cellStyle name="Normal 22 3 2" xfId="2693" xr:uid="{00000000-0005-0000-0000-0000CC080000}"/>
    <cellStyle name="Normal 22 4" xfId="447" xr:uid="{00000000-0005-0000-0000-0000CD080000}"/>
    <cellStyle name="Normal 22 4 2" xfId="3526" xr:uid="{00000000-0005-0000-0000-0000CE080000}"/>
    <cellStyle name="Normal 22 5" xfId="493" xr:uid="{00000000-0005-0000-0000-0000CF080000}"/>
    <cellStyle name="Normal 22 5 2" xfId="3523" xr:uid="{00000000-0005-0000-0000-0000D0080000}"/>
    <cellStyle name="Normal 22 6" xfId="526" xr:uid="{00000000-0005-0000-0000-0000D1080000}"/>
    <cellStyle name="Normal 22 6 2" xfId="2519" xr:uid="{00000000-0005-0000-0000-0000D2080000}"/>
    <cellStyle name="Normal 22 7" xfId="536" xr:uid="{00000000-0005-0000-0000-0000D3080000}"/>
    <cellStyle name="Normal 22 7 2" xfId="2127" xr:uid="{00000000-0005-0000-0000-0000D4080000}"/>
    <cellStyle name="Normal 22 8" xfId="565" xr:uid="{00000000-0005-0000-0000-0000D5080000}"/>
    <cellStyle name="Normal 22 8 2" xfId="3515" xr:uid="{00000000-0005-0000-0000-0000D6080000}"/>
    <cellStyle name="Normal 22 9" xfId="747" xr:uid="{00000000-0005-0000-0000-0000D7080000}"/>
    <cellStyle name="Normal 22 9 2" xfId="3502" xr:uid="{00000000-0005-0000-0000-0000D8080000}"/>
    <cellStyle name="Normal 23" xfId="34" xr:uid="{00000000-0005-0000-0000-0000D9080000}"/>
    <cellStyle name="Normal 23 10" xfId="1501" xr:uid="{00000000-0005-0000-0000-0000DA080000}"/>
    <cellStyle name="Normal 23 10 2" xfId="3416" xr:uid="{00000000-0005-0000-0000-0000DB080000}"/>
    <cellStyle name="Normal 23 11" xfId="1689" xr:uid="{00000000-0005-0000-0000-0000DC080000}"/>
    <cellStyle name="Normal 23 11 2" xfId="2395" xr:uid="{00000000-0005-0000-0000-0000DD080000}"/>
    <cellStyle name="Normal 23 12" xfId="1877" xr:uid="{00000000-0005-0000-0000-0000DE080000}"/>
    <cellStyle name="Normal 23 12 2" xfId="3837" xr:uid="{00000000-0005-0000-0000-0000DF080000}"/>
    <cellStyle name="Normal 23 13" xfId="3555" xr:uid="{00000000-0005-0000-0000-0000E0080000}"/>
    <cellStyle name="Normal 23 2" xfId="441" xr:uid="{00000000-0005-0000-0000-0000E1080000}"/>
    <cellStyle name="Normal 23 2 2" xfId="3016" xr:uid="{00000000-0005-0000-0000-0000E2080000}"/>
    <cellStyle name="Normal 23 3" xfId="463" xr:uid="{00000000-0005-0000-0000-0000E3080000}"/>
    <cellStyle name="Normal 23 3 2" xfId="2133" xr:uid="{00000000-0005-0000-0000-0000E4080000}"/>
    <cellStyle name="Normal 23 4" xfId="552" xr:uid="{00000000-0005-0000-0000-0000E5080000}"/>
    <cellStyle name="Normal 23 4 2" xfId="2681" xr:uid="{00000000-0005-0000-0000-0000E6080000}"/>
    <cellStyle name="Normal 23 5" xfId="581" xr:uid="{00000000-0005-0000-0000-0000E7080000}"/>
    <cellStyle name="Normal 23 5 2" xfId="2122" xr:uid="{00000000-0005-0000-0000-0000E8080000}"/>
    <cellStyle name="Normal 23 6" xfId="763" xr:uid="{00000000-0005-0000-0000-0000E9080000}"/>
    <cellStyle name="Normal 23 6 2" xfId="2500" xr:uid="{00000000-0005-0000-0000-0000EA080000}"/>
    <cellStyle name="Normal 23 7" xfId="945" xr:uid="{00000000-0005-0000-0000-0000EB080000}"/>
    <cellStyle name="Normal 23 7 2" xfId="3126" xr:uid="{00000000-0005-0000-0000-0000EC080000}"/>
    <cellStyle name="Normal 23 8" xfId="1128" xr:uid="{00000000-0005-0000-0000-0000ED080000}"/>
    <cellStyle name="Normal 23 8 2" xfId="3110" xr:uid="{00000000-0005-0000-0000-0000EE080000}"/>
    <cellStyle name="Normal 23 9" xfId="1313" xr:uid="{00000000-0005-0000-0000-0000EF080000}"/>
    <cellStyle name="Normal 23 9 2" xfId="2767" xr:uid="{00000000-0005-0000-0000-0000F0080000}"/>
    <cellStyle name="Normal 24" xfId="35" xr:uid="{00000000-0005-0000-0000-0000F1080000}"/>
    <cellStyle name="Normal 24 2" xfId="145" xr:uid="{00000000-0005-0000-0000-0000F2080000}"/>
    <cellStyle name="Normal 24 3" xfId="38" xr:uid="{00000000-0005-0000-0000-0000F3080000}"/>
    <cellStyle name="Normal 24 3 10" xfId="3043" xr:uid="{00000000-0005-0000-0000-0000F4080000}"/>
    <cellStyle name="Normal 24 3 2" xfId="584" xr:uid="{00000000-0005-0000-0000-0000F5080000}"/>
    <cellStyle name="Normal 24 3 2 2" xfId="2445" xr:uid="{00000000-0005-0000-0000-0000F6080000}"/>
    <cellStyle name="Normal 24 3 3" xfId="766" xr:uid="{00000000-0005-0000-0000-0000F7080000}"/>
    <cellStyle name="Normal 24 3 3 2" xfId="2109" xr:uid="{00000000-0005-0000-0000-0000F8080000}"/>
    <cellStyle name="Normal 24 3 4" xfId="948" xr:uid="{00000000-0005-0000-0000-0000F9080000}"/>
    <cellStyle name="Normal 24 3 4 2" xfId="2637" xr:uid="{00000000-0005-0000-0000-0000FA080000}"/>
    <cellStyle name="Normal 24 3 5" xfId="1131" xr:uid="{00000000-0005-0000-0000-0000FB080000}"/>
    <cellStyle name="Normal 24 3 5 2" xfId="2621" xr:uid="{00000000-0005-0000-0000-0000FC080000}"/>
    <cellStyle name="Normal 24 3 6" xfId="1316" xr:uid="{00000000-0005-0000-0000-0000FD080000}"/>
    <cellStyle name="Normal 24 3 6 2" xfId="3770" xr:uid="{00000000-0005-0000-0000-0000FE080000}"/>
    <cellStyle name="Normal 24 3 7" xfId="1504" xr:uid="{00000000-0005-0000-0000-0000FF080000}"/>
    <cellStyle name="Normal 24 3 7 2" xfId="2911" xr:uid="{00000000-0005-0000-0000-000000090000}"/>
    <cellStyle name="Normal 24 3 8" xfId="1692" xr:uid="{00000000-0005-0000-0000-000001090000}"/>
    <cellStyle name="Normal 24 3 8 2" xfId="2298" xr:uid="{00000000-0005-0000-0000-000002090000}"/>
    <cellStyle name="Normal 24 3 9" xfId="1880" xr:uid="{00000000-0005-0000-0000-000003090000}"/>
    <cellStyle name="Normal 24 3 9 2" xfId="3840" xr:uid="{00000000-0005-0000-0000-000004090000}"/>
    <cellStyle name="Normal 25" xfId="39" xr:uid="{00000000-0005-0000-0000-000005090000}"/>
    <cellStyle name="Normal 25 10" xfId="1881" xr:uid="{00000000-0005-0000-0000-000006090000}"/>
    <cellStyle name="Normal 25 10 2" xfId="3841" xr:uid="{00000000-0005-0000-0000-000007090000}"/>
    <cellStyle name="Normal 25 11" xfId="2880" xr:uid="{00000000-0005-0000-0000-000008090000}"/>
    <cellStyle name="Normal 25 2" xfId="553" xr:uid="{00000000-0005-0000-0000-000009090000}"/>
    <cellStyle name="Normal 25 2 2" xfId="2516" xr:uid="{00000000-0005-0000-0000-00000A090000}"/>
    <cellStyle name="Normal 25 3" xfId="585" xr:uid="{00000000-0005-0000-0000-00000B090000}"/>
    <cellStyle name="Normal 25 3 2" xfId="2413" xr:uid="{00000000-0005-0000-0000-00000C090000}"/>
    <cellStyle name="Normal 25 4" xfId="767" xr:uid="{00000000-0005-0000-0000-00000D090000}"/>
    <cellStyle name="Normal 25 4 2" xfId="3500" xr:uid="{00000000-0005-0000-0000-00000E090000}"/>
    <cellStyle name="Normal 25 5" xfId="949" xr:uid="{00000000-0005-0000-0000-00000F090000}"/>
    <cellStyle name="Normal 25 5 2" xfId="2247" xr:uid="{00000000-0005-0000-0000-000010090000}"/>
    <cellStyle name="Normal 25 6" xfId="1132" xr:uid="{00000000-0005-0000-0000-000011090000}"/>
    <cellStyle name="Normal 25 6 2" xfId="2231" xr:uid="{00000000-0005-0000-0000-000012090000}"/>
    <cellStyle name="Normal 25 7" xfId="1317" xr:uid="{00000000-0005-0000-0000-000013090000}"/>
    <cellStyle name="Normal 25 7 2" xfId="3601" xr:uid="{00000000-0005-0000-0000-000014090000}"/>
    <cellStyle name="Normal 25 8" xfId="1505" xr:uid="{00000000-0005-0000-0000-000015090000}"/>
    <cellStyle name="Normal 25 8 2" xfId="2749" xr:uid="{00000000-0005-0000-0000-000016090000}"/>
    <cellStyle name="Normal 25 9" xfId="1693" xr:uid="{00000000-0005-0000-0000-000017090000}"/>
    <cellStyle name="Normal 25 9 2" xfId="3656" xr:uid="{00000000-0005-0000-0000-000018090000}"/>
    <cellStyle name="Normal 26" xfId="40" xr:uid="{00000000-0005-0000-0000-000019090000}"/>
    <cellStyle name="Normal 26 10" xfId="1882" xr:uid="{00000000-0005-0000-0000-00001A090000}"/>
    <cellStyle name="Normal 26 10 2" xfId="3842" xr:uid="{00000000-0005-0000-0000-00001B090000}"/>
    <cellStyle name="Normal 26 11" xfId="2718" xr:uid="{00000000-0005-0000-0000-00001C090000}"/>
    <cellStyle name="Normal 26 2" xfId="554" xr:uid="{00000000-0005-0000-0000-00001D090000}"/>
    <cellStyle name="Normal 26 2 2" xfId="2125" xr:uid="{00000000-0005-0000-0000-00001E090000}"/>
    <cellStyle name="Normal 26 3" xfId="586" xr:uid="{00000000-0005-0000-0000-00001F090000}"/>
    <cellStyle name="Normal 26 3 2" xfId="2367" xr:uid="{00000000-0005-0000-0000-000020090000}"/>
    <cellStyle name="Normal 26 4" xfId="768" xr:uid="{00000000-0005-0000-0000-000021090000}"/>
    <cellStyle name="Normal 26 4 2" xfId="3329" xr:uid="{00000000-0005-0000-0000-000022090000}"/>
    <cellStyle name="Normal 26 5" xfId="950" xr:uid="{00000000-0005-0000-0000-000023090000}"/>
    <cellStyle name="Normal 26 5 2" xfId="2657" xr:uid="{00000000-0005-0000-0000-000024090000}"/>
    <cellStyle name="Normal 26 6" xfId="1133" xr:uid="{00000000-0005-0000-0000-000025090000}"/>
    <cellStyle name="Normal 26 6 2" xfId="3789" xr:uid="{00000000-0005-0000-0000-000026090000}"/>
    <cellStyle name="Normal 26 7" xfId="1318" xr:uid="{00000000-0005-0000-0000-000027090000}"/>
    <cellStyle name="Normal 26 7 2" xfId="3431" xr:uid="{00000000-0005-0000-0000-000028090000}"/>
    <cellStyle name="Normal 26 8" xfId="1506" xr:uid="{00000000-0005-0000-0000-000029090000}"/>
    <cellStyle name="Normal 26 8 2" xfId="2586" xr:uid="{00000000-0005-0000-0000-00002A090000}"/>
    <cellStyle name="Normal 26 9" xfId="1694" xr:uid="{00000000-0005-0000-0000-00002B090000}"/>
    <cellStyle name="Normal 26 9 2" xfId="3486" xr:uid="{00000000-0005-0000-0000-00002C090000}"/>
    <cellStyle name="Normal 27" xfId="41" xr:uid="{00000000-0005-0000-0000-00002D090000}"/>
    <cellStyle name="Normal 27 10" xfId="1883" xr:uid="{00000000-0005-0000-0000-00002E090000}"/>
    <cellStyle name="Normal 27 10 2" xfId="3843" xr:uid="{00000000-0005-0000-0000-00002F090000}"/>
    <cellStyle name="Normal 27 11" xfId="2552" xr:uid="{00000000-0005-0000-0000-000030090000}"/>
    <cellStyle name="Normal 27 2" xfId="555" xr:uid="{00000000-0005-0000-0000-000031090000}"/>
    <cellStyle name="Normal 27 2 2" xfId="3686" xr:uid="{00000000-0005-0000-0000-000032090000}"/>
    <cellStyle name="Normal 27 3" xfId="587" xr:uid="{00000000-0005-0000-0000-000033090000}"/>
    <cellStyle name="Normal 27 3 2" xfId="2346" xr:uid="{00000000-0005-0000-0000-000034090000}"/>
    <cellStyle name="Normal 27 4" xfId="769" xr:uid="{00000000-0005-0000-0000-000035090000}"/>
    <cellStyle name="Normal 27 4 2" xfId="3157" xr:uid="{00000000-0005-0000-0000-000036090000}"/>
    <cellStyle name="Normal 27 5" xfId="951" xr:uid="{00000000-0005-0000-0000-000037090000}"/>
    <cellStyle name="Normal 27 5 2" xfId="2492" xr:uid="{00000000-0005-0000-0000-000038090000}"/>
    <cellStyle name="Normal 27 6" xfId="1134" xr:uid="{00000000-0005-0000-0000-000039090000}"/>
    <cellStyle name="Normal 27 6 2" xfId="3620" xr:uid="{00000000-0005-0000-0000-00003A090000}"/>
    <cellStyle name="Normal 27 7" xfId="1319" xr:uid="{00000000-0005-0000-0000-00003B090000}"/>
    <cellStyle name="Normal 27 7 2" xfId="3259" xr:uid="{00000000-0005-0000-0000-00003C090000}"/>
    <cellStyle name="Normal 27 8" xfId="1507" xr:uid="{00000000-0005-0000-0000-00003D090000}"/>
    <cellStyle name="Normal 27 8 2" xfId="2196" xr:uid="{00000000-0005-0000-0000-00003E090000}"/>
    <cellStyle name="Normal 27 9" xfId="1695" xr:uid="{00000000-0005-0000-0000-00003F090000}"/>
    <cellStyle name="Normal 27 9 2" xfId="3315" xr:uid="{00000000-0005-0000-0000-000040090000}"/>
    <cellStyle name="Normal 28" xfId="42" xr:uid="{00000000-0005-0000-0000-000041090000}"/>
    <cellStyle name="Normal 28 10" xfId="1884" xr:uid="{00000000-0005-0000-0000-000042090000}"/>
    <cellStyle name="Normal 28 10 2" xfId="3844" xr:uid="{00000000-0005-0000-0000-000043090000}"/>
    <cellStyle name="Normal 28 11" xfId="2163" xr:uid="{00000000-0005-0000-0000-000044090000}"/>
    <cellStyle name="Normal 28 2" xfId="556" xr:uid="{00000000-0005-0000-0000-000045090000}"/>
    <cellStyle name="Normal 28 2 2" xfId="3516" xr:uid="{00000000-0005-0000-0000-000046090000}"/>
    <cellStyle name="Normal 28 3" xfId="588" xr:uid="{00000000-0005-0000-0000-000047090000}"/>
    <cellStyle name="Normal 28 3 2" xfId="2316" xr:uid="{00000000-0005-0000-0000-000048090000}"/>
    <cellStyle name="Normal 28 4" xfId="770" xr:uid="{00000000-0005-0000-0000-000049090000}"/>
    <cellStyle name="Normal 28 4 2" xfId="2989" xr:uid="{00000000-0005-0000-0000-00004A090000}"/>
    <cellStyle name="Normal 28 5" xfId="952" xr:uid="{00000000-0005-0000-0000-00004B090000}"/>
    <cellStyle name="Normal 28 5 2" xfId="2465" xr:uid="{00000000-0005-0000-0000-00004C090000}"/>
    <cellStyle name="Normal 28 6" xfId="1135" xr:uid="{00000000-0005-0000-0000-00004D090000}"/>
    <cellStyle name="Normal 28 6 2" xfId="3450" xr:uid="{00000000-0005-0000-0000-00004E090000}"/>
    <cellStyle name="Normal 28 7" xfId="1320" xr:uid="{00000000-0005-0000-0000-00004F090000}"/>
    <cellStyle name="Normal 28 7 2" xfId="3090" xr:uid="{00000000-0005-0000-0000-000050090000}"/>
    <cellStyle name="Normal 28 8" xfId="1508" xr:uid="{00000000-0005-0000-0000-000051090000}"/>
    <cellStyle name="Normal 28 8 2" xfId="3754" xr:uid="{00000000-0005-0000-0000-000052090000}"/>
    <cellStyle name="Normal 28 9" xfId="1696" xr:uid="{00000000-0005-0000-0000-000053090000}"/>
    <cellStyle name="Normal 28 9 2" xfId="3143" xr:uid="{00000000-0005-0000-0000-000054090000}"/>
    <cellStyle name="Normal 29" xfId="43" xr:uid="{00000000-0005-0000-0000-000055090000}"/>
    <cellStyle name="Normal 29 10" xfId="1885" xr:uid="{00000000-0005-0000-0000-000056090000}"/>
    <cellStyle name="Normal 29 10 2" xfId="3845" xr:uid="{00000000-0005-0000-0000-000057090000}"/>
    <cellStyle name="Normal 29 11" xfId="3722" xr:uid="{00000000-0005-0000-0000-000058090000}"/>
    <cellStyle name="Normal 29 2" xfId="557" xr:uid="{00000000-0005-0000-0000-000059090000}"/>
    <cellStyle name="Normal 29 2 2" xfId="3345" xr:uid="{00000000-0005-0000-0000-00005A090000}"/>
    <cellStyle name="Normal 29 3" xfId="589" xr:uid="{00000000-0005-0000-0000-00005B090000}"/>
    <cellStyle name="Normal 29 3 2" xfId="2283" xr:uid="{00000000-0005-0000-0000-00005C090000}"/>
    <cellStyle name="Normal 29 4" xfId="771" xr:uid="{00000000-0005-0000-0000-00005D090000}"/>
    <cellStyle name="Normal 29 4 2" xfId="2827" xr:uid="{00000000-0005-0000-0000-00005E090000}"/>
    <cellStyle name="Normal 29 5" xfId="953" xr:uid="{00000000-0005-0000-0000-00005F090000}"/>
    <cellStyle name="Normal 29 5 2" xfId="2431" xr:uid="{00000000-0005-0000-0000-000060090000}"/>
    <cellStyle name="Normal 29 6" xfId="1136" xr:uid="{00000000-0005-0000-0000-000061090000}"/>
    <cellStyle name="Normal 29 6 2" xfId="3278" xr:uid="{00000000-0005-0000-0000-000062090000}"/>
    <cellStyle name="Normal 29 7" xfId="1321" xr:uid="{00000000-0005-0000-0000-000063090000}"/>
    <cellStyle name="Normal 29 7 2" xfId="2926" xr:uid="{00000000-0005-0000-0000-000064090000}"/>
    <cellStyle name="Normal 29 8" xfId="1509" xr:uid="{00000000-0005-0000-0000-000065090000}"/>
    <cellStyle name="Normal 29 8 2" xfId="3585" xr:uid="{00000000-0005-0000-0000-000066090000}"/>
    <cellStyle name="Normal 29 9" xfId="1697" xr:uid="{00000000-0005-0000-0000-000067090000}"/>
    <cellStyle name="Normal 29 9 2" xfId="2975" xr:uid="{00000000-0005-0000-0000-000068090000}"/>
    <cellStyle name="Normal 3" xfId="15" xr:uid="{00000000-0005-0000-0000-000069090000}"/>
    <cellStyle name="Normal 3 10" xfId="562" xr:uid="{00000000-0005-0000-0000-00006A090000}"/>
    <cellStyle name="Normal 3 10 2" xfId="2515" xr:uid="{00000000-0005-0000-0000-00006B090000}"/>
    <cellStyle name="Normal 3 11" xfId="744" xr:uid="{00000000-0005-0000-0000-00006C090000}"/>
    <cellStyle name="Normal 3 11 2" xfId="2472" xr:uid="{00000000-0005-0000-0000-00006D090000}"/>
    <cellStyle name="Normal 3 12" xfId="926" xr:uid="{00000000-0005-0000-0000-00006E090000}"/>
    <cellStyle name="Normal 3 12 2" xfId="2986" xr:uid="{00000000-0005-0000-0000-00006F090000}"/>
    <cellStyle name="Normal 3 13" xfId="1109" xr:uid="{00000000-0005-0000-0000-000070090000}"/>
    <cellStyle name="Normal 3 13 2" xfId="3153" xr:uid="{00000000-0005-0000-0000-000071090000}"/>
    <cellStyle name="Normal 3 14" xfId="1294" xr:uid="{00000000-0005-0000-0000-000072090000}"/>
    <cellStyle name="Normal 3 14 2" xfId="2931" xr:uid="{00000000-0005-0000-0000-000073090000}"/>
    <cellStyle name="Normal 3 15" xfId="1482" xr:uid="{00000000-0005-0000-0000-000074090000}"/>
    <cellStyle name="Normal 3 15 2" xfId="2290" xr:uid="{00000000-0005-0000-0000-000075090000}"/>
    <cellStyle name="Normal 3 16" xfId="1670" xr:uid="{00000000-0005-0000-0000-000076090000}"/>
    <cellStyle name="Normal 3 16 2" xfId="3227" xr:uid="{00000000-0005-0000-0000-000077090000}"/>
    <cellStyle name="Normal 3 17" xfId="1858" xr:uid="{00000000-0005-0000-0000-000078090000}"/>
    <cellStyle name="Normal 3 17 2" xfId="2267" xr:uid="{00000000-0005-0000-0000-000079090000}"/>
    <cellStyle name="Normal 3 18" xfId="3726" xr:uid="{00000000-0005-0000-0000-00007A090000}"/>
    <cellStyle name="Normal 3 2" xfId="330" xr:uid="{00000000-0005-0000-0000-00007B090000}"/>
    <cellStyle name="Normal 3 2 2" xfId="344" xr:uid="{00000000-0005-0000-0000-00007C090000}"/>
    <cellStyle name="Normal 3 2 3" xfId="390" xr:uid="{00000000-0005-0000-0000-00007D090000}"/>
    <cellStyle name="Normal 3 3" xfId="331" xr:uid="{00000000-0005-0000-0000-00007E090000}"/>
    <cellStyle name="Normal 3 3 2" xfId="3364" xr:uid="{00000000-0005-0000-0000-00007F090000}"/>
    <cellStyle name="Normal 3 4" xfId="389" xr:uid="{00000000-0005-0000-0000-000080090000}"/>
    <cellStyle name="Normal 3 4 2" xfId="2697" xr:uid="{00000000-0005-0000-0000-000081090000}"/>
    <cellStyle name="Normal 3 5" xfId="422" xr:uid="{00000000-0005-0000-0000-000082090000}"/>
    <cellStyle name="Normal 3 5 2" xfId="3186" xr:uid="{00000000-0005-0000-0000-000083090000}"/>
    <cellStyle name="Normal 3 6" xfId="444" xr:uid="{00000000-0005-0000-0000-000084090000}"/>
    <cellStyle name="Normal 3 6 2" xfId="2526" xr:uid="{00000000-0005-0000-0000-000085090000}"/>
    <cellStyle name="Normal 3 7" xfId="494" xr:uid="{00000000-0005-0000-0000-000086090000}"/>
    <cellStyle name="Normal 3 7 2" xfId="3352" xr:uid="{00000000-0005-0000-0000-000087090000}"/>
    <cellStyle name="Normal 3 8" xfId="527" xr:uid="{00000000-0005-0000-0000-000088090000}"/>
    <cellStyle name="Normal 3 8 2" xfId="2128" xr:uid="{00000000-0005-0000-0000-000089090000}"/>
    <cellStyle name="Normal 3 9" xfId="533" xr:uid="{00000000-0005-0000-0000-00008A090000}"/>
    <cellStyle name="Normal 3 9 2" xfId="2846" xr:uid="{00000000-0005-0000-0000-00008B090000}"/>
    <cellStyle name="Normal 30" xfId="44" xr:uid="{00000000-0005-0000-0000-00008C090000}"/>
    <cellStyle name="Normal 30 10" xfId="3554" xr:uid="{00000000-0005-0000-0000-00008D090000}"/>
    <cellStyle name="Normal 30 2" xfId="590" xr:uid="{00000000-0005-0000-0000-00008E090000}"/>
    <cellStyle name="Normal 30 2 2" xfId="3649" xr:uid="{00000000-0005-0000-0000-00008F090000}"/>
    <cellStyle name="Normal 30 3" xfId="772" xr:uid="{00000000-0005-0000-0000-000090090000}"/>
    <cellStyle name="Normal 30 3 2" xfId="2664" xr:uid="{00000000-0005-0000-0000-000091090000}"/>
    <cellStyle name="Normal 30 4" xfId="954" xr:uid="{00000000-0005-0000-0000-000092090000}"/>
    <cellStyle name="Normal 30 4 2" xfId="2399" xr:uid="{00000000-0005-0000-0000-000093090000}"/>
    <cellStyle name="Normal 30 5" xfId="1137" xr:uid="{00000000-0005-0000-0000-000094090000}"/>
    <cellStyle name="Normal 30 5 2" xfId="3109" xr:uid="{00000000-0005-0000-0000-000095090000}"/>
    <cellStyle name="Normal 30 6" xfId="1322" xr:uid="{00000000-0005-0000-0000-000096090000}"/>
    <cellStyle name="Normal 30 6 2" xfId="2764" xr:uid="{00000000-0005-0000-0000-000097090000}"/>
    <cellStyle name="Normal 30 7" xfId="1510" xr:uid="{00000000-0005-0000-0000-000098090000}"/>
    <cellStyle name="Normal 30 7 2" xfId="3415" xr:uid="{00000000-0005-0000-0000-000099090000}"/>
    <cellStyle name="Normal 30 8" xfId="1698" xr:uid="{00000000-0005-0000-0000-00009A090000}"/>
    <cellStyle name="Normal 30 8 2" xfId="2813" xr:uid="{00000000-0005-0000-0000-00009B090000}"/>
    <cellStyle name="Normal 30 9" xfId="1886" xr:uid="{00000000-0005-0000-0000-00009C090000}"/>
    <cellStyle name="Normal 30 9 2" xfId="3846" xr:uid="{00000000-0005-0000-0000-00009D090000}"/>
    <cellStyle name="Normal 305" xfId="198" xr:uid="{00000000-0005-0000-0000-00009E090000}"/>
    <cellStyle name="Normal 305 2" xfId="1290" xr:uid="{00000000-0005-0000-0000-00009F090000}"/>
    <cellStyle name="Normal 305 2 2" xfId="3606" xr:uid="{00000000-0005-0000-0000-0000A0090000}"/>
    <cellStyle name="Normal 305 3" xfId="1475" xr:uid="{00000000-0005-0000-0000-0000A1090000}"/>
    <cellStyle name="Normal 305 3 2" xfId="2652" xr:uid="{00000000-0005-0000-0000-0000A2090000}"/>
    <cellStyle name="Normal 305 4" xfId="1663" xr:uid="{00000000-0005-0000-0000-0000A3090000}"/>
    <cellStyle name="Normal 305 4 2" xfId="2895" xr:uid="{00000000-0005-0000-0000-0000A4090000}"/>
    <cellStyle name="Normal 305 5" xfId="1851" xr:uid="{00000000-0005-0000-0000-0000A5090000}"/>
    <cellStyle name="Normal 305 5 2" xfId="2330" xr:uid="{00000000-0005-0000-0000-0000A6090000}"/>
    <cellStyle name="Normal 305 6" xfId="2039" xr:uid="{00000000-0005-0000-0000-0000A7090000}"/>
    <cellStyle name="Normal 305 6 2" xfId="3999" xr:uid="{00000000-0005-0000-0000-0000A8090000}"/>
    <cellStyle name="Normal 305 7" xfId="2864" xr:uid="{00000000-0005-0000-0000-0000A9090000}"/>
    <cellStyle name="Normal 307" xfId="197" xr:uid="{00000000-0005-0000-0000-0000AA090000}"/>
    <cellStyle name="Normal 307 2" xfId="1289" xr:uid="{00000000-0005-0000-0000-0000AB090000}"/>
    <cellStyle name="Normal 307 2 2" xfId="3775" xr:uid="{00000000-0005-0000-0000-0000AC090000}"/>
    <cellStyle name="Normal 307 3" xfId="1474" xr:uid="{00000000-0005-0000-0000-0000AD090000}"/>
    <cellStyle name="Normal 307 3 2" xfId="2198" xr:uid="{00000000-0005-0000-0000-0000AE090000}"/>
    <cellStyle name="Normal 307 4" xfId="1662" xr:uid="{00000000-0005-0000-0000-0000AF090000}"/>
    <cellStyle name="Normal 307 4 2" xfId="3059" xr:uid="{00000000-0005-0000-0000-0000B0090000}"/>
    <cellStyle name="Normal 307 5" xfId="1850" xr:uid="{00000000-0005-0000-0000-0000B1090000}"/>
    <cellStyle name="Normal 307 5 2" xfId="2271" xr:uid="{00000000-0005-0000-0000-0000B2090000}"/>
    <cellStyle name="Normal 307 6" xfId="2038" xr:uid="{00000000-0005-0000-0000-0000B3090000}"/>
    <cellStyle name="Normal 307 6 2" xfId="3998" xr:uid="{00000000-0005-0000-0000-0000B4090000}"/>
    <cellStyle name="Normal 307 7" xfId="3027" xr:uid="{00000000-0005-0000-0000-0000B5090000}"/>
    <cellStyle name="Normal 308" xfId="196" xr:uid="{00000000-0005-0000-0000-0000B6090000}"/>
    <cellStyle name="Normal 308 2" xfId="1288" xr:uid="{00000000-0005-0000-0000-0000B7090000}"/>
    <cellStyle name="Normal 308 2 2" xfId="2217" xr:uid="{00000000-0005-0000-0000-0000B8090000}"/>
    <cellStyle name="Normal 308 3" xfId="1473" xr:uid="{00000000-0005-0000-0000-0000B9090000}"/>
    <cellStyle name="Normal 308 3 2" xfId="2588" xr:uid="{00000000-0005-0000-0000-0000BA090000}"/>
    <cellStyle name="Normal 308 4" xfId="1661" xr:uid="{00000000-0005-0000-0000-0000BB090000}"/>
    <cellStyle name="Normal 308 4 2" xfId="3228" xr:uid="{00000000-0005-0000-0000-0000BC090000}"/>
    <cellStyle name="Normal 308 5" xfId="1849" xr:uid="{00000000-0005-0000-0000-0000BD090000}"/>
    <cellStyle name="Normal 308 5 2" xfId="2320" xr:uid="{00000000-0005-0000-0000-0000BE090000}"/>
    <cellStyle name="Normal 308 6" xfId="2037" xr:uid="{00000000-0005-0000-0000-0000BF090000}"/>
    <cellStyle name="Normal 308 6 2" xfId="3997" xr:uid="{00000000-0005-0000-0000-0000C0090000}"/>
    <cellStyle name="Normal 308 7" xfId="3196" xr:uid="{00000000-0005-0000-0000-0000C1090000}"/>
    <cellStyle name="Normal 31" xfId="45" xr:uid="{00000000-0005-0000-0000-0000C2090000}"/>
    <cellStyle name="Normal 31 10" xfId="3384" xr:uid="{00000000-0005-0000-0000-0000C3090000}"/>
    <cellStyle name="Normal 31 2" xfId="591" xr:uid="{00000000-0005-0000-0000-0000C4090000}"/>
    <cellStyle name="Normal 31 2 2" xfId="3479" xr:uid="{00000000-0005-0000-0000-0000C5090000}"/>
    <cellStyle name="Normal 31 3" xfId="773" xr:uid="{00000000-0005-0000-0000-0000C6090000}"/>
    <cellStyle name="Normal 31 3 2" xfId="2499" xr:uid="{00000000-0005-0000-0000-0000C7090000}"/>
    <cellStyle name="Normal 31 4" xfId="955" xr:uid="{00000000-0005-0000-0000-0000C8090000}"/>
    <cellStyle name="Normal 31 4 2" xfId="2381" xr:uid="{00000000-0005-0000-0000-0000C9090000}"/>
    <cellStyle name="Normal 31 5" xfId="1138" xr:uid="{00000000-0005-0000-0000-0000CA090000}"/>
    <cellStyle name="Normal 31 5 2" xfId="2945" xr:uid="{00000000-0005-0000-0000-0000CB090000}"/>
    <cellStyle name="Normal 31 6" xfId="1323" xr:uid="{00000000-0005-0000-0000-0000CC090000}"/>
    <cellStyle name="Normal 31 6 2" xfId="2601" xr:uid="{00000000-0005-0000-0000-0000CD090000}"/>
    <cellStyle name="Normal 31 7" xfId="1511" xr:uid="{00000000-0005-0000-0000-0000CE090000}"/>
    <cellStyle name="Normal 31 7 2" xfId="3243" xr:uid="{00000000-0005-0000-0000-0000CF090000}"/>
    <cellStyle name="Normal 31 8" xfId="1699" xr:uid="{00000000-0005-0000-0000-0000D0090000}"/>
    <cellStyle name="Normal 31 8 2" xfId="2094" xr:uid="{00000000-0005-0000-0000-0000D1090000}"/>
    <cellStyle name="Normal 31 9" xfId="1887" xr:uid="{00000000-0005-0000-0000-0000D2090000}"/>
    <cellStyle name="Normal 31 9 2" xfId="3847" xr:uid="{00000000-0005-0000-0000-0000D3090000}"/>
    <cellStyle name="Normal 316" xfId="199" xr:uid="{00000000-0005-0000-0000-0000D4090000}"/>
    <cellStyle name="Normal 316 2" xfId="1476" xr:uid="{00000000-0005-0000-0000-0000D5090000}"/>
    <cellStyle name="Normal 316 2 2" xfId="2487" xr:uid="{00000000-0005-0000-0000-0000D6090000}"/>
    <cellStyle name="Normal 316 3" xfId="1664" xr:uid="{00000000-0005-0000-0000-0000D7090000}"/>
    <cellStyle name="Normal 316 3 2" xfId="2733" xr:uid="{00000000-0005-0000-0000-0000D8090000}"/>
    <cellStyle name="Normal 316 4" xfId="1852" xr:uid="{00000000-0005-0000-0000-0000D9090000}"/>
    <cellStyle name="Normal 316 4 2" xfId="2270" xr:uid="{00000000-0005-0000-0000-0000DA090000}"/>
    <cellStyle name="Normal 316 5" xfId="2040" xr:uid="{00000000-0005-0000-0000-0000DB090000}"/>
    <cellStyle name="Normal 316 5 2" xfId="4000" xr:uid="{00000000-0005-0000-0000-0000DC090000}"/>
    <cellStyle name="Normal 316 6" xfId="2703" xr:uid="{00000000-0005-0000-0000-0000DD090000}"/>
    <cellStyle name="Normal 317" xfId="200" xr:uid="{00000000-0005-0000-0000-0000DE090000}"/>
    <cellStyle name="Normal 317 2" xfId="1477" xr:uid="{00000000-0005-0000-0000-0000DF090000}"/>
    <cellStyle name="Normal 317 2 2" xfId="2460" xr:uid="{00000000-0005-0000-0000-0000E0090000}"/>
    <cellStyle name="Normal 317 3" xfId="1665" xr:uid="{00000000-0005-0000-0000-0000E1090000}"/>
    <cellStyle name="Normal 317 3 2" xfId="2570" xr:uid="{00000000-0005-0000-0000-0000E2090000}"/>
    <cellStyle name="Normal 317 4" xfId="1853" xr:uid="{00000000-0005-0000-0000-0000E3090000}"/>
    <cellStyle name="Normal 317 4 2" xfId="2332" xr:uid="{00000000-0005-0000-0000-0000E4090000}"/>
    <cellStyle name="Normal 317 5" xfId="2041" xr:uid="{00000000-0005-0000-0000-0000E5090000}"/>
    <cellStyle name="Normal 317 5 2" xfId="4001" xr:uid="{00000000-0005-0000-0000-0000E6090000}"/>
    <cellStyle name="Normal 317 6" xfId="2536" xr:uid="{00000000-0005-0000-0000-0000E7090000}"/>
    <cellStyle name="Normal 319" xfId="201" xr:uid="{00000000-0005-0000-0000-0000E8090000}"/>
    <cellStyle name="Normal 319 2" xfId="1478" xr:uid="{00000000-0005-0000-0000-0000E9090000}"/>
    <cellStyle name="Normal 319 2 2" xfId="2419" xr:uid="{00000000-0005-0000-0000-0000EA090000}"/>
    <cellStyle name="Normal 319 3" xfId="1666" xr:uid="{00000000-0005-0000-0000-0000EB090000}"/>
    <cellStyle name="Normal 319 3 2" xfId="2180" xr:uid="{00000000-0005-0000-0000-0000EC090000}"/>
    <cellStyle name="Normal 319 4" xfId="1854" xr:uid="{00000000-0005-0000-0000-0000ED090000}"/>
    <cellStyle name="Normal 319 4 2" xfId="2269" xr:uid="{00000000-0005-0000-0000-0000EE090000}"/>
    <cellStyle name="Normal 319 5" xfId="2042" xr:uid="{00000000-0005-0000-0000-0000EF090000}"/>
    <cellStyle name="Normal 319 5 2" xfId="4002" xr:uid="{00000000-0005-0000-0000-0000F0090000}"/>
    <cellStyle name="Normal 319 6" xfId="2147" xr:uid="{00000000-0005-0000-0000-0000F1090000}"/>
    <cellStyle name="Normal 32" xfId="46" xr:uid="{00000000-0005-0000-0000-0000F2090000}"/>
    <cellStyle name="Normal 32 10" xfId="3211" xr:uid="{00000000-0005-0000-0000-0000F3090000}"/>
    <cellStyle name="Normal 32 2" xfId="592" xr:uid="{00000000-0005-0000-0000-0000F4090000}"/>
    <cellStyle name="Normal 32 2 2" xfId="3307" xr:uid="{00000000-0005-0000-0000-0000F5090000}"/>
    <cellStyle name="Normal 32 3" xfId="774" xr:uid="{00000000-0005-0000-0000-0000F6090000}"/>
    <cellStyle name="Normal 32 3 2" xfId="2469" xr:uid="{00000000-0005-0000-0000-0000F7090000}"/>
    <cellStyle name="Normal 32 4" xfId="956" xr:uid="{00000000-0005-0000-0000-0000F8090000}"/>
    <cellStyle name="Normal 32 4 2" xfId="2361" xr:uid="{00000000-0005-0000-0000-0000F9090000}"/>
    <cellStyle name="Normal 32 5" xfId="1139" xr:uid="{00000000-0005-0000-0000-0000FA090000}"/>
    <cellStyle name="Normal 32 5 2" xfId="2783" xr:uid="{00000000-0005-0000-0000-0000FB090000}"/>
    <cellStyle name="Normal 32 6" xfId="1324" xr:uid="{00000000-0005-0000-0000-0000FC090000}"/>
    <cellStyle name="Normal 32 6 2" xfId="2211" xr:uid="{00000000-0005-0000-0000-0000FD090000}"/>
    <cellStyle name="Normal 32 7" xfId="1512" xr:uid="{00000000-0005-0000-0000-0000FE090000}"/>
    <cellStyle name="Normal 32 7 2" xfId="3074" xr:uid="{00000000-0005-0000-0000-0000FF090000}"/>
    <cellStyle name="Normal 32 8" xfId="1700" xr:uid="{00000000-0005-0000-0000-0000000A0000}"/>
    <cellStyle name="Normal 32 8 2" xfId="3736" xr:uid="{00000000-0005-0000-0000-0000010A0000}"/>
    <cellStyle name="Normal 32 9" xfId="1888" xr:uid="{00000000-0005-0000-0000-0000020A0000}"/>
    <cellStyle name="Normal 32 9 2" xfId="3848" xr:uid="{00000000-0005-0000-0000-0000030A0000}"/>
    <cellStyle name="Normal 33" xfId="47" xr:uid="{00000000-0005-0000-0000-0000040A0000}"/>
    <cellStyle name="Normal 33 10" xfId="3042" xr:uid="{00000000-0005-0000-0000-0000050A0000}"/>
    <cellStyle name="Normal 33 2" xfId="593" xr:uid="{00000000-0005-0000-0000-0000060A0000}"/>
    <cellStyle name="Normal 33 2 2" xfId="3135" xr:uid="{00000000-0005-0000-0000-0000070A0000}"/>
    <cellStyle name="Normal 33 3" xfId="775" xr:uid="{00000000-0005-0000-0000-0000080A0000}"/>
    <cellStyle name="Normal 33 3 2" xfId="3670" xr:uid="{00000000-0005-0000-0000-0000090A0000}"/>
    <cellStyle name="Normal 33 4" xfId="957" xr:uid="{00000000-0005-0000-0000-00000A0A0000}"/>
    <cellStyle name="Normal 33 4 2" xfId="2302" xr:uid="{00000000-0005-0000-0000-00000B0A0000}"/>
    <cellStyle name="Normal 33 5" xfId="1140" xr:uid="{00000000-0005-0000-0000-00000C0A0000}"/>
    <cellStyle name="Normal 33 5 2" xfId="2620" xr:uid="{00000000-0005-0000-0000-00000D0A0000}"/>
    <cellStyle name="Normal 33 6" xfId="1325" xr:uid="{00000000-0005-0000-0000-00000E0A0000}"/>
    <cellStyle name="Normal 33 6 2" xfId="3771" xr:uid="{00000000-0005-0000-0000-00000F0A0000}"/>
    <cellStyle name="Normal 33 7" xfId="1513" xr:uid="{00000000-0005-0000-0000-0000100A0000}"/>
    <cellStyle name="Normal 33 7 2" xfId="2910" xr:uid="{00000000-0005-0000-0000-0000110A0000}"/>
    <cellStyle name="Normal 33 8" xfId="1701" xr:uid="{00000000-0005-0000-0000-0000120A0000}"/>
    <cellStyle name="Normal 33 8 2" xfId="3567" xr:uid="{00000000-0005-0000-0000-0000130A0000}"/>
    <cellStyle name="Normal 33 9" xfId="1889" xr:uid="{00000000-0005-0000-0000-0000140A0000}"/>
    <cellStyle name="Normal 33 9 2" xfId="3849" xr:uid="{00000000-0005-0000-0000-0000150A0000}"/>
    <cellStyle name="Normal 34" xfId="48" xr:uid="{00000000-0005-0000-0000-0000160A0000}"/>
    <cellStyle name="Normal 34 10" xfId="2879" xr:uid="{00000000-0005-0000-0000-0000170A0000}"/>
    <cellStyle name="Normal 34 2" xfId="594" xr:uid="{00000000-0005-0000-0000-0000180A0000}"/>
    <cellStyle name="Normal 34 2 2" xfId="2968" xr:uid="{00000000-0005-0000-0000-0000190A0000}"/>
    <cellStyle name="Normal 34 3" xfId="776" xr:uid="{00000000-0005-0000-0000-00001A0A0000}"/>
    <cellStyle name="Normal 34 3 2" xfId="2108" xr:uid="{00000000-0005-0000-0000-00001B0A0000}"/>
    <cellStyle name="Normal 34 4" xfId="958" xr:uid="{00000000-0005-0000-0000-00001C0A0000}"/>
    <cellStyle name="Normal 34 4 2" xfId="3663" xr:uid="{00000000-0005-0000-0000-00001D0A0000}"/>
    <cellStyle name="Normal 34 5" xfId="1141" xr:uid="{00000000-0005-0000-0000-00001E0A0000}"/>
    <cellStyle name="Normal 34 5 2" xfId="2230" xr:uid="{00000000-0005-0000-0000-00001F0A0000}"/>
    <cellStyle name="Normal 34 6" xfId="1326" xr:uid="{00000000-0005-0000-0000-0000200A0000}"/>
    <cellStyle name="Normal 34 6 2" xfId="3602" xr:uid="{00000000-0005-0000-0000-0000210A0000}"/>
    <cellStyle name="Normal 34 7" xfId="1514" xr:uid="{00000000-0005-0000-0000-0000220A0000}"/>
    <cellStyle name="Normal 34 7 2" xfId="2748" xr:uid="{00000000-0005-0000-0000-0000230A0000}"/>
    <cellStyle name="Normal 34 8" xfId="1702" xr:uid="{00000000-0005-0000-0000-0000240A0000}"/>
    <cellStyle name="Normal 34 8 2" xfId="3397" xr:uid="{00000000-0005-0000-0000-0000250A0000}"/>
    <cellStyle name="Normal 34 9" xfId="1890" xr:uid="{00000000-0005-0000-0000-0000260A0000}"/>
    <cellStyle name="Normal 34 9 2" xfId="3850" xr:uid="{00000000-0005-0000-0000-0000270A0000}"/>
    <cellStyle name="Normal 35" xfId="49" xr:uid="{00000000-0005-0000-0000-0000280A0000}"/>
    <cellStyle name="Normal 35 10" xfId="2717" xr:uid="{00000000-0005-0000-0000-0000290A0000}"/>
    <cellStyle name="Normal 35 2" xfId="595" xr:uid="{00000000-0005-0000-0000-00002A0A0000}"/>
    <cellStyle name="Normal 35 2 2" xfId="2806" xr:uid="{00000000-0005-0000-0000-00002B0A0000}"/>
    <cellStyle name="Normal 35 3" xfId="777" xr:uid="{00000000-0005-0000-0000-00002C0A0000}"/>
    <cellStyle name="Normal 35 3 2" xfId="3499" xr:uid="{00000000-0005-0000-0000-00002D0A0000}"/>
    <cellStyle name="Normal 35 4" xfId="959" xr:uid="{00000000-0005-0000-0000-00002E0A0000}"/>
    <cellStyle name="Normal 35 4 2" xfId="3493" xr:uid="{00000000-0005-0000-0000-00002F0A0000}"/>
    <cellStyle name="Normal 35 5" xfId="1142" xr:uid="{00000000-0005-0000-0000-0000300A0000}"/>
    <cellStyle name="Normal 35 5 2" xfId="3788" xr:uid="{00000000-0005-0000-0000-0000310A0000}"/>
    <cellStyle name="Normal 35 6" xfId="1327" xr:uid="{00000000-0005-0000-0000-0000320A0000}"/>
    <cellStyle name="Normal 35 6 2" xfId="3432" xr:uid="{00000000-0005-0000-0000-0000330A0000}"/>
    <cellStyle name="Normal 35 7" xfId="1515" xr:uid="{00000000-0005-0000-0000-0000340A0000}"/>
    <cellStyle name="Normal 35 7 2" xfId="2585" xr:uid="{00000000-0005-0000-0000-0000350A0000}"/>
    <cellStyle name="Normal 35 8" xfId="1703" xr:uid="{00000000-0005-0000-0000-0000360A0000}"/>
    <cellStyle name="Normal 35 8 2" xfId="3225" xr:uid="{00000000-0005-0000-0000-0000370A0000}"/>
    <cellStyle name="Normal 35 9" xfId="1891" xr:uid="{00000000-0005-0000-0000-0000380A0000}"/>
    <cellStyle name="Normal 35 9 2" xfId="3851" xr:uid="{00000000-0005-0000-0000-0000390A0000}"/>
    <cellStyle name="Normal 36" xfId="50" xr:uid="{00000000-0005-0000-0000-00003A0A0000}"/>
    <cellStyle name="Normal 36 10" xfId="2551" xr:uid="{00000000-0005-0000-0000-00003B0A0000}"/>
    <cellStyle name="Normal 36 2" xfId="596" xr:uid="{00000000-0005-0000-0000-00003C0A0000}"/>
    <cellStyle name="Normal 36 2 2" xfId="2643" xr:uid="{00000000-0005-0000-0000-00003D0A0000}"/>
    <cellStyle name="Normal 36 3" xfId="778" xr:uid="{00000000-0005-0000-0000-00003E0A0000}"/>
    <cellStyle name="Normal 36 3 2" xfId="3328" xr:uid="{00000000-0005-0000-0000-00003F0A0000}"/>
    <cellStyle name="Normal 36 4" xfId="960" xr:uid="{00000000-0005-0000-0000-0000400A0000}"/>
    <cellStyle name="Normal 36 4 2" xfId="3322" xr:uid="{00000000-0005-0000-0000-0000410A0000}"/>
    <cellStyle name="Normal 36 5" xfId="1143" xr:uid="{00000000-0005-0000-0000-0000420A0000}"/>
    <cellStyle name="Normal 36 5 2" xfId="3619" xr:uid="{00000000-0005-0000-0000-0000430A0000}"/>
    <cellStyle name="Normal 36 6" xfId="1328" xr:uid="{00000000-0005-0000-0000-0000440A0000}"/>
    <cellStyle name="Normal 36 6 2" xfId="3260" xr:uid="{00000000-0005-0000-0000-0000450A0000}"/>
    <cellStyle name="Normal 36 7" xfId="1516" xr:uid="{00000000-0005-0000-0000-0000460A0000}"/>
    <cellStyle name="Normal 36 7 2" xfId="2195" xr:uid="{00000000-0005-0000-0000-0000470A0000}"/>
    <cellStyle name="Normal 36 8" xfId="1704" xr:uid="{00000000-0005-0000-0000-0000480A0000}"/>
    <cellStyle name="Normal 36 8 2" xfId="3056" xr:uid="{00000000-0005-0000-0000-0000490A0000}"/>
    <cellStyle name="Normal 36 9" xfId="1892" xr:uid="{00000000-0005-0000-0000-00004A0A0000}"/>
    <cellStyle name="Normal 36 9 2" xfId="3852" xr:uid="{00000000-0005-0000-0000-00004B0A0000}"/>
    <cellStyle name="Normal 37" xfId="51" xr:uid="{00000000-0005-0000-0000-00004C0A0000}"/>
    <cellStyle name="Normal 37 10" xfId="2162" xr:uid="{00000000-0005-0000-0000-00004D0A0000}"/>
    <cellStyle name="Normal 37 2" xfId="597" xr:uid="{00000000-0005-0000-0000-00004E0A0000}"/>
    <cellStyle name="Normal 37 2 2" xfId="2086" xr:uid="{00000000-0005-0000-0000-00004F0A0000}"/>
    <cellStyle name="Normal 37 3" xfId="779" xr:uid="{00000000-0005-0000-0000-0000500A0000}"/>
    <cellStyle name="Normal 37 3 2" xfId="3156" xr:uid="{00000000-0005-0000-0000-0000510A0000}"/>
    <cellStyle name="Normal 37 4" xfId="961" xr:uid="{00000000-0005-0000-0000-0000520A0000}"/>
    <cellStyle name="Normal 37 4 2" xfId="3150" xr:uid="{00000000-0005-0000-0000-0000530A0000}"/>
    <cellStyle name="Normal 37 5" xfId="1144" xr:uid="{00000000-0005-0000-0000-0000540A0000}"/>
    <cellStyle name="Normal 37 5 2" xfId="3449" xr:uid="{00000000-0005-0000-0000-0000550A0000}"/>
    <cellStyle name="Normal 37 6" xfId="1329" xr:uid="{00000000-0005-0000-0000-0000560A0000}"/>
    <cellStyle name="Normal 37 6 2" xfId="3091" xr:uid="{00000000-0005-0000-0000-0000570A0000}"/>
    <cellStyle name="Normal 37 7" xfId="1517" xr:uid="{00000000-0005-0000-0000-0000580A0000}"/>
    <cellStyle name="Normal 37 7 2" xfId="3753" xr:uid="{00000000-0005-0000-0000-0000590A0000}"/>
    <cellStyle name="Normal 37 8" xfId="1705" xr:uid="{00000000-0005-0000-0000-00005A0A0000}"/>
    <cellStyle name="Normal 37 8 2" xfId="2892" xr:uid="{00000000-0005-0000-0000-00005B0A0000}"/>
    <cellStyle name="Normal 37 9" xfId="1893" xr:uid="{00000000-0005-0000-0000-00005C0A0000}"/>
    <cellStyle name="Normal 37 9 2" xfId="3853" xr:uid="{00000000-0005-0000-0000-00005D0A0000}"/>
    <cellStyle name="Normal 38" xfId="52" xr:uid="{00000000-0005-0000-0000-00005E0A0000}"/>
    <cellStyle name="Normal 38 10" xfId="3721" xr:uid="{00000000-0005-0000-0000-00005F0A0000}"/>
    <cellStyle name="Normal 38 2" xfId="598" xr:uid="{00000000-0005-0000-0000-0000600A0000}"/>
    <cellStyle name="Normal 38 2 2" xfId="3683" xr:uid="{00000000-0005-0000-0000-0000610A0000}"/>
    <cellStyle name="Normal 38 3" xfId="780" xr:uid="{00000000-0005-0000-0000-0000620A0000}"/>
    <cellStyle name="Normal 38 3 2" xfId="2988" xr:uid="{00000000-0005-0000-0000-0000630A0000}"/>
    <cellStyle name="Normal 38 4" xfId="962" xr:uid="{00000000-0005-0000-0000-0000640A0000}"/>
    <cellStyle name="Normal 38 4 2" xfId="2982" xr:uid="{00000000-0005-0000-0000-0000650A0000}"/>
    <cellStyle name="Normal 38 5" xfId="1145" xr:uid="{00000000-0005-0000-0000-0000660A0000}"/>
    <cellStyle name="Normal 38 5 2" xfId="3277" xr:uid="{00000000-0005-0000-0000-0000670A0000}"/>
    <cellStyle name="Normal 38 6" xfId="1330" xr:uid="{00000000-0005-0000-0000-0000680A0000}"/>
    <cellStyle name="Normal 38 6 2" xfId="2927" xr:uid="{00000000-0005-0000-0000-0000690A0000}"/>
    <cellStyle name="Normal 38 7" xfId="1518" xr:uid="{00000000-0005-0000-0000-00006A0A0000}"/>
    <cellStyle name="Normal 38 7 2" xfId="3584" xr:uid="{00000000-0005-0000-0000-00006B0A0000}"/>
    <cellStyle name="Normal 38 8" xfId="1706" xr:uid="{00000000-0005-0000-0000-00006C0A0000}"/>
    <cellStyle name="Normal 38 8 2" xfId="2730" xr:uid="{00000000-0005-0000-0000-00006D0A0000}"/>
    <cellStyle name="Normal 38 9" xfId="1894" xr:uid="{00000000-0005-0000-0000-00006E0A0000}"/>
    <cellStyle name="Normal 38 9 2" xfId="3854" xr:uid="{00000000-0005-0000-0000-00006F0A0000}"/>
    <cellStyle name="Normal 39" xfId="53" xr:uid="{00000000-0005-0000-0000-0000700A0000}"/>
    <cellStyle name="Normal 39 10" xfId="3553" xr:uid="{00000000-0005-0000-0000-0000710A0000}"/>
    <cellStyle name="Normal 39 2" xfId="599" xr:uid="{00000000-0005-0000-0000-0000720A0000}"/>
    <cellStyle name="Normal 39 2 2" xfId="3513" xr:uid="{00000000-0005-0000-0000-0000730A0000}"/>
    <cellStyle name="Normal 39 3" xfId="781" xr:uid="{00000000-0005-0000-0000-0000740A0000}"/>
    <cellStyle name="Normal 39 3 2" xfId="2826" xr:uid="{00000000-0005-0000-0000-0000750A0000}"/>
    <cellStyle name="Normal 39 4" xfId="963" xr:uid="{00000000-0005-0000-0000-0000760A0000}"/>
    <cellStyle name="Normal 39 4 2" xfId="2820" xr:uid="{00000000-0005-0000-0000-0000770A0000}"/>
    <cellStyle name="Normal 39 5" xfId="1146" xr:uid="{00000000-0005-0000-0000-0000780A0000}"/>
    <cellStyle name="Normal 39 5 2" xfId="3108" xr:uid="{00000000-0005-0000-0000-0000790A0000}"/>
    <cellStyle name="Normal 39 6" xfId="1331" xr:uid="{00000000-0005-0000-0000-00007A0A0000}"/>
    <cellStyle name="Normal 39 6 2" xfId="2765" xr:uid="{00000000-0005-0000-0000-00007B0A0000}"/>
    <cellStyle name="Normal 39 7" xfId="1519" xr:uid="{00000000-0005-0000-0000-00007C0A0000}"/>
    <cellStyle name="Normal 39 7 2" xfId="3414" xr:uid="{00000000-0005-0000-0000-00007D0A0000}"/>
    <cellStyle name="Normal 39 8" xfId="1707" xr:uid="{00000000-0005-0000-0000-00007E0A0000}"/>
    <cellStyle name="Normal 39 8 2" xfId="2567" xr:uid="{00000000-0005-0000-0000-00007F0A0000}"/>
    <cellStyle name="Normal 39 9" xfId="1895" xr:uid="{00000000-0005-0000-0000-0000800A0000}"/>
    <cellStyle name="Normal 39 9 2" xfId="3855" xr:uid="{00000000-0005-0000-0000-0000810A0000}"/>
    <cellStyle name="Normal 4" xfId="16" xr:uid="{00000000-0005-0000-0000-0000820A0000}"/>
    <cellStyle name="Normal 4 10" xfId="745" xr:uid="{00000000-0005-0000-0000-0000830A0000}"/>
    <cellStyle name="Normal 4 10 2" xfId="3673" xr:uid="{00000000-0005-0000-0000-0000840A0000}"/>
    <cellStyle name="Normal 4 11" xfId="927" xr:uid="{00000000-0005-0000-0000-0000850A0000}"/>
    <cellStyle name="Normal 4 11 2" xfId="2824" xr:uid="{00000000-0005-0000-0000-0000860A0000}"/>
    <cellStyle name="Normal 4 12" xfId="1110" xr:uid="{00000000-0005-0000-0000-0000870A0000}"/>
    <cellStyle name="Normal 4 12 2" xfId="2985" xr:uid="{00000000-0005-0000-0000-0000880A0000}"/>
    <cellStyle name="Normal 4 13" xfId="1295" xr:uid="{00000000-0005-0000-0000-0000890A0000}"/>
    <cellStyle name="Normal 4 13 2" xfId="2769" xr:uid="{00000000-0005-0000-0000-00008A0A0000}"/>
    <cellStyle name="Normal 4 14" xfId="1483" xr:uid="{00000000-0005-0000-0000-00008B0A0000}"/>
    <cellStyle name="Normal 4 14 2" xfId="3658" xr:uid="{00000000-0005-0000-0000-00008C0A0000}"/>
    <cellStyle name="Normal 4 15" xfId="1671" xr:uid="{00000000-0005-0000-0000-00008D0A0000}"/>
    <cellStyle name="Normal 4 15 2" xfId="3058" xr:uid="{00000000-0005-0000-0000-00008E0A0000}"/>
    <cellStyle name="Normal 4 16" xfId="1859" xr:uid="{00000000-0005-0000-0000-00008F0A0000}"/>
    <cellStyle name="Normal 4 16 2" xfId="3819" xr:uid="{00000000-0005-0000-0000-0000900A0000}"/>
    <cellStyle name="Normal 4 17" xfId="285" xr:uid="{00000000-0005-0000-0000-0000910A0000}"/>
    <cellStyle name="Normal 4 18" xfId="3815" xr:uid="{00000000-0005-0000-0000-0000920A0000}"/>
    <cellStyle name="Normal 4 19" xfId="3557" xr:uid="{00000000-0005-0000-0000-0000930A0000}"/>
    <cellStyle name="Normal 4 2" xfId="354" xr:uid="{00000000-0005-0000-0000-0000940A0000}"/>
    <cellStyle name="Normal 4 2 2" xfId="2533" xr:uid="{00000000-0005-0000-0000-0000950A0000}"/>
    <cellStyle name="Normal 4 3" xfId="391" xr:uid="{00000000-0005-0000-0000-0000960A0000}"/>
    <cellStyle name="Normal 4 3 2" xfId="2141" xr:uid="{00000000-0005-0000-0000-0000970A0000}"/>
    <cellStyle name="Normal 4 4" xfId="423" xr:uid="{00000000-0005-0000-0000-0000980A0000}"/>
    <cellStyle name="Normal 4 4 2" xfId="3018" xr:uid="{00000000-0005-0000-0000-0000990A0000}"/>
    <cellStyle name="Normal 4 5" xfId="445" xr:uid="{00000000-0005-0000-0000-00009A0A0000}"/>
    <cellStyle name="Normal 4 5 2" xfId="2135" xr:uid="{00000000-0005-0000-0000-00009B0A0000}"/>
    <cellStyle name="Normal 4 6" xfId="495" xr:uid="{00000000-0005-0000-0000-00009C0A0000}"/>
    <cellStyle name="Normal 4 6 2" xfId="3180" xr:uid="{00000000-0005-0000-0000-00009D0A0000}"/>
    <cellStyle name="Normal 4 7" xfId="528" xr:uid="{00000000-0005-0000-0000-00009E0A0000}"/>
    <cellStyle name="Normal 4 7 2" xfId="3689" xr:uid="{00000000-0005-0000-0000-00009F0A0000}"/>
    <cellStyle name="Normal 4 8" xfId="534" xr:uid="{00000000-0005-0000-0000-0000A00A0000}"/>
    <cellStyle name="Normal 4 8 2" xfId="2683" xr:uid="{00000000-0005-0000-0000-0000A10A0000}"/>
    <cellStyle name="Normal 4 9" xfId="563" xr:uid="{00000000-0005-0000-0000-0000A20A0000}"/>
    <cellStyle name="Normal 4 9 2" xfId="2124" xr:uid="{00000000-0005-0000-0000-0000A30A0000}"/>
    <cellStyle name="Normal 40" xfId="54" xr:uid="{00000000-0005-0000-0000-0000A40A0000}"/>
    <cellStyle name="Normal 40 10" xfId="3383" xr:uid="{00000000-0005-0000-0000-0000A50A0000}"/>
    <cellStyle name="Normal 40 2" xfId="600" xr:uid="{00000000-0005-0000-0000-0000A60A0000}"/>
    <cellStyle name="Normal 40 2 2" xfId="3342" xr:uid="{00000000-0005-0000-0000-0000A70A0000}"/>
    <cellStyle name="Normal 40 3" xfId="782" xr:uid="{00000000-0005-0000-0000-0000A80A0000}"/>
    <cellStyle name="Normal 40 3 2" xfId="2663" xr:uid="{00000000-0005-0000-0000-0000A90A0000}"/>
    <cellStyle name="Normal 40 4" xfId="964" xr:uid="{00000000-0005-0000-0000-0000AA0A0000}"/>
    <cellStyle name="Normal 40 4 2" xfId="2101" xr:uid="{00000000-0005-0000-0000-0000AB0A0000}"/>
    <cellStyle name="Normal 40 5" xfId="1147" xr:uid="{00000000-0005-0000-0000-0000AC0A0000}"/>
    <cellStyle name="Normal 40 5 2" xfId="2944" xr:uid="{00000000-0005-0000-0000-0000AD0A0000}"/>
    <cellStyle name="Normal 40 6" xfId="1332" xr:uid="{00000000-0005-0000-0000-0000AE0A0000}"/>
    <cellStyle name="Normal 40 6 2" xfId="2602" xr:uid="{00000000-0005-0000-0000-0000AF0A0000}"/>
    <cellStyle name="Normal 40 7" xfId="1520" xr:uid="{00000000-0005-0000-0000-0000B00A0000}"/>
    <cellStyle name="Normal 40 7 2" xfId="3242" xr:uid="{00000000-0005-0000-0000-0000B10A0000}"/>
    <cellStyle name="Normal 40 8" xfId="1708" xr:uid="{00000000-0005-0000-0000-0000B20A0000}"/>
    <cellStyle name="Normal 40 8 2" xfId="2177" xr:uid="{00000000-0005-0000-0000-0000B30A0000}"/>
    <cellStyle name="Normal 40 9" xfId="1896" xr:uid="{00000000-0005-0000-0000-0000B40A0000}"/>
    <cellStyle name="Normal 40 9 2" xfId="3856" xr:uid="{00000000-0005-0000-0000-0000B50A0000}"/>
    <cellStyle name="Normal 41" xfId="55" xr:uid="{00000000-0005-0000-0000-0000B60A0000}"/>
    <cellStyle name="Normal 41 10" xfId="3210" xr:uid="{00000000-0005-0000-0000-0000B70A0000}"/>
    <cellStyle name="Normal 41 2" xfId="601" xr:uid="{00000000-0005-0000-0000-0000B80A0000}"/>
    <cellStyle name="Normal 41 2 2" xfId="3170" xr:uid="{00000000-0005-0000-0000-0000B90A0000}"/>
    <cellStyle name="Normal 41 3" xfId="783" xr:uid="{00000000-0005-0000-0000-0000BA0A0000}"/>
    <cellStyle name="Normal 41 3 2" xfId="2498" xr:uid="{00000000-0005-0000-0000-0000BB0A0000}"/>
    <cellStyle name="Normal 41 4" xfId="965" xr:uid="{00000000-0005-0000-0000-0000BC0A0000}"/>
    <cellStyle name="Normal 41 4 2" xfId="3805" xr:uid="{00000000-0005-0000-0000-0000BD0A0000}"/>
    <cellStyle name="Normal 41 5" xfId="1148" xr:uid="{00000000-0005-0000-0000-0000BE0A0000}"/>
    <cellStyle name="Normal 41 5 2" xfId="2782" xr:uid="{00000000-0005-0000-0000-0000BF0A0000}"/>
    <cellStyle name="Normal 41 6" xfId="1333" xr:uid="{00000000-0005-0000-0000-0000C00A0000}"/>
    <cellStyle name="Normal 41 6 2" xfId="2212" xr:uid="{00000000-0005-0000-0000-0000C10A0000}"/>
    <cellStyle name="Normal 41 7" xfId="1521" xr:uid="{00000000-0005-0000-0000-0000C20A0000}"/>
    <cellStyle name="Normal 41 7 2" xfId="3073" xr:uid="{00000000-0005-0000-0000-0000C30A0000}"/>
    <cellStyle name="Normal 41 8" xfId="1709" xr:uid="{00000000-0005-0000-0000-0000C40A0000}"/>
    <cellStyle name="Normal 41 8 2" xfId="3735" xr:uid="{00000000-0005-0000-0000-0000C50A0000}"/>
    <cellStyle name="Normal 41 9" xfId="1897" xr:uid="{00000000-0005-0000-0000-0000C60A0000}"/>
    <cellStyle name="Normal 41 9 2" xfId="3857" xr:uid="{00000000-0005-0000-0000-0000C70A0000}"/>
    <cellStyle name="Normal 42" xfId="56" xr:uid="{00000000-0005-0000-0000-0000C80A0000}"/>
    <cellStyle name="Normal 42 10" xfId="3041" xr:uid="{00000000-0005-0000-0000-0000C90A0000}"/>
    <cellStyle name="Normal 42 2" xfId="602" xr:uid="{00000000-0005-0000-0000-0000CA0A0000}"/>
    <cellStyle name="Normal 42 2 2" xfId="3002" xr:uid="{00000000-0005-0000-0000-0000CB0A0000}"/>
    <cellStyle name="Normal 42 3" xfId="784" xr:uid="{00000000-0005-0000-0000-0000CC0A0000}"/>
    <cellStyle name="Normal 42 3 2" xfId="2468" xr:uid="{00000000-0005-0000-0000-0000CD0A0000}"/>
    <cellStyle name="Normal 42 4" xfId="966" xr:uid="{00000000-0005-0000-0000-0000CE0A0000}"/>
    <cellStyle name="Normal 42 4 2" xfId="3636" xr:uid="{00000000-0005-0000-0000-0000CF0A0000}"/>
    <cellStyle name="Normal 42 5" xfId="1149" xr:uid="{00000000-0005-0000-0000-0000D00A0000}"/>
    <cellStyle name="Normal 42 5 2" xfId="2619" xr:uid="{00000000-0005-0000-0000-0000D10A0000}"/>
    <cellStyle name="Normal 42 6" xfId="1334" xr:uid="{00000000-0005-0000-0000-0000D20A0000}"/>
    <cellStyle name="Normal 42 6 2" xfId="3772" xr:uid="{00000000-0005-0000-0000-0000D30A0000}"/>
    <cellStyle name="Normal 42 7" xfId="1522" xr:uid="{00000000-0005-0000-0000-0000D40A0000}"/>
    <cellStyle name="Normal 42 7 2" xfId="2909" xr:uid="{00000000-0005-0000-0000-0000D50A0000}"/>
    <cellStyle name="Normal 42 8" xfId="1710" xr:uid="{00000000-0005-0000-0000-0000D60A0000}"/>
    <cellStyle name="Normal 42 8 2" xfId="3566" xr:uid="{00000000-0005-0000-0000-0000D70A0000}"/>
    <cellStyle name="Normal 42 9" xfId="1898" xr:uid="{00000000-0005-0000-0000-0000D80A0000}"/>
    <cellStyle name="Normal 42 9 2" xfId="3858" xr:uid="{00000000-0005-0000-0000-0000D90A0000}"/>
    <cellStyle name="Normal 43" xfId="57" xr:uid="{00000000-0005-0000-0000-0000DA0A0000}"/>
    <cellStyle name="Normal 43 10" xfId="2878" xr:uid="{00000000-0005-0000-0000-0000DB0A0000}"/>
    <cellStyle name="Normal 43 2" xfId="603" xr:uid="{00000000-0005-0000-0000-0000DC0A0000}"/>
    <cellStyle name="Normal 43 2 2" xfId="2840" xr:uid="{00000000-0005-0000-0000-0000DD0A0000}"/>
    <cellStyle name="Normal 43 3" xfId="785" xr:uid="{00000000-0005-0000-0000-0000DE0A0000}"/>
    <cellStyle name="Normal 43 3 2" xfId="3669" xr:uid="{00000000-0005-0000-0000-0000DF0A0000}"/>
    <cellStyle name="Normal 43 4" xfId="967" xr:uid="{00000000-0005-0000-0000-0000E00A0000}"/>
    <cellStyle name="Normal 43 4 2" xfId="3466" xr:uid="{00000000-0005-0000-0000-0000E10A0000}"/>
    <cellStyle name="Normal 43 5" xfId="1150" xr:uid="{00000000-0005-0000-0000-0000E20A0000}"/>
    <cellStyle name="Normal 43 5 2" xfId="2229" xr:uid="{00000000-0005-0000-0000-0000E30A0000}"/>
    <cellStyle name="Normal 43 6" xfId="1335" xr:uid="{00000000-0005-0000-0000-0000E40A0000}"/>
    <cellStyle name="Normal 43 6 2" xfId="3603" xr:uid="{00000000-0005-0000-0000-0000E50A0000}"/>
    <cellStyle name="Normal 43 7" xfId="1523" xr:uid="{00000000-0005-0000-0000-0000E60A0000}"/>
    <cellStyle name="Normal 43 7 2" xfId="2747" xr:uid="{00000000-0005-0000-0000-0000E70A0000}"/>
    <cellStyle name="Normal 43 8" xfId="1711" xr:uid="{00000000-0005-0000-0000-0000E80A0000}"/>
    <cellStyle name="Normal 43 8 2" xfId="3396" xr:uid="{00000000-0005-0000-0000-0000E90A0000}"/>
    <cellStyle name="Normal 43 9" xfId="1899" xr:uid="{00000000-0005-0000-0000-0000EA0A0000}"/>
    <cellStyle name="Normal 43 9 2" xfId="3859" xr:uid="{00000000-0005-0000-0000-0000EB0A0000}"/>
    <cellStyle name="Normal 44" xfId="58" xr:uid="{00000000-0005-0000-0000-0000EC0A0000}"/>
    <cellStyle name="Normal 44 10" xfId="2716" xr:uid="{00000000-0005-0000-0000-0000ED0A0000}"/>
    <cellStyle name="Normal 44 2" xfId="604" xr:uid="{00000000-0005-0000-0000-0000EE0A0000}"/>
    <cellStyle name="Normal 44 2 2" xfId="2677" xr:uid="{00000000-0005-0000-0000-0000EF0A0000}"/>
    <cellStyle name="Normal 44 3" xfId="786" xr:uid="{00000000-0005-0000-0000-0000F00A0000}"/>
    <cellStyle name="Normal 44 3 2" xfId="2107" xr:uid="{00000000-0005-0000-0000-0000F10A0000}"/>
    <cellStyle name="Normal 44 4" xfId="968" xr:uid="{00000000-0005-0000-0000-0000F20A0000}"/>
    <cellStyle name="Normal 44 4 2" xfId="3294" xr:uid="{00000000-0005-0000-0000-0000F30A0000}"/>
    <cellStyle name="Normal 44 5" xfId="1151" xr:uid="{00000000-0005-0000-0000-0000F40A0000}"/>
    <cellStyle name="Normal 44 5 2" xfId="3787" xr:uid="{00000000-0005-0000-0000-0000F50A0000}"/>
    <cellStyle name="Normal 44 6" xfId="1336" xr:uid="{00000000-0005-0000-0000-0000F60A0000}"/>
    <cellStyle name="Normal 44 6 2" xfId="3433" xr:uid="{00000000-0005-0000-0000-0000F70A0000}"/>
    <cellStyle name="Normal 44 7" xfId="1524" xr:uid="{00000000-0005-0000-0000-0000F80A0000}"/>
    <cellStyle name="Normal 44 7 2" xfId="2584" xr:uid="{00000000-0005-0000-0000-0000F90A0000}"/>
    <cellStyle name="Normal 44 8" xfId="1712" xr:uid="{00000000-0005-0000-0000-0000FA0A0000}"/>
    <cellStyle name="Normal 44 8 2" xfId="3224" xr:uid="{00000000-0005-0000-0000-0000FB0A0000}"/>
    <cellStyle name="Normal 44 9" xfId="1900" xr:uid="{00000000-0005-0000-0000-0000FC0A0000}"/>
    <cellStyle name="Normal 44 9 2" xfId="3860" xr:uid="{00000000-0005-0000-0000-0000FD0A0000}"/>
    <cellStyle name="Normal 45" xfId="59" xr:uid="{00000000-0005-0000-0000-0000FE0A0000}"/>
    <cellStyle name="Normal 45 10" xfId="2550" xr:uid="{00000000-0005-0000-0000-0000FF0A0000}"/>
    <cellStyle name="Normal 45 2" xfId="605" xr:uid="{00000000-0005-0000-0000-0000000B0000}"/>
    <cellStyle name="Normal 45 2 2" xfId="2512" xr:uid="{00000000-0005-0000-0000-0000010B0000}"/>
    <cellStyle name="Normal 45 3" xfId="787" xr:uid="{00000000-0005-0000-0000-0000020B0000}"/>
    <cellStyle name="Normal 45 3 2" xfId="3668" xr:uid="{00000000-0005-0000-0000-0000030B0000}"/>
    <cellStyle name="Normal 45 4" xfId="969" xr:uid="{00000000-0005-0000-0000-0000040B0000}"/>
    <cellStyle name="Normal 45 4 2" xfId="3125" xr:uid="{00000000-0005-0000-0000-0000050B0000}"/>
    <cellStyle name="Normal 45 5" xfId="1152" xr:uid="{00000000-0005-0000-0000-0000060B0000}"/>
    <cellStyle name="Normal 45 5 2" xfId="3618" xr:uid="{00000000-0005-0000-0000-0000070B0000}"/>
    <cellStyle name="Normal 45 6" xfId="1337" xr:uid="{00000000-0005-0000-0000-0000080B0000}"/>
    <cellStyle name="Normal 45 6 2" xfId="3261" xr:uid="{00000000-0005-0000-0000-0000090B0000}"/>
    <cellStyle name="Normal 45 7" xfId="1525" xr:uid="{00000000-0005-0000-0000-00000A0B0000}"/>
    <cellStyle name="Normal 45 7 2" xfId="2194" xr:uid="{00000000-0005-0000-0000-00000B0B0000}"/>
    <cellStyle name="Normal 45 8" xfId="1713" xr:uid="{00000000-0005-0000-0000-00000C0B0000}"/>
    <cellStyle name="Normal 45 8 2" xfId="3055" xr:uid="{00000000-0005-0000-0000-00000D0B0000}"/>
    <cellStyle name="Normal 45 9" xfId="1901" xr:uid="{00000000-0005-0000-0000-00000E0B0000}"/>
    <cellStyle name="Normal 45 9 2" xfId="3861" xr:uid="{00000000-0005-0000-0000-00000F0B0000}"/>
    <cellStyle name="Normal 46" xfId="60" xr:uid="{00000000-0005-0000-0000-0000100B0000}"/>
    <cellStyle name="Normal 46 10" xfId="2161" xr:uid="{00000000-0005-0000-0000-0000110B0000}"/>
    <cellStyle name="Normal 46 2" xfId="606" xr:uid="{00000000-0005-0000-0000-0000120B0000}"/>
    <cellStyle name="Normal 46 2 2" xfId="2121" xr:uid="{00000000-0005-0000-0000-0000130B0000}"/>
    <cellStyle name="Normal 46 3" xfId="788" xr:uid="{00000000-0005-0000-0000-0000140B0000}"/>
    <cellStyle name="Normal 46 3 2" xfId="3498" xr:uid="{00000000-0005-0000-0000-0000150B0000}"/>
    <cellStyle name="Normal 46 4" xfId="970" xr:uid="{00000000-0005-0000-0000-0000160B0000}"/>
    <cellStyle name="Normal 46 4 2" xfId="2961" xr:uid="{00000000-0005-0000-0000-0000170B0000}"/>
    <cellStyle name="Normal 46 5" xfId="1153" xr:uid="{00000000-0005-0000-0000-0000180B0000}"/>
    <cellStyle name="Normal 46 5 2" xfId="3448" xr:uid="{00000000-0005-0000-0000-0000190B0000}"/>
    <cellStyle name="Normal 46 6" xfId="1338" xr:uid="{00000000-0005-0000-0000-00001A0B0000}"/>
    <cellStyle name="Normal 46 6 2" xfId="3092" xr:uid="{00000000-0005-0000-0000-00001B0B0000}"/>
    <cellStyle name="Normal 46 7" xfId="1526" xr:uid="{00000000-0005-0000-0000-00001C0B0000}"/>
    <cellStyle name="Normal 46 7 2" xfId="3752" xr:uid="{00000000-0005-0000-0000-00001D0B0000}"/>
    <cellStyle name="Normal 46 8" xfId="1714" xr:uid="{00000000-0005-0000-0000-00001E0B0000}"/>
    <cellStyle name="Normal 46 8 2" xfId="2891" xr:uid="{00000000-0005-0000-0000-00001F0B0000}"/>
    <cellStyle name="Normal 46 9" xfId="1902" xr:uid="{00000000-0005-0000-0000-0000200B0000}"/>
    <cellStyle name="Normal 46 9 2" xfId="3862" xr:uid="{00000000-0005-0000-0000-0000210B0000}"/>
    <cellStyle name="Normal 47" xfId="61" xr:uid="{00000000-0005-0000-0000-0000220B0000}"/>
    <cellStyle name="Normal 47 10" xfId="3720" xr:uid="{00000000-0005-0000-0000-0000230B0000}"/>
    <cellStyle name="Normal 47 2" xfId="607" xr:uid="{00000000-0005-0000-0000-0000240B0000}"/>
    <cellStyle name="Normal 47 2 2" xfId="3682" xr:uid="{00000000-0005-0000-0000-0000250B0000}"/>
    <cellStyle name="Normal 47 3" xfId="789" xr:uid="{00000000-0005-0000-0000-0000260B0000}"/>
    <cellStyle name="Normal 47 3 2" xfId="3327" xr:uid="{00000000-0005-0000-0000-0000270B0000}"/>
    <cellStyle name="Normal 47 4" xfId="971" xr:uid="{00000000-0005-0000-0000-0000280B0000}"/>
    <cellStyle name="Normal 47 4 2" xfId="2799" xr:uid="{00000000-0005-0000-0000-0000290B0000}"/>
    <cellStyle name="Normal 47 5" xfId="1154" xr:uid="{00000000-0005-0000-0000-00002A0B0000}"/>
    <cellStyle name="Normal 47 5 2" xfId="3276" xr:uid="{00000000-0005-0000-0000-00002B0B0000}"/>
    <cellStyle name="Normal 47 6" xfId="1339" xr:uid="{00000000-0005-0000-0000-00002C0B0000}"/>
    <cellStyle name="Normal 47 6 2" xfId="2928" xr:uid="{00000000-0005-0000-0000-00002D0B0000}"/>
    <cellStyle name="Normal 47 7" xfId="1527" xr:uid="{00000000-0005-0000-0000-00002E0B0000}"/>
    <cellStyle name="Normal 47 7 2" xfId="3583" xr:uid="{00000000-0005-0000-0000-00002F0B0000}"/>
    <cellStyle name="Normal 47 8" xfId="1715" xr:uid="{00000000-0005-0000-0000-0000300B0000}"/>
    <cellStyle name="Normal 47 8 2" xfId="2729" xr:uid="{00000000-0005-0000-0000-0000310B0000}"/>
    <cellStyle name="Normal 47 9" xfId="1903" xr:uid="{00000000-0005-0000-0000-0000320B0000}"/>
    <cellStyle name="Normal 47 9 2" xfId="3863" xr:uid="{00000000-0005-0000-0000-0000330B0000}"/>
    <cellStyle name="Normal 48" xfId="62" xr:uid="{00000000-0005-0000-0000-0000340B0000}"/>
    <cellStyle name="Normal 48 10" xfId="3552" xr:uid="{00000000-0005-0000-0000-0000350B0000}"/>
    <cellStyle name="Normal 48 2" xfId="608" xr:uid="{00000000-0005-0000-0000-0000360B0000}"/>
    <cellStyle name="Normal 48 2 2" xfId="3512" xr:uid="{00000000-0005-0000-0000-0000370B0000}"/>
    <cellStyle name="Normal 48 3" xfId="790" xr:uid="{00000000-0005-0000-0000-0000380B0000}"/>
    <cellStyle name="Normal 48 3 2" xfId="3155" xr:uid="{00000000-0005-0000-0000-0000390B0000}"/>
    <cellStyle name="Normal 48 4" xfId="972" xr:uid="{00000000-0005-0000-0000-00003A0B0000}"/>
    <cellStyle name="Normal 48 4 2" xfId="2636" xr:uid="{00000000-0005-0000-0000-00003B0B0000}"/>
    <cellStyle name="Normal 48 5" xfId="1155" xr:uid="{00000000-0005-0000-0000-00003C0B0000}"/>
    <cellStyle name="Normal 48 5 2" xfId="3107" xr:uid="{00000000-0005-0000-0000-00003D0B0000}"/>
    <cellStyle name="Normal 48 6" xfId="1340" xr:uid="{00000000-0005-0000-0000-00003E0B0000}"/>
    <cellStyle name="Normal 48 6 2" xfId="2766" xr:uid="{00000000-0005-0000-0000-00003F0B0000}"/>
    <cellStyle name="Normal 48 7" xfId="1528" xr:uid="{00000000-0005-0000-0000-0000400B0000}"/>
    <cellStyle name="Normal 48 7 2" xfId="3413" xr:uid="{00000000-0005-0000-0000-0000410B0000}"/>
    <cellStyle name="Normal 48 8" xfId="1716" xr:uid="{00000000-0005-0000-0000-0000420B0000}"/>
    <cellStyle name="Normal 48 8 2" xfId="2566" xr:uid="{00000000-0005-0000-0000-0000430B0000}"/>
    <cellStyle name="Normal 48 9" xfId="1904" xr:uid="{00000000-0005-0000-0000-0000440B0000}"/>
    <cellStyle name="Normal 48 9 2" xfId="3864" xr:uid="{00000000-0005-0000-0000-0000450B0000}"/>
    <cellStyle name="Normal 49" xfId="63" xr:uid="{00000000-0005-0000-0000-0000460B0000}"/>
    <cellStyle name="Normal 49 10" xfId="3382" xr:uid="{00000000-0005-0000-0000-0000470B0000}"/>
    <cellStyle name="Normal 49 2" xfId="609" xr:uid="{00000000-0005-0000-0000-0000480B0000}"/>
    <cellStyle name="Normal 49 2 2" xfId="3341" xr:uid="{00000000-0005-0000-0000-0000490B0000}"/>
    <cellStyle name="Normal 49 3" xfId="791" xr:uid="{00000000-0005-0000-0000-00004A0B0000}"/>
    <cellStyle name="Normal 49 3 2" xfId="2987" xr:uid="{00000000-0005-0000-0000-00004B0B0000}"/>
    <cellStyle name="Normal 49 4" xfId="973" xr:uid="{00000000-0005-0000-0000-00004C0B0000}"/>
    <cellStyle name="Normal 49 4 2" xfId="2246" xr:uid="{00000000-0005-0000-0000-00004D0B0000}"/>
    <cellStyle name="Normal 49 5" xfId="1156" xr:uid="{00000000-0005-0000-0000-00004E0B0000}"/>
    <cellStyle name="Normal 49 5 2" xfId="2943" xr:uid="{00000000-0005-0000-0000-00004F0B0000}"/>
    <cellStyle name="Normal 49 6" xfId="1341" xr:uid="{00000000-0005-0000-0000-0000500B0000}"/>
    <cellStyle name="Normal 49 6 2" xfId="2603" xr:uid="{00000000-0005-0000-0000-0000510B0000}"/>
    <cellStyle name="Normal 49 7" xfId="1529" xr:uid="{00000000-0005-0000-0000-0000520B0000}"/>
    <cellStyle name="Normal 49 7 2" xfId="3241" xr:uid="{00000000-0005-0000-0000-0000530B0000}"/>
    <cellStyle name="Normal 49 8" xfId="1717" xr:uid="{00000000-0005-0000-0000-0000540B0000}"/>
    <cellStyle name="Normal 49 8 2" xfId="2176" xr:uid="{00000000-0005-0000-0000-0000550B0000}"/>
    <cellStyle name="Normal 49 9" xfId="1905" xr:uid="{00000000-0005-0000-0000-0000560B0000}"/>
    <cellStyle name="Normal 49 9 2" xfId="3865" xr:uid="{00000000-0005-0000-0000-0000570B0000}"/>
    <cellStyle name="Normal 5" xfId="17" xr:uid="{00000000-0005-0000-0000-0000580B0000}"/>
    <cellStyle name="Normal 5 10" xfId="746" xr:uid="{00000000-0005-0000-0000-0000590B0000}"/>
    <cellStyle name="Normal 5 10 2" xfId="2111" xr:uid="{00000000-0005-0000-0000-00005A0B0000}"/>
    <cellStyle name="Normal 5 11" xfId="928" xr:uid="{00000000-0005-0000-0000-00005B0B0000}"/>
    <cellStyle name="Normal 5 11 2" xfId="2661" xr:uid="{00000000-0005-0000-0000-00005C0B0000}"/>
    <cellStyle name="Normal 5 12" xfId="1111" xr:uid="{00000000-0005-0000-0000-00005D0B0000}"/>
    <cellStyle name="Normal 5 12 2" xfId="2823" xr:uid="{00000000-0005-0000-0000-00005E0B0000}"/>
    <cellStyle name="Normal 5 13" xfId="1296" xr:uid="{00000000-0005-0000-0000-00005F0B0000}"/>
    <cellStyle name="Normal 5 13 2" xfId="2606" xr:uid="{00000000-0005-0000-0000-0000600B0000}"/>
    <cellStyle name="Normal 5 14" xfId="1484" xr:uid="{00000000-0005-0000-0000-0000610B0000}"/>
    <cellStyle name="Normal 5 14 2" xfId="3488" xr:uid="{00000000-0005-0000-0000-0000620B0000}"/>
    <cellStyle name="Normal 5 15" xfId="1672" xr:uid="{00000000-0005-0000-0000-0000630B0000}"/>
    <cellStyle name="Normal 5 15 2" xfId="2894" xr:uid="{00000000-0005-0000-0000-0000640B0000}"/>
    <cellStyle name="Normal 5 16" xfId="1860" xr:uid="{00000000-0005-0000-0000-0000650B0000}"/>
    <cellStyle name="Normal 5 16 2" xfId="3820" xr:uid="{00000000-0005-0000-0000-0000660B0000}"/>
    <cellStyle name="Normal 5 17" xfId="332" xr:uid="{00000000-0005-0000-0000-0000670B0000}"/>
    <cellStyle name="Normal 5 18" xfId="3387" xr:uid="{00000000-0005-0000-0000-0000680B0000}"/>
    <cellStyle name="Normal 5 2" xfId="355" xr:uid="{00000000-0005-0000-0000-0000690B0000}"/>
    <cellStyle name="Normal 5 2 2" xfId="369" xr:uid="{00000000-0005-0000-0000-00006A0B0000}"/>
    <cellStyle name="Normal 5 2 2 2" xfId="2343" xr:uid="{00000000-0005-0000-0000-00006B0B0000}"/>
    <cellStyle name="Normal 5 2 3" xfId="475" xr:uid="{00000000-0005-0000-0000-00006C0B0000}"/>
    <cellStyle name="Normal 5 2 3 2" xfId="2416" xr:uid="{00000000-0005-0000-0000-00006D0B0000}"/>
    <cellStyle name="Normal 5 2 4" xfId="508" xr:uid="{00000000-0005-0000-0000-00006E0B0000}"/>
    <cellStyle name="Normal 5 2 4 2" xfId="2521" xr:uid="{00000000-0005-0000-0000-00006F0B0000}"/>
    <cellStyle name="Normal 5 2 5" xfId="2143" xr:uid="{00000000-0005-0000-0000-0000700B0000}"/>
    <cellStyle name="Normal 5 3" xfId="359" xr:uid="{00000000-0005-0000-0000-0000710B0000}"/>
    <cellStyle name="Normal 5 3 2" xfId="3191" xr:uid="{00000000-0005-0000-0000-0000720B0000}"/>
    <cellStyle name="Normal 5 4" xfId="424" xr:uid="{00000000-0005-0000-0000-0000730B0000}"/>
    <cellStyle name="Normal 5 4 2" xfId="2856" xr:uid="{00000000-0005-0000-0000-0000740B0000}"/>
    <cellStyle name="Normal 5 5" xfId="446" xr:uid="{00000000-0005-0000-0000-0000750B0000}"/>
    <cellStyle name="Normal 5 5 2" xfId="3696" xr:uid="{00000000-0005-0000-0000-0000760B0000}"/>
    <cellStyle name="Normal 5 6" xfId="465" xr:uid="{00000000-0005-0000-0000-0000770B0000}"/>
    <cellStyle name="Normal 5 6 2" xfId="3524" xr:uid="{00000000-0005-0000-0000-0000780B0000}"/>
    <cellStyle name="Normal 5 7" xfId="498" xr:uid="{00000000-0005-0000-0000-0000790B0000}"/>
    <cellStyle name="Normal 5 7 2" xfId="2687" xr:uid="{00000000-0005-0000-0000-00007A0B0000}"/>
    <cellStyle name="Normal 5 8" xfId="535" xr:uid="{00000000-0005-0000-0000-00007B0B0000}"/>
    <cellStyle name="Normal 5 8 2" xfId="2518" xr:uid="{00000000-0005-0000-0000-00007C0B0000}"/>
    <cellStyle name="Normal 5 9" xfId="564" xr:uid="{00000000-0005-0000-0000-00007D0B0000}"/>
    <cellStyle name="Normal 5 9 2" xfId="3685" xr:uid="{00000000-0005-0000-0000-00007E0B0000}"/>
    <cellStyle name="Normal 50" xfId="64" xr:uid="{00000000-0005-0000-0000-00007F0B0000}"/>
    <cellStyle name="Normal 50 10" xfId="3209" xr:uid="{00000000-0005-0000-0000-0000800B0000}"/>
    <cellStyle name="Normal 50 2" xfId="610" xr:uid="{00000000-0005-0000-0000-0000810B0000}"/>
    <cellStyle name="Normal 50 2 2" xfId="3169" xr:uid="{00000000-0005-0000-0000-0000820B0000}"/>
    <cellStyle name="Normal 50 3" xfId="792" xr:uid="{00000000-0005-0000-0000-0000830B0000}"/>
    <cellStyle name="Normal 50 3 2" xfId="2825" xr:uid="{00000000-0005-0000-0000-0000840B0000}"/>
    <cellStyle name="Normal 50 4" xfId="974" xr:uid="{00000000-0005-0000-0000-0000850B0000}"/>
    <cellStyle name="Normal 50 4 2" xfId="3804" xr:uid="{00000000-0005-0000-0000-0000860B0000}"/>
    <cellStyle name="Normal 50 5" xfId="1157" xr:uid="{00000000-0005-0000-0000-0000870B0000}"/>
    <cellStyle name="Normal 50 5 2" xfId="2781" xr:uid="{00000000-0005-0000-0000-0000880B0000}"/>
    <cellStyle name="Normal 50 6" xfId="1342" xr:uid="{00000000-0005-0000-0000-0000890B0000}"/>
    <cellStyle name="Normal 50 6 2" xfId="2213" xr:uid="{00000000-0005-0000-0000-00008A0B0000}"/>
    <cellStyle name="Normal 50 7" xfId="1530" xr:uid="{00000000-0005-0000-0000-00008B0B0000}"/>
    <cellStyle name="Normal 50 7 2" xfId="3072" xr:uid="{00000000-0005-0000-0000-00008C0B0000}"/>
    <cellStyle name="Normal 50 8" xfId="1718" xr:uid="{00000000-0005-0000-0000-00008D0B0000}"/>
    <cellStyle name="Normal 50 8 2" xfId="3734" xr:uid="{00000000-0005-0000-0000-00008E0B0000}"/>
    <cellStyle name="Normal 50 9" xfId="1906" xr:uid="{00000000-0005-0000-0000-00008F0B0000}"/>
    <cellStyle name="Normal 50 9 2" xfId="3866" xr:uid="{00000000-0005-0000-0000-0000900B0000}"/>
    <cellStyle name="Normal 51" xfId="65" xr:uid="{00000000-0005-0000-0000-0000910B0000}"/>
    <cellStyle name="Normal 51 10" xfId="3040" xr:uid="{00000000-0005-0000-0000-0000920B0000}"/>
    <cellStyle name="Normal 51 2" xfId="611" xr:uid="{00000000-0005-0000-0000-0000930B0000}"/>
    <cellStyle name="Normal 51 2 2" xfId="3001" xr:uid="{00000000-0005-0000-0000-0000940B0000}"/>
    <cellStyle name="Normal 51 3" xfId="793" xr:uid="{00000000-0005-0000-0000-0000950B0000}"/>
    <cellStyle name="Normal 51 3 2" xfId="2662" xr:uid="{00000000-0005-0000-0000-0000960B0000}"/>
    <cellStyle name="Normal 51 4" xfId="975" xr:uid="{00000000-0005-0000-0000-0000970B0000}"/>
    <cellStyle name="Normal 51 4 2" xfId="3635" xr:uid="{00000000-0005-0000-0000-0000980B0000}"/>
    <cellStyle name="Normal 51 5" xfId="1158" xr:uid="{00000000-0005-0000-0000-0000990B0000}"/>
    <cellStyle name="Normal 51 5 2" xfId="2618" xr:uid="{00000000-0005-0000-0000-00009A0B0000}"/>
    <cellStyle name="Normal 51 6" xfId="1343" xr:uid="{00000000-0005-0000-0000-00009B0B0000}"/>
    <cellStyle name="Normal 51 6 2" xfId="3769" xr:uid="{00000000-0005-0000-0000-00009C0B0000}"/>
    <cellStyle name="Normal 51 7" xfId="1531" xr:uid="{00000000-0005-0000-0000-00009D0B0000}"/>
    <cellStyle name="Normal 51 7 2" xfId="2908" xr:uid="{00000000-0005-0000-0000-00009E0B0000}"/>
    <cellStyle name="Normal 51 8" xfId="1719" xr:uid="{00000000-0005-0000-0000-00009F0B0000}"/>
    <cellStyle name="Normal 51 8 2" xfId="3565" xr:uid="{00000000-0005-0000-0000-0000A00B0000}"/>
    <cellStyle name="Normal 51 9" xfId="1907" xr:uid="{00000000-0005-0000-0000-0000A10B0000}"/>
    <cellStyle name="Normal 51 9 2" xfId="3867" xr:uid="{00000000-0005-0000-0000-0000A20B0000}"/>
    <cellStyle name="Normal 52" xfId="66" xr:uid="{00000000-0005-0000-0000-0000A30B0000}"/>
    <cellStyle name="Normal 52 10" xfId="2877" xr:uid="{00000000-0005-0000-0000-0000A40B0000}"/>
    <cellStyle name="Normal 52 2" xfId="612" xr:uid="{00000000-0005-0000-0000-0000A50B0000}"/>
    <cellStyle name="Normal 52 2 2" xfId="2839" xr:uid="{00000000-0005-0000-0000-0000A60B0000}"/>
    <cellStyle name="Normal 52 3" xfId="794" xr:uid="{00000000-0005-0000-0000-0000A70B0000}"/>
    <cellStyle name="Normal 52 3 2" xfId="2497" xr:uid="{00000000-0005-0000-0000-0000A80B0000}"/>
    <cellStyle name="Normal 52 4" xfId="976" xr:uid="{00000000-0005-0000-0000-0000A90B0000}"/>
    <cellStyle name="Normal 52 4 2" xfId="3465" xr:uid="{00000000-0005-0000-0000-0000AA0B0000}"/>
    <cellStyle name="Normal 52 5" xfId="1159" xr:uid="{00000000-0005-0000-0000-0000AB0B0000}"/>
    <cellStyle name="Normal 52 5 2" xfId="2228" xr:uid="{00000000-0005-0000-0000-0000AC0B0000}"/>
    <cellStyle name="Normal 52 6" xfId="1344" xr:uid="{00000000-0005-0000-0000-0000AD0B0000}"/>
    <cellStyle name="Normal 52 6 2" xfId="3600" xr:uid="{00000000-0005-0000-0000-0000AE0B0000}"/>
    <cellStyle name="Normal 52 7" xfId="1532" xr:uid="{00000000-0005-0000-0000-0000AF0B0000}"/>
    <cellStyle name="Normal 52 7 2" xfId="2746" xr:uid="{00000000-0005-0000-0000-0000B00B0000}"/>
    <cellStyle name="Normal 52 8" xfId="1720" xr:uid="{00000000-0005-0000-0000-0000B10B0000}"/>
    <cellStyle name="Normal 52 8 2" xfId="3395" xr:uid="{00000000-0005-0000-0000-0000B20B0000}"/>
    <cellStyle name="Normal 52 9" xfId="1908" xr:uid="{00000000-0005-0000-0000-0000B30B0000}"/>
    <cellStyle name="Normal 52 9 2" xfId="3868" xr:uid="{00000000-0005-0000-0000-0000B40B0000}"/>
    <cellStyle name="Normal 53" xfId="67" xr:uid="{00000000-0005-0000-0000-0000B50B0000}"/>
    <cellStyle name="Normal 53 10" xfId="2715" xr:uid="{00000000-0005-0000-0000-0000B60B0000}"/>
    <cellStyle name="Normal 53 2" xfId="613" xr:uid="{00000000-0005-0000-0000-0000B70B0000}"/>
    <cellStyle name="Normal 53 2 2" xfId="2676" xr:uid="{00000000-0005-0000-0000-0000B80B0000}"/>
    <cellStyle name="Normal 53 3" xfId="795" xr:uid="{00000000-0005-0000-0000-0000B90B0000}"/>
    <cellStyle name="Normal 53 3 2" xfId="2106" xr:uid="{00000000-0005-0000-0000-0000BA0B0000}"/>
    <cellStyle name="Normal 53 4" xfId="977" xr:uid="{00000000-0005-0000-0000-0000BB0B0000}"/>
    <cellStyle name="Normal 53 4 2" xfId="3293" xr:uid="{00000000-0005-0000-0000-0000BC0B0000}"/>
    <cellStyle name="Normal 53 5" xfId="1160" xr:uid="{00000000-0005-0000-0000-0000BD0B0000}"/>
    <cellStyle name="Normal 53 5 2" xfId="2655" xr:uid="{00000000-0005-0000-0000-0000BE0B0000}"/>
    <cellStyle name="Normal 53 6" xfId="1345" xr:uid="{00000000-0005-0000-0000-0000BF0B0000}"/>
    <cellStyle name="Normal 53 6 2" xfId="3430" xr:uid="{00000000-0005-0000-0000-0000C00B0000}"/>
    <cellStyle name="Normal 53 7" xfId="1533" xr:uid="{00000000-0005-0000-0000-0000C10B0000}"/>
    <cellStyle name="Normal 53 7 2" xfId="2583" xr:uid="{00000000-0005-0000-0000-0000C20B0000}"/>
    <cellStyle name="Normal 53 8" xfId="1721" xr:uid="{00000000-0005-0000-0000-0000C30B0000}"/>
    <cellStyle name="Normal 53 8 2" xfId="3223" xr:uid="{00000000-0005-0000-0000-0000C40B0000}"/>
    <cellStyle name="Normal 53 9" xfId="1909" xr:uid="{00000000-0005-0000-0000-0000C50B0000}"/>
    <cellStyle name="Normal 53 9 2" xfId="3869" xr:uid="{00000000-0005-0000-0000-0000C60B0000}"/>
    <cellStyle name="Normal 54" xfId="68" xr:uid="{00000000-0005-0000-0000-0000C70B0000}"/>
    <cellStyle name="Normal 54 10" xfId="2549" xr:uid="{00000000-0005-0000-0000-0000C80B0000}"/>
    <cellStyle name="Normal 54 2" xfId="614" xr:uid="{00000000-0005-0000-0000-0000C90B0000}"/>
    <cellStyle name="Normal 54 2 2" xfId="2511" xr:uid="{00000000-0005-0000-0000-0000CA0B0000}"/>
    <cellStyle name="Normal 54 3" xfId="796" xr:uid="{00000000-0005-0000-0000-0000CB0B0000}"/>
    <cellStyle name="Normal 54 3 2" xfId="3152" xr:uid="{00000000-0005-0000-0000-0000CC0B0000}"/>
    <cellStyle name="Normal 54 4" xfId="978" xr:uid="{00000000-0005-0000-0000-0000CD0B0000}"/>
    <cellStyle name="Normal 54 4 2" xfId="3124" xr:uid="{00000000-0005-0000-0000-0000CE0B0000}"/>
    <cellStyle name="Normal 54 5" xfId="1161" xr:uid="{00000000-0005-0000-0000-0000CF0B0000}"/>
    <cellStyle name="Normal 54 5 2" xfId="2490" xr:uid="{00000000-0005-0000-0000-0000D00B0000}"/>
    <cellStyle name="Normal 54 6" xfId="1346" xr:uid="{00000000-0005-0000-0000-0000D10B0000}"/>
    <cellStyle name="Normal 54 6 2" xfId="3258" xr:uid="{00000000-0005-0000-0000-0000D20B0000}"/>
    <cellStyle name="Normal 54 7" xfId="1534" xr:uid="{00000000-0005-0000-0000-0000D30B0000}"/>
    <cellStyle name="Normal 54 7 2" xfId="2193" xr:uid="{00000000-0005-0000-0000-0000D40B0000}"/>
    <cellStyle name="Normal 54 8" xfId="1722" xr:uid="{00000000-0005-0000-0000-0000D50B0000}"/>
    <cellStyle name="Normal 54 8 2" xfId="3054" xr:uid="{00000000-0005-0000-0000-0000D60B0000}"/>
    <cellStyle name="Normal 54 9" xfId="1910" xr:uid="{00000000-0005-0000-0000-0000D70B0000}"/>
    <cellStyle name="Normal 54 9 2" xfId="3870" xr:uid="{00000000-0005-0000-0000-0000D80B0000}"/>
    <cellStyle name="Normal 55" xfId="69" xr:uid="{00000000-0005-0000-0000-0000D90B0000}"/>
    <cellStyle name="Normal 55 10" xfId="2160" xr:uid="{00000000-0005-0000-0000-0000DA0B0000}"/>
    <cellStyle name="Normal 55 2" xfId="615" xr:uid="{00000000-0005-0000-0000-0000DB0B0000}"/>
    <cellStyle name="Normal 55 2 2" xfId="2120" xr:uid="{00000000-0005-0000-0000-0000DC0B0000}"/>
    <cellStyle name="Normal 55 3" xfId="797" xr:uid="{00000000-0005-0000-0000-0000DD0B0000}"/>
    <cellStyle name="Normal 55 3 2" xfId="2984" xr:uid="{00000000-0005-0000-0000-0000DE0B0000}"/>
    <cellStyle name="Normal 55 4" xfId="979" xr:uid="{00000000-0005-0000-0000-0000DF0B0000}"/>
    <cellStyle name="Normal 55 4 2" xfId="2960" xr:uid="{00000000-0005-0000-0000-0000E00B0000}"/>
    <cellStyle name="Normal 55 5" xfId="1162" xr:uid="{00000000-0005-0000-0000-0000E10B0000}"/>
    <cellStyle name="Normal 55 5 2" xfId="2463" xr:uid="{00000000-0005-0000-0000-0000E20B0000}"/>
    <cellStyle name="Normal 55 6" xfId="1347" xr:uid="{00000000-0005-0000-0000-0000E30B0000}"/>
    <cellStyle name="Normal 55 6 2" xfId="3089" xr:uid="{00000000-0005-0000-0000-0000E40B0000}"/>
    <cellStyle name="Normal 55 7" xfId="1535" xr:uid="{00000000-0005-0000-0000-0000E50B0000}"/>
    <cellStyle name="Normal 55 7 2" xfId="3751" xr:uid="{00000000-0005-0000-0000-0000E60B0000}"/>
    <cellStyle name="Normal 55 8" xfId="1723" xr:uid="{00000000-0005-0000-0000-0000E70B0000}"/>
    <cellStyle name="Normal 55 8 2" xfId="2890" xr:uid="{00000000-0005-0000-0000-0000E80B0000}"/>
    <cellStyle name="Normal 55 9" xfId="1911" xr:uid="{00000000-0005-0000-0000-0000E90B0000}"/>
    <cellStyle name="Normal 55 9 2" xfId="3871" xr:uid="{00000000-0005-0000-0000-0000EA0B0000}"/>
    <cellStyle name="Normal 56" xfId="70" xr:uid="{00000000-0005-0000-0000-0000EB0B0000}"/>
    <cellStyle name="Normal 56 10" xfId="3719" xr:uid="{00000000-0005-0000-0000-0000EC0B0000}"/>
    <cellStyle name="Normal 56 2" xfId="616" xr:uid="{00000000-0005-0000-0000-0000ED0B0000}"/>
    <cellStyle name="Normal 56 2 2" xfId="3681" xr:uid="{00000000-0005-0000-0000-0000EE0B0000}"/>
    <cellStyle name="Normal 56 3" xfId="798" xr:uid="{00000000-0005-0000-0000-0000EF0B0000}"/>
    <cellStyle name="Normal 56 3 2" xfId="2822" xr:uid="{00000000-0005-0000-0000-0000F00B0000}"/>
    <cellStyle name="Normal 56 4" xfId="980" xr:uid="{00000000-0005-0000-0000-0000F10B0000}"/>
    <cellStyle name="Normal 56 4 2" xfId="2798" xr:uid="{00000000-0005-0000-0000-0000F20B0000}"/>
    <cellStyle name="Normal 56 5" xfId="1163" xr:uid="{00000000-0005-0000-0000-0000F30B0000}"/>
    <cellStyle name="Normal 56 5 2" xfId="2426" xr:uid="{00000000-0005-0000-0000-0000F40B0000}"/>
    <cellStyle name="Normal 56 6" xfId="1348" xr:uid="{00000000-0005-0000-0000-0000F50B0000}"/>
    <cellStyle name="Normal 56 6 2" xfId="2925" xr:uid="{00000000-0005-0000-0000-0000F60B0000}"/>
    <cellStyle name="Normal 56 7" xfId="1536" xr:uid="{00000000-0005-0000-0000-0000F70B0000}"/>
    <cellStyle name="Normal 56 7 2" xfId="3582" xr:uid="{00000000-0005-0000-0000-0000F80B0000}"/>
    <cellStyle name="Normal 56 8" xfId="1724" xr:uid="{00000000-0005-0000-0000-0000F90B0000}"/>
    <cellStyle name="Normal 56 8 2" xfId="2728" xr:uid="{00000000-0005-0000-0000-0000FA0B0000}"/>
    <cellStyle name="Normal 56 9" xfId="1912" xr:uid="{00000000-0005-0000-0000-0000FB0B0000}"/>
    <cellStyle name="Normal 56 9 2" xfId="3872" xr:uid="{00000000-0005-0000-0000-0000FC0B0000}"/>
    <cellStyle name="Normal 57" xfId="71" xr:uid="{00000000-0005-0000-0000-0000FD0B0000}"/>
    <cellStyle name="Normal 57 10" xfId="3551" xr:uid="{00000000-0005-0000-0000-0000FE0B0000}"/>
    <cellStyle name="Normal 57 2" xfId="617" xr:uid="{00000000-0005-0000-0000-0000FF0B0000}"/>
    <cellStyle name="Normal 57 2 2" xfId="3511" xr:uid="{00000000-0005-0000-0000-0000000C0000}"/>
    <cellStyle name="Normal 57 3" xfId="799" xr:uid="{00000000-0005-0000-0000-0000010C0000}"/>
    <cellStyle name="Normal 57 3 2" xfId="2659" xr:uid="{00000000-0005-0000-0000-0000020C0000}"/>
    <cellStyle name="Normal 57 4" xfId="981" xr:uid="{00000000-0005-0000-0000-0000030C0000}"/>
    <cellStyle name="Normal 57 4 2" xfId="2635" xr:uid="{00000000-0005-0000-0000-0000040C0000}"/>
    <cellStyle name="Normal 57 5" xfId="1164" xr:uid="{00000000-0005-0000-0000-0000050C0000}"/>
    <cellStyle name="Normal 57 5 2" xfId="2394" xr:uid="{00000000-0005-0000-0000-0000060C0000}"/>
    <cellStyle name="Normal 57 6" xfId="1349" xr:uid="{00000000-0005-0000-0000-0000070C0000}"/>
    <cellStyle name="Normal 57 6 2" xfId="2763" xr:uid="{00000000-0005-0000-0000-0000080C0000}"/>
    <cellStyle name="Normal 57 7" xfId="1537" xr:uid="{00000000-0005-0000-0000-0000090C0000}"/>
    <cellStyle name="Normal 57 7 2" xfId="3412" xr:uid="{00000000-0005-0000-0000-00000A0C0000}"/>
    <cellStyle name="Normal 57 8" xfId="1725" xr:uid="{00000000-0005-0000-0000-00000B0C0000}"/>
    <cellStyle name="Normal 57 8 2" xfId="2565" xr:uid="{00000000-0005-0000-0000-00000C0C0000}"/>
    <cellStyle name="Normal 57 9" xfId="1913" xr:uid="{00000000-0005-0000-0000-00000D0C0000}"/>
    <cellStyle name="Normal 57 9 2" xfId="3873" xr:uid="{00000000-0005-0000-0000-00000E0C0000}"/>
    <cellStyle name="Normal 58" xfId="72" xr:uid="{00000000-0005-0000-0000-00000F0C0000}"/>
    <cellStyle name="Normal 58 10" xfId="3381" xr:uid="{00000000-0005-0000-0000-0000100C0000}"/>
    <cellStyle name="Normal 58 2" xfId="618" xr:uid="{00000000-0005-0000-0000-0000110C0000}"/>
    <cellStyle name="Normal 58 2 2" xfId="3340" xr:uid="{00000000-0005-0000-0000-0000120C0000}"/>
    <cellStyle name="Normal 58 3" xfId="800" xr:uid="{00000000-0005-0000-0000-0000130C0000}"/>
    <cellStyle name="Normal 58 3 2" xfId="2494" xr:uid="{00000000-0005-0000-0000-0000140C0000}"/>
    <cellStyle name="Normal 58 4" xfId="982" xr:uid="{00000000-0005-0000-0000-0000150C0000}"/>
    <cellStyle name="Normal 58 4 2" xfId="2245" xr:uid="{00000000-0005-0000-0000-0000160C0000}"/>
    <cellStyle name="Normal 58 5" xfId="1165" xr:uid="{00000000-0005-0000-0000-0000170C0000}"/>
    <cellStyle name="Normal 58 5 2" xfId="2379" xr:uid="{00000000-0005-0000-0000-0000180C0000}"/>
    <cellStyle name="Normal 58 6" xfId="1350" xr:uid="{00000000-0005-0000-0000-0000190C0000}"/>
    <cellStyle name="Normal 58 6 2" xfId="2600" xr:uid="{00000000-0005-0000-0000-00001A0C0000}"/>
    <cellStyle name="Normal 58 7" xfId="1538" xr:uid="{00000000-0005-0000-0000-00001B0C0000}"/>
    <cellStyle name="Normal 58 7 2" xfId="3240" xr:uid="{00000000-0005-0000-0000-00001C0C0000}"/>
    <cellStyle name="Normal 58 8" xfId="1726" xr:uid="{00000000-0005-0000-0000-00001D0C0000}"/>
    <cellStyle name="Normal 58 8 2" xfId="2175" xr:uid="{00000000-0005-0000-0000-00001E0C0000}"/>
    <cellStyle name="Normal 58 9" xfId="1914" xr:uid="{00000000-0005-0000-0000-00001F0C0000}"/>
    <cellStyle name="Normal 58 9 2" xfId="3874" xr:uid="{00000000-0005-0000-0000-0000200C0000}"/>
    <cellStyle name="Normal 59" xfId="73" xr:uid="{00000000-0005-0000-0000-0000210C0000}"/>
    <cellStyle name="Normal 59 10" xfId="3208" xr:uid="{00000000-0005-0000-0000-0000220C0000}"/>
    <cellStyle name="Normal 59 2" xfId="619" xr:uid="{00000000-0005-0000-0000-0000230C0000}"/>
    <cellStyle name="Normal 59 2 2" xfId="3168" xr:uid="{00000000-0005-0000-0000-0000240C0000}"/>
    <cellStyle name="Normal 59 3" xfId="801" xr:uid="{00000000-0005-0000-0000-0000250C0000}"/>
    <cellStyle name="Normal 59 3 2" xfId="2467" xr:uid="{00000000-0005-0000-0000-0000260C0000}"/>
    <cellStyle name="Normal 59 4" xfId="983" xr:uid="{00000000-0005-0000-0000-0000270C0000}"/>
    <cellStyle name="Normal 59 4 2" xfId="3803" xr:uid="{00000000-0005-0000-0000-0000280C0000}"/>
    <cellStyle name="Normal 59 5" xfId="1166" xr:uid="{00000000-0005-0000-0000-0000290C0000}"/>
    <cellStyle name="Normal 59 5 2" xfId="2359" xr:uid="{00000000-0005-0000-0000-00002A0C0000}"/>
    <cellStyle name="Normal 59 6" xfId="1351" xr:uid="{00000000-0005-0000-0000-00002B0C0000}"/>
    <cellStyle name="Normal 59 6 2" xfId="2210" xr:uid="{00000000-0005-0000-0000-00002C0C0000}"/>
    <cellStyle name="Normal 59 7" xfId="1539" xr:uid="{00000000-0005-0000-0000-00002D0C0000}"/>
    <cellStyle name="Normal 59 7 2" xfId="3071" xr:uid="{00000000-0005-0000-0000-00002E0C0000}"/>
    <cellStyle name="Normal 59 8" xfId="1727" xr:uid="{00000000-0005-0000-0000-00002F0C0000}"/>
    <cellStyle name="Normal 59 8 2" xfId="3733" xr:uid="{00000000-0005-0000-0000-0000300C0000}"/>
    <cellStyle name="Normal 59 9" xfId="1915" xr:uid="{00000000-0005-0000-0000-0000310C0000}"/>
    <cellStyle name="Normal 59 9 2" xfId="3875" xr:uid="{00000000-0005-0000-0000-0000320C0000}"/>
    <cellStyle name="Normal 6" xfId="13" xr:uid="{00000000-0005-0000-0000-0000330C0000}"/>
    <cellStyle name="Normal 6 10" xfId="560" xr:uid="{00000000-0005-0000-0000-0000340C0000}"/>
    <cellStyle name="Normal 6 10 2" xfId="2843" xr:uid="{00000000-0005-0000-0000-0000350C0000}"/>
    <cellStyle name="Normal 6 11" xfId="742" xr:uid="{00000000-0005-0000-0000-0000360C0000}"/>
    <cellStyle name="Normal 6 11 2" xfId="2667" xr:uid="{00000000-0005-0000-0000-0000370C0000}"/>
    <cellStyle name="Normal 6 12" xfId="924" xr:uid="{00000000-0005-0000-0000-0000380C0000}"/>
    <cellStyle name="Normal 6 12 2" xfId="3326" xr:uid="{00000000-0005-0000-0000-0000390C0000}"/>
    <cellStyle name="Normal 6 13" xfId="1107" xr:uid="{00000000-0005-0000-0000-00003A0C0000}"/>
    <cellStyle name="Normal 6 13 2" xfId="3496" xr:uid="{00000000-0005-0000-0000-00003B0C0000}"/>
    <cellStyle name="Normal 6 14" xfId="1292" xr:uid="{00000000-0005-0000-0000-00003C0C0000}"/>
    <cellStyle name="Normal 6 14 2" xfId="3264" xr:uid="{00000000-0005-0000-0000-00003D0C0000}"/>
    <cellStyle name="Normal 6 15" xfId="1480" xr:uid="{00000000-0005-0000-0000-00003E0C0000}"/>
    <cellStyle name="Normal 6 15 2" xfId="2376" xr:uid="{00000000-0005-0000-0000-00003F0C0000}"/>
    <cellStyle name="Normal 6 16" xfId="1668" xr:uid="{00000000-0005-0000-0000-0000400C0000}"/>
    <cellStyle name="Normal 6 16 2" xfId="3569" xr:uid="{00000000-0005-0000-0000-0000410C0000}"/>
    <cellStyle name="Normal 6 17" xfId="1856" xr:uid="{00000000-0005-0000-0000-0000420C0000}"/>
    <cellStyle name="Normal 6 17 2" xfId="2268" xr:uid="{00000000-0005-0000-0000-0000430C0000}"/>
    <cellStyle name="Normal 6 18" xfId="345" xr:uid="{00000000-0005-0000-0000-0000440C0000}"/>
    <cellStyle name="Normal 6 19" xfId="2556" xr:uid="{00000000-0005-0000-0000-0000450C0000}"/>
    <cellStyle name="Normal 6 2" xfId="352" xr:uid="{00000000-0005-0000-0000-0000460C0000}"/>
    <cellStyle name="Normal 6 2 2" xfId="392" xr:uid="{00000000-0005-0000-0000-0000470C0000}"/>
    <cellStyle name="Normal 6 2 2 2" xfId="3701" xr:uid="{00000000-0005-0000-0000-0000480C0000}"/>
    <cellStyle name="Normal 6 2 3" xfId="496" xr:uid="{00000000-0005-0000-0000-0000490C0000}"/>
    <cellStyle name="Normal 6 2 3 2" xfId="3012" xr:uid="{00000000-0005-0000-0000-00004A0C0000}"/>
    <cellStyle name="Normal 6 2 4" xfId="529" xr:uid="{00000000-0005-0000-0000-00004B0C0000}"/>
    <cellStyle name="Normal 6 2 4 2" xfId="3519" xr:uid="{00000000-0005-0000-0000-00004C0C0000}"/>
    <cellStyle name="Normal 6 3" xfId="347" xr:uid="{00000000-0005-0000-0000-00004D0C0000}"/>
    <cellStyle name="Normal 6 4" xfId="364" xr:uid="{00000000-0005-0000-0000-00004E0C0000}"/>
    <cellStyle name="Normal 6 4 2" xfId="2142" xr:uid="{00000000-0005-0000-0000-00004F0C0000}"/>
    <cellStyle name="Normal 6 5" xfId="420" xr:uid="{00000000-0005-0000-0000-0000500C0000}"/>
    <cellStyle name="Normal 6 5 2" xfId="3529" xr:uid="{00000000-0005-0000-0000-0000510C0000}"/>
    <cellStyle name="Normal 6 6" xfId="442" xr:uid="{00000000-0005-0000-0000-0000520C0000}"/>
    <cellStyle name="Normal 6 6 2" xfId="2854" xr:uid="{00000000-0005-0000-0000-0000530C0000}"/>
    <cellStyle name="Normal 6 7" xfId="470" xr:uid="{00000000-0005-0000-0000-0000540C0000}"/>
    <cellStyle name="Normal 6 7 2" xfId="2688" xr:uid="{00000000-0005-0000-0000-0000550C0000}"/>
    <cellStyle name="Normal 6 8" xfId="503" xr:uid="{00000000-0005-0000-0000-0000560C0000}"/>
    <cellStyle name="Normal 6 8 2" xfId="3351" xr:uid="{00000000-0005-0000-0000-0000570C0000}"/>
    <cellStyle name="Normal 6 9" xfId="531" xr:uid="{00000000-0005-0000-0000-0000580C0000}"/>
    <cellStyle name="Normal 6 9 2" xfId="3176" xr:uid="{00000000-0005-0000-0000-0000590C0000}"/>
    <cellStyle name="Normal 60" xfId="74" xr:uid="{00000000-0005-0000-0000-00005A0C0000}"/>
    <cellStyle name="Normal 60 10" xfId="3039" xr:uid="{00000000-0005-0000-0000-00005B0C0000}"/>
    <cellStyle name="Normal 60 2" xfId="620" xr:uid="{00000000-0005-0000-0000-00005C0C0000}"/>
    <cellStyle name="Normal 60 2 2" xfId="3000" xr:uid="{00000000-0005-0000-0000-00005D0C0000}"/>
    <cellStyle name="Normal 60 3" xfId="802" xr:uid="{00000000-0005-0000-0000-00005E0C0000}"/>
    <cellStyle name="Normal 60 3 2" xfId="2383" xr:uid="{00000000-0005-0000-0000-00005F0C0000}"/>
    <cellStyle name="Normal 60 4" xfId="984" xr:uid="{00000000-0005-0000-0000-0000600C0000}"/>
    <cellStyle name="Normal 60 4 2" xfId="3634" xr:uid="{00000000-0005-0000-0000-0000610C0000}"/>
    <cellStyle name="Normal 60 5" xfId="1167" xr:uid="{00000000-0005-0000-0000-0000620C0000}"/>
    <cellStyle name="Normal 60 5 2" xfId="2297" xr:uid="{00000000-0005-0000-0000-0000630C0000}"/>
    <cellStyle name="Normal 60 6" xfId="1352" xr:uid="{00000000-0005-0000-0000-0000640C0000}"/>
    <cellStyle name="Normal 60 6 2" xfId="3768" xr:uid="{00000000-0005-0000-0000-0000650C0000}"/>
    <cellStyle name="Normal 60 7" xfId="1540" xr:uid="{00000000-0005-0000-0000-0000660C0000}"/>
    <cellStyle name="Normal 60 7 2" xfId="2907" xr:uid="{00000000-0005-0000-0000-0000670C0000}"/>
    <cellStyle name="Normal 60 8" xfId="1728" xr:uid="{00000000-0005-0000-0000-0000680C0000}"/>
    <cellStyle name="Normal 60 8 2" xfId="3564" xr:uid="{00000000-0005-0000-0000-0000690C0000}"/>
    <cellStyle name="Normal 60 9" xfId="1916" xr:uid="{00000000-0005-0000-0000-00006A0C0000}"/>
    <cellStyle name="Normal 60 9 2" xfId="3876" xr:uid="{00000000-0005-0000-0000-00006B0C0000}"/>
    <cellStyle name="Normal 61" xfId="75" xr:uid="{00000000-0005-0000-0000-00006C0C0000}"/>
    <cellStyle name="Normal 61 10" xfId="2876" xr:uid="{00000000-0005-0000-0000-00006D0C0000}"/>
    <cellStyle name="Normal 61 2" xfId="621" xr:uid="{00000000-0005-0000-0000-00006E0C0000}"/>
    <cellStyle name="Normal 61 2 2" xfId="2838" xr:uid="{00000000-0005-0000-0000-00006F0C0000}"/>
    <cellStyle name="Normal 61 3" xfId="803" xr:uid="{00000000-0005-0000-0000-0000700C0000}"/>
    <cellStyle name="Normal 61 3 2" xfId="2363" xr:uid="{00000000-0005-0000-0000-0000710C0000}"/>
    <cellStyle name="Normal 61 4" xfId="985" xr:uid="{00000000-0005-0000-0000-0000720C0000}"/>
    <cellStyle name="Normal 61 4 2" xfId="3464" xr:uid="{00000000-0005-0000-0000-0000730C0000}"/>
    <cellStyle name="Normal 61 5" xfId="1168" xr:uid="{00000000-0005-0000-0000-0000740C0000}"/>
    <cellStyle name="Normal 61 5 2" xfId="3661" xr:uid="{00000000-0005-0000-0000-0000750C0000}"/>
    <cellStyle name="Normal 61 6" xfId="1353" xr:uid="{00000000-0005-0000-0000-0000760C0000}"/>
    <cellStyle name="Normal 61 6 2" xfId="3599" xr:uid="{00000000-0005-0000-0000-0000770C0000}"/>
    <cellStyle name="Normal 61 7" xfId="1541" xr:uid="{00000000-0005-0000-0000-0000780C0000}"/>
    <cellStyle name="Normal 61 7 2" xfId="2745" xr:uid="{00000000-0005-0000-0000-0000790C0000}"/>
    <cellStyle name="Normal 61 8" xfId="1729" xr:uid="{00000000-0005-0000-0000-00007A0C0000}"/>
    <cellStyle name="Normal 61 8 2" xfId="3394" xr:uid="{00000000-0005-0000-0000-00007B0C0000}"/>
    <cellStyle name="Normal 61 9" xfId="1917" xr:uid="{00000000-0005-0000-0000-00007C0C0000}"/>
    <cellStyle name="Normal 61 9 2" xfId="3877" xr:uid="{00000000-0005-0000-0000-00007D0C0000}"/>
    <cellStyle name="Normal 62" xfId="76" xr:uid="{00000000-0005-0000-0000-00007E0C0000}"/>
    <cellStyle name="Normal 62 10" xfId="2714" xr:uid="{00000000-0005-0000-0000-00007F0C0000}"/>
    <cellStyle name="Normal 62 2" xfId="622" xr:uid="{00000000-0005-0000-0000-0000800C0000}"/>
    <cellStyle name="Normal 62 2 2" xfId="2675" xr:uid="{00000000-0005-0000-0000-0000810C0000}"/>
    <cellStyle name="Normal 62 3" xfId="804" xr:uid="{00000000-0005-0000-0000-0000820C0000}"/>
    <cellStyle name="Normal 62 3 2" xfId="3665" xr:uid="{00000000-0005-0000-0000-0000830C0000}"/>
    <cellStyle name="Normal 62 4" xfId="986" xr:uid="{00000000-0005-0000-0000-0000840C0000}"/>
    <cellStyle name="Normal 62 4 2" xfId="3292" xr:uid="{00000000-0005-0000-0000-0000850C0000}"/>
    <cellStyle name="Normal 62 5" xfId="1169" xr:uid="{00000000-0005-0000-0000-0000860C0000}"/>
    <cellStyle name="Normal 62 5 2" xfId="3491" xr:uid="{00000000-0005-0000-0000-0000870C0000}"/>
    <cellStyle name="Normal 62 6" xfId="1354" xr:uid="{00000000-0005-0000-0000-0000880C0000}"/>
    <cellStyle name="Normal 62 6 2" xfId="3429" xr:uid="{00000000-0005-0000-0000-0000890C0000}"/>
    <cellStyle name="Normal 62 7" xfId="1542" xr:uid="{00000000-0005-0000-0000-00008A0C0000}"/>
    <cellStyle name="Normal 62 7 2" xfId="2582" xr:uid="{00000000-0005-0000-0000-00008B0C0000}"/>
    <cellStyle name="Normal 62 8" xfId="1730" xr:uid="{00000000-0005-0000-0000-00008C0C0000}"/>
    <cellStyle name="Normal 62 8 2" xfId="3222" xr:uid="{00000000-0005-0000-0000-00008D0C0000}"/>
    <cellStyle name="Normal 62 9" xfId="1918" xr:uid="{00000000-0005-0000-0000-00008E0C0000}"/>
    <cellStyle name="Normal 62 9 2" xfId="3878" xr:uid="{00000000-0005-0000-0000-00008F0C0000}"/>
    <cellStyle name="Normal 63" xfId="77" xr:uid="{00000000-0005-0000-0000-0000900C0000}"/>
    <cellStyle name="Normal 63 10" xfId="2548" xr:uid="{00000000-0005-0000-0000-0000910C0000}"/>
    <cellStyle name="Normal 63 2" xfId="623" xr:uid="{00000000-0005-0000-0000-0000920C0000}"/>
    <cellStyle name="Normal 63 2 2" xfId="2510" xr:uid="{00000000-0005-0000-0000-0000930C0000}"/>
    <cellStyle name="Normal 63 3" xfId="805" xr:uid="{00000000-0005-0000-0000-0000940C0000}"/>
    <cellStyle name="Normal 63 3 2" xfId="3495" xr:uid="{00000000-0005-0000-0000-0000950C0000}"/>
    <cellStyle name="Normal 63 4" xfId="987" xr:uid="{00000000-0005-0000-0000-0000960C0000}"/>
    <cellStyle name="Normal 63 4 2" xfId="3123" xr:uid="{00000000-0005-0000-0000-0000970C0000}"/>
    <cellStyle name="Normal 63 5" xfId="1170" xr:uid="{00000000-0005-0000-0000-0000980C0000}"/>
    <cellStyle name="Normal 63 5 2" xfId="3320" xr:uid="{00000000-0005-0000-0000-0000990C0000}"/>
    <cellStyle name="Normal 63 6" xfId="1355" xr:uid="{00000000-0005-0000-0000-00009A0C0000}"/>
    <cellStyle name="Normal 63 6 2" xfId="3257" xr:uid="{00000000-0005-0000-0000-00009B0C0000}"/>
    <cellStyle name="Normal 63 7" xfId="1543" xr:uid="{00000000-0005-0000-0000-00009C0C0000}"/>
    <cellStyle name="Normal 63 7 2" xfId="2192" xr:uid="{00000000-0005-0000-0000-00009D0C0000}"/>
    <cellStyle name="Normal 63 8" xfId="1731" xr:uid="{00000000-0005-0000-0000-00009E0C0000}"/>
    <cellStyle name="Normal 63 8 2" xfId="3053" xr:uid="{00000000-0005-0000-0000-00009F0C0000}"/>
    <cellStyle name="Normal 63 9" xfId="1919" xr:uid="{00000000-0005-0000-0000-0000A00C0000}"/>
    <cellStyle name="Normal 63 9 2" xfId="3879" xr:uid="{00000000-0005-0000-0000-0000A10C0000}"/>
    <cellStyle name="Normal 64" xfId="78" xr:uid="{00000000-0005-0000-0000-0000A20C0000}"/>
    <cellStyle name="Normal 64 10" xfId="2159" xr:uid="{00000000-0005-0000-0000-0000A30C0000}"/>
    <cellStyle name="Normal 64 2" xfId="624" xr:uid="{00000000-0005-0000-0000-0000A40C0000}"/>
    <cellStyle name="Normal 64 2 2" xfId="2119" xr:uid="{00000000-0005-0000-0000-0000A50C0000}"/>
    <cellStyle name="Normal 64 3" xfId="806" xr:uid="{00000000-0005-0000-0000-0000A60C0000}"/>
    <cellStyle name="Normal 64 3 2" xfId="3324" xr:uid="{00000000-0005-0000-0000-0000A70C0000}"/>
    <cellStyle name="Normal 64 4" xfId="988" xr:uid="{00000000-0005-0000-0000-0000A80C0000}"/>
    <cellStyle name="Normal 64 4 2" xfId="2959" xr:uid="{00000000-0005-0000-0000-0000A90C0000}"/>
    <cellStyle name="Normal 64 5" xfId="1171" xr:uid="{00000000-0005-0000-0000-0000AA0C0000}"/>
    <cellStyle name="Normal 64 5 2" xfId="3148" xr:uid="{00000000-0005-0000-0000-0000AB0C0000}"/>
    <cellStyle name="Normal 64 6" xfId="1356" xr:uid="{00000000-0005-0000-0000-0000AC0C0000}"/>
    <cellStyle name="Normal 64 6 2" xfId="3088" xr:uid="{00000000-0005-0000-0000-0000AD0C0000}"/>
    <cellStyle name="Normal 64 7" xfId="1544" xr:uid="{00000000-0005-0000-0000-0000AE0C0000}"/>
    <cellStyle name="Normal 64 7 2" xfId="3750" xr:uid="{00000000-0005-0000-0000-0000AF0C0000}"/>
    <cellStyle name="Normal 64 8" xfId="1732" xr:uid="{00000000-0005-0000-0000-0000B00C0000}"/>
    <cellStyle name="Normal 64 8 2" xfId="2889" xr:uid="{00000000-0005-0000-0000-0000B10C0000}"/>
    <cellStyle name="Normal 64 9" xfId="1920" xr:uid="{00000000-0005-0000-0000-0000B20C0000}"/>
    <cellStyle name="Normal 64 9 2" xfId="3880" xr:uid="{00000000-0005-0000-0000-0000B30C0000}"/>
    <cellStyle name="Normal 65" xfId="79" xr:uid="{00000000-0005-0000-0000-0000B40C0000}"/>
    <cellStyle name="Normal 65 10" xfId="3718" xr:uid="{00000000-0005-0000-0000-0000B50C0000}"/>
    <cellStyle name="Normal 65 2" xfId="625" xr:uid="{00000000-0005-0000-0000-0000B60C0000}"/>
    <cellStyle name="Normal 65 2 2" xfId="3680" xr:uid="{00000000-0005-0000-0000-0000B70C0000}"/>
    <cellStyle name="Normal 65 3" xfId="807" xr:uid="{00000000-0005-0000-0000-0000B80C0000}"/>
    <cellStyle name="Normal 65 3 2" xfId="2103" xr:uid="{00000000-0005-0000-0000-0000B90C0000}"/>
    <cellStyle name="Normal 65 4" xfId="989" xr:uid="{00000000-0005-0000-0000-0000BA0C0000}"/>
    <cellStyle name="Normal 65 4 2" xfId="2797" xr:uid="{00000000-0005-0000-0000-0000BB0C0000}"/>
    <cellStyle name="Normal 65 5" xfId="1172" xr:uid="{00000000-0005-0000-0000-0000BC0C0000}"/>
    <cellStyle name="Normal 65 5 2" xfId="2980" xr:uid="{00000000-0005-0000-0000-0000BD0C0000}"/>
    <cellStyle name="Normal 65 6" xfId="1357" xr:uid="{00000000-0005-0000-0000-0000BE0C0000}"/>
    <cellStyle name="Normal 65 6 2" xfId="2924" xr:uid="{00000000-0005-0000-0000-0000BF0C0000}"/>
    <cellStyle name="Normal 65 7" xfId="1545" xr:uid="{00000000-0005-0000-0000-0000C00C0000}"/>
    <cellStyle name="Normal 65 7 2" xfId="3581" xr:uid="{00000000-0005-0000-0000-0000C10C0000}"/>
    <cellStyle name="Normal 65 8" xfId="1733" xr:uid="{00000000-0005-0000-0000-0000C20C0000}"/>
    <cellStyle name="Normal 65 8 2" xfId="2727" xr:uid="{00000000-0005-0000-0000-0000C30C0000}"/>
    <cellStyle name="Normal 65 9" xfId="1921" xr:uid="{00000000-0005-0000-0000-0000C40C0000}"/>
    <cellStyle name="Normal 65 9 2" xfId="3881" xr:uid="{00000000-0005-0000-0000-0000C50C0000}"/>
    <cellStyle name="Normal 66" xfId="80" xr:uid="{00000000-0005-0000-0000-0000C60C0000}"/>
    <cellStyle name="Normal 66 10" xfId="3550" xr:uid="{00000000-0005-0000-0000-0000C70C0000}"/>
    <cellStyle name="Normal 66 2" xfId="626" xr:uid="{00000000-0005-0000-0000-0000C80C0000}"/>
    <cellStyle name="Normal 66 2 2" xfId="3510" xr:uid="{00000000-0005-0000-0000-0000C90C0000}"/>
    <cellStyle name="Normal 66 3" xfId="808" xr:uid="{00000000-0005-0000-0000-0000CA0C0000}"/>
    <cellStyle name="Normal 66 3 2" xfId="2645" xr:uid="{00000000-0005-0000-0000-0000CB0C0000}"/>
    <cellStyle name="Normal 66 4" xfId="990" xr:uid="{00000000-0005-0000-0000-0000CC0C0000}"/>
    <cellStyle name="Normal 66 4 2" xfId="2634" xr:uid="{00000000-0005-0000-0000-0000CD0C0000}"/>
    <cellStyle name="Normal 66 5" xfId="1173" xr:uid="{00000000-0005-0000-0000-0000CE0C0000}"/>
    <cellStyle name="Normal 66 5 2" xfId="2818" xr:uid="{00000000-0005-0000-0000-0000CF0C0000}"/>
    <cellStyle name="Normal 66 6" xfId="1358" xr:uid="{00000000-0005-0000-0000-0000D00C0000}"/>
    <cellStyle name="Normal 66 6 2" xfId="2762" xr:uid="{00000000-0005-0000-0000-0000D10C0000}"/>
    <cellStyle name="Normal 66 7" xfId="1546" xr:uid="{00000000-0005-0000-0000-0000D20C0000}"/>
    <cellStyle name="Normal 66 7 2" xfId="3411" xr:uid="{00000000-0005-0000-0000-0000D30C0000}"/>
    <cellStyle name="Normal 66 8" xfId="1734" xr:uid="{00000000-0005-0000-0000-0000D40C0000}"/>
    <cellStyle name="Normal 66 8 2" xfId="2564" xr:uid="{00000000-0005-0000-0000-0000D50C0000}"/>
    <cellStyle name="Normal 66 9" xfId="1922" xr:uid="{00000000-0005-0000-0000-0000D60C0000}"/>
    <cellStyle name="Normal 66 9 2" xfId="3882" xr:uid="{00000000-0005-0000-0000-0000D70C0000}"/>
    <cellStyle name="Normal 67" xfId="81" xr:uid="{00000000-0005-0000-0000-0000D80C0000}"/>
    <cellStyle name="Normal 67 10" xfId="3380" xr:uid="{00000000-0005-0000-0000-0000D90C0000}"/>
    <cellStyle name="Normal 67 2" xfId="627" xr:uid="{00000000-0005-0000-0000-0000DA0C0000}"/>
    <cellStyle name="Normal 67 2 2" xfId="3339" xr:uid="{00000000-0005-0000-0000-0000DB0C0000}"/>
    <cellStyle name="Normal 67 3" xfId="809" xr:uid="{00000000-0005-0000-0000-0000DC0C0000}"/>
    <cellStyle name="Normal 67 3 2" xfId="2480" xr:uid="{00000000-0005-0000-0000-0000DD0C0000}"/>
    <cellStyle name="Normal 67 4" xfId="991" xr:uid="{00000000-0005-0000-0000-0000DE0C0000}"/>
    <cellStyle name="Normal 67 4 2" xfId="2244" xr:uid="{00000000-0005-0000-0000-0000DF0C0000}"/>
    <cellStyle name="Normal 67 5" xfId="1174" xr:uid="{00000000-0005-0000-0000-0000E00C0000}"/>
    <cellStyle name="Normal 67 5 2" xfId="2099" xr:uid="{00000000-0005-0000-0000-0000E10C0000}"/>
    <cellStyle name="Normal 67 6" xfId="1359" xr:uid="{00000000-0005-0000-0000-0000E20C0000}"/>
    <cellStyle name="Normal 67 6 2" xfId="2599" xr:uid="{00000000-0005-0000-0000-0000E30C0000}"/>
    <cellStyle name="Normal 67 7" xfId="1547" xr:uid="{00000000-0005-0000-0000-0000E40C0000}"/>
    <cellStyle name="Normal 67 7 2" xfId="3239" xr:uid="{00000000-0005-0000-0000-0000E50C0000}"/>
    <cellStyle name="Normal 67 8" xfId="1735" xr:uid="{00000000-0005-0000-0000-0000E60C0000}"/>
    <cellStyle name="Normal 67 8 2" xfId="2174" xr:uid="{00000000-0005-0000-0000-0000E70C0000}"/>
    <cellStyle name="Normal 67 9" xfId="1923" xr:uid="{00000000-0005-0000-0000-0000E80C0000}"/>
    <cellStyle name="Normal 67 9 2" xfId="3883" xr:uid="{00000000-0005-0000-0000-0000E90C0000}"/>
    <cellStyle name="Normal 68" xfId="82" xr:uid="{00000000-0005-0000-0000-0000EA0C0000}"/>
    <cellStyle name="Normal 68 10" xfId="3207" xr:uid="{00000000-0005-0000-0000-0000EB0C0000}"/>
    <cellStyle name="Normal 68 2" xfId="628" xr:uid="{00000000-0005-0000-0000-0000EC0C0000}"/>
    <cellStyle name="Normal 68 2 2" xfId="3167" xr:uid="{00000000-0005-0000-0000-0000ED0C0000}"/>
    <cellStyle name="Normal 68 3" xfId="810" xr:uid="{00000000-0005-0000-0000-0000EE0C0000}"/>
    <cellStyle name="Normal 68 3 2" xfId="2452" xr:uid="{00000000-0005-0000-0000-0000EF0C0000}"/>
    <cellStyle name="Normal 68 4" xfId="992" xr:uid="{00000000-0005-0000-0000-0000F00C0000}"/>
    <cellStyle name="Normal 68 4 2" xfId="3802" xr:uid="{00000000-0005-0000-0000-0000F10C0000}"/>
    <cellStyle name="Normal 68 5" xfId="1175" xr:uid="{00000000-0005-0000-0000-0000F20C0000}"/>
    <cellStyle name="Normal 68 5 2" xfId="3786" xr:uid="{00000000-0005-0000-0000-0000F30C0000}"/>
    <cellStyle name="Normal 68 6" xfId="1360" xr:uid="{00000000-0005-0000-0000-0000F40C0000}"/>
    <cellStyle name="Normal 68 6 2" xfId="2209" xr:uid="{00000000-0005-0000-0000-0000F50C0000}"/>
    <cellStyle name="Normal 68 7" xfId="1548" xr:uid="{00000000-0005-0000-0000-0000F60C0000}"/>
    <cellStyle name="Normal 68 7 2" xfId="3070" xr:uid="{00000000-0005-0000-0000-0000F70C0000}"/>
    <cellStyle name="Normal 68 8" xfId="1736" xr:uid="{00000000-0005-0000-0000-0000F80C0000}"/>
    <cellStyle name="Normal 68 8 2" xfId="3732" xr:uid="{00000000-0005-0000-0000-0000F90C0000}"/>
    <cellStyle name="Normal 68 9" xfId="1924" xr:uid="{00000000-0005-0000-0000-0000FA0C0000}"/>
    <cellStyle name="Normal 68 9 2" xfId="3884" xr:uid="{00000000-0005-0000-0000-0000FB0C0000}"/>
    <cellStyle name="Normal 69" xfId="83" xr:uid="{00000000-0005-0000-0000-0000FC0C0000}"/>
    <cellStyle name="Normal 69 10" xfId="3038" xr:uid="{00000000-0005-0000-0000-0000FD0C0000}"/>
    <cellStyle name="Normal 69 2" xfId="629" xr:uid="{00000000-0005-0000-0000-0000FE0C0000}"/>
    <cellStyle name="Normal 69 2 2" xfId="2999" xr:uid="{00000000-0005-0000-0000-0000FF0C0000}"/>
    <cellStyle name="Normal 69 3" xfId="811" xr:uid="{00000000-0005-0000-0000-0000000D0000}"/>
    <cellStyle name="Normal 69 3 2" xfId="2443" xr:uid="{00000000-0005-0000-0000-0000010D0000}"/>
    <cellStyle name="Normal 69 4" xfId="993" xr:uid="{00000000-0005-0000-0000-0000020D0000}"/>
    <cellStyle name="Normal 69 4 2" xfId="3633" xr:uid="{00000000-0005-0000-0000-0000030D0000}"/>
    <cellStyle name="Normal 69 5" xfId="1176" xr:uid="{00000000-0005-0000-0000-0000040D0000}"/>
    <cellStyle name="Normal 69 5 2" xfId="3617" xr:uid="{00000000-0005-0000-0000-0000050D0000}"/>
    <cellStyle name="Normal 69 6" xfId="1361" xr:uid="{00000000-0005-0000-0000-0000060D0000}"/>
    <cellStyle name="Normal 69 6 2" xfId="3767" xr:uid="{00000000-0005-0000-0000-0000070D0000}"/>
    <cellStyle name="Normal 69 7" xfId="1549" xr:uid="{00000000-0005-0000-0000-0000080D0000}"/>
    <cellStyle name="Normal 69 7 2" xfId="2906" xr:uid="{00000000-0005-0000-0000-0000090D0000}"/>
    <cellStyle name="Normal 69 8" xfId="1737" xr:uid="{00000000-0005-0000-0000-00000A0D0000}"/>
    <cellStyle name="Normal 69 8 2" xfId="3563" xr:uid="{00000000-0005-0000-0000-00000B0D0000}"/>
    <cellStyle name="Normal 69 9" xfId="1925" xr:uid="{00000000-0005-0000-0000-00000C0D0000}"/>
    <cellStyle name="Normal 69 9 2" xfId="3885" xr:uid="{00000000-0005-0000-0000-00000D0D0000}"/>
    <cellStyle name="Normal 7" xfId="21" xr:uid="{00000000-0005-0000-0000-00000E0D0000}"/>
    <cellStyle name="Normal 7 10" xfId="750" xr:uid="{00000000-0005-0000-0000-00000F0D0000}"/>
    <cellStyle name="Normal 7 10 2" xfId="2991" xr:uid="{00000000-0005-0000-0000-0000100D0000}"/>
    <cellStyle name="Normal 7 11" xfId="932" xr:uid="{00000000-0005-0000-0000-0000110D0000}"/>
    <cellStyle name="Normal 7 11 2" xfId="3468" xr:uid="{00000000-0005-0000-0000-0000120D0000}"/>
    <cellStyle name="Normal 7 12" xfId="1115" xr:uid="{00000000-0005-0000-0000-0000130D0000}"/>
    <cellStyle name="Normal 7 12 2" xfId="3791" xr:uid="{00000000-0005-0000-0000-0000140D0000}"/>
    <cellStyle name="Normal 7 13" xfId="1300" xr:uid="{00000000-0005-0000-0000-0000150D0000}"/>
    <cellStyle name="Normal 7 13 2" xfId="3435" xr:uid="{00000000-0005-0000-0000-0000160D0000}"/>
    <cellStyle name="Normal 7 14" xfId="1488" xr:uid="{00000000-0005-0000-0000-0000170D0000}"/>
    <cellStyle name="Normal 7 14 2" xfId="2815" xr:uid="{00000000-0005-0000-0000-0000180D0000}"/>
    <cellStyle name="Normal 7 15" xfId="1676" xr:uid="{00000000-0005-0000-0000-0000190D0000}"/>
    <cellStyle name="Normal 7 15 2" xfId="3737" xr:uid="{00000000-0005-0000-0000-00001A0D0000}"/>
    <cellStyle name="Normal 7 16" xfId="1864" xr:uid="{00000000-0005-0000-0000-00001B0D0000}"/>
    <cellStyle name="Normal 7 16 2" xfId="3824" xr:uid="{00000000-0005-0000-0000-00001C0D0000}"/>
    <cellStyle name="Normal 7 17" xfId="2720" xr:uid="{00000000-0005-0000-0000-00001D0D0000}"/>
    <cellStyle name="Normal 7 2" xfId="349" xr:uid="{00000000-0005-0000-0000-00001E0D0000}"/>
    <cellStyle name="Normal 7 3" xfId="366" xr:uid="{00000000-0005-0000-0000-00001F0D0000}"/>
    <cellStyle name="Normal 7 3 2" xfId="2421" xr:uid="{00000000-0005-0000-0000-0000200D0000}"/>
    <cellStyle name="Normal 7 4" xfId="428" xr:uid="{00000000-0005-0000-0000-0000210D0000}"/>
    <cellStyle name="Normal 7 4 2" xfId="3698" xr:uid="{00000000-0005-0000-0000-0000220D0000}"/>
    <cellStyle name="Normal 7 5" xfId="450" xr:uid="{00000000-0005-0000-0000-0000230D0000}"/>
    <cellStyle name="Normal 7 5 2" xfId="3015" xr:uid="{00000000-0005-0000-0000-0000240D0000}"/>
    <cellStyle name="Normal 7 6" xfId="472" xr:uid="{00000000-0005-0000-0000-0000250D0000}"/>
    <cellStyle name="Normal 7 6 2" xfId="2132" xr:uid="{00000000-0005-0000-0000-0000260D0000}"/>
    <cellStyle name="Normal 7 7" xfId="505" xr:uid="{00000000-0005-0000-0000-0000270D0000}"/>
    <cellStyle name="Normal 7 7 2" xfId="3011" xr:uid="{00000000-0005-0000-0000-0000280D0000}"/>
    <cellStyle name="Normal 7 8" xfId="539" xr:uid="{00000000-0005-0000-0000-0000290D0000}"/>
    <cellStyle name="Normal 7 8 2" xfId="3347" xr:uid="{00000000-0005-0000-0000-00002A0D0000}"/>
    <cellStyle name="Normal 7 9" xfId="568" xr:uid="{00000000-0005-0000-0000-00002B0D0000}"/>
    <cellStyle name="Normal 7 9 2" xfId="3004" xr:uid="{00000000-0005-0000-0000-00002C0D0000}"/>
    <cellStyle name="Normal 70" xfId="84" xr:uid="{00000000-0005-0000-0000-00002D0D0000}"/>
    <cellStyle name="Normal 70 10" xfId="2875" xr:uid="{00000000-0005-0000-0000-00002E0D0000}"/>
    <cellStyle name="Normal 70 2" xfId="630" xr:uid="{00000000-0005-0000-0000-00002F0D0000}"/>
    <cellStyle name="Normal 70 2 2" xfId="2837" xr:uid="{00000000-0005-0000-0000-0000300D0000}"/>
    <cellStyle name="Normal 70 3" xfId="812" xr:uid="{00000000-0005-0000-0000-0000310D0000}"/>
    <cellStyle name="Normal 70 3 2" xfId="2411" xr:uid="{00000000-0005-0000-0000-0000320D0000}"/>
    <cellStyle name="Normal 70 4" xfId="994" xr:uid="{00000000-0005-0000-0000-0000330D0000}"/>
    <cellStyle name="Normal 70 4 2" xfId="3463" xr:uid="{00000000-0005-0000-0000-0000340D0000}"/>
    <cellStyle name="Normal 70 5" xfId="1177" xr:uid="{00000000-0005-0000-0000-0000350D0000}"/>
    <cellStyle name="Normal 70 5 2" xfId="3447" xr:uid="{00000000-0005-0000-0000-0000360D0000}"/>
    <cellStyle name="Normal 70 6" xfId="1362" xr:uid="{00000000-0005-0000-0000-0000370D0000}"/>
    <cellStyle name="Normal 70 6 2" xfId="3598" xr:uid="{00000000-0005-0000-0000-0000380D0000}"/>
    <cellStyle name="Normal 70 7" xfId="1550" xr:uid="{00000000-0005-0000-0000-0000390D0000}"/>
    <cellStyle name="Normal 70 7 2" xfId="2744" xr:uid="{00000000-0005-0000-0000-00003A0D0000}"/>
    <cellStyle name="Normal 70 8" xfId="1738" xr:uid="{00000000-0005-0000-0000-00003B0D0000}"/>
    <cellStyle name="Normal 70 8 2" xfId="3393" xr:uid="{00000000-0005-0000-0000-00003C0D0000}"/>
    <cellStyle name="Normal 70 9" xfId="1926" xr:uid="{00000000-0005-0000-0000-00003D0D0000}"/>
    <cellStyle name="Normal 70 9 2" xfId="3886" xr:uid="{00000000-0005-0000-0000-00003E0D0000}"/>
    <cellStyle name="Normal 71" xfId="85" xr:uid="{00000000-0005-0000-0000-00003F0D0000}"/>
    <cellStyle name="Normal 71 10" xfId="2713" xr:uid="{00000000-0005-0000-0000-0000400D0000}"/>
    <cellStyle name="Normal 71 2" xfId="631" xr:uid="{00000000-0005-0000-0000-0000410D0000}"/>
    <cellStyle name="Normal 71 2 2" xfId="2674" xr:uid="{00000000-0005-0000-0000-0000420D0000}"/>
    <cellStyle name="Normal 71 3" xfId="813" xr:uid="{00000000-0005-0000-0000-0000430D0000}"/>
    <cellStyle name="Normal 71 3 2" xfId="2369" xr:uid="{00000000-0005-0000-0000-0000440D0000}"/>
    <cellStyle name="Normal 71 4" xfId="995" xr:uid="{00000000-0005-0000-0000-0000450D0000}"/>
    <cellStyle name="Normal 71 4 2" xfId="3291" xr:uid="{00000000-0005-0000-0000-0000460D0000}"/>
    <cellStyle name="Normal 71 5" xfId="1178" xr:uid="{00000000-0005-0000-0000-0000470D0000}"/>
    <cellStyle name="Normal 71 5 2" xfId="3275" xr:uid="{00000000-0005-0000-0000-0000480D0000}"/>
    <cellStyle name="Normal 71 6" xfId="1363" xr:uid="{00000000-0005-0000-0000-0000490D0000}"/>
    <cellStyle name="Normal 71 6 2" xfId="3428" xr:uid="{00000000-0005-0000-0000-00004A0D0000}"/>
    <cellStyle name="Normal 71 7" xfId="1551" xr:uid="{00000000-0005-0000-0000-00004B0D0000}"/>
    <cellStyle name="Normal 71 7 2" xfId="2581" xr:uid="{00000000-0005-0000-0000-00004C0D0000}"/>
    <cellStyle name="Normal 71 8" xfId="1739" xr:uid="{00000000-0005-0000-0000-00004D0D0000}"/>
    <cellStyle name="Normal 71 8 2" xfId="3221" xr:uid="{00000000-0005-0000-0000-00004E0D0000}"/>
    <cellStyle name="Normal 71 9" xfId="1927" xr:uid="{00000000-0005-0000-0000-00004F0D0000}"/>
    <cellStyle name="Normal 71 9 2" xfId="3887" xr:uid="{00000000-0005-0000-0000-0000500D0000}"/>
    <cellStyle name="Normal 72" xfId="86" xr:uid="{00000000-0005-0000-0000-0000510D0000}"/>
    <cellStyle name="Normal 72 10" xfId="2547" xr:uid="{00000000-0005-0000-0000-0000520D0000}"/>
    <cellStyle name="Normal 72 2" xfId="632" xr:uid="{00000000-0005-0000-0000-0000530D0000}"/>
    <cellStyle name="Normal 72 2 2" xfId="2509" xr:uid="{00000000-0005-0000-0000-0000540D0000}"/>
    <cellStyle name="Normal 72 3" xfId="814" xr:uid="{00000000-0005-0000-0000-0000550D0000}"/>
    <cellStyle name="Normal 72 3 2" xfId="2348" xr:uid="{00000000-0005-0000-0000-0000560D0000}"/>
    <cellStyle name="Normal 72 4" xfId="996" xr:uid="{00000000-0005-0000-0000-0000570D0000}"/>
    <cellStyle name="Normal 72 4 2" xfId="3122" xr:uid="{00000000-0005-0000-0000-0000580D0000}"/>
    <cellStyle name="Normal 72 5" xfId="1179" xr:uid="{00000000-0005-0000-0000-0000590D0000}"/>
    <cellStyle name="Normal 72 5 2" xfId="3106" xr:uid="{00000000-0005-0000-0000-00005A0D0000}"/>
    <cellStyle name="Normal 72 6" xfId="1364" xr:uid="{00000000-0005-0000-0000-00005B0D0000}"/>
    <cellStyle name="Normal 72 6 2" xfId="3256" xr:uid="{00000000-0005-0000-0000-00005C0D0000}"/>
    <cellStyle name="Normal 72 7" xfId="1552" xr:uid="{00000000-0005-0000-0000-00005D0D0000}"/>
    <cellStyle name="Normal 72 7 2" xfId="2191" xr:uid="{00000000-0005-0000-0000-00005E0D0000}"/>
    <cellStyle name="Normal 72 8" xfId="1740" xr:uid="{00000000-0005-0000-0000-00005F0D0000}"/>
    <cellStyle name="Normal 72 8 2" xfId="3052" xr:uid="{00000000-0005-0000-0000-0000600D0000}"/>
    <cellStyle name="Normal 72 9" xfId="1928" xr:uid="{00000000-0005-0000-0000-0000610D0000}"/>
    <cellStyle name="Normal 72 9 2" xfId="3888" xr:uid="{00000000-0005-0000-0000-0000620D0000}"/>
    <cellStyle name="Normal 73" xfId="87" xr:uid="{00000000-0005-0000-0000-0000630D0000}"/>
    <cellStyle name="Normal 73 10" xfId="2158" xr:uid="{00000000-0005-0000-0000-0000640D0000}"/>
    <cellStyle name="Normal 73 2" xfId="633" xr:uid="{00000000-0005-0000-0000-0000650D0000}"/>
    <cellStyle name="Normal 73 2 2" xfId="2118" xr:uid="{00000000-0005-0000-0000-0000660D0000}"/>
    <cellStyle name="Normal 73 3" xfId="815" xr:uid="{00000000-0005-0000-0000-0000670D0000}"/>
    <cellStyle name="Normal 73 3 2" xfId="2314" xr:uid="{00000000-0005-0000-0000-0000680D0000}"/>
    <cellStyle name="Normal 73 4" xfId="997" xr:uid="{00000000-0005-0000-0000-0000690D0000}"/>
    <cellStyle name="Normal 73 4 2" xfId="2958" xr:uid="{00000000-0005-0000-0000-00006A0D0000}"/>
    <cellStyle name="Normal 73 5" xfId="1180" xr:uid="{00000000-0005-0000-0000-00006B0D0000}"/>
    <cellStyle name="Normal 73 5 2" xfId="2942" xr:uid="{00000000-0005-0000-0000-00006C0D0000}"/>
    <cellStyle name="Normal 73 6" xfId="1365" xr:uid="{00000000-0005-0000-0000-00006D0D0000}"/>
    <cellStyle name="Normal 73 6 2" xfId="3087" xr:uid="{00000000-0005-0000-0000-00006E0D0000}"/>
    <cellStyle name="Normal 73 7" xfId="1553" xr:uid="{00000000-0005-0000-0000-00006F0D0000}"/>
    <cellStyle name="Normal 73 7 2" xfId="3749" xr:uid="{00000000-0005-0000-0000-0000700D0000}"/>
    <cellStyle name="Normal 73 8" xfId="1741" xr:uid="{00000000-0005-0000-0000-0000710D0000}"/>
    <cellStyle name="Normal 73 8 2" xfId="2888" xr:uid="{00000000-0005-0000-0000-0000720D0000}"/>
    <cellStyle name="Normal 73 9" xfId="1929" xr:uid="{00000000-0005-0000-0000-0000730D0000}"/>
    <cellStyle name="Normal 73 9 2" xfId="3889" xr:uid="{00000000-0005-0000-0000-0000740D0000}"/>
    <cellStyle name="Normal 74" xfId="88" xr:uid="{00000000-0005-0000-0000-0000750D0000}"/>
    <cellStyle name="Normal 74 10" xfId="3717" xr:uid="{00000000-0005-0000-0000-0000760D0000}"/>
    <cellStyle name="Normal 74 2" xfId="634" xr:uid="{00000000-0005-0000-0000-0000770D0000}"/>
    <cellStyle name="Normal 74 2 2" xfId="3679" xr:uid="{00000000-0005-0000-0000-0000780D0000}"/>
    <cellStyle name="Normal 74 3" xfId="816" xr:uid="{00000000-0005-0000-0000-0000790D0000}"/>
    <cellStyle name="Normal 74 3 2" xfId="3651" xr:uid="{00000000-0005-0000-0000-00007A0D0000}"/>
    <cellStyle name="Normal 74 4" xfId="998" xr:uid="{00000000-0005-0000-0000-00007B0D0000}"/>
    <cellStyle name="Normal 74 4 2" xfId="2796" xr:uid="{00000000-0005-0000-0000-00007C0D0000}"/>
    <cellStyle name="Normal 74 5" xfId="1181" xr:uid="{00000000-0005-0000-0000-00007D0D0000}"/>
    <cellStyle name="Normal 74 5 2" xfId="2780" xr:uid="{00000000-0005-0000-0000-00007E0D0000}"/>
    <cellStyle name="Normal 74 6" xfId="1366" xr:uid="{00000000-0005-0000-0000-00007F0D0000}"/>
    <cellStyle name="Normal 74 6 2" xfId="2923" xr:uid="{00000000-0005-0000-0000-0000800D0000}"/>
    <cellStyle name="Normal 74 7" xfId="1554" xr:uid="{00000000-0005-0000-0000-0000810D0000}"/>
    <cellStyle name="Normal 74 7 2" xfId="3580" xr:uid="{00000000-0005-0000-0000-0000820D0000}"/>
    <cellStyle name="Normal 74 8" xfId="1742" xr:uid="{00000000-0005-0000-0000-0000830D0000}"/>
    <cellStyle name="Normal 74 8 2" xfId="2726" xr:uid="{00000000-0005-0000-0000-0000840D0000}"/>
    <cellStyle name="Normal 74 9" xfId="1930" xr:uid="{00000000-0005-0000-0000-0000850D0000}"/>
    <cellStyle name="Normal 74 9 2" xfId="3890" xr:uid="{00000000-0005-0000-0000-0000860D0000}"/>
    <cellStyle name="Normal 75" xfId="89" xr:uid="{00000000-0005-0000-0000-0000870D0000}"/>
    <cellStyle name="Normal 75 10" xfId="3549" xr:uid="{00000000-0005-0000-0000-0000880D0000}"/>
    <cellStyle name="Normal 75 2" xfId="635" xr:uid="{00000000-0005-0000-0000-0000890D0000}"/>
    <cellStyle name="Normal 75 2 2" xfId="3509" xr:uid="{00000000-0005-0000-0000-00008A0D0000}"/>
    <cellStyle name="Normal 75 3" xfId="817" xr:uid="{00000000-0005-0000-0000-00008B0D0000}"/>
    <cellStyle name="Normal 75 3 2" xfId="3481" xr:uid="{00000000-0005-0000-0000-00008C0D0000}"/>
    <cellStyle name="Normal 75 4" xfId="999" xr:uid="{00000000-0005-0000-0000-00008D0D0000}"/>
    <cellStyle name="Normal 75 4 2" xfId="2633" xr:uid="{00000000-0005-0000-0000-00008E0D0000}"/>
    <cellStyle name="Normal 75 5" xfId="1182" xr:uid="{00000000-0005-0000-0000-00008F0D0000}"/>
    <cellStyle name="Normal 75 5 2" xfId="2617" xr:uid="{00000000-0005-0000-0000-0000900D0000}"/>
    <cellStyle name="Normal 75 6" xfId="1367" xr:uid="{00000000-0005-0000-0000-0000910D0000}"/>
    <cellStyle name="Normal 75 6 2" xfId="2761" xr:uid="{00000000-0005-0000-0000-0000920D0000}"/>
    <cellStyle name="Normal 75 7" xfId="1555" xr:uid="{00000000-0005-0000-0000-0000930D0000}"/>
    <cellStyle name="Normal 75 7 2" xfId="3410" xr:uid="{00000000-0005-0000-0000-0000940D0000}"/>
    <cellStyle name="Normal 75 8" xfId="1743" xr:uid="{00000000-0005-0000-0000-0000950D0000}"/>
    <cellStyle name="Normal 75 8 2" xfId="2563" xr:uid="{00000000-0005-0000-0000-0000960D0000}"/>
    <cellStyle name="Normal 75 9" xfId="1931" xr:uid="{00000000-0005-0000-0000-0000970D0000}"/>
    <cellStyle name="Normal 75 9 2" xfId="3891" xr:uid="{00000000-0005-0000-0000-0000980D0000}"/>
    <cellStyle name="Normal 76" xfId="90" xr:uid="{00000000-0005-0000-0000-0000990D0000}"/>
    <cellStyle name="Normal 76 10" xfId="3379" xr:uid="{00000000-0005-0000-0000-00009A0D0000}"/>
    <cellStyle name="Normal 76 2" xfId="636" xr:uid="{00000000-0005-0000-0000-00009B0D0000}"/>
    <cellStyle name="Normal 76 2 2" xfId="3338" xr:uid="{00000000-0005-0000-0000-00009C0D0000}"/>
    <cellStyle name="Normal 76 3" xfId="818" xr:uid="{00000000-0005-0000-0000-00009D0D0000}"/>
    <cellStyle name="Normal 76 3 2" xfId="3309" xr:uid="{00000000-0005-0000-0000-00009E0D0000}"/>
    <cellStyle name="Normal 76 4" xfId="1000" xr:uid="{00000000-0005-0000-0000-00009F0D0000}"/>
    <cellStyle name="Normal 76 4 2" xfId="2243" xr:uid="{00000000-0005-0000-0000-0000A00D0000}"/>
    <cellStyle name="Normal 76 5" xfId="1183" xr:uid="{00000000-0005-0000-0000-0000A10D0000}"/>
    <cellStyle name="Normal 76 5 2" xfId="2227" xr:uid="{00000000-0005-0000-0000-0000A20D0000}"/>
    <cellStyle name="Normal 76 6" xfId="1368" xr:uid="{00000000-0005-0000-0000-0000A30D0000}"/>
    <cellStyle name="Normal 76 6 2" xfId="2598" xr:uid="{00000000-0005-0000-0000-0000A40D0000}"/>
    <cellStyle name="Normal 76 7" xfId="1556" xr:uid="{00000000-0005-0000-0000-0000A50D0000}"/>
    <cellStyle name="Normal 76 7 2" xfId="3238" xr:uid="{00000000-0005-0000-0000-0000A60D0000}"/>
    <cellStyle name="Normal 76 8" xfId="1744" xr:uid="{00000000-0005-0000-0000-0000A70D0000}"/>
    <cellStyle name="Normal 76 8 2" xfId="2173" xr:uid="{00000000-0005-0000-0000-0000A80D0000}"/>
    <cellStyle name="Normal 76 9" xfId="1932" xr:uid="{00000000-0005-0000-0000-0000A90D0000}"/>
    <cellStyle name="Normal 76 9 2" xfId="3892" xr:uid="{00000000-0005-0000-0000-0000AA0D0000}"/>
    <cellStyle name="Normal 77" xfId="91" xr:uid="{00000000-0005-0000-0000-0000AB0D0000}"/>
    <cellStyle name="Normal 77 10" xfId="3206" xr:uid="{00000000-0005-0000-0000-0000AC0D0000}"/>
    <cellStyle name="Normal 77 2" xfId="637" xr:uid="{00000000-0005-0000-0000-0000AD0D0000}"/>
    <cellStyle name="Normal 77 2 2" xfId="3166" xr:uid="{00000000-0005-0000-0000-0000AE0D0000}"/>
    <cellStyle name="Normal 77 3" xfId="819" xr:uid="{00000000-0005-0000-0000-0000AF0D0000}"/>
    <cellStyle name="Normal 77 3 2" xfId="3137" xr:uid="{00000000-0005-0000-0000-0000B00D0000}"/>
    <cellStyle name="Normal 77 4" xfId="1001" xr:uid="{00000000-0005-0000-0000-0000B10D0000}"/>
    <cellStyle name="Normal 77 4 2" xfId="3801" xr:uid="{00000000-0005-0000-0000-0000B20D0000}"/>
    <cellStyle name="Normal 77 5" xfId="1184" xr:uid="{00000000-0005-0000-0000-0000B30D0000}"/>
    <cellStyle name="Normal 77 5 2" xfId="3783" xr:uid="{00000000-0005-0000-0000-0000B40D0000}"/>
    <cellStyle name="Normal 77 6" xfId="1369" xr:uid="{00000000-0005-0000-0000-0000B50D0000}"/>
    <cellStyle name="Normal 77 6 2" xfId="2208" xr:uid="{00000000-0005-0000-0000-0000B60D0000}"/>
    <cellStyle name="Normal 77 7" xfId="1557" xr:uid="{00000000-0005-0000-0000-0000B70D0000}"/>
    <cellStyle name="Normal 77 7 2" xfId="3069" xr:uid="{00000000-0005-0000-0000-0000B80D0000}"/>
    <cellStyle name="Normal 77 8" xfId="1745" xr:uid="{00000000-0005-0000-0000-0000B90D0000}"/>
    <cellStyle name="Normal 77 8 2" xfId="3731" xr:uid="{00000000-0005-0000-0000-0000BA0D0000}"/>
    <cellStyle name="Normal 77 9" xfId="1933" xr:uid="{00000000-0005-0000-0000-0000BB0D0000}"/>
    <cellStyle name="Normal 77 9 2" xfId="3893" xr:uid="{00000000-0005-0000-0000-0000BC0D0000}"/>
    <cellStyle name="Normal 78" xfId="92" xr:uid="{00000000-0005-0000-0000-0000BD0D0000}"/>
    <cellStyle name="Normal 78 10" xfId="3037" xr:uid="{00000000-0005-0000-0000-0000BE0D0000}"/>
    <cellStyle name="Normal 78 2" xfId="638" xr:uid="{00000000-0005-0000-0000-0000BF0D0000}"/>
    <cellStyle name="Normal 78 2 2" xfId="2998" xr:uid="{00000000-0005-0000-0000-0000C00D0000}"/>
    <cellStyle name="Normal 78 3" xfId="820" xr:uid="{00000000-0005-0000-0000-0000C10D0000}"/>
    <cellStyle name="Normal 78 3 2" xfId="2970" xr:uid="{00000000-0005-0000-0000-0000C20D0000}"/>
    <cellStyle name="Normal 78 4" xfId="1002" xr:uid="{00000000-0005-0000-0000-0000C30D0000}"/>
    <cellStyle name="Normal 78 4 2" xfId="3632" xr:uid="{00000000-0005-0000-0000-0000C40D0000}"/>
    <cellStyle name="Normal 78 5" xfId="1185" xr:uid="{00000000-0005-0000-0000-0000C50D0000}"/>
    <cellStyle name="Normal 78 5 2" xfId="3614" xr:uid="{00000000-0005-0000-0000-0000C60D0000}"/>
    <cellStyle name="Normal 78 6" xfId="1370" xr:uid="{00000000-0005-0000-0000-0000C70D0000}"/>
    <cellStyle name="Normal 78 6 2" xfId="2653" xr:uid="{00000000-0005-0000-0000-0000C80D0000}"/>
    <cellStyle name="Normal 78 7" xfId="1558" xr:uid="{00000000-0005-0000-0000-0000C90D0000}"/>
    <cellStyle name="Normal 78 7 2" xfId="2905" xr:uid="{00000000-0005-0000-0000-0000CA0D0000}"/>
    <cellStyle name="Normal 78 8" xfId="1746" xr:uid="{00000000-0005-0000-0000-0000CB0D0000}"/>
    <cellStyle name="Normal 78 8 2" xfId="3562" xr:uid="{00000000-0005-0000-0000-0000CC0D0000}"/>
    <cellStyle name="Normal 78 9" xfId="1934" xr:uid="{00000000-0005-0000-0000-0000CD0D0000}"/>
    <cellStyle name="Normal 78 9 2" xfId="3894" xr:uid="{00000000-0005-0000-0000-0000CE0D0000}"/>
    <cellStyle name="Normal 79" xfId="93" xr:uid="{00000000-0005-0000-0000-0000CF0D0000}"/>
    <cellStyle name="Normal 79 10" xfId="2874" xr:uid="{00000000-0005-0000-0000-0000D00D0000}"/>
    <cellStyle name="Normal 79 2" xfId="639" xr:uid="{00000000-0005-0000-0000-0000D10D0000}"/>
    <cellStyle name="Normal 79 2 2" xfId="2836" xr:uid="{00000000-0005-0000-0000-0000D20D0000}"/>
    <cellStyle name="Normal 79 3" xfId="821" xr:uid="{00000000-0005-0000-0000-0000D30D0000}"/>
    <cellStyle name="Normal 79 3 2" xfId="2808" xr:uid="{00000000-0005-0000-0000-0000D40D0000}"/>
    <cellStyle name="Normal 79 4" xfId="1003" xr:uid="{00000000-0005-0000-0000-0000D50D0000}"/>
    <cellStyle name="Normal 79 4 2" xfId="3462" xr:uid="{00000000-0005-0000-0000-0000D60D0000}"/>
    <cellStyle name="Normal 79 5" xfId="1186" xr:uid="{00000000-0005-0000-0000-0000D70D0000}"/>
    <cellStyle name="Normal 79 5 2" xfId="3444" xr:uid="{00000000-0005-0000-0000-0000D80D0000}"/>
    <cellStyle name="Normal 79 6" xfId="1371" xr:uid="{00000000-0005-0000-0000-0000D90D0000}"/>
    <cellStyle name="Normal 79 6 2" xfId="2488" xr:uid="{00000000-0005-0000-0000-0000DA0D0000}"/>
    <cellStyle name="Normal 79 7" xfId="1559" xr:uid="{00000000-0005-0000-0000-0000DB0D0000}"/>
    <cellStyle name="Normal 79 7 2" xfId="2743" xr:uid="{00000000-0005-0000-0000-0000DC0D0000}"/>
    <cellStyle name="Normal 79 8" xfId="1747" xr:uid="{00000000-0005-0000-0000-0000DD0D0000}"/>
    <cellStyle name="Normal 79 8 2" xfId="3392" xr:uid="{00000000-0005-0000-0000-0000DE0D0000}"/>
    <cellStyle name="Normal 79 9" xfId="1935" xr:uid="{00000000-0005-0000-0000-0000DF0D0000}"/>
    <cellStyle name="Normal 79 9 2" xfId="3895" xr:uid="{00000000-0005-0000-0000-0000E00D0000}"/>
    <cellStyle name="Normal 8" xfId="22" xr:uid="{00000000-0005-0000-0000-0000E10D0000}"/>
    <cellStyle name="Normal 8 10" xfId="933" xr:uid="{00000000-0005-0000-0000-0000E20D0000}"/>
    <cellStyle name="Normal 8 10 2" xfId="3296" xr:uid="{00000000-0005-0000-0000-0000E30D0000}"/>
    <cellStyle name="Normal 8 11" xfId="1116" xr:uid="{00000000-0005-0000-0000-0000E40D0000}"/>
    <cellStyle name="Normal 8 11 2" xfId="3622" xr:uid="{00000000-0005-0000-0000-0000E50D0000}"/>
    <cellStyle name="Normal 8 12" xfId="1301" xr:uid="{00000000-0005-0000-0000-0000E60D0000}"/>
    <cellStyle name="Normal 8 12 2" xfId="3263" xr:uid="{00000000-0005-0000-0000-0000E70D0000}"/>
    <cellStyle name="Normal 8 13" xfId="1489" xr:uid="{00000000-0005-0000-0000-0000E80D0000}"/>
    <cellStyle name="Normal 8 13 2" xfId="2096" xr:uid="{00000000-0005-0000-0000-0000E90D0000}"/>
    <cellStyle name="Normal 8 14" xfId="1677" xr:uid="{00000000-0005-0000-0000-0000EA0D0000}"/>
    <cellStyle name="Normal 8 14 2" xfId="3568" xr:uid="{00000000-0005-0000-0000-0000EB0D0000}"/>
    <cellStyle name="Normal 8 15" xfId="1865" xr:uid="{00000000-0005-0000-0000-0000EC0D0000}"/>
    <cellStyle name="Normal 8 15 2" xfId="3825" xr:uid="{00000000-0005-0000-0000-0000ED0D0000}"/>
    <cellStyle name="Normal 8 16" xfId="2555" xr:uid="{00000000-0005-0000-0000-0000EE0D0000}"/>
    <cellStyle name="Normal 8 2" xfId="367" xr:uid="{00000000-0005-0000-0000-0000EF0D0000}"/>
    <cellStyle name="Normal 8 2 2" xfId="2390" xr:uid="{00000000-0005-0000-0000-0000F00D0000}"/>
    <cellStyle name="Normal 8 3" xfId="429" xr:uid="{00000000-0005-0000-0000-0000F10D0000}"/>
    <cellStyle name="Normal 8 3 2" xfId="3528" xr:uid="{00000000-0005-0000-0000-0000F20D0000}"/>
    <cellStyle name="Normal 8 4" xfId="451" xr:uid="{00000000-0005-0000-0000-0000F30D0000}"/>
    <cellStyle name="Normal 8 4 2" xfId="2853" xr:uid="{00000000-0005-0000-0000-0000F40D0000}"/>
    <cellStyle name="Normal 8 5" xfId="473" xr:uid="{00000000-0005-0000-0000-0000F50D0000}"/>
    <cellStyle name="Normal 8 5 2" xfId="2479" xr:uid="{00000000-0005-0000-0000-0000F60D0000}"/>
    <cellStyle name="Normal 8 6" xfId="506" xr:uid="{00000000-0005-0000-0000-0000F70D0000}"/>
    <cellStyle name="Normal 8 6 2" xfId="2849" xr:uid="{00000000-0005-0000-0000-0000F80D0000}"/>
    <cellStyle name="Normal 8 7" xfId="540" xr:uid="{00000000-0005-0000-0000-0000F90D0000}"/>
    <cellStyle name="Normal 8 7 2" xfId="3175" xr:uid="{00000000-0005-0000-0000-0000FA0D0000}"/>
    <cellStyle name="Normal 8 8" xfId="569" xr:uid="{00000000-0005-0000-0000-0000FB0D0000}"/>
    <cellStyle name="Normal 8 8 2" xfId="2842" xr:uid="{00000000-0005-0000-0000-0000FC0D0000}"/>
    <cellStyle name="Normal 8 9" xfId="751" xr:uid="{00000000-0005-0000-0000-0000FD0D0000}"/>
    <cellStyle name="Normal 8 9 2" xfId="2829" xr:uid="{00000000-0005-0000-0000-0000FE0D0000}"/>
    <cellStyle name="Normal 80" xfId="94" xr:uid="{00000000-0005-0000-0000-0000FF0D0000}"/>
    <cellStyle name="Normal 80 10" xfId="2712" xr:uid="{00000000-0005-0000-0000-0000000E0000}"/>
    <cellStyle name="Normal 80 2" xfId="640" xr:uid="{00000000-0005-0000-0000-0000010E0000}"/>
    <cellStyle name="Normal 80 2 2" xfId="2673" xr:uid="{00000000-0005-0000-0000-0000020E0000}"/>
    <cellStyle name="Normal 80 3" xfId="822" xr:uid="{00000000-0005-0000-0000-0000030E0000}"/>
    <cellStyle name="Normal 80 3 2" xfId="2088" xr:uid="{00000000-0005-0000-0000-0000040E0000}"/>
    <cellStyle name="Normal 80 4" xfId="1004" xr:uid="{00000000-0005-0000-0000-0000050E0000}"/>
    <cellStyle name="Normal 80 4 2" xfId="3290" xr:uid="{00000000-0005-0000-0000-0000060E0000}"/>
    <cellStyle name="Normal 80 5" xfId="1187" xr:uid="{00000000-0005-0000-0000-0000070E0000}"/>
    <cellStyle name="Normal 80 5 2" xfId="3272" xr:uid="{00000000-0005-0000-0000-0000080E0000}"/>
    <cellStyle name="Normal 80 6" xfId="1372" xr:uid="{00000000-0005-0000-0000-0000090E0000}"/>
    <cellStyle name="Normal 80 6 2" xfId="2461" xr:uid="{00000000-0005-0000-0000-00000A0E0000}"/>
    <cellStyle name="Normal 80 7" xfId="1560" xr:uid="{00000000-0005-0000-0000-00000B0E0000}"/>
    <cellStyle name="Normal 80 7 2" xfId="2580" xr:uid="{00000000-0005-0000-0000-00000C0E0000}"/>
    <cellStyle name="Normal 80 8" xfId="1748" xr:uid="{00000000-0005-0000-0000-00000D0E0000}"/>
    <cellStyle name="Normal 80 8 2" xfId="3220" xr:uid="{00000000-0005-0000-0000-00000E0E0000}"/>
    <cellStyle name="Normal 80 9" xfId="1936" xr:uid="{00000000-0005-0000-0000-00000F0E0000}"/>
    <cellStyle name="Normal 80 9 2" xfId="3896" xr:uid="{00000000-0005-0000-0000-0000100E0000}"/>
    <cellStyle name="Normal 81" xfId="95" xr:uid="{00000000-0005-0000-0000-0000110E0000}"/>
    <cellStyle name="Normal 81 10" xfId="2546" xr:uid="{00000000-0005-0000-0000-0000120E0000}"/>
    <cellStyle name="Normal 81 2" xfId="641" xr:uid="{00000000-0005-0000-0000-0000130E0000}"/>
    <cellStyle name="Normal 81 2 2" xfId="2508" xr:uid="{00000000-0005-0000-0000-0000140E0000}"/>
    <cellStyle name="Normal 81 3" xfId="823" xr:uid="{00000000-0005-0000-0000-0000150E0000}"/>
    <cellStyle name="Normal 81 3 2" xfId="2647" xr:uid="{00000000-0005-0000-0000-0000160E0000}"/>
    <cellStyle name="Normal 81 4" xfId="1005" xr:uid="{00000000-0005-0000-0000-0000170E0000}"/>
    <cellStyle name="Normal 81 4 2" xfId="3121" xr:uid="{00000000-0005-0000-0000-0000180E0000}"/>
    <cellStyle name="Normal 81 5" xfId="1188" xr:uid="{00000000-0005-0000-0000-0000190E0000}"/>
    <cellStyle name="Normal 81 5 2" xfId="3103" xr:uid="{00000000-0005-0000-0000-00001A0E0000}"/>
    <cellStyle name="Normal 81 6" xfId="1373" xr:uid="{00000000-0005-0000-0000-00001B0E0000}"/>
    <cellStyle name="Normal 81 6 2" xfId="2428" xr:uid="{00000000-0005-0000-0000-00001C0E0000}"/>
    <cellStyle name="Normal 81 7" xfId="1561" xr:uid="{00000000-0005-0000-0000-00001D0E0000}"/>
    <cellStyle name="Normal 81 7 2" xfId="2190" xr:uid="{00000000-0005-0000-0000-00001E0E0000}"/>
    <cellStyle name="Normal 81 8" xfId="1749" xr:uid="{00000000-0005-0000-0000-00001F0E0000}"/>
    <cellStyle name="Normal 81 8 2" xfId="3051" xr:uid="{00000000-0005-0000-0000-0000200E0000}"/>
    <cellStyle name="Normal 81 9" xfId="1937" xr:uid="{00000000-0005-0000-0000-0000210E0000}"/>
    <cellStyle name="Normal 81 9 2" xfId="3897" xr:uid="{00000000-0005-0000-0000-0000220E0000}"/>
    <cellStyle name="Normal 82" xfId="96" xr:uid="{00000000-0005-0000-0000-0000230E0000}"/>
    <cellStyle name="Normal 82 10" xfId="2157" xr:uid="{00000000-0005-0000-0000-0000240E0000}"/>
    <cellStyle name="Normal 82 2" xfId="642" xr:uid="{00000000-0005-0000-0000-0000250E0000}"/>
    <cellStyle name="Normal 82 2 2" xfId="2117" xr:uid="{00000000-0005-0000-0000-0000260E0000}"/>
    <cellStyle name="Normal 82 3" xfId="824" xr:uid="{00000000-0005-0000-0000-0000270E0000}"/>
    <cellStyle name="Normal 82 3 2" xfId="2482" xr:uid="{00000000-0005-0000-0000-0000280E0000}"/>
    <cellStyle name="Normal 82 4" xfId="1006" xr:uid="{00000000-0005-0000-0000-0000290E0000}"/>
    <cellStyle name="Normal 82 4 2" xfId="2957" xr:uid="{00000000-0005-0000-0000-00002A0E0000}"/>
    <cellStyle name="Normal 82 5" xfId="1189" xr:uid="{00000000-0005-0000-0000-00002B0E0000}"/>
    <cellStyle name="Normal 82 5 2" xfId="2939" xr:uid="{00000000-0005-0000-0000-00002C0E0000}"/>
    <cellStyle name="Normal 82 6" xfId="1374" xr:uid="{00000000-0005-0000-0000-00002D0E0000}"/>
    <cellStyle name="Normal 82 6 2" xfId="2396" xr:uid="{00000000-0005-0000-0000-00002E0E0000}"/>
    <cellStyle name="Normal 82 7" xfId="1562" xr:uid="{00000000-0005-0000-0000-00002F0E0000}"/>
    <cellStyle name="Normal 82 7 2" xfId="3748" xr:uid="{00000000-0005-0000-0000-0000300E0000}"/>
    <cellStyle name="Normal 82 8" xfId="1750" xr:uid="{00000000-0005-0000-0000-0000310E0000}"/>
    <cellStyle name="Normal 82 8 2" xfId="2887" xr:uid="{00000000-0005-0000-0000-0000320E0000}"/>
    <cellStyle name="Normal 82 9" xfId="1938" xr:uid="{00000000-0005-0000-0000-0000330E0000}"/>
    <cellStyle name="Normal 82 9 2" xfId="3898" xr:uid="{00000000-0005-0000-0000-0000340E0000}"/>
    <cellStyle name="Normal 83" xfId="97" xr:uid="{00000000-0005-0000-0000-0000350E0000}"/>
    <cellStyle name="Normal 83 10" xfId="3716" xr:uid="{00000000-0005-0000-0000-0000360E0000}"/>
    <cellStyle name="Normal 83 2" xfId="643" xr:uid="{00000000-0005-0000-0000-0000370E0000}"/>
    <cellStyle name="Normal 83 2 2" xfId="3678" xr:uid="{00000000-0005-0000-0000-0000380E0000}"/>
    <cellStyle name="Normal 83 3" xfId="825" xr:uid="{00000000-0005-0000-0000-0000390E0000}"/>
    <cellStyle name="Normal 83 3 2" xfId="2454" xr:uid="{00000000-0005-0000-0000-00003A0E0000}"/>
    <cellStyle name="Normal 83 4" xfId="1007" xr:uid="{00000000-0005-0000-0000-00003B0E0000}"/>
    <cellStyle name="Normal 83 4 2" xfId="2795" xr:uid="{00000000-0005-0000-0000-00003C0E0000}"/>
    <cellStyle name="Normal 83 5" xfId="1190" xr:uid="{00000000-0005-0000-0000-00003D0E0000}"/>
    <cellStyle name="Normal 83 5 2" xfId="2777" xr:uid="{00000000-0005-0000-0000-00003E0E0000}"/>
    <cellStyle name="Normal 83 6" xfId="1375" xr:uid="{00000000-0005-0000-0000-00003F0E0000}"/>
    <cellStyle name="Normal 83 6 2" xfId="2377" xr:uid="{00000000-0005-0000-0000-0000400E0000}"/>
    <cellStyle name="Normal 83 7" xfId="1563" xr:uid="{00000000-0005-0000-0000-0000410E0000}"/>
    <cellStyle name="Normal 83 7 2" xfId="3579" xr:uid="{00000000-0005-0000-0000-0000420E0000}"/>
    <cellStyle name="Normal 83 8" xfId="1751" xr:uid="{00000000-0005-0000-0000-0000430E0000}"/>
    <cellStyle name="Normal 83 8 2" xfId="2725" xr:uid="{00000000-0005-0000-0000-0000440E0000}"/>
    <cellStyle name="Normal 83 9" xfId="1939" xr:uid="{00000000-0005-0000-0000-0000450E0000}"/>
    <cellStyle name="Normal 83 9 2" xfId="3899" xr:uid="{00000000-0005-0000-0000-0000460E0000}"/>
    <cellStyle name="Normal 84" xfId="98" xr:uid="{00000000-0005-0000-0000-0000470E0000}"/>
    <cellStyle name="Normal 84 10" xfId="3548" xr:uid="{00000000-0005-0000-0000-0000480E0000}"/>
    <cellStyle name="Normal 84 2" xfId="644" xr:uid="{00000000-0005-0000-0000-0000490E0000}"/>
    <cellStyle name="Normal 84 2 2" xfId="3508" xr:uid="{00000000-0005-0000-0000-00004A0E0000}"/>
    <cellStyle name="Normal 84 3" xfId="826" xr:uid="{00000000-0005-0000-0000-00004B0E0000}"/>
    <cellStyle name="Normal 84 3 2" xfId="2442" xr:uid="{00000000-0005-0000-0000-00004C0E0000}"/>
    <cellStyle name="Normal 84 4" xfId="1008" xr:uid="{00000000-0005-0000-0000-00004D0E0000}"/>
    <cellStyle name="Normal 84 4 2" xfId="2632" xr:uid="{00000000-0005-0000-0000-00004E0E0000}"/>
    <cellStyle name="Normal 84 5" xfId="1191" xr:uid="{00000000-0005-0000-0000-00004F0E0000}"/>
    <cellStyle name="Normal 84 5 2" xfId="2614" xr:uid="{00000000-0005-0000-0000-0000500E0000}"/>
    <cellStyle name="Normal 84 6" xfId="1376" xr:uid="{00000000-0005-0000-0000-0000510E0000}"/>
    <cellStyle name="Normal 84 6 2" xfId="2357" xr:uid="{00000000-0005-0000-0000-0000520E0000}"/>
    <cellStyle name="Normal 84 7" xfId="1564" xr:uid="{00000000-0005-0000-0000-0000530E0000}"/>
    <cellStyle name="Normal 84 7 2" xfId="3409" xr:uid="{00000000-0005-0000-0000-0000540E0000}"/>
    <cellStyle name="Normal 84 8" xfId="1752" xr:uid="{00000000-0005-0000-0000-0000550E0000}"/>
    <cellStyle name="Normal 84 8 2" xfId="2562" xr:uid="{00000000-0005-0000-0000-0000560E0000}"/>
    <cellStyle name="Normal 84 9" xfId="1940" xr:uid="{00000000-0005-0000-0000-0000570E0000}"/>
    <cellStyle name="Normal 84 9 2" xfId="3900" xr:uid="{00000000-0005-0000-0000-0000580E0000}"/>
    <cellStyle name="Normal 85" xfId="99" xr:uid="{00000000-0005-0000-0000-0000590E0000}"/>
    <cellStyle name="Normal 85 10" xfId="3378" xr:uid="{00000000-0005-0000-0000-00005A0E0000}"/>
    <cellStyle name="Normal 85 2" xfId="645" xr:uid="{00000000-0005-0000-0000-00005B0E0000}"/>
    <cellStyle name="Normal 85 2 2" xfId="3337" xr:uid="{00000000-0005-0000-0000-00005C0E0000}"/>
    <cellStyle name="Normal 85 3" xfId="827" xr:uid="{00000000-0005-0000-0000-00005D0E0000}"/>
    <cellStyle name="Normal 85 3 2" xfId="2410" xr:uid="{00000000-0005-0000-0000-00005E0E0000}"/>
    <cellStyle name="Normal 85 4" xfId="1009" xr:uid="{00000000-0005-0000-0000-00005F0E0000}"/>
    <cellStyle name="Normal 85 4 2" xfId="2242" xr:uid="{00000000-0005-0000-0000-0000600E0000}"/>
    <cellStyle name="Normal 85 5" xfId="1192" xr:uid="{00000000-0005-0000-0000-0000610E0000}"/>
    <cellStyle name="Normal 85 5 2" xfId="2224" xr:uid="{00000000-0005-0000-0000-0000620E0000}"/>
    <cellStyle name="Normal 85 6" xfId="1377" xr:uid="{00000000-0005-0000-0000-0000630E0000}"/>
    <cellStyle name="Normal 85 6 2" xfId="2299" xr:uid="{00000000-0005-0000-0000-0000640E0000}"/>
    <cellStyle name="Normal 85 7" xfId="1565" xr:uid="{00000000-0005-0000-0000-0000650E0000}"/>
    <cellStyle name="Normal 85 7 2" xfId="3237" xr:uid="{00000000-0005-0000-0000-0000660E0000}"/>
    <cellStyle name="Normal 85 8" xfId="1753" xr:uid="{00000000-0005-0000-0000-0000670E0000}"/>
    <cellStyle name="Normal 85 8 2" xfId="2172" xr:uid="{00000000-0005-0000-0000-0000680E0000}"/>
    <cellStyle name="Normal 85 9" xfId="1941" xr:uid="{00000000-0005-0000-0000-0000690E0000}"/>
    <cellStyle name="Normal 85 9 2" xfId="3901" xr:uid="{00000000-0005-0000-0000-00006A0E0000}"/>
    <cellStyle name="Normal 86" xfId="100" xr:uid="{00000000-0005-0000-0000-00006B0E0000}"/>
    <cellStyle name="Normal 86 10" xfId="3205" xr:uid="{00000000-0005-0000-0000-00006C0E0000}"/>
    <cellStyle name="Normal 86 2" xfId="646" xr:uid="{00000000-0005-0000-0000-00006D0E0000}"/>
    <cellStyle name="Normal 86 2 2" xfId="3165" xr:uid="{00000000-0005-0000-0000-00006E0E0000}"/>
    <cellStyle name="Normal 86 3" xfId="828" xr:uid="{00000000-0005-0000-0000-00006F0E0000}"/>
    <cellStyle name="Normal 86 3 2" xfId="2371" xr:uid="{00000000-0005-0000-0000-0000700E0000}"/>
    <cellStyle name="Normal 86 4" xfId="1010" xr:uid="{00000000-0005-0000-0000-0000710E0000}"/>
    <cellStyle name="Normal 86 4 2" xfId="3800" xr:uid="{00000000-0005-0000-0000-0000720E0000}"/>
    <cellStyle name="Normal 86 5" xfId="1193" xr:uid="{00000000-0005-0000-0000-0000730E0000}"/>
    <cellStyle name="Normal 86 5 2" xfId="3784" xr:uid="{00000000-0005-0000-0000-0000740E0000}"/>
    <cellStyle name="Normal 86 6" xfId="1378" xr:uid="{00000000-0005-0000-0000-0000750E0000}"/>
    <cellStyle name="Normal 86 6 2" xfId="3659" xr:uid="{00000000-0005-0000-0000-0000760E0000}"/>
    <cellStyle name="Normal 86 7" xfId="1566" xr:uid="{00000000-0005-0000-0000-0000770E0000}"/>
    <cellStyle name="Normal 86 7 2" xfId="3068" xr:uid="{00000000-0005-0000-0000-0000780E0000}"/>
    <cellStyle name="Normal 86 8" xfId="1754" xr:uid="{00000000-0005-0000-0000-0000790E0000}"/>
    <cellStyle name="Normal 86 8 2" xfId="3730" xr:uid="{00000000-0005-0000-0000-00007A0E0000}"/>
    <cellStyle name="Normal 86 9" xfId="1942" xr:uid="{00000000-0005-0000-0000-00007B0E0000}"/>
    <cellStyle name="Normal 86 9 2" xfId="3902" xr:uid="{00000000-0005-0000-0000-00007C0E0000}"/>
    <cellStyle name="Normal 87" xfId="101" xr:uid="{00000000-0005-0000-0000-00007D0E0000}"/>
    <cellStyle name="Normal 87 10" xfId="3036" xr:uid="{00000000-0005-0000-0000-00007E0E0000}"/>
    <cellStyle name="Normal 87 2" xfId="647" xr:uid="{00000000-0005-0000-0000-00007F0E0000}"/>
    <cellStyle name="Normal 87 2 2" xfId="2997" xr:uid="{00000000-0005-0000-0000-0000800E0000}"/>
    <cellStyle name="Normal 87 3" xfId="829" xr:uid="{00000000-0005-0000-0000-0000810E0000}"/>
    <cellStyle name="Normal 87 3 2" xfId="2350" xr:uid="{00000000-0005-0000-0000-0000820E0000}"/>
    <cellStyle name="Normal 87 4" xfId="1011" xr:uid="{00000000-0005-0000-0000-0000830E0000}"/>
    <cellStyle name="Normal 87 4 2" xfId="3631" xr:uid="{00000000-0005-0000-0000-0000840E0000}"/>
    <cellStyle name="Normal 87 5" xfId="1194" xr:uid="{00000000-0005-0000-0000-0000850E0000}"/>
    <cellStyle name="Normal 87 5 2" xfId="3615" xr:uid="{00000000-0005-0000-0000-0000860E0000}"/>
    <cellStyle name="Normal 87 6" xfId="1379" xr:uid="{00000000-0005-0000-0000-0000870E0000}"/>
    <cellStyle name="Normal 87 6 2" xfId="3489" xr:uid="{00000000-0005-0000-0000-0000880E0000}"/>
    <cellStyle name="Normal 87 7" xfId="1567" xr:uid="{00000000-0005-0000-0000-0000890E0000}"/>
    <cellStyle name="Normal 87 7 2" xfId="2904" xr:uid="{00000000-0005-0000-0000-00008A0E0000}"/>
    <cellStyle name="Normal 87 8" xfId="1755" xr:uid="{00000000-0005-0000-0000-00008B0E0000}"/>
    <cellStyle name="Normal 87 8 2" xfId="3561" xr:uid="{00000000-0005-0000-0000-00008C0E0000}"/>
    <cellStyle name="Normal 87 9" xfId="1943" xr:uid="{00000000-0005-0000-0000-00008D0E0000}"/>
    <cellStyle name="Normal 87 9 2" xfId="3903" xr:uid="{00000000-0005-0000-0000-00008E0E0000}"/>
    <cellStyle name="Normal 88" xfId="102" xr:uid="{00000000-0005-0000-0000-00008F0E0000}"/>
    <cellStyle name="Normal 88 10" xfId="2873" xr:uid="{00000000-0005-0000-0000-0000900E0000}"/>
    <cellStyle name="Normal 88 2" xfId="648" xr:uid="{00000000-0005-0000-0000-0000910E0000}"/>
    <cellStyle name="Normal 88 2 2" xfId="2835" xr:uid="{00000000-0005-0000-0000-0000920E0000}"/>
    <cellStyle name="Normal 88 3" xfId="830" xr:uid="{00000000-0005-0000-0000-0000930E0000}"/>
    <cellStyle name="Normal 88 3 2" xfId="2313" xr:uid="{00000000-0005-0000-0000-0000940E0000}"/>
    <cellStyle name="Normal 88 4" xfId="1012" xr:uid="{00000000-0005-0000-0000-0000950E0000}"/>
    <cellStyle name="Normal 88 4 2" xfId="3461" xr:uid="{00000000-0005-0000-0000-0000960E0000}"/>
    <cellStyle name="Normal 88 5" xfId="1195" xr:uid="{00000000-0005-0000-0000-0000970E0000}"/>
    <cellStyle name="Normal 88 5 2" xfId="3445" xr:uid="{00000000-0005-0000-0000-0000980E0000}"/>
    <cellStyle name="Normal 88 6" xfId="1380" xr:uid="{00000000-0005-0000-0000-0000990E0000}"/>
    <cellStyle name="Normal 88 6 2" xfId="3318" xr:uid="{00000000-0005-0000-0000-00009A0E0000}"/>
    <cellStyle name="Normal 88 7" xfId="1568" xr:uid="{00000000-0005-0000-0000-00009B0E0000}"/>
    <cellStyle name="Normal 88 7 2" xfId="2742" xr:uid="{00000000-0005-0000-0000-00009C0E0000}"/>
    <cellStyle name="Normal 88 8" xfId="1756" xr:uid="{00000000-0005-0000-0000-00009D0E0000}"/>
    <cellStyle name="Normal 88 8 2" xfId="3391" xr:uid="{00000000-0005-0000-0000-00009E0E0000}"/>
    <cellStyle name="Normal 88 9" xfId="1944" xr:uid="{00000000-0005-0000-0000-00009F0E0000}"/>
    <cellStyle name="Normal 88 9 2" xfId="3904" xr:uid="{00000000-0005-0000-0000-0000A00E0000}"/>
    <cellStyle name="Normal 89" xfId="103" xr:uid="{00000000-0005-0000-0000-0000A10E0000}"/>
    <cellStyle name="Normal 89 10" xfId="2711" xr:uid="{00000000-0005-0000-0000-0000A20E0000}"/>
    <cellStyle name="Normal 89 2" xfId="649" xr:uid="{00000000-0005-0000-0000-0000A30E0000}"/>
    <cellStyle name="Normal 89 2 2" xfId="2672" xr:uid="{00000000-0005-0000-0000-0000A40E0000}"/>
    <cellStyle name="Normal 89 3" xfId="831" xr:uid="{00000000-0005-0000-0000-0000A50E0000}"/>
    <cellStyle name="Normal 89 3 2" xfId="3653" xr:uid="{00000000-0005-0000-0000-0000A60E0000}"/>
    <cellStyle name="Normal 89 4" xfId="1013" xr:uid="{00000000-0005-0000-0000-0000A70E0000}"/>
    <cellStyle name="Normal 89 4 2" xfId="3289" xr:uid="{00000000-0005-0000-0000-0000A80E0000}"/>
    <cellStyle name="Normal 89 5" xfId="1196" xr:uid="{00000000-0005-0000-0000-0000A90E0000}"/>
    <cellStyle name="Normal 89 5 2" xfId="3273" xr:uid="{00000000-0005-0000-0000-0000AA0E0000}"/>
    <cellStyle name="Normal 89 6" xfId="1381" xr:uid="{00000000-0005-0000-0000-0000AB0E0000}"/>
    <cellStyle name="Normal 89 6 2" xfId="3146" xr:uid="{00000000-0005-0000-0000-0000AC0E0000}"/>
    <cellStyle name="Normal 89 7" xfId="1569" xr:uid="{00000000-0005-0000-0000-0000AD0E0000}"/>
    <cellStyle name="Normal 89 7 2" xfId="2579" xr:uid="{00000000-0005-0000-0000-0000AE0E0000}"/>
    <cellStyle name="Normal 89 8" xfId="1757" xr:uid="{00000000-0005-0000-0000-0000AF0E0000}"/>
    <cellStyle name="Normal 89 8 2" xfId="3219" xr:uid="{00000000-0005-0000-0000-0000B00E0000}"/>
    <cellStyle name="Normal 89 9" xfId="1945" xr:uid="{00000000-0005-0000-0000-0000B10E0000}"/>
    <cellStyle name="Normal 89 9 2" xfId="3905" xr:uid="{00000000-0005-0000-0000-0000B20E0000}"/>
    <cellStyle name="Normal 9" xfId="23" xr:uid="{00000000-0005-0000-0000-0000B30E0000}"/>
    <cellStyle name="Normal 9 10" xfId="934" xr:uid="{00000000-0005-0000-0000-0000B40E0000}"/>
    <cellStyle name="Normal 9 10 2" xfId="3127" xr:uid="{00000000-0005-0000-0000-0000B50E0000}"/>
    <cellStyle name="Normal 9 11" xfId="1117" xr:uid="{00000000-0005-0000-0000-0000B60E0000}"/>
    <cellStyle name="Normal 9 11 2" xfId="3452" xr:uid="{00000000-0005-0000-0000-0000B70E0000}"/>
    <cellStyle name="Normal 9 12" xfId="1302" xr:uid="{00000000-0005-0000-0000-0000B80E0000}"/>
    <cellStyle name="Normal 9 12 2" xfId="3094" xr:uid="{00000000-0005-0000-0000-0000B90E0000}"/>
    <cellStyle name="Normal 9 13" xfId="1490" xr:uid="{00000000-0005-0000-0000-0000BA0E0000}"/>
    <cellStyle name="Normal 9 13 2" xfId="3756" xr:uid="{00000000-0005-0000-0000-0000BB0E0000}"/>
    <cellStyle name="Normal 9 14" xfId="1678" xr:uid="{00000000-0005-0000-0000-0000BC0E0000}"/>
    <cellStyle name="Normal 9 14 2" xfId="3398" xr:uid="{00000000-0005-0000-0000-0000BD0E0000}"/>
    <cellStyle name="Normal 9 15" xfId="1866" xr:uid="{00000000-0005-0000-0000-0000BE0E0000}"/>
    <cellStyle name="Normal 9 15 2" xfId="3826" xr:uid="{00000000-0005-0000-0000-0000BF0E0000}"/>
    <cellStyle name="Normal 9 16" xfId="2166" xr:uid="{00000000-0005-0000-0000-0000C00E0000}"/>
    <cellStyle name="Normal 9 2" xfId="368" xr:uid="{00000000-0005-0000-0000-0000C10E0000}"/>
    <cellStyle name="Normal 9 2 2" xfId="2364" xr:uid="{00000000-0005-0000-0000-0000C20E0000}"/>
    <cellStyle name="Normal 9 3" xfId="430" xr:uid="{00000000-0005-0000-0000-0000C30E0000}"/>
    <cellStyle name="Normal 9 3 2" xfId="3357" xr:uid="{00000000-0005-0000-0000-0000C40E0000}"/>
    <cellStyle name="Normal 9 4" xfId="452" xr:uid="{00000000-0005-0000-0000-0000C50E0000}"/>
    <cellStyle name="Normal 9 4 2" xfId="2690" xr:uid="{00000000-0005-0000-0000-0000C60E0000}"/>
    <cellStyle name="Normal 9 5" xfId="474" xr:uid="{00000000-0005-0000-0000-0000C70E0000}"/>
    <cellStyle name="Normal 9 5 2" xfId="2451" xr:uid="{00000000-0005-0000-0000-0000C80E0000}"/>
    <cellStyle name="Normal 9 6" xfId="507" xr:uid="{00000000-0005-0000-0000-0000C90E0000}"/>
    <cellStyle name="Normal 9 6 2" xfId="2686" xr:uid="{00000000-0005-0000-0000-0000CA0E0000}"/>
    <cellStyle name="Normal 9 7" xfId="541" xr:uid="{00000000-0005-0000-0000-0000CB0E0000}"/>
    <cellStyle name="Normal 9 7 2" xfId="3007" xr:uid="{00000000-0005-0000-0000-0000CC0E0000}"/>
    <cellStyle name="Normal 9 8" xfId="570" xr:uid="{00000000-0005-0000-0000-0000CD0E0000}"/>
    <cellStyle name="Normal 9 8 2" xfId="2679" xr:uid="{00000000-0005-0000-0000-0000CE0E0000}"/>
    <cellStyle name="Normal 9 9" xfId="752" xr:uid="{00000000-0005-0000-0000-0000CF0E0000}"/>
    <cellStyle name="Normal 9 9 2" xfId="2666" xr:uid="{00000000-0005-0000-0000-0000D00E0000}"/>
    <cellStyle name="Normal 90" xfId="104" xr:uid="{00000000-0005-0000-0000-0000D10E0000}"/>
    <cellStyle name="Normal 90 10" xfId="2545" xr:uid="{00000000-0005-0000-0000-0000D20E0000}"/>
    <cellStyle name="Normal 90 2" xfId="650" xr:uid="{00000000-0005-0000-0000-0000D30E0000}"/>
    <cellStyle name="Normal 90 2 2" xfId="2507" xr:uid="{00000000-0005-0000-0000-0000D40E0000}"/>
    <cellStyle name="Normal 90 3" xfId="832" xr:uid="{00000000-0005-0000-0000-0000D50E0000}"/>
    <cellStyle name="Normal 90 3 2" xfId="3483" xr:uid="{00000000-0005-0000-0000-0000D60E0000}"/>
    <cellStyle name="Normal 90 4" xfId="1014" xr:uid="{00000000-0005-0000-0000-0000D70E0000}"/>
    <cellStyle name="Normal 90 4 2" xfId="3120" xr:uid="{00000000-0005-0000-0000-0000D80E0000}"/>
    <cellStyle name="Normal 90 5" xfId="1197" xr:uid="{00000000-0005-0000-0000-0000D90E0000}"/>
    <cellStyle name="Normal 90 5 2" xfId="3104" xr:uid="{00000000-0005-0000-0000-0000DA0E0000}"/>
    <cellStyle name="Normal 90 6" xfId="1382" xr:uid="{00000000-0005-0000-0000-0000DB0E0000}"/>
    <cellStyle name="Normal 90 6 2" xfId="2978" xr:uid="{00000000-0005-0000-0000-0000DC0E0000}"/>
    <cellStyle name="Normal 90 7" xfId="1570" xr:uid="{00000000-0005-0000-0000-0000DD0E0000}"/>
    <cellStyle name="Normal 90 7 2" xfId="2189" xr:uid="{00000000-0005-0000-0000-0000DE0E0000}"/>
    <cellStyle name="Normal 90 8" xfId="1758" xr:uid="{00000000-0005-0000-0000-0000DF0E0000}"/>
    <cellStyle name="Normal 90 8 2" xfId="3050" xr:uid="{00000000-0005-0000-0000-0000E00E0000}"/>
    <cellStyle name="Normal 90 9" xfId="1946" xr:uid="{00000000-0005-0000-0000-0000E10E0000}"/>
    <cellStyle name="Normal 90 9 2" xfId="3906" xr:uid="{00000000-0005-0000-0000-0000E20E0000}"/>
    <cellStyle name="Normal 91" xfId="105" xr:uid="{00000000-0005-0000-0000-0000E30E0000}"/>
    <cellStyle name="Normal 91 10" xfId="2156" xr:uid="{00000000-0005-0000-0000-0000E40E0000}"/>
    <cellStyle name="Normal 91 2" xfId="651" xr:uid="{00000000-0005-0000-0000-0000E50E0000}"/>
    <cellStyle name="Normal 91 2 2" xfId="2116" xr:uid="{00000000-0005-0000-0000-0000E60E0000}"/>
    <cellStyle name="Normal 91 3" xfId="833" xr:uid="{00000000-0005-0000-0000-0000E70E0000}"/>
    <cellStyle name="Normal 91 3 2" xfId="3311" xr:uid="{00000000-0005-0000-0000-0000E80E0000}"/>
    <cellStyle name="Normal 91 4" xfId="1015" xr:uid="{00000000-0005-0000-0000-0000E90E0000}"/>
    <cellStyle name="Normal 91 4 2" xfId="2956" xr:uid="{00000000-0005-0000-0000-0000EA0E0000}"/>
    <cellStyle name="Normal 91 5" xfId="1198" xr:uid="{00000000-0005-0000-0000-0000EB0E0000}"/>
    <cellStyle name="Normal 91 5 2" xfId="2940" xr:uid="{00000000-0005-0000-0000-0000EC0E0000}"/>
    <cellStyle name="Normal 91 6" xfId="1383" xr:uid="{00000000-0005-0000-0000-0000ED0E0000}"/>
    <cellStyle name="Normal 91 6 2" xfId="2816" xr:uid="{00000000-0005-0000-0000-0000EE0E0000}"/>
    <cellStyle name="Normal 91 7" xfId="1571" xr:uid="{00000000-0005-0000-0000-0000EF0E0000}"/>
    <cellStyle name="Normal 91 7 2" xfId="3747" xr:uid="{00000000-0005-0000-0000-0000F00E0000}"/>
    <cellStyle name="Normal 91 8" xfId="1759" xr:uid="{00000000-0005-0000-0000-0000F10E0000}"/>
    <cellStyle name="Normal 91 8 2" xfId="2886" xr:uid="{00000000-0005-0000-0000-0000F20E0000}"/>
    <cellStyle name="Normal 91 9" xfId="1947" xr:uid="{00000000-0005-0000-0000-0000F30E0000}"/>
    <cellStyle name="Normal 91 9 2" xfId="3907" xr:uid="{00000000-0005-0000-0000-0000F40E0000}"/>
    <cellStyle name="Normal 92" xfId="106" xr:uid="{00000000-0005-0000-0000-0000F50E0000}"/>
    <cellStyle name="Normal 92 10" xfId="3715" xr:uid="{00000000-0005-0000-0000-0000F60E0000}"/>
    <cellStyle name="Normal 92 2" xfId="652" xr:uid="{00000000-0005-0000-0000-0000F70E0000}"/>
    <cellStyle name="Normal 92 2 2" xfId="3677" xr:uid="{00000000-0005-0000-0000-0000F80E0000}"/>
    <cellStyle name="Normal 92 3" xfId="834" xr:uid="{00000000-0005-0000-0000-0000F90E0000}"/>
    <cellStyle name="Normal 92 3 2" xfId="3139" xr:uid="{00000000-0005-0000-0000-0000FA0E0000}"/>
    <cellStyle name="Normal 92 4" xfId="1016" xr:uid="{00000000-0005-0000-0000-0000FB0E0000}"/>
    <cellStyle name="Normal 92 4 2" xfId="2794" xr:uid="{00000000-0005-0000-0000-0000FC0E0000}"/>
    <cellStyle name="Normal 92 5" xfId="1199" xr:uid="{00000000-0005-0000-0000-0000FD0E0000}"/>
    <cellStyle name="Normal 92 5 2" xfId="2778" xr:uid="{00000000-0005-0000-0000-0000FE0E0000}"/>
    <cellStyle name="Normal 92 6" xfId="1384" xr:uid="{00000000-0005-0000-0000-0000FF0E0000}"/>
    <cellStyle name="Normal 92 6 2" xfId="2097" xr:uid="{00000000-0005-0000-0000-0000000F0000}"/>
    <cellStyle name="Normal 92 7" xfId="1572" xr:uid="{00000000-0005-0000-0000-0000010F0000}"/>
    <cellStyle name="Normal 92 7 2" xfId="3578" xr:uid="{00000000-0005-0000-0000-0000020F0000}"/>
    <cellStyle name="Normal 92 8" xfId="1760" xr:uid="{00000000-0005-0000-0000-0000030F0000}"/>
    <cellStyle name="Normal 92 8 2" xfId="2724" xr:uid="{00000000-0005-0000-0000-0000040F0000}"/>
    <cellStyle name="Normal 92 9" xfId="1948" xr:uid="{00000000-0005-0000-0000-0000050F0000}"/>
    <cellStyle name="Normal 92 9 2" xfId="3908" xr:uid="{00000000-0005-0000-0000-0000060F0000}"/>
    <cellStyle name="Normal 93" xfId="107" xr:uid="{00000000-0005-0000-0000-0000070F0000}"/>
    <cellStyle name="Normal 93 10" xfId="3547" xr:uid="{00000000-0005-0000-0000-0000080F0000}"/>
    <cellStyle name="Normal 93 2" xfId="653" xr:uid="{00000000-0005-0000-0000-0000090F0000}"/>
    <cellStyle name="Normal 93 2 2" xfId="3507" xr:uid="{00000000-0005-0000-0000-00000A0F0000}"/>
    <cellStyle name="Normal 93 3" xfId="835" xr:uid="{00000000-0005-0000-0000-00000B0F0000}"/>
    <cellStyle name="Normal 93 3 2" xfId="2972" xr:uid="{00000000-0005-0000-0000-00000C0F0000}"/>
    <cellStyle name="Normal 93 4" xfId="1017" xr:uid="{00000000-0005-0000-0000-00000D0F0000}"/>
    <cellStyle name="Normal 93 4 2" xfId="2631" xr:uid="{00000000-0005-0000-0000-00000E0F0000}"/>
    <cellStyle name="Normal 93 5" xfId="1200" xr:uid="{00000000-0005-0000-0000-00000F0F0000}"/>
    <cellStyle name="Normal 93 5 2" xfId="2615" xr:uid="{00000000-0005-0000-0000-0000100F0000}"/>
    <cellStyle name="Normal 93 6" xfId="1385" xr:uid="{00000000-0005-0000-0000-0000110F0000}"/>
    <cellStyle name="Normal 93 6 2" xfId="3766" xr:uid="{00000000-0005-0000-0000-0000120F0000}"/>
    <cellStyle name="Normal 93 7" xfId="1573" xr:uid="{00000000-0005-0000-0000-0000130F0000}"/>
    <cellStyle name="Normal 93 7 2" xfId="3408" xr:uid="{00000000-0005-0000-0000-0000140F0000}"/>
    <cellStyle name="Normal 93 8" xfId="1761" xr:uid="{00000000-0005-0000-0000-0000150F0000}"/>
    <cellStyle name="Normal 93 8 2" xfId="2561" xr:uid="{00000000-0005-0000-0000-0000160F0000}"/>
    <cellStyle name="Normal 93 9" xfId="1949" xr:uid="{00000000-0005-0000-0000-0000170F0000}"/>
    <cellStyle name="Normal 93 9 2" xfId="3909" xr:uid="{00000000-0005-0000-0000-0000180F0000}"/>
    <cellStyle name="Normal 94" xfId="108" xr:uid="{00000000-0005-0000-0000-0000190F0000}"/>
    <cellStyle name="Normal 94 10" xfId="3377" xr:uid="{00000000-0005-0000-0000-00001A0F0000}"/>
    <cellStyle name="Normal 94 2" xfId="654" xr:uid="{00000000-0005-0000-0000-00001B0F0000}"/>
    <cellStyle name="Normal 94 2 2" xfId="3336" xr:uid="{00000000-0005-0000-0000-00001C0F0000}"/>
    <cellStyle name="Normal 94 3" xfId="836" xr:uid="{00000000-0005-0000-0000-00001D0F0000}"/>
    <cellStyle name="Normal 94 3 2" xfId="2810" xr:uid="{00000000-0005-0000-0000-00001E0F0000}"/>
    <cellStyle name="Normal 94 4" xfId="1018" xr:uid="{00000000-0005-0000-0000-00001F0F0000}"/>
    <cellStyle name="Normal 94 4 2" xfId="2241" xr:uid="{00000000-0005-0000-0000-0000200F0000}"/>
    <cellStyle name="Normal 94 5" xfId="1201" xr:uid="{00000000-0005-0000-0000-0000210F0000}"/>
    <cellStyle name="Normal 94 5 2" xfId="2225" xr:uid="{00000000-0005-0000-0000-0000220F0000}"/>
    <cellStyle name="Normal 94 6" xfId="1386" xr:uid="{00000000-0005-0000-0000-0000230F0000}"/>
    <cellStyle name="Normal 94 6 2" xfId="3597" xr:uid="{00000000-0005-0000-0000-0000240F0000}"/>
    <cellStyle name="Normal 94 7" xfId="1574" xr:uid="{00000000-0005-0000-0000-0000250F0000}"/>
    <cellStyle name="Normal 94 7 2" xfId="3236" xr:uid="{00000000-0005-0000-0000-0000260F0000}"/>
    <cellStyle name="Normal 94 8" xfId="1762" xr:uid="{00000000-0005-0000-0000-0000270F0000}"/>
    <cellStyle name="Normal 94 8 2" xfId="2171" xr:uid="{00000000-0005-0000-0000-0000280F0000}"/>
    <cellStyle name="Normal 94 9" xfId="1950" xr:uid="{00000000-0005-0000-0000-0000290F0000}"/>
    <cellStyle name="Normal 94 9 2" xfId="3910" xr:uid="{00000000-0005-0000-0000-00002A0F0000}"/>
    <cellStyle name="Normal 95" xfId="109" xr:uid="{00000000-0005-0000-0000-00002B0F0000}"/>
    <cellStyle name="Normal 95 10" xfId="3204" xr:uid="{00000000-0005-0000-0000-00002C0F0000}"/>
    <cellStyle name="Normal 95 2" xfId="655" xr:uid="{00000000-0005-0000-0000-00002D0F0000}"/>
    <cellStyle name="Normal 95 2 2" xfId="3164" xr:uid="{00000000-0005-0000-0000-00002E0F0000}"/>
    <cellStyle name="Normal 95 3" xfId="837" xr:uid="{00000000-0005-0000-0000-00002F0F0000}"/>
    <cellStyle name="Normal 95 3 2" xfId="2090" xr:uid="{00000000-0005-0000-0000-0000300F0000}"/>
    <cellStyle name="Normal 95 4" xfId="1019" xr:uid="{00000000-0005-0000-0000-0000310F0000}"/>
    <cellStyle name="Normal 95 4 2" xfId="3799" xr:uid="{00000000-0005-0000-0000-0000320F0000}"/>
    <cellStyle name="Normal 95 5" xfId="1202" xr:uid="{00000000-0005-0000-0000-0000330F0000}"/>
    <cellStyle name="Normal 95 5 2" xfId="3785" xr:uid="{00000000-0005-0000-0000-0000340F0000}"/>
    <cellStyle name="Normal 95 6" xfId="1387" xr:uid="{00000000-0005-0000-0000-0000350F0000}"/>
    <cellStyle name="Normal 95 6 2" xfId="3427" xr:uid="{00000000-0005-0000-0000-0000360F0000}"/>
    <cellStyle name="Normal 95 7" xfId="1575" xr:uid="{00000000-0005-0000-0000-0000370F0000}"/>
    <cellStyle name="Normal 95 7 2" xfId="3067" xr:uid="{00000000-0005-0000-0000-0000380F0000}"/>
    <cellStyle name="Normal 95 8" xfId="1763" xr:uid="{00000000-0005-0000-0000-0000390F0000}"/>
    <cellStyle name="Normal 95 8 2" xfId="3729" xr:uid="{00000000-0005-0000-0000-00003A0F0000}"/>
    <cellStyle name="Normal 95 9" xfId="1951" xr:uid="{00000000-0005-0000-0000-00003B0F0000}"/>
    <cellStyle name="Normal 95 9 2" xfId="3911" xr:uid="{00000000-0005-0000-0000-00003C0F0000}"/>
    <cellStyle name="Normal 96" xfId="110" xr:uid="{00000000-0005-0000-0000-00003D0F0000}"/>
    <cellStyle name="Normal 96 10" xfId="3035" xr:uid="{00000000-0005-0000-0000-00003E0F0000}"/>
    <cellStyle name="Normal 96 2" xfId="656" xr:uid="{00000000-0005-0000-0000-00003F0F0000}"/>
    <cellStyle name="Normal 96 2 2" xfId="2996" xr:uid="{00000000-0005-0000-0000-0000400F0000}"/>
    <cellStyle name="Normal 96 3" xfId="838" xr:uid="{00000000-0005-0000-0000-0000410F0000}"/>
    <cellStyle name="Normal 96 3 2" xfId="2646" xr:uid="{00000000-0005-0000-0000-0000420F0000}"/>
    <cellStyle name="Normal 96 4" xfId="1020" xr:uid="{00000000-0005-0000-0000-0000430F0000}"/>
    <cellStyle name="Normal 96 4 2" xfId="3630" xr:uid="{00000000-0005-0000-0000-0000440F0000}"/>
    <cellStyle name="Normal 96 5" xfId="1203" xr:uid="{00000000-0005-0000-0000-0000450F0000}"/>
    <cellStyle name="Normal 96 5 2" xfId="3616" xr:uid="{00000000-0005-0000-0000-0000460F0000}"/>
    <cellStyle name="Normal 96 6" xfId="1388" xr:uid="{00000000-0005-0000-0000-0000470F0000}"/>
    <cellStyle name="Normal 96 6 2" xfId="3255" xr:uid="{00000000-0005-0000-0000-0000480F0000}"/>
    <cellStyle name="Normal 96 7" xfId="1576" xr:uid="{00000000-0005-0000-0000-0000490F0000}"/>
    <cellStyle name="Normal 96 7 2" xfId="2903" xr:uid="{00000000-0005-0000-0000-00004A0F0000}"/>
    <cellStyle name="Normal 96 8" xfId="1764" xr:uid="{00000000-0005-0000-0000-00004B0F0000}"/>
    <cellStyle name="Normal 96 8 2" xfId="3560" xr:uid="{00000000-0005-0000-0000-00004C0F0000}"/>
    <cellStyle name="Normal 96 9" xfId="1952" xr:uid="{00000000-0005-0000-0000-00004D0F0000}"/>
    <cellStyle name="Normal 96 9 2" xfId="3912" xr:uid="{00000000-0005-0000-0000-00004E0F0000}"/>
    <cellStyle name="Normal 97" xfId="111" xr:uid="{00000000-0005-0000-0000-00004F0F0000}"/>
    <cellStyle name="Normal 97 10" xfId="2872" xr:uid="{00000000-0005-0000-0000-0000500F0000}"/>
    <cellStyle name="Normal 97 2" xfId="657" xr:uid="{00000000-0005-0000-0000-0000510F0000}"/>
    <cellStyle name="Normal 97 2 2" xfId="2834" xr:uid="{00000000-0005-0000-0000-0000520F0000}"/>
    <cellStyle name="Normal 97 3" xfId="839" xr:uid="{00000000-0005-0000-0000-0000530F0000}"/>
    <cellStyle name="Normal 97 3 2" xfId="2481" xr:uid="{00000000-0005-0000-0000-0000540F0000}"/>
    <cellStyle name="Normal 97 4" xfId="1021" xr:uid="{00000000-0005-0000-0000-0000550F0000}"/>
    <cellStyle name="Normal 97 4 2" xfId="3460" xr:uid="{00000000-0005-0000-0000-0000560F0000}"/>
    <cellStyle name="Normal 97 5" xfId="1204" xr:uid="{00000000-0005-0000-0000-0000570F0000}"/>
    <cellStyle name="Normal 97 5 2" xfId="3446" xr:uid="{00000000-0005-0000-0000-0000580F0000}"/>
    <cellStyle name="Normal 97 6" xfId="1389" xr:uid="{00000000-0005-0000-0000-0000590F0000}"/>
    <cellStyle name="Normal 97 6 2" xfId="3086" xr:uid="{00000000-0005-0000-0000-00005A0F0000}"/>
    <cellStyle name="Normal 97 7" xfId="1577" xr:uid="{00000000-0005-0000-0000-00005B0F0000}"/>
    <cellStyle name="Normal 97 7 2" xfId="2741" xr:uid="{00000000-0005-0000-0000-00005C0F0000}"/>
    <cellStyle name="Normal 97 8" xfId="1765" xr:uid="{00000000-0005-0000-0000-00005D0F0000}"/>
    <cellStyle name="Normal 97 8 2" xfId="3390" xr:uid="{00000000-0005-0000-0000-00005E0F0000}"/>
    <cellStyle name="Normal 97 9" xfId="1953" xr:uid="{00000000-0005-0000-0000-00005F0F0000}"/>
    <cellStyle name="Normal 97 9 2" xfId="3913" xr:uid="{00000000-0005-0000-0000-0000600F0000}"/>
    <cellStyle name="Normal 98" xfId="112" xr:uid="{00000000-0005-0000-0000-0000610F0000}"/>
    <cellStyle name="Normal 98 10" xfId="2710" xr:uid="{00000000-0005-0000-0000-0000620F0000}"/>
    <cellStyle name="Normal 98 2" xfId="658" xr:uid="{00000000-0005-0000-0000-0000630F0000}"/>
    <cellStyle name="Normal 98 2 2" xfId="2671" xr:uid="{00000000-0005-0000-0000-0000640F0000}"/>
    <cellStyle name="Normal 98 3" xfId="840" xr:uid="{00000000-0005-0000-0000-0000650F0000}"/>
    <cellStyle name="Normal 98 3 2" xfId="2453" xr:uid="{00000000-0005-0000-0000-0000660F0000}"/>
    <cellStyle name="Normal 98 4" xfId="1022" xr:uid="{00000000-0005-0000-0000-0000670F0000}"/>
    <cellStyle name="Normal 98 4 2" xfId="3288" xr:uid="{00000000-0005-0000-0000-0000680F0000}"/>
    <cellStyle name="Normal 98 5" xfId="1205" xr:uid="{00000000-0005-0000-0000-0000690F0000}"/>
    <cellStyle name="Normal 98 5 2" xfId="3274" xr:uid="{00000000-0005-0000-0000-00006A0F0000}"/>
    <cellStyle name="Normal 98 6" xfId="1390" xr:uid="{00000000-0005-0000-0000-00006B0F0000}"/>
    <cellStyle name="Normal 98 6 2" xfId="2922" xr:uid="{00000000-0005-0000-0000-00006C0F0000}"/>
    <cellStyle name="Normal 98 7" xfId="1578" xr:uid="{00000000-0005-0000-0000-00006D0F0000}"/>
    <cellStyle name="Normal 98 7 2" xfId="2578" xr:uid="{00000000-0005-0000-0000-00006E0F0000}"/>
    <cellStyle name="Normal 98 8" xfId="1766" xr:uid="{00000000-0005-0000-0000-00006F0F0000}"/>
    <cellStyle name="Normal 98 8 2" xfId="3218" xr:uid="{00000000-0005-0000-0000-0000700F0000}"/>
    <cellStyle name="Normal 98 9" xfId="1954" xr:uid="{00000000-0005-0000-0000-0000710F0000}"/>
    <cellStyle name="Normal 98 9 2" xfId="3914" xr:uid="{00000000-0005-0000-0000-0000720F0000}"/>
    <cellStyle name="Normal 99" xfId="113" xr:uid="{00000000-0005-0000-0000-0000730F0000}"/>
    <cellStyle name="Normal 99 10" xfId="2544" xr:uid="{00000000-0005-0000-0000-0000740F0000}"/>
    <cellStyle name="Normal 99 2" xfId="659" xr:uid="{00000000-0005-0000-0000-0000750F0000}"/>
    <cellStyle name="Normal 99 2 2" xfId="2506" xr:uid="{00000000-0005-0000-0000-0000760F0000}"/>
    <cellStyle name="Normal 99 3" xfId="841" xr:uid="{00000000-0005-0000-0000-0000770F0000}"/>
    <cellStyle name="Normal 99 3 2" xfId="2441" xr:uid="{00000000-0005-0000-0000-0000780F0000}"/>
    <cellStyle name="Normal 99 4" xfId="1023" xr:uid="{00000000-0005-0000-0000-0000790F0000}"/>
    <cellStyle name="Normal 99 4 2" xfId="3119" xr:uid="{00000000-0005-0000-0000-00007A0F0000}"/>
    <cellStyle name="Normal 99 5" xfId="1206" xr:uid="{00000000-0005-0000-0000-00007B0F0000}"/>
    <cellStyle name="Normal 99 5 2" xfId="3105" xr:uid="{00000000-0005-0000-0000-00007C0F0000}"/>
    <cellStyle name="Normal 99 6" xfId="1391" xr:uid="{00000000-0005-0000-0000-00007D0F0000}"/>
    <cellStyle name="Normal 99 6 2" xfId="2760" xr:uid="{00000000-0005-0000-0000-00007E0F0000}"/>
    <cellStyle name="Normal 99 7" xfId="1579" xr:uid="{00000000-0005-0000-0000-00007F0F0000}"/>
    <cellStyle name="Normal 99 7 2" xfId="2188" xr:uid="{00000000-0005-0000-0000-0000800F0000}"/>
    <cellStyle name="Normal 99 8" xfId="1767" xr:uid="{00000000-0005-0000-0000-0000810F0000}"/>
    <cellStyle name="Normal 99 8 2" xfId="3049" xr:uid="{00000000-0005-0000-0000-0000820F0000}"/>
    <cellStyle name="Normal 99 9" xfId="1955" xr:uid="{00000000-0005-0000-0000-0000830F0000}"/>
    <cellStyle name="Normal 99 9 2" xfId="3915" xr:uid="{00000000-0005-0000-0000-0000840F0000}"/>
    <cellStyle name="Note 2" xfId="286" xr:uid="{00000000-0005-0000-0000-0000850F0000}"/>
    <cellStyle name="Note 2 2" xfId="418" xr:uid="{00000000-0005-0000-0000-0000860F0000}"/>
    <cellStyle name="Note 2 2 2" xfId="2138" xr:uid="{00000000-0005-0000-0000-0000870F0000}"/>
    <cellStyle name="Note 2 3" xfId="3193" xr:uid="{00000000-0005-0000-0000-0000880F0000}"/>
    <cellStyle name="Note 3" xfId="357" xr:uid="{00000000-0005-0000-0000-0000890F0000}"/>
    <cellStyle name="Note 4" xfId="1105" xr:uid="{00000000-0005-0000-0000-00008A0F0000}"/>
    <cellStyle name="Note 4 2" xfId="2233" xr:uid="{00000000-0005-0000-0000-00008B0F0000}"/>
    <cellStyle name="Output" xfId="2051" builtinId="21" customBuiltin="1"/>
    <cellStyle name="Output 2" xfId="287" xr:uid="{00000000-0005-0000-0000-00008D0F0000}"/>
    <cellStyle name="Output 3" xfId="210" xr:uid="{00000000-0005-0000-0000-00008E0F0000}"/>
    <cellStyle name="Percent 2" xfId="351" xr:uid="{00000000-0005-0000-0000-00008F0F0000}"/>
    <cellStyle name="Percent 2 2" xfId="3024" xr:uid="{00000000-0005-0000-0000-0000900F0000}"/>
    <cellStyle name="Percent 3" xfId="346" xr:uid="{00000000-0005-0000-0000-0000910F0000}"/>
    <cellStyle name="Percent 3 2" xfId="2144" xr:uid="{00000000-0005-0000-0000-0000920F0000}"/>
    <cellStyle name="Satisfaisant 2" xfId="333" xr:uid="{00000000-0005-0000-0000-0000930F0000}"/>
    <cellStyle name="Sortie 2" xfId="334" xr:uid="{00000000-0005-0000-0000-0000940F0000}"/>
    <cellStyle name="Standard 2" xfId="3816" xr:uid="{00000000-0005-0000-0000-0000950F0000}"/>
    <cellStyle name="Standard 2 2" xfId="3817" xr:uid="{00000000-0005-0000-0000-0000960F0000}"/>
    <cellStyle name="Tecan.At.Excel.Attenuation" xfId="9" xr:uid="{00000000-0005-0000-0000-0000970F0000}"/>
    <cellStyle name="Tecan.At.Excel.AutoGain_0" xfId="10" xr:uid="{00000000-0005-0000-0000-0000980F0000}"/>
    <cellStyle name="Tecan.At.Excel.Error" xfId="4" xr:uid="{00000000-0005-0000-0000-0000990F0000}"/>
    <cellStyle name="Tecan.At.Excel.GFactorAndMeasurementBlank" xfId="8" xr:uid="{00000000-0005-0000-0000-00009A0F0000}"/>
    <cellStyle name="Tecan.At.Excel.GFactorBlank" xfId="6" xr:uid="{00000000-0005-0000-0000-00009B0F0000}"/>
    <cellStyle name="Tecan.At.Excel.GFactorReference" xfId="7" xr:uid="{00000000-0005-0000-0000-00009C0F0000}"/>
    <cellStyle name="Tecan.At.Excel.MeasurementBlank" xfId="5" xr:uid="{00000000-0005-0000-0000-00009D0F0000}"/>
    <cellStyle name="Tecan.At.Excel.NanoQuant" xfId="11" xr:uid="{00000000-0005-0000-0000-00009E0F0000}"/>
    <cellStyle name="Texte explicatif 2" xfId="335" xr:uid="{00000000-0005-0000-0000-00009F0F0000}"/>
    <cellStyle name="Title" xfId="2" builtinId="15" customBuiltin="1"/>
    <cellStyle name="Title 2" xfId="288" xr:uid="{00000000-0005-0000-0000-0000A10F0000}"/>
    <cellStyle name="Titre 2" xfId="336" xr:uid="{00000000-0005-0000-0000-0000A20F0000}"/>
    <cellStyle name="Titre 1 2" xfId="337" xr:uid="{00000000-0005-0000-0000-0000A30F0000}"/>
    <cellStyle name="Titre 2 2" xfId="338" xr:uid="{00000000-0005-0000-0000-0000A40F0000}"/>
    <cellStyle name="Titre 3 2" xfId="339" xr:uid="{00000000-0005-0000-0000-0000A50F0000}"/>
    <cellStyle name="Titre 4 2" xfId="340" xr:uid="{00000000-0005-0000-0000-0000A60F0000}"/>
    <cellStyle name="Total" xfId="2057" builtinId="25" customBuiltin="1"/>
    <cellStyle name="Total 2" xfId="289" xr:uid="{00000000-0005-0000-0000-0000A80F0000}"/>
    <cellStyle name="Total 2 2" xfId="341" xr:uid="{00000000-0005-0000-0000-0000A90F0000}"/>
    <cellStyle name="Total 2 3" xfId="342" xr:uid="{00000000-0005-0000-0000-0000AA0F0000}"/>
    <cellStyle name="Total 3" xfId="290" xr:uid="{00000000-0005-0000-0000-0000AB0F0000}"/>
    <cellStyle name="Total 4" xfId="216" xr:uid="{00000000-0005-0000-0000-0000AC0F0000}"/>
    <cellStyle name="Vérification 2" xfId="343" xr:uid="{00000000-0005-0000-0000-0000AD0F0000}"/>
    <cellStyle name="Warning Text" xfId="2055" builtinId="11" customBuiltin="1"/>
    <cellStyle name="Warning Text 2" xfId="291" xr:uid="{00000000-0005-0000-0000-0000AF0F0000}"/>
    <cellStyle name="Warning Text 3" xfId="214" xr:uid="{00000000-0005-0000-0000-0000B00F0000}"/>
  </cellStyles>
  <dxfs count="531">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right style="thin">
          <color indexed="64"/>
        </right>
        <bottom style="thin">
          <color indexed="64"/>
        </bottom>
      </border>
    </dxf>
    <dxf>
      <font>
        <strike val="0"/>
        <outline val="0"/>
        <shadow val="0"/>
        <u val="none"/>
        <vertAlign val="baseline"/>
        <sz val="10"/>
        <name val="Arial Narrow"/>
        <scheme val="none"/>
      </font>
      <alignment horizontal="center" vertical="center" textRotation="0" wrapText="0" indent="0" justifyLastLine="0" shrinkToFit="0" readingOrder="0"/>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right style="thin">
          <color indexed="64"/>
        </right>
        <bottom style="thin">
          <color indexed="64"/>
        </bottom>
      </border>
    </dxf>
    <dxf>
      <font>
        <strike val="0"/>
        <outline val="0"/>
        <shadow val="0"/>
        <u val="none"/>
        <vertAlign val="baseline"/>
        <sz val="10"/>
        <name val="Arial Narrow"/>
        <scheme val="none"/>
      </font>
      <alignment horizontal="center" vertical="center" textRotation="0" wrapText="0" indent="0" justifyLastLine="0" shrinkToFit="0" readingOrder="0"/>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right style="thin">
          <color indexed="64"/>
        </right>
        <bottom style="thin">
          <color indexed="64"/>
        </bottom>
      </border>
    </dxf>
    <dxf>
      <font>
        <strike val="0"/>
        <outline val="0"/>
        <shadow val="0"/>
        <u val="none"/>
        <vertAlign val="baseline"/>
        <sz val="10"/>
        <name val="Arial Narrow"/>
        <scheme val="none"/>
      </font>
      <alignment horizontal="center" vertical="center" textRotation="0" wrapText="0" indent="0" justifyLastLine="0" shrinkToFit="0" readingOrder="0"/>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right style="thin">
          <color indexed="64"/>
        </right>
        <bottom style="thin">
          <color indexed="64"/>
        </bottom>
      </border>
    </dxf>
    <dxf>
      <font>
        <strike val="0"/>
        <outline val="0"/>
        <shadow val="0"/>
        <u val="none"/>
        <vertAlign val="baseline"/>
        <sz val="10"/>
        <name val="Arial Narrow"/>
        <scheme val="none"/>
      </font>
      <alignment horizontal="center" vertical="center" textRotation="0" wrapText="0" indent="0" justifyLastLine="0" shrinkToFit="0" readingOrder="0"/>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right style="thin">
          <color indexed="64"/>
        </right>
        <bottom style="thin">
          <color indexed="64"/>
        </bottom>
      </border>
    </dxf>
    <dxf>
      <font>
        <strike val="0"/>
        <outline val="0"/>
        <shadow val="0"/>
        <u val="none"/>
        <vertAlign val="baseline"/>
        <sz val="10"/>
        <name val="Arial Narrow"/>
        <scheme val="none"/>
      </font>
      <alignment horizontal="center" vertical="center" textRotation="0" wrapText="0" indent="0" justifyLastLine="0" shrinkToFit="0" readingOrder="0"/>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right style="thin">
          <color indexed="64"/>
        </right>
        <bottom style="thin">
          <color indexed="64"/>
        </bottom>
      </border>
    </dxf>
    <dxf>
      <font>
        <strike val="0"/>
        <outline val="0"/>
        <shadow val="0"/>
        <u val="none"/>
        <vertAlign val="baseline"/>
        <sz val="10"/>
        <name val="Arial Narrow"/>
        <scheme val="none"/>
      </font>
      <alignment horizontal="center" vertical="center" textRotation="0" wrapText="0" indent="0" justifyLastLine="0" shrinkToFit="0" readingOrder="0"/>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strike val="0"/>
        <outline val="0"/>
        <shadow val="0"/>
        <u val="none"/>
        <vertAlign val="baseline"/>
        <sz val="8"/>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color rgb="FFFF0000"/>
        <name val="Arial Narrow"/>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font>
        <strike val="0"/>
        <outline val="0"/>
        <shadow val="0"/>
        <u val="none"/>
        <vertAlign val="baseline"/>
        <sz val="8"/>
        <color rgb="FFFF0000"/>
        <name val="Arial Narrow"/>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strike val="0"/>
        <outline val="0"/>
        <shadow val="0"/>
        <u val="none"/>
        <vertAlign val="baseline"/>
        <sz val="8"/>
        <name val="Arial Narrow"/>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1" hidden="0"/>
    </dxf>
    <dxf>
      <font>
        <b/>
        <strike val="0"/>
        <outline val="0"/>
        <shadow val="0"/>
        <u val="none"/>
        <vertAlign val="baseline"/>
        <sz val="8"/>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166" formatCode="0.0"/>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protection locked="1" hidden="0"/>
    </dxf>
    <dxf>
      <font>
        <strike val="0"/>
        <outline val="0"/>
        <shadow val="0"/>
        <u val="none"/>
        <vertAlign val="baseline"/>
        <sz val="8"/>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1" hidden="0"/>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8"/>
        <name val="Arial Narrow"/>
        <family val="2"/>
        <scheme val="none"/>
      </font>
      <alignment horizontal="center" vertical="center" textRotation="0" wrapText="0" indent="0" justifyLastLine="0" shrinkToFit="0" readingOrder="0"/>
      <protection locked="1" hidden="0"/>
    </dxf>
    <dxf>
      <border>
        <bottom style="thin">
          <color indexed="64"/>
        </bottom>
      </border>
    </dxf>
    <dxf>
      <font>
        <b/>
        <i val="0"/>
        <strike val="0"/>
        <condense val="0"/>
        <extend val="0"/>
        <outline val="0"/>
        <shadow val="0"/>
        <u val="none"/>
        <vertAlign val="baseline"/>
        <sz val="8"/>
        <color theme="1"/>
        <name val="Arial Narrow"/>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color rgb="FF9C0006"/>
      </font>
      <fill>
        <patternFill>
          <bgColor rgb="FFFFC7CE"/>
        </patternFill>
      </fill>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right/>
        <top style="thin">
          <color indexed="64"/>
        </top>
        <bottom style="thin">
          <color indexed="64"/>
        </bottom>
        <horizontal style="thin">
          <color indexed="64"/>
        </horizont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style="medium">
          <color indexed="64"/>
        </left>
        <right/>
        <top style="thin">
          <color indexed="64"/>
        </top>
        <bottom style="thin">
          <color indexed="64"/>
        </bottom>
        <horizontal style="thin">
          <color indexed="64"/>
        </horizont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right/>
        <top style="thin">
          <color indexed="64"/>
        </top>
        <bottom style="thin">
          <color indexed="64"/>
        </bottom>
        <horizontal style="thin">
          <color indexed="64"/>
        </horizont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style="medium">
          <color indexed="64"/>
        </left>
        <right/>
        <top style="thin">
          <color indexed="64"/>
        </top>
        <bottom style="thin">
          <color indexed="64"/>
        </bottom>
        <horizontal style="thin">
          <color indexed="64"/>
        </horizont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right style="thin">
          <color indexed="64"/>
        </right>
        <top style="thin">
          <color indexed="64"/>
        </top>
        <bottom style="thin">
          <color indexed="64"/>
        </bottom>
        <horizontal style="thin">
          <color indexed="64"/>
        </horizont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style="medium">
          <color indexed="64"/>
        </left>
        <right/>
        <top style="thin">
          <color indexed="64"/>
        </top>
        <bottom style="thin">
          <color indexed="64"/>
        </bottom>
        <horizontal style="thin">
          <color indexed="64"/>
        </horizont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right style="medium">
          <color indexed="64"/>
        </right>
        <top style="thin">
          <color indexed="64"/>
        </top>
        <bottom style="thin">
          <color indexed="64"/>
        </bottom>
        <vertic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theme="1"/>
        <name val="Arial Narrow"/>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Arial Narrow"/>
        <scheme val="none"/>
      </font>
      <fill>
        <patternFill patternType="solid">
          <fgColor indexed="64"/>
          <bgColor theme="0" tint="-4.9989318521683403E-2"/>
        </patternFill>
      </fill>
      <alignment horizontal="center" vertical="center" textRotation="0" wrapText="0" indent="0" justifyLastLine="0" shrinkToFit="0" readingOrder="0"/>
    </dxf>
    <dxf>
      <font>
        <strike val="0"/>
        <outline val="0"/>
        <shadow val="0"/>
        <u val="none"/>
        <vertAlign val="baseline"/>
        <sz val="9"/>
        <color theme="1"/>
        <name val="Arial Narrow"/>
        <family val="2"/>
        <scheme val="none"/>
      </font>
      <numFmt numFmtId="0" formatCode="General"/>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right style="thin">
          <color indexed="64"/>
        </right>
        <bottom style="thin">
          <color indexed="64"/>
        </bottom>
      </border>
    </dxf>
    <dxf>
      <font>
        <strike val="0"/>
        <outline val="0"/>
        <shadow val="0"/>
        <u val="none"/>
        <vertAlign val="baseline"/>
        <sz val="10"/>
        <name val="Arial Narrow"/>
        <scheme val="none"/>
      </font>
      <alignment horizontal="center" vertical="center" textRotation="0" wrapText="0" indent="0" justifyLastLine="0" shrinkToFit="0" readingOrder="0"/>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Arial Narrow"/>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Arial Narrow"/>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Arial Narrow"/>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Arial Narrow"/>
        <scheme val="none"/>
      </font>
      <numFmt numFmtId="166"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theme="1"/>
        <name val="Arial Narrow"/>
        <family val="2"/>
        <scheme val="none"/>
      </font>
      <numFmt numFmtId="166" formatCode="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theme="1"/>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Arial Narrow"/>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indexed="64"/>
        </bottom>
      </border>
    </dxf>
    <dxf>
      <font>
        <b/>
        <i val="0"/>
        <strike val="0"/>
        <condense val="0"/>
        <extend val="0"/>
        <outline val="0"/>
        <shadow val="0"/>
        <u val="none"/>
        <vertAlign val="baseline"/>
        <sz val="8"/>
        <color theme="1"/>
        <name val="Arial Narrow"/>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sz val="9"/>
        <color theme="1"/>
        <name val="Arial Narrow"/>
        <family val="2"/>
        <scheme val="none"/>
      </font>
      <numFmt numFmtId="0" formatCode="General"/>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font>
        <strike val="0"/>
        <outline val="0"/>
        <shadow val="0"/>
        <u val="none"/>
        <vertAlign val="baseline"/>
        <sz val="9"/>
        <color theme="1"/>
        <name val="Arial Narrow"/>
        <family val="2"/>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right style="thin">
          <color indexed="64"/>
        </right>
        <bottom style="thin">
          <color indexed="64"/>
        </bottom>
      </border>
    </dxf>
    <dxf>
      <font>
        <strike val="0"/>
        <outline val="0"/>
        <shadow val="0"/>
        <u val="none"/>
        <vertAlign val="baseline"/>
        <sz val="10"/>
        <name val="Arial Narrow"/>
        <scheme val="none"/>
      </font>
      <alignment horizontal="center" vertical="center" textRotation="0" wrapText="0" indent="0" justifyLastLine="0" shrinkToFit="0" readingOrder="0"/>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0"/>
        <color rgb="FF000000"/>
        <name val="Arial Narrow"/>
        <scheme val="none"/>
      </font>
      <alignment horizontal="center" vertical="center" textRotation="0" wrapText="1" indent="0" justifyLastLine="0" shrinkToFit="0" readingOrder="0"/>
      <border diagonalUp="0" diagonalDown="0">
        <left/>
        <right/>
        <top/>
        <bottom style="medium">
          <color indexed="64"/>
        </bottom>
        <vertical/>
        <horizontal/>
      </border>
      <protection locked="1" hidden="0"/>
    </dxf>
    <dxf>
      <font>
        <b val="0"/>
        <i val="0"/>
        <strike val="0"/>
        <condense val="0"/>
        <extend val="0"/>
        <outline val="0"/>
        <shadow val="0"/>
        <u val="none"/>
        <vertAlign val="baseline"/>
        <sz val="10"/>
        <color rgb="FF000000"/>
        <name val="Arial Narrow"/>
        <scheme val="none"/>
      </font>
      <alignment horizontal="center" vertical="center" textRotation="0" wrapText="1" indent="0" justifyLastLine="0" shrinkToFit="0" readingOrder="0"/>
      <border diagonalUp="0" diagonalDown="0">
        <left/>
        <right style="medium">
          <color indexed="64"/>
        </right>
        <top/>
        <bottom style="medium">
          <color indexed="64"/>
        </bottom>
        <vertical/>
        <horizontal/>
      </border>
      <protection locked="1" hidden="0"/>
    </dxf>
    <dxf>
      <font>
        <b val="0"/>
        <i val="0"/>
        <strike val="0"/>
        <condense val="0"/>
        <extend val="0"/>
        <outline val="0"/>
        <shadow val="0"/>
        <u val="none"/>
        <vertAlign val="baseline"/>
        <sz val="10"/>
        <color rgb="FF000000"/>
        <name val="Arial Narrow"/>
        <scheme val="none"/>
      </font>
      <alignment horizontal="center" vertical="center" textRotation="0" wrapText="1" indent="0" justifyLastLine="0" shrinkToFit="0" readingOrder="0"/>
      <border diagonalUp="0" diagonalDown="0">
        <left/>
        <right style="medium">
          <color indexed="64"/>
        </right>
        <top/>
        <bottom style="medium">
          <color indexed="64"/>
        </bottom>
        <vertical/>
        <horizontal/>
      </border>
      <protection locked="1" hidden="0"/>
    </dxf>
    <dxf>
      <font>
        <b val="0"/>
        <i val="0"/>
        <strike val="0"/>
        <condense val="0"/>
        <extend val="0"/>
        <outline val="0"/>
        <shadow val="0"/>
        <u val="none"/>
        <vertAlign val="baseline"/>
        <sz val="10"/>
        <color rgb="FF000000"/>
        <name val="Arial Narrow"/>
        <scheme val="none"/>
      </font>
      <alignment horizontal="center" vertical="center" textRotation="0" wrapText="1" indent="0" justifyLastLine="0" shrinkToFit="0" readingOrder="0"/>
      <border diagonalUp="0" diagonalDown="0">
        <left/>
        <right style="medium">
          <color indexed="64"/>
        </right>
        <top/>
        <bottom style="medium">
          <color indexed="64"/>
        </bottom>
        <vertical/>
        <horizontal/>
      </border>
      <protection locked="1" hidden="0"/>
    </dxf>
    <dxf>
      <alignment horizontal="general" vertical="center" textRotation="0" wrapText="0" indent="0" justifyLastLine="0" shrinkToFit="0" readingOrder="0"/>
      <border diagonalUp="0" diagonalDown="0">
        <left/>
        <right style="medium">
          <color indexed="64"/>
        </right>
        <top/>
        <bottom/>
        <vertical/>
        <horizontal/>
      </border>
      <protection locked="1" hidden="0"/>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rgb="FF000000"/>
        <name val="Arial Narrow"/>
        <scheme val="none"/>
      </font>
      <alignment horizontal="center" vertical="center" textRotation="0" wrapText="1" indent="0" justifyLastLine="0" shrinkToFit="0" readingOrder="0"/>
      <protection locked="1" hidden="0"/>
    </dxf>
    <dxf>
      <protection locked="1" hidden="0"/>
    </dxf>
    <dxf>
      <font>
        <strike val="0"/>
        <outline val="0"/>
        <shadow val="0"/>
        <u val="none"/>
        <vertAlign val="baseline"/>
        <sz val="9"/>
        <color theme="1"/>
        <name val="Arial Narrow"/>
        <family val="2"/>
        <scheme val="none"/>
      </font>
      <numFmt numFmtId="0" formatCode="General"/>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right style="thin">
          <color indexed="64"/>
        </right>
        <bottom style="thin">
          <color indexed="64"/>
        </bottom>
      </border>
    </dxf>
    <dxf>
      <font>
        <strike val="0"/>
        <outline val="0"/>
        <shadow val="0"/>
        <u val="none"/>
        <vertAlign val="baseline"/>
        <sz val="10"/>
        <name val="Arial Narrow"/>
        <scheme val="none"/>
      </font>
      <alignment horizontal="center" vertical="center" textRotation="0" wrapText="0" indent="0" justifyLastLine="0" shrinkToFit="0" readingOrder="0"/>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right style="thin">
          <color indexed="64"/>
        </right>
        <bottom style="thin">
          <color indexed="64"/>
        </bottom>
      </border>
    </dxf>
    <dxf>
      <font>
        <strike val="0"/>
        <outline val="0"/>
        <shadow val="0"/>
        <u val="none"/>
        <vertAlign val="baseline"/>
        <sz val="10"/>
        <name val="Arial Narrow"/>
        <scheme val="none"/>
      </font>
      <alignment horizontal="center" vertical="center" textRotation="0" wrapText="0" indent="0" justifyLastLine="0" shrinkToFit="0" readingOrder="0"/>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1" indent="0" justifyLastLine="0" shrinkToFit="0" readingOrder="0"/>
      <border diagonalUp="0" diagonalDown="0">
        <left style="thin">
          <color indexed="64"/>
        </left>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strike val="0"/>
        <outline val="0"/>
        <shadow val="0"/>
        <u val="none"/>
        <vertAlign val="baseline"/>
        <sz val="10"/>
        <color rgb="FF00B050"/>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1" hidden="0"/>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sz val="10"/>
        <name val="Arial Narrow"/>
        <scheme val="none"/>
      </font>
      <alignment horizontal="center" vertical="center" textRotation="0" wrapText="0" indent="0" justifyLastLine="0" shrinkToFit="0" readingOrder="0"/>
      <protection locked="1" hidden="0"/>
    </dxf>
    <dxf>
      <border>
        <bottom style="thin">
          <color indexed="64"/>
        </bottom>
      </border>
    </dxf>
    <dxf>
      <font>
        <b/>
        <i val="0"/>
        <strike val="0"/>
        <condense val="0"/>
        <extend val="0"/>
        <outline val="0"/>
        <shadow val="0"/>
        <u val="none"/>
        <vertAlign val="baseline"/>
        <sz val="8"/>
        <color theme="1"/>
        <name val="Arial Narrow"/>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outline val="0"/>
        <shadow val="0"/>
        <u val="none"/>
        <vertAlign val="baseline"/>
        <sz val="10"/>
        <color rgb="FFFF0000"/>
        <name val="Arial Narrow"/>
        <scheme val="none"/>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0" hidden="0"/>
    </dxf>
    <dxf>
      <font>
        <strike val="0"/>
        <outline val="0"/>
        <shadow val="0"/>
        <u val="none"/>
        <vertAlign val="baseline"/>
        <sz val="10"/>
        <color rgb="FFFF0000"/>
        <name val="Arial Narrow"/>
        <scheme val="none"/>
      </font>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strike val="0"/>
        <outline val="0"/>
        <shadow val="0"/>
        <u val="none"/>
        <sz val="10"/>
        <name val="Arial Narrow"/>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1" hidden="0"/>
    </dxf>
    <dxf>
      <font>
        <b/>
        <strike val="0"/>
        <outline val="0"/>
        <shadow val="0"/>
        <u val="none"/>
        <sz val="10"/>
        <name val="Arial Narrow"/>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numFmt numFmtId="166" formatCode="0.0"/>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sz val="10"/>
        <name val="Arial Narrow"/>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1" hidden="0"/>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sz val="10"/>
        <name val="Arial Narrow"/>
        <scheme val="none"/>
      </font>
      <alignment horizontal="center" vertical="center" textRotation="0" wrapText="0" indent="0" justifyLastLine="0" shrinkToFit="0" readingOrder="0"/>
      <protection locked="1" hidden="0"/>
    </dxf>
    <dxf>
      <border>
        <bottom style="thin">
          <color indexed="64"/>
        </bottom>
      </border>
    </dxf>
    <dxf>
      <font>
        <b/>
        <i val="0"/>
        <strike val="0"/>
        <condense val="0"/>
        <extend val="0"/>
        <outline val="0"/>
        <shadow val="0"/>
        <u val="none"/>
        <vertAlign val="baseline"/>
        <sz val="8"/>
        <color theme="1"/>
        <name val="Arial Narrow"/>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9"/>
        <color theme="1"/>
        <name val="Arial Narrow"/>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right style="thin">
          <color indexed="64"/>
        </right>
        <bottom style="thin">
          <color indexed="64"/>
        </bottom>
      </border>
    </dxf>
    <dxf>
      <font>
        <strike val="0"/>
        <outline val="0"/>
        <shadow val="0"/>
        <u val="none"/>
        <vertAlign val="baseline"/>
        <sz val="10"/>
        <name val="Arial Narrow"/>
        <scheme val="none"/>
      </font>
      <alignment horizontal="center" vertical="center" textRotation="0" wrapText="0" indent="0" justifyLastLine="0" shrinkToFit="0" readingOrder="0"/>
      <protection locked="1" hidden="0"/>
    </dxf>
    <dxf>
      <font>
        <strike val="0"/>
        <outline val="0"/>
        <shadow val="0"/>
        <u val="none"/>
        <vertAlign val="baseline"/>
        <sz val="10"/>
        <name val="Arial Narrow"/>
        <scheme val="none"/>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theme="0"/>
      </font>
      <fill>
        <patternFill>
          <bgColor rgb="FFFF0000"/>
        </patternFill>
      </fill>
    </dxf>
    <dxf>
      <font>
        <color theme="0"/>
      </font>
      <fill>
        <patternFill>
          <bgColor rgb="FF0070C0"/>
        </patternFill>
      </fill>
    </dxf>
    <dxf>
      <font>
        <color theme="0"/>
      </font>
      <fill>
        <patternFill>
          <bgColor rgb="FF00B050"/>
        </patternFill>
      </fill>
    </dxf>
    <dxf>
      <font>
        <color theme="0"/>
      </font>
      <fill>
        <patternFill>
          <bgColor theme="1"/>
        </patternFill>
      </fill>
    </dxf>
    <dxf>
      <font>
        <color theme="0"/>
      </font>
      <fill>
        <patternFill>
          <bgColor rgb="FF7030A0"/>
        </patternFill>
      </fill>
    </dxf>
    <dxf>
      <fill>
        <patternFill>
          <bgColor rgb="FFFFFF00"/>
        </patternFill>
      </fill>
    </dxf>
    <dxf>
      <font>
        <color theme="0"/>
      </font>
      <fill>
        <patternFill>
          <bgColor theme="9" tint="-0.24994659260841701"/>
        </patternFill>
      </fill>
    </dxf>
    <dxf>
      <font>
        <color theme="0"/>
      </font>
      <fill>
        <patternFill>
          <bgColor rgb="FF6633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theme="1"/>
        <name val="Arial Narrow"/>
        <scheme val="none"/>
      </font>
      <numFmt numFmtId="164"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scheme val="none"/>
      </font>
      <numFmt numFmtId="164"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scheme val="none"/>
      </font>
      <numFmt numFmtId="164"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scheme val="none"/>
      </font>
      <numFmt numFmtId="164"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scheme val="none"/>
      </font>
      <numFmt numFmtId="165" formatCode="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scheme val="none"/>
      </font>
      <numFmt numFmtId="166"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scheme val="none"/>
      </font>
      <numFmt numFmtId="164"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scheme val="none"/>
      </font>
      <numFmt numFmtId="164"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scheme val="none"/>
      </font>
      <numFmt numFmtId="164"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scheme val="none"/>
      </font>
      <numFmt numFmtId="164"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scheme val="none"/>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8"/>
        <color theme="1"/>
        <name val="Arial Narrow"/>
        <scheme val="none"/>
      </font>
      <alignment horizontal="center" vertical="center" textRotation="0" indent="0" justifyLastLine="0" shrinkToFit="0" readingOrder="0"/>
      <protection locked="1" hidden="0"/>
    </dxf>
    <dxf>
      <border>
        <bottom style="thin">
          <color indexed="64"/>
        </bottom>
      </border>
    </dxf>
    <dxf>
      <font>
        <strike val="0"/>
        <outline val="0"/>
        <shadow val="0"/>
        <u val="none"/>
        <vertAlign val="baseline"/>
        <sz val="8"/>
        <color theme="1"/>
        <name val="Arial Narrow"/>
        <scheme val="none"/>
      </font>
      <alignment horizontal="center" vertical="center" textRotation="0" wrapText="1" indent="0" justifyLastLine="0" shrinkToFit="0" readingOrder="0"/>
      <border diagonalUp="0" diagonalDown="0">
        <left style="thin">
          <color indexed="64"/>
        </left>
        <right style="thin">
          <color indexed="64"/>
        </right>
        <top/>
        <bottom/>
      </border>
      <protection locked="1" hidden="0"/>
    </dxf>
    <dxf>
      <font>
        <color theme="0"/>
      </font>
      <fill>
        <patternFill>
          <bgColor rgb="FFFF0000"/>
        </patternFill>
      </fill>
    </dxf>
    <dxf>
      <font>
        <color theme="0"/>
      </font>
      <fill>
        <patternFill>
          <bgColor rgb="FF0070C0"/>
        </patternFill>
      </fill>
    </dxf>
    <dxf>
      <font>
        <color theme="0"/>
      </font>
      <fill>
        <patternFill>
          <bgColor rgb="FF00B050"/>
        </patternFill>
      </fill>
    </dxf>
    <dxf>
      <font>
        <color theme="0"/>
      </font>
      <fill>
        <patternFill>
          <bgColor theme="1"/>
        </patternFill>
      </fill>
    </dxf>
    <dxf>
      <font>
        <color theme="0"/>
      </font>
      <fill>
        <patternFill>
          <bgColor rgb="FF7030A0"/>
        </patternFill>
      </fill>
    </dxf>
    <dxf>
      <fill>
        <patternFill>
          <bgColor rgb="FFFFFF00"/>
        </patternFill>
      </fill>
    </dxf>
    <dxf>
      <font>
        <color theme="0"/>
      </font>
      <fill>
        <patternFill>
          <bgColor theme="9" tint="-0.24994659260841701"/>
        </patternFill>
      </fill>
    </dxf>
    <dxf>
      <font>
        <color theme="0"/>
      </font>
      <fill>
        <patternFill>
          <bgColor rgb="FF663300"/>
        </patternFill>
      </fill>
    </dxf>
    <dxf>
      <font>
        <color theme="0"/>
      </font>
      <fill>
        <patternFill>
          <bgColor rgb="FFFF0000"/>
        </patternFill>
      </fill>
    </dxf>
    <dxf>
      <font>
        <color theme="0"/>
      </font>
      <fill>
        <patternFill>
          <bgColor rgb="FF0070C0"/>
        </patternFill>
      </fill>
    </dxf>
    <dxf>
      <font>
        <color theme="0"/>
      </font>
      <fill>
        <patternFill>
          <bgColor rgb="FF00B050"/>
        </patternFill>
      </fill>
    </dxf>
    <dxf>
      <font>
        <color theme="0"/>
      </font>
      <fill>
        <patternFill>
          <bgColor theme="1"/>
        </patternFill>
      </fill>
    </dxf>
    <dxf>
      <font>
        <color theme="0"/>
      </font>
      <fill>
        <patternFill>
          <bgColor rgb="FF7030A0"/>
        </patternFill>
      </fill>
    </dxf>
    <dxf>
      <fill>
        <patternFill>
          <bgColor rgb="FFFFFF00"/>
        </patternFill>
      </fill>
    </dxf>
    <dxf>
      <font>
        <color theme="0"/>
      </font>
      <fill>
        <patternFill>
          <bgColor theme="9" tint="-0.24994659260841701"/>
        </patternFill>
      </fill>
    </dxf>
    <dxf>
      <font>
        <color theme="0"/>
      </font>
      <fill>
        <patternFill>
          <bgColor rgb="FF663300"/>
        </patternFill>
      </fill>
    </dxf>
    <dxf>
      <font>
        <color theme="0"/>
      </font>
      <fill>
        <patternFill>
          <bgColor rgb="FFFF0000"/>
        </patternFill>
      </fill>
    </dxf>
    <dxf>
      <font>
        <color theme="0"/>
      </font>
      <fill>
        <patternFill>
          <bgColor rgb="FF0070C0"/>
        </patternFill>
      </fill>
    </dxf>
    <dxf>
      <font>
        <color theme="0"/>
      </font>
      <fill>
        <patternFill>
          <bgColor rgb="FF00B050"/>
        </patternFill>
      </fill>
    </dxf>
    <dxf>
      <font>
        <color theme="0"/>
      </font>
      <fill>
        <patternFill>
          <bgColor theme="1"/>
        </patternFill>
      </fill>
    </dxf>
    <dxf>
      <font>
        <color theme="0"/>
      </font>
      <fill>
        <patternFill>
          <bgColor rgb="FF7030A0"/>
        </patternFill>
      </fill>
    </dxf>
    <dxf>
      <fill>
        <patternFill>
          <bgColor rgb="FFFFFF00"/>
        </patternFill>
      </fill>
    </dxf>
    <dxf>
      <font>
        <color theme="0"/>
      </font>
      <fill>
        <patternFill>
          <bgColor theme="9" tint="-0.24994659260841701"/>
        </patternFill>
      </fill>
    </dxf>
    <dxf>
      <font>
        <color theme="0"/>
      </font>
      <fill>
        <patternFill>
          <bgColor rgb="FF663300"/>
        </patternFill>
      </fill>
    </dxf>
    <dxf>
      <font>
        <color theme="0"/>
      </font>
      <fill>
        <patternFill>
          <bgColor rgb="FFFF0000"/>
        </patternFill>
      </fill>
    </dxf>
    <dxf>
      <font>
        <color theme="0"/>
      </font>
      <fill>
        <patternFill>
          <bgColor rgb="FF0070C0"/>
        </patternFill>
      </fill>
    </dxf>
    <dxf>
      <font>
        <color theme="0"/>
      </font>
      <fill>
        <patternFill>
          <bgColor rgb="FF00B050"/>
        </patternFill>
      </fill>
    </dxf>
    <dxf>
      <font>
        <color theme="0"/>
      </font>
      <fill>
        <patternFill>
          <bgColor theme="1"/>
        </patternFill>
      </fill>
    </dxf>
    <dxf>
      <font>
        <color theme="0"/>
      </font>
      <fill>
        <patternFill>
          <bgColor rgb="FF7030A0"/>
        </patternFill>
      </fill>
    </dxf>
    <dxf>
      <fill>
        <patternFill>
          <bgColor rgb="FFFFFF00"/>
        </patternFill>
      </fill>
    </dxf>
    <dxf>
      <font>
        <color theme="0"/>
      </font>
      <fill>
        <patternFill>
          <bgColor theme="9" tint="-0.24994659260841701"/>
        </patternFill>
      </fill>
    </dxf>
    <dxf>
      <font>
        <color theme="0"/>
      </font>
      <fill>
        <patternFill>
          <bgColor rgb="FF663300"/>
        </patternFill>
      </fill>
    </dxf>
    <dxf>
      <font>
        <color theme="0"/>
      </font>
      <fill>
        <patternFill>
          <bgColor rgb="FFFF0000"/>
        </patternFill>
      </fill>
    </dxf>
    <dxf>
      <font>
        <color theme="0"/>
      </font>
      <fill>
        <patternFill>
          <bgColor rgb="FF0070C0"/>
        </patternFill>
      </fill>
    </dxf>
    <dxf>
      <font>
        <color theme="0"/>
      </font>
      <fill>
        <patternFill>
          <bgColor rgb="FF00B050"/>
        </patternFill>
      </fill>
    </dxf>
    <dxf>
      <font>
        <color theme="0"/>
      </font>
      <fill>
        <patternFill>
          <bgColor theme="1"/>
        </patternFill>
      </fill>
    </dxf>
    <dxf>
      <font>
        <color theme="0"/>
      </font>
      <fill>
        <patternFill>
          <bgColor rgb="FF7030A0"/>
        </patternFill>
      </fill>
    </dxf>
    <dxf>
      <fill>
        <patternFill>
          <bgColor rgb="FFFFFF00"/>
        </patternFill>
      </fill>
    </dxf>
    <dxf>
      <font>
        <color theme="0"/>
      </font>
      <fill>
        <patternFill>
          <bgColor theme="9" tint="-0.24994659260841701"/>
        </patternFill>
      </fill>
    </dxf>
    <dxf>
      <font>
        <color theme="0"/>
      </font>
      <fill>
        <patternFill>
          <bgColor rgb="FF663300"/>
        </patternFill>
      </fill>
    </dxf>
    <dxf>
      <font>
        <color theme="0"/>
      </font>
      <fill>
        <patternFill>
          <bgColor rgb="FFFF0000"/>
        </patternFill>
      </fill>
    </dxf>
    <dxf>
      <font>
        <color theme="0"/>
      </font>
      <fill>
        <patternFill>
          <bgColor rgb="FF0070C0"/>
        </patternFill>
      </fill>
    </dxf>
    <dxf>
      <font>
        <color theme="0"/>
      </font>
      <fill>
        <patternFill>
          <bgColor rgb="FF00B050"/>
        </patternFill>
      </fill>
    </dxf>
    <dxf>
      <font>
        <color theme="0"/>
      </font>
      <fill>
        <patternFill>
          <bgColor theme="1"/>
        </patternFill>
      </fill>
    </dxf>
    <dxf>
      <font>
        <color theme="0"/>
      </font>
      <fill>
        <patternFill>
          <bgColor rgb="FF7030A0"/>
        </patternFill>
      </fill>
    </dxf>
    <dxf>
      <fill>
        <patternFill>
          <bgColor rgb="FFFFFF00"/>
        </patternFill>
      </fill>
    </dxf>
    <dxf>
      <font>
        <color theme="0"/>
      </font>
      <fill>
        <patternFill>
          <bgColor theme="9" tint="-0.24994659260841701"/>
        </patternFill>
      </fill>
    </dxf>
    <dxf>
      <font>
        <color theme="0"/>
      </font>
      <fill>
        <patternFill>
          <bgColor rgb="FF663300"/>
        </patternFill>
      </fill>
    </dxf>
    <dxf>
      <font>
        <color theme="0"/>
      </font>
      <fill>
        <patternFill>
          <bgColor rgb="FFFF0000"/>
        </patternFill>
      </fill>
    </dxf>
    <dxf>
      <font>
        <color theme="0"/>
      </font>
      <fill>
        <patternFill>
          <bgColor rgb="FF0070C0"/>
        </patternFill>
      </fill>
    </dxf>
    <dxf>
      <font>
        <color theme="0"/>
      </font>
      <fill>
        <patternFill>
          <bgColor rgb="FF00B050"/>
        </patternFill>
      </fill>
    </dxf>
    <dxf>
      <font>
        <color theme="0"/>
      </font>
      <fill>
        <patternFill>
          <bgColor theme="1"/>
        </patternFill>
      </fill>
    </dxf>
    <dxf>
      <font>
        <color theme="0"/>
      </font>
      <fill>
        <patternFill>
          <bgColor rgb="FF7030A0"/>
        </patternFill>
      </fill>
    </dxf>
    <dxf>
      <fill>
        <patternFill>
          <bgColor rgb="FFFFFF00"/>
        </patternFill>
      </fill>
    </dxf>
    <dxf>
      <font>
        <color theme="0"/>
      </font>
      <fill>
        <patternFill>
          <bgColor theme="9" tint="-0.24994659260841701"/>
        </patternFill>
      </fill>
    </dxf>
    <dxf>
      <font>
        <color theme="0"/>
      </font>
      <fill>
        <patternFill>
          <bgColor rgb="FF663300"/>
        </patternFill>
      </fill>
    </dxf>
    <dxf>
      <font>
        <color rgb="FF9C0006"/>
      </font>
      <fill>
        <patternFill>
          <bgColor rgb="FFFFC7CE"/>
        </patternFill>
      </fill>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numFmt numFmtId="19" formatCode="m/d/yyyy"/>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Narrow"/>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Narrow"/>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Narrow"/>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theme="1"/>
        <name val="Arial Narrow"/>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theme="1"/>
        <name val="Arial Narrow"/>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theme="1"/>
        <name val="Arial Narrow"/>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theme="1"/>
        <name val="Arial Narrow"/>
        <scheme val="none"/>
      </font>
      <numFmt numFmtId="19" formatCode="m/d/yyyy"/>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theme="1"/>
        <name val="Arial Narrow"/>
        <scheme val="none"/>
      </font>
      <numFmt numFmtId="19" formatCode="m/d/yyyy"/>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theme="1"/>
        <name val="Arial Narrow"/>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theme="1"/>
        <name val="Arial Narrow"/>
        <scheme val="none"/>
      </font>
      <numFmt numFmtId="30" formatCode="@"/>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theme="1"/>
        <name val="Arial Narrow"/>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theme="1"/>
        <name val="Arial Narrow"/>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name val="Arial Narrow"/>
        <scheme val="none"/>
      </font>
      <fill>
        <patternFill patternType="none">
          <fgColor indexed="64"/>
          <bgColor auto="1"/>
        </patternFill>
      </fill>
    </dxf>
    <dxf>
      <font>
        <strike val="0"/>
        <outline val="0"/>
        <shadow val="0"/>
        <u val="none"/>
        <vertAlign val="baseline"/>
        <name val="Arial Narrow"/>
        <scheme val="none"/>
      </font>
      <border diagonalUp="0" diagonalDown="0" outline="0">
        <left style="thin">
          <color indexed="64"/>
        </left>
        <right style="thin">
          <color indexed="64"/>
        </right>
        <top/>
        <bottom/>
      </border>
    </dxf>
    <dxf>
      <fill>
        <patternFill>
          <bgColor rgb="FFFF0000"/>
        </patternFill>
      </fill>
    </dxf>
    <dxf>
      <fill>
        <patternFill>
          <bgColor rgb="FFFF0000"/>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s>
  <tableStyles count="6" defaultTableStyle="TableStyleMedium2" defaultPivotStyle="PivotStyleLight16">
    <tableStyle name="Blank Style" pivot="0" count="0" xr9:uid="{00000000-0011-0000-FFFF-FFFF00000000}"/>
    <tableStyle name="Clear Style" pivot="0" count="0" xr9:uid="{00000000-0011-0000-FFFF-FFFF01000000}"/>
    <tableStyle name="Plain Style" pivot="0" count="0" xr9:uid="{00000000-0011-0000-FFFF-FFFF02000000}"/>
    <tableStyle name="Table Style 1" pivot="0" count="0" xr9:uid="{00000000-0011-0000-FFFF-FFFF03000000}"/>
    <tableStyle name="Table Style 2" pivot="0" count="0" xr9:uid="{00000000-0011-0000-FFFF-FFFF04000000}"/>
    <tableStyle name="Table Style 3" pivot="0" count="0" xr9:uid="{00000000-0011-0000-FFFF-FFFF05000000}"/>
  </tableStyles>
  <colors>
    <mruColors>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3</xdr:row>
          <xdr:rowOff>0</xdr:rowOff>
        </xdr:from>
        <xdr:to>
          <xdr:col>10</xdr:col>
          <xdr:colOff>228600</xdr:colOff>
          <xdr:row>3</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Arial Narrow"/>
                </a:rPr>
                <a:t>Select Default Save Folder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133350</xdr:colOff>
          <xdr:row>36</xdr:row>
          <xdr:rowOff>66675</xdr:rowOff>
        </xdr:from>
        <xdr:to>
          <xdr:col>22</xdr:col>
          <xdr:colOff>142875</xdr:colOff>
          <xdr:row>37</xdr:row>
          <xdr:rowOff>438150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Arial Narrow"/>
                </a:rPr>
                <a:t>Create Run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7</xdr:row>
          <xdr:rowOff>66675</xdr:rowOff>
        </xdr:from>
        <xdr:to>
          <xdr:col>5</xdr:col>
          <xdr:colOff>0</xdr:colOff>
          <xdr:row>7</xdr:row>
          <xdr:rowOff>257175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1" i="0" u="none" strike="noStrike" baseline="0">
                  <a:solidFill>
                    <a:srgbClr val="000000"/>
                  </a:solidFill>
                  <a:latin typeface="Arial Narrow"/>
                </a:rPr>
                <a:t>Select Template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10</xdr:row>
          <xdr:rowOff>95250</xdr:rowOff>
        </xdr:from>
        <xdr:to>
          <xdr:col>5</xdr:col>
          <xdr:colOff>0</xdr:colOff>
          <xdr:row>10</xdr:row>
          <xdr:rowOff>266700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1" i="0" u="none" strike="noStrike" baseline="0">
                  <a:solidFill>
                    <a:srgbClr val="000000"/>
                  </a:solidFill>
                  <a:latin typeface="Arial Narrow"/>
                </a:rPr>
                <a:t>Select Save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29</xdr:row>
          <xdr:rowOff>57150</xdr:rowOff>
        </xdr:from>
        <xdr:to>
          <xdr:col>4</xdr:col>
          <xdr:colOff>133350</xdr:colOff>
          <xdr:row>31</xdr:row>
          <xdr:rowOff>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Arial Narrow"/>
                </a:rPr>
                <a:t>Split Samples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304800</xdr:colOff>
          <xdr:row>40</xdr:row>
          <xdr:rowOff>28575</xdr:rowOff>
        </xdr:from>
        <xdr:to>
          <xdr:col>22</xdr:col>
          <xdr:colOff>361950</xdr:colOff>
          <xdr:row>43</xdr:row>
          <xdr:rowOff>123825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Arial Narrow"/>
                </a:rPr>
                <a:t>Hide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371475</xdr:colOff>
          <xdr:row>40</xdr:row>
          <xdr:rowOff>9525</xdr:rowOff>
        </xdr:from>
        <xdr:to>
          <xdr:col>26</xdr:col>
          <xdr:colOff>104775</xdr:colOff>
          <xdr:row>44</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Arial Narrow"/>
                </a:rPr>
                <a:t>Unhide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171450</xdr:colOff>
          <xdr:row>2</xdr:row>
          <xdr:rowOff>76200</xdr:rowOff>
        </xdr:from>
        <xdr:to>
          <xdr:col>21</xdr:col>
          <xdr:colOff>457200</xdr:colOff>
          <xdr:row>5</xdr:row>
          <xdr:rowOff>47625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Arial Narrow"/>
                </a:rPr>
                <a:t>Hide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276225</xdr:colOff>
          <xdr:row>7</xdr:row>
          <xdr:rowOff>104775</xdr:rowOff>
        </xdr:from>
        <xdr:to>
          <xdr:col>21</xdr:col>
          <xdr:colOff>438150</xdr:colOff>
          <xdr:row>10</xdr:row>
          <xdr:rowOff>152400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400-0000023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Arial Narrow"/>
                </a:rPr>
                <a:t>Unhide Rows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342900</xdr:colOff>
          <xdr:row>2</xdr:row>
          <xdr:rowOff>0</xdr:rowOff>
        </xdr:from>
        <xdr:to>
          <xdr:col>9</xdr:col>
          <xdr:colOff>333375</xdr:colOff>
          <xdr:row>3</xdr:row>
          <xdr:rowOff>19050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Arial Narrow"/>
                </a:rPr>
                <a:t>Print Bookmarks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ANCTR%20RSCH/CMOL/Assay%20Validation/NGS/Qiagen%20NGS%20panel%20validation/Worksheet/Done/M36g.0%20&#8211;%20Targeted%20Enrichment%20Run%20Record%20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ANCTR%20RSCH/CMOL/Sample%20Receipt%20Logs/Clinical%20Sample%20Receiving%20Log/Clinical%20Sample%20Receipt%20Log.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CANCTR%20RSCH/CMOL/Assay%20Validation/NGS/Qiagen%20NGS%20panel%20validation/Worksheet/Done/M36d.0%20&#8211;%20Sample%20QC%20by%20QIAseq%20DNA%20QuantiMIZE%20Assay%20Kit%20Run%20Record%20Template.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R:\CMOL\Assay%20Results\Clinical%20Data\NGS\Run%20Record%20Worksheets\M44g.2%20-%20NGS%20STEP%202%20Library%20QC%20by%20Quant-iT%20Run%20Record%20Template.xlsm" TargetMode="External"/><Relationship Id="rId1" Type="http://schemas.openxmlformats.org/officeDocument/2006/relationships/externalLinkPath" Target="/CMOL/Assay%20Results/Clinical%20Data/NGS/Run%20Record%20Worksheets/M44g.2%20-%20NGS%20STEP%202%20Library%20QC%20by%20Quant-iT%20Run%20Record%20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les"/>
      <sheetName val="Table1"/>
      <sheetName val="Table2"/>
      <sheetName val="Table3"/>
      <sheetName val="Table4"/>
      <sheetName val="Table5"/>
      <sheetName val="File Names"/>
      <sheetName val="Sheet1"/>
    </sheetNames>
    <sheetDataSet>
      <sheetData sheetId="0"/>
      <sheetData sheetId="1"/>
      <sheetData sheetId="2"/>
      <sheetData sheetId="3"/>
      <sheetData sheetId="4"/>
      <sheetData sheetId="5"/>
      <sheetData sheetId="6"/>
      <sheetData sheetId="7">
        <row r="2">
          <cell r="A2" t="str">
            <v>a</v>
          </cell>
          <cell r="B2" t="str">
            <v>Ziyan Pessetto</v>
          </cell>
        </row>
        <row r="3">
          <cell r="A3" t="str">
            <v>b</v>
          </cell>
          <cell r="B3" t="str">
            <v>Sarah Schmitt</v>
          </cell>
        </row>
        <row r="4">
          <cell r="A4" t="str">
            <v>c</v>
          </cell>
          <cell r="B4" t="str">
            <v>Stephen Hyter</v>
          </cell>
        </row>
        <row r="5">
          <cell r="A5" t="str">
            <v>d</v>
          </cell>
          <cell r="B5" t="str">
            <v>Min Yang</v>
          </cell>
        </row>
        <row r="6">
          <cell r="A6" t="str">
            <v>e</v>
          </cell>
          <cell r="B6" t="str">
            <v>Leesa Rorstrom</v>
          </cell>
        </row>
        <row r="7">
          <cell r="A7" t="str">
            <v>f</v>
          </cell>
        </row>
        <row r="8">
          <cell r="A8" t="str">
            <v>g</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NA Receipt Log-MASTER"/>
      <sheetName val="DNA - Buffy Coat Receipt Log"/>
      <sheetName val="RNA Receipt Log"/>
      <sheetName val="Related DNA_RNA #s"/>
      <sheetName val="List of Providers"/>
      <sheetName val="Clinical Sample Receipt Log"/>
      <sheetName val="ICD-9 Codes and Dx"/>
      <sheetName val="Holidays, Locations, Tests"/>
      <sheetName val="Sheet1"/>
      <sheetName val="Sheet2"/>
      <sheetName val=""/>
    </sheetNames>
    <sheetDataSet>
      <sheetData sheetId="0"/>
      <sheetData sheetId="1"/>
      <sheetData sheetId="2"/>
      <sheetData sheetId="3"/>
      <sheetData sheetId="4"/>
      <sheetData sheetId="5" refreshError="1"/>
      <sheetData sheetId="6"/>
      <sheetData sheetId="7" refreshError="1"/>
      <sheetData sheetId="8"/>
      <sheetData sheetId="9"/>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les"/>
      <sheetName val="Table1"/>
      <sheetName val="Table2"/>
      <sheetName val="Table3"/>
      <sheetName val="Table4"/>
      <sheetName val="File Names"/>
      <sheetName val="Sheet3"/>
      <sheetName val="M36d"/>
      <sheetName val="M36d.0%20–%20Sample%20QC%20by%2"/>
      <sheetName val="M36d.0%20%E2%80%93%20Sample%20Q"/>
    </sheetNames>
    <sheetDataSet>
      <sheetData sheetId="0" refreshError="1"/>
      <sheetData sheetId="1" refreshError="1"/>
      <sheetData sheetId="2" refreshError="1"/>
      <sheetData sheetId="3" refreshError="1"/>
      <sheetData sheetId="4" refreshError="1"/>
      <sheetData sheetId="5" refreshError="1"/>
      <sheetData sheetId="6" refreshError="1">
        <row r="2">
          <cell r="A2" t="str">
            <v>a</v>
          </cell>
        </row>
        <row r="3">
          <cell r="A3" t="str">
            <v>b</v>
          </cell>
        </row>
        <row r="4">
          <cell r="A4" t="str">
            <v>c</v>
          </cell>
        </row>
        <row r="5">
          <cell r="A5" t="str">
            <v>d</v>
          </cell>
        </row>
        <row r="6">
          <cell r="A6" t="str">
            <v>e</v>
          </cell>
        </row>
        <row r="7">
          <cell r="A7" t="str">
            <v>f</v>
          </cell>
        </row>
        <row r="8">
          <cell r="A8" t="str">
            <v>g</v>
          </cell>
        </row>
      </sheetData>
      <sheetData sheetId="7" refreshError="1"/>
      <sheetData sheetId="8" refreshError="1"/>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 NEW ASSAY"/>
      <sheetName val="Patient List"/>
      <sheetName val="NGS Run Record"/>
      <sheetName val="Targeted Enrichment"/>
      <sheetName val="Debug"/>
      <sheetName val="Bookmarks List"/>
      <sheetName val="Sheet2"/>
      <sheetName val="Sample List"/>
      <sheetName val="Table1"/>
      <sheetName val="Table2"/>
      <sheetName val="Version track"/>
      <sheetName val="bookmarks"/>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PatientList" displayName="PatientList" ref="A1:BB37" totalsRowShown="0" headerRowDxfId="422" dataDxfId="421">
  <autoFilter ref="A1:BB37" xr:uid="{00000000-0009-0000-0100-000006000000}"/>
  <tableColumns count="54">
    <tableColumn id="1" xr3:uid="{00000000-0010-0000-0000-000001000000}" name="Last Name" dataDxfId="420"/>
    <tableColumn id="2" xr3:uid="{00000000-0010-0000-0000-000002000000}" name="First Name" dataDxfId="419"/>
    <tableColumn id="3" xr3:uid="{00000000-0010-0000-0000-000003000000}" name="MRN" dataDxfId="418"/>
    <tableColumn id="4" xr3:uid="{00000000-0010-0000-0000-000004000000}" name="Accession #" dataDxfId="417"/>
    <tableColumn id="5" xr3:uid="{00000000-0010-0000-0000-000005000000}" name="Collection Date" dataDxfId="416"/>
    <tableColumn id="6" xr3:uid="{00000000-0010-0000-0000-000006000000}" name="Birth Date" dataDxfId="415"/>
    <tableColumn id="7" xr3:uid="{00000000-0010-0000-0000-000007000000}" name="Gender" dataDxfId="414"/>
    <tableColumn id="8" xr3:uid="{00000000-0010-0000-0000-000008000000}" name="Case ID" dataDxfId="413"/>
    <tableColumn id="9" xr3:uid="{00000000-0010-0000-0000-000009000000}" name="DNA Number" dataDxfId="412"/>
    <tableColumn id="10" xr3:uid="{00000000-0010-0000-0000-00000A000000}" name="Color" dataDxfId="411"/>
    <tableColumn id="11" xr3:uid="{00000000-0010-0000-0000-00000B000000}" name="Received Date" dataDxfId="410"/>
    <tableColumn id="12" xr3:uid="{00000000-0010-0000-0000-00000C000000}" name="Received Time" dataDxfId="409"/>
    <tableColumn id="13" xr3:uid="{00000000-0010-0000-0000-00000D000000}" name="Received By" dataDxfId="408"/>
    <tableColumn id="14" xr3:uid="{00000000-0010-0000-0000-00000E000000}" name="Sample Type" dataDxfId="407"/>
    <tableColumn id="15" xr3:uid="{00000000-0010-0000-0000-00000F000000}" name="Sample Amount" dataDxfId="406"/>
    <tableColumn id="16" xr3:uid="{00000000-0010-0000-0000-000010000000}" name="Ordering Location" dataDxfId="405"/>
    <tableColumn id="17" xr3:uid="{00000000-0010-0000-0000-000011000000}" name="Location Code (BMT, CCC, etc)" dataDxfId="404"/>
    <tableColumn id="18" xr3:uid="{00000000-0010-0000-0000-000012000000}" name="Provider Last Name" dataDxfId="403"/>
    <tableColumn id="19" xr3:uid="{00000000-0010-0000-0000-000013000000}" name="Provider First Name" dataDxfId="402"/>
    <tableColumn id="20" xr3:uid="{00000000-0010-0000-0000-000014000000}" name="Due Date (10 working days from receipt)" dataDxfId="401"/>
    <tableColumn id="21" xr3:uid="{00000000-0010-0000-0000-000015000000}" name="Test Requested" dataDxfId="400"/>
    <tableColumn id="22" xr3:uid="{00000000-0010-0000-0000-000016000000}" name="Assay ID" dataDxfId="399"/>
    <tableColumn id="23" xr3:uid="{00000000-0010-0000-0000-000017000000}" name="Test Run Date" dataDxfId="398"/>
    <tableColumn id="24" xr3:uid="{00000000-0010-0000-0000-000018000000}" name="Reported Date" dataDxfId="397"/>
    <tableColumn id="25" xr3:uid="{00000000-0010-0000-0000-000019000000}" name="Test Run By" dataDxfId="396"/>
    <tableColumn id="26" xr3:uid="{00000000-0010-0000-0000-00001A000000}" name="Invoice Number" dataDxfId="395"/>
    <tableColumn id="27" xr3:uid="{00000000-0010-0000-0000-00001B000000}" name="Notes" dataDxfId="394"/>
    <tableColumn id="28" xr3:uid="{00000000-0010-0000-0000-00001C000000}" name="Column1" dataDxfId="393"/>
    <tableColumn id="29" xr3:uid="{00000000-0010-0000-0000-00001D000000}" name="Column2" dataDxfId="392"/>
    <tableColumn id="30" xr3:uid="{00000000-0010-0000-0000-00001E000000}" name="Column3" dataDxfId="391"/>
    <tableColumn id="31" xr3:uid="{00000000-0010-0000-0000-00001F000000}" name="Test Requested4" dataDxfId="390"/>
    <tableColumn id="32" xr3:uid="{00000000-0010-0000-0000-000020000000}" name="Holidays (2012-2014)" dataDxfId="389"/>
    <tableColumn id="33" xr3:uid="{00000000-0010-0000-0000-000021000000}" name="Ordering Location5" dataDxfId="388"/>
    <tableColumn id="34" xr3:uid="{00000000-0010-0000-0000-000022000000}" name="Column6" dataDxfId="387"/>
    <tableColumn id="35" xr3:uid="{00000000-0010-0000-0000-000023000000}" name="Column7" dataDxfId="386"/>
    <tableColumn id="36" xr3:uid="{00000000-0010-0000-0000-000024000000}" name="Column8" dataDxfId="385"/>
    <tableColumn id="37" xr3:uid="{00000000-0010-0000-0000-000025000000}" name="Column9" dataDxfId="384"/>
    <tableColumn id="38" xr3:uid="{00000000-0010-0000-0000-000026000000}" name="Column10" dataDxfId="383"/>
    <tableColumn id="39" xr3:uid="{00000000-0010-0000-0000-000027000000}" name="Column11" dataDxfId="382"/>
    <tableColumn id="40" xr3:uid="{00000000-0010-0000-0000-000028000000}" name="Column12" dataDxfId="381"/>
    <tableColumn id="41" xr3:uid="{00000000-0010-0000-0000-000029000000}" name="Column13" dataDxfId="380"/>
    <tableColumn id="42" xr3:uid="{00000000-0010-0000-0000-00002A000000}" name="Column14" dataDxfId="379"/>
    <tableColumn id="43" xr3:uid="{00000000-0010-0000-0000-00002B000000}" name="Concentration" dataDxfId="378"/>
    <tableColumn id="44" xr3:uid="{00000000-0010-0000-0000-00002C000000}" name="A260:A280" dataDxfId="377"/>
    <tableColumn id="45" xr3:uid="{00000000-0010-0000-0000-00002D000000}" name="Column17" dataDxfId="376"/>
    <tableColumn id="46" xr3:uid="{00000000-0010-0000-0000-00002E000000}" name="Column18" dataDxfId="375"/>
    <tableColumn id="47" xr3:uid="{00000000-0010-0000-0000-00002F000000}" name="Column19" dataDxfId="374"/>
    <tableColumn id="48" xr3:uid="{00000000-0010-0000-0000-000030000000}" name="Column20" dataDxfId="373"/>
    <tableColumn id="49" xr3:uid="{00000000-0010-0000-0000-000031000000}" name="Column21" dataDxfId="372"/>
    <tableColumn id="50" xr3:uid="{00000000-0010-0000-0000-000032000000}" name="Column22" dataDxfId="371"/>
    <tableColumn id="51" xr3:uid="{00000000-0010-0000-0000-000033000000}" name="Column23" dataDxfId="370"/>
    <tableColumn id="52" xr3:uid="{00000000-0010-0000-0000-000034000000}" name="Column24" dataDxfId="369"/>
    <tableColumn id="53" xr3:uid="{00000000-0010-0000-0000-000035000000}" name="Column25" dataDxfId="368"/>
    <tableColumn id="54" xr3:uid="{00000000-0010-0000-0000-000036000000}" name="Column26" dataDxfId="367"/>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Samples" displayName="Samples" ref="A38:K76" totalsRowShown="0" headerRowDxfId="309" dataDxfId="307" headerRowBorderDxfId="308" tableBorderDxfId="306" totalsRowBorderDxfId="305">
  <autoFilter ref="A38:K76" xr:uid="{00000000-0009-0000-0100-000001000000}"/>
  <tableColumns count="11">
    <tableColumn id="1" xr3:uid="{00000000-0010-0000-0100-000001000000}" name="#" dataDxfId="304"/>
    <tableColumn id="2" xr3:uid="{00000000-0010-0000-0100-000002000000}" name="Name" dataDxfId="303">
      <calculatedColumnFormula>IF(A39&lt;$Q$16, IF('Patient List'!I2="", "", CONCATENATE('Patient List'!A2, ", ", 'Patient List'!B2)), IF('NGS Run Record'!A39='NGS Run Record'!$Q$16, IF('NGS Run Record'!$I$15&lt;&gt;"OK", "", 'NGS Run Record'!$B$15), IF($J$15=0, "", OFFSET('NGS Run Record'!$B$15, MIN('NGS Run Record'!A39-'NGS Run Record'!$Q$16, $J$15), 0))))</calculatedColumnFormula>
    </tableColumn>
    <tableColumn id="3" xr3:uid="{00000000-0010-0000-0100-000003000000}" name="DNA #" dataDxfId="302">
      <calculatedColumnFormula>IF(A39&lt;$Q$16, IF('Patient List'!I2="", "", 'Patient List'!I2), IF('NGS Run Record'!A39='NGS Run Record'!$Q$16, IF('NGS Run Record'!$I$15&lt;&gt;"OK", "", 'NGS Run Record'!$C$15), IF($J$15=0, "", OFFSET('NGS Run Record'!$C$15, MIN(ABS('NGS Run Record'!A39-'NGS Run Record'!$Q$16), $J$15), 0))))</calculatedColumnFormula>
    </tableColumn>
    <tableColumn id="4" xr3:uid="{00000000-0010-0000-0100-000004000000}" name="Storage Location" dataDxfId="301">
      <calculatedColumnFormula>IF(A39&lt;$Q$16, IF('Patient List'!I2="", "", CONCATENATE('Patient List'!C2, "-", 'Patient List'!D2)), IF('NGS Run Record'!A39='NGS Run Record'!$Q$16, IF('NGS Run Record'!$I$15&lt;&gt;"OK", "", 'NGS Run Record'!$D$15), IF($J$15=0, "", OFFSET('NGS Run Record'!$D$15, MIN('NGS Run Record'!A39-'NGS Run Record'!$Q$16, $J$15), 0))))</calculatedColumnFormula>
    </tableColumn>
    <tableColumn id="6" xr3:uid="{00000000-0010-0000-0100-000006000000}" name="Sample type" dataDxfId="300">
      <calculatedColumnFormula>IF(A39&lt;$Q$16, IF('Patient List'!I2="", "", 'Patient List'!N2), IF('NGS Run Record'!A39='NGS Run Record'!$Q$16, IF('NGS Run Record'!$I$15&lt;&gt;"OK", "", 'NGS Run Record'!$G$15), IF($J$15=0, "", OFFSET('NGS Run Record'!$G$15, MIN('NGS Run Record'!A39-'NGS Run Record'!$Q$16, $J$15), 0))))</calculatedColumnFormula>
    </tableColumn>
    <tableColumn id="8" xr3:uid="{00000000-0010-0000-0100-000008000000}" name="DNA Conc. (ng/µl )" dataDxfId="299">
      <calculatedColumnFormula>IF(A39&lt;$Q$16, IF('Patient List'!I2="", "", 'Patient List'!AQ2), IF('NGS Run Record'!A39='NGS Run Record'!$Q$16, IF('NGS Run Record'!$I$15&lt;&gt;"OK", "", 'NGS Run Record'!$E$15), IF($J$15=0, "", OFFSET('NGS Run Record'!$E$15, MIN('NGS Run Record'!A39-'NGS Run Record'!$Q$16, $J$15), 0))))</calculatedColumnFormula>
    </tableColumn>
    <tableColumn id="9" xr3:uid="{00000000-0010-0000-0100-000009000000}" name="A260/280" dataDxfId="298">
      <calculatedColumnFormula>IF(A39&lt;$Q$16, IF('Patient List'!I2="", "", 'Patient List'!AR2), IF('NGS Run Record'!A39='NGS Run Record'!$Q$16, IF('NGS Run Record'!$I$15&lt;&gt;"OK", "", 'NGS Run Record'!$F$15), IF($J$15=0, "", OFFSET('NGS Run Record'!$F$15, MIN('NGS Run Record'!A39-'NGS Run Record'!$Q$16, $J$15), 0))))</calculatedColumnFormula>
    </tableColumn>
    <tableColumn id="5" xr3:uid="{00000000-0010-0000-0100-000005000000}" name="Index Combination" dataDxfId="297">
      <calculatedColumnFormula>IF(Samples[[#This Row],[DNA '#]]="","",Samples[[#This Row],[Column1]]&amp;"/"&amp;Samples[[#This Row],[Column2]])</calculatedColumnFormula>
    </tableColumn>
    <tableColumn id="7" xr3:uid="{00000000-0010-0000-0100-000007000000}" name="Panel" dataDxfId="296"/>
    <tableColumn id="10" xr3:uid="{00000000-0010-0000-0100-00000A000000}" name="Column1" dataDxfId="295"/>
    <tableColumn id="11" xr3:uid="{00000000-0010-0000-0100-00000B000000}" name="Column2" dataDxfId="294"/>
  </tableColumns>
  <tableStyleInfo name="TableStyleLight1"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S87:AE95" totalsRowShown="0" headerRowDxfId="282" dataDxfId="281" tableBorderDxfId="280">
  <autoFilter ref="S87:AE95" xr:uid="{00000000-0009-0000-0100-000002000000}"/>
  <tableColumns count="13">
    <tableColumn id="1" xr3:uid="{00000000-0010-0000-0200-000001000000}" name="Column1" dataDxfId="279"/>
    <tableColumn id="2" xr3:uid="{00000000-0010-0000-0200-000002000000}" name="1" dataDxfId="278"/>
    <tableColumn id="3" xr3:uid="{00000000-0010-0000-0200-000003000000}" name="2" dataDxfId="277"/>
    <tableColumn id="4" xr3:uid="{00000000-0010-0000-0200-000004000000}" name="3" dataDxfId="276"/>
    <tableColumn id="5" xr3:uid="{00000000-0010-0000-0200-000005000000}" name="4" dataDxfId="275"/>
    <tableColumn id="6" xr3:uid="{00000000-0010-0000-0200-000006000000}" name="5" dataDxfId="274"/>
    <tableColumn id="7" xr3:uid="{00000000-0010-0000-0200-000007000000}" name="6" dataDxfId="273"/>
    <tableColumn id="8" xr3:uid="{00000000-0010-0000-0200-000008000000}" name="7" dataDxfId="272"/>
    <tableColumn id="9" xr3:uid="{00000000-0010-0000-0200-000009000000}" name="8" dataDxfId="271"/>
    <tableColumn id="10" xr3:uid="{00000000-0010-0000-0200-00000A000000}" name="9" dataDxfId="270"/>
    <tableColumn id="11" xr3:uid="{00000000-0010-0000-0200-00000B000000}" name="10" dataDxfId="269"/>
    <tableColumn id="12" xr3:uid="{00000000-0010-0000-0200-00000C000000}" name="11" dataDxfId="268"/>
    <tableColumn id="13" xr3:uid="{00000000-0010-0000-0200-00000D000000}" name="12" dataDxfId="267"/>
  </tableColumns>
  <tableStyleInfo name="Blank Sty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C3:Q27" totalsRowShown="0" headerRowDxfId="266" dataDxfId="264" headerRowBorderDxfId="265" tableBorderDxfId="263" totalsRowBorderDxfId="262">
  <autoFilter ref="C3:Q27" xr:uid="{00000000-0009-0000-0100-000004000000}"/>
  <tableColumns count="15">
    <tableColumn id="1" xr3:uid="{00000000-0010-0000-0300-000001000000}" name="DNA #" dataDxfId="261">
      <calculatedColumnFormula>IF('NGS Heme'!C2="","",'NGS Heme'!C2)</calculatedColumnFormula>
    </tableColumn>
    <tableColumn id="2" xr3:uid="{00000000-0010-0000-0300-000002000000}" name="DNA Conc. (ng/µL)" dataDxfId="260">
      <calculatedColumnFormula>IF(C4="","",'NGS Heme'!F2)</calculatedColumnFormula>
    </tableColumn>
    <tableColumn id="3" xr3:uid="{00000000-0010-0000-0300-000003000000}" name="Sample Type" dataDxfId="259">
      <calculatedColumnFormula>IF(C4="","",'NGS Heme'!E2)</calculatedColumnFormula>
    </tableColumn>
    <tableColumn id="4" xr3:uid="{00000000-0010-0000-0300-000004000000}" name="Max Input FFPE 250 ng, Bone Marrow or Blood 80 ng" dataDxfId="258">
      <calculatedColumnFormula>IF(C4="","",IF(E4="FFPE",100,80))</calculatedColumnFormula>
    </tableColumn>
    <tableColumn id="5" xr3:uid="{00000000-0010-0000-0300-000005000000}" name="Final Conc" dataDxfId="257">
      <calculatedColumnFormula>IF(C4="","",TEXT(F4/17.5,"0.0"))</calculatedColumnFormula>
    </tableColumn>
    <tableColumn id="6" xr3:uid="{00000000-0010-0000-0300-000006000000}" name="Input (ng)" dataDxfId="256">
      <calculatedColumnFormula>IF(C4="","",IF(D4*17.5&gt;F4,F4,D4*17.5))</calculatedColumnFormula>
    </tableColumn>
    <tableColumn id="7" xr3:uid="{00000000-0010-0000-0300-000007000000}" name="From Stock (µL)" dataDxfId="255">
      <calculatedColumnFormula>IF(C4="","",TEXT(H4/D4,"0.0"))</calculatedColumnFormula>
    </tableColumn>
    <tableColumn id="8" xr3:uid="{00000000-0010-0000-0300-000008000000}" name="#" dataDxfId="254">
      <calculatedColumnFormula>IF(C4="","",17.5-I4)</calculatedColumnFormula>
    </tableColumn>
    <tableColumn id="11" xr3:uid="{00000000-0010-0000-0300-00000B000000}" name="Hide/second dilution" dataDxfId="253">
      <calculatedColumnFormula>IF(Table4[[#This Row],[From Stock (µL)]]&gt;1,"",Table4[[#This Row],[From Stock (µL)]]*10)</calculatedColumnFormula>
    </tableColumn>
    <tableColumn id="12" xr3:uid="{00000000-0010-0000-0300-00000C000000}" name="Hide" dataDxfId="252">
      <calculatedColumnFormula>IF(Table4[[#This Row],[From Stock (µL)]]&gt;1,"",17.5-Table4[[#This Row],[Hide/second dilution]])</calculatedColumnFormula>
    </tableColumn>
    <tableColumn id="9" xr3:uid="{00000000-0010-0000-0300-000009000000}" name="If sample is too concentrated" dataDxfId="251">
      <calculatedColumnFormula>IF(I4&lt;1,"Dilute sample 10X first, 1 µl stock DNA + 9 µl H2O","")</calculatedColumnFormula>
    </tableColumn>
    <tableColumn id="10" xr3:uid="{00000000-0010-0000-0300-00000A000000}" name="Then" dataDxfId="250">
      <calculatedColumnFormula>IF(I4&lt;1,"Add "&amp;K4&amp;" ul diluted DNA and "&amp;J4&amp;" ul H2O.","")</calculatedColumnFormula>
    </tableColumn>
    <tableColumn id="13" xr3:uid="{00000000-0010-0000-0300-00000D000000}" name="H2O (µL)" dataDxfId="249"/>
    <tableColumn id="14" xr3:uid="{00000000-0010-0000-0300-00000E000000}" name="Index 12" dataDxfId="248"/>
    <tableColumn id="15" xr3:uid="{9595B993-7917-41F9-A663-E8CE67748B7C}" name="Index 2" dataDxfId="247"/>
  </tableColumns>
  <tableStyleInfo name="Blank Styl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C32:Q56" totalsRowShown="0" headerRowDxfId="246" dataDxfId="244" headerRowBorderDxfId="245" tableBorderDxfId="243" totalsRowBorderDxfId="242">
  <autoFilter ref="C32:Q56" xr:uid="{00000000-0009-0000-0100-000005000000}"/>
  <tableColumns count="15">
    <tableColumn id="1" xr3:uid="{00000000-0010-0000-0400-000001000000}" name="DNA #" dataDxfId="241">
      <calculatedColumnFormula>IF('NGS Common - B'!C2="","",'NGS Common - B'!C2)</calculatedColumnFormula>
    </tableColumn>
    <tableColumn id="2" xr3:uid="{00000000-0010-0000-0400-000002000000}" name="DNA Conc. (ng/µL)" dataDxfId="240">
      <calculatedColumnFormula>IF(C33="","",'NGS Common - B'!F2)</calculatedColumnFormula>
    </tableColumn>
    <tableColumn id="3" xr3:uid="{00000000-0010-0000-0400-000003000000}" name="Sample Type" dataDxfId="239">
      <calculatedColumnFormula>IF(C33="","",'NGS Common - B'!E2)</calculatedColumnFormula>
    </tableColumn>
    <tableColumn id="4" xr3:uid="{00000000-0010-0000-0400-000004000000}" name="Max Input FFPE 100 ng, Bone Marrow or Blood 80 ng" dataDxfId="238">
      <calculatedColumnFormula>IF(C33="","",IF(E33="FFPE",100,80))</calculatedColumnFormula>
    </tableColumn>
    <tableColumn id="5" xr3:uid="{00000000-0010-0000-0400-000005000000}" name="Final Conc" dataDxfId="237">
      <calculatedColumnFormula>IF(C33="","",TEXT(F33/17.5,"0.0"))</calculatedColumnFormula>
    </tableColumn>
    <tableColumn id="6" xr3:uid="{00000000-0010-0000-0400-000006000000}" name="Input (ng)" dataDxfId="236">
      <calculatedColumnFormula>IF(Table5[[#This Row],[DNA '#]]="","",IF(D33*17.5&gt;F33,F33,D33*17.5))</calculatedColumnFormula>
    </tableColumn>
    <tableColumn id="7" xr3:uid="{00000000-0010-0000-0400-000007000000}" name="From Stock (µL)" dataDxfId="235">
      <calculatedColumnFormula>IF(C33="","",TEXT(H33/D33,"0.0"))</calculatedColumnFormula>
    </tableColumn>
    <tableColumn id="8" xr3:uid="{00000000-0010-0000-0400-000008000000}" name="#" dataDxfId="234">
      <calculatedColumnFormula>IF(C33="","",17.5-I33)</calculatedColumnFormula>
    </tableColumn>
    <tableColumn id="12" xr3:uid="{00000000-0010-0000-0400-00000C000000}" name="Column2" dataDxfId="233">
      <calculatedColumnFormula>IF(I33&gt;1,"",I33*10)</calculatedColumnFormula>
    </tableColumn>
    <tableColumn id="11" xr3:uid="{00000000-0010-0000-0400-00000B000000}" name="Column1" dataDxfId="232">
      <calculatedColumnFormula>IF(I33&gt;1,"",17.5-I33)</calculatedColumnFormula>
    </tableColumn>
    <tableColumn id="9" xr3:uid="{00000000-0010-0000-0400-000009000000}" name="If sample is too concentrated" dataDxfId="231">
      <calculatedColumnFormula>IF(I33&lt;1,"Dilute sample 10X first, 1 µl stock DNA + 9 µl H2O","")</calculatedColumnFormula>
    </tableColumn>
    <tableColumn id="10" xr3:uid="{00000000-0010-0000-0400-00000A000000}" name="Then" dataDxfId="230">
      <calculatedColumnFormula>IF(I33&lt;1,"Add "&amp;K33&amp;" ul diluted DNA and "&amp;J33&amp;" ul H2O.","")</calculatedColumnFormula>
    </tableColumn>
    <tableColumn id="13" xr3:uid="{00000000-0010-0000-0400-00000D000000}" name="H2O (µL)" dataDxfId="229"/>
    <tableColumn id="14" xr3:uid="{00000000-0010-0000-0400-00000E000000}" name="Index 1" dataDxfId="228"/>
    <tableColumn id="15" xr3:uid="{C960BD49-4036-4D36-AD8C-B4C1BEAE80D6}" name="Index 2" dataDxfId="227"/>
  </tableColumns>
  <tableStyleInfo name="Blank Sty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Table311" displayName="Table311" ref="S113:AE121" totalsRowShown="0" headerRowDxfId="226" dataDxfId="225" tableBorderDxfId="224">
  <autoFilter ref="S113:AE121" xr:uid="{00000000-0009-0000-0100-00000A000000}"/>
  <tableColumns count="13">
    <tableColumn id="1" xr3:uid="{00000000-0010-0000-0500-000001000000}" name="Column1" dataDxfId="223"/>
    <tableColumn id="2" xr3:uid="{00000000-0010-0000-0500-000002000000}" name="1" dataDxfId="222"/>
    <tableColumn id="3" xr3:uid="{00000000-0010-0000-0500-000003000000}" name="2" dataDxfId="221"/>
    <tableColumn id="4" xr3:uid="{00000000-0010-0000-0500-000004000000}" name="3" dataDxfId="220"/>
    <tableColumn id="5" xr3:uid="{00000000-0010-0000-0500-000005000000}" name="4" dataDxfId="219"/>
    <tableColumn id="6" xr3:uid="{00000000-0010-0000-0500-000006000000}" name="5" dataDxfId="218"/>
    <tableColumn id="7" xr3:uid="{00000000-0010-0000-0500-000007000000}" name="6" dataDxfId="217"/>
    <tableColumn id="8" xr3:uid="{00000000-0010-0000-0500-000008000000}" name="7" dataDxfId="216"/>
    <tableColumn id="9" xr3:uid="{00000000-0010-0000-0500-000009000000}" name="8" dataDxfId="215"/>
    <tableColumn id="10" xr3:uid="{00000000-0010-0000-0500-00000A000000}" name="9" dataDxfId="214"/>
    <tableColumn id="11" xr3:uid="{00000000-0010-0000-0500-00000B000000}" name="10" dataDxfId="213"/>
    <tableColumn id="12" xr3:uid="{00000000-0010-0000-0500-00000C000000}" name="11" dataDxfId="212"/>
    <tableColumn id="13" xr3:uid="{00000000-0010-0000-0500-00000D000000}" name="12" dataDxfId="211"/>
  </tableColumns>
  <tableStyleInfo name="Blank Styl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28" displayName="Table28" ref="S100:AE108" totalsRowShown="0" headerRowDxfId="210" dataDxfId="209" tableBorderDxfId="208">
  <autoFilter ref="S100:AE108" xr:uid="{00000000-0009-0000-0100-000007000000}"/>
  <tableColumns count="13">
    <tableColumn id="1" xr3:uid="{00000000-0010-0000-0600-000001000000}" name="Column1" dataDxfId="207"/>
    <tableColumn id="2" xr3:uid="{00000000-0010-0000-0600-000002000000}" name="1" dataDxfId="206"/>
    <tableColumn id="3" xr3:uid="{00000000-0010-0000-0600-000003000000}" name="2" dataDxfId="205"/>
    <tableColumn id="4" xr3:uid="{00000000-0010-0000-0600-000004000000}" name="3" dataDxfId="204"/>
    <tableColumn id="5" xr3:uid="{00000000-0010-0000-0600-000005000000}" name="4" dataDxfId="203"/>
    <tableColumn id="6" xr3:uid="{00000000-0010-0000-0600-000006000000}" name="5" dataDxfId="202"/>
    <tableColumn id="7" xr3:uid="{00000000-0010-0000-0600-000007000000}" name="6" dataDxfId="201"/>
    <tableColumn id="8" xr3:uid="{00000000-0010-0000-0600-000008000000}" name="7" dataDxfId="200"/>
    <tableColumn id="9" xr3:uid="{00000000-0010-0000-0600-000009000000}" name="8" dataDxfId="199"/>
    <tableColumn id="10" xr3:uid="{00000000-0010-0000-0600-00000A000000}" name="9" dataDxfId="198"/>
    <tableColumn id="11" xr3:uid="{00000000-0010-0000-0600-00000B000000}" name="10" dataDxfId="197"/>
    <tableColumn id="12" xr3:uid="{00000000-0010-0000-0600-00000C000000}" name="11" dataDxfId="196"/>
    <tableColumn id="13" xr3:uid="{00000000-0010-0000-0600-00000D000000}" name="12" dataDxfId="195">
      <calculatedColumnFormula>C55</calculatedColumnFormula>
    </tableColumn>
  </tableColumns>
  <tableStyleInfo name="Blank Style"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9000000}" name="Table14" displayName="Table14" ref="AV176:AZ182" totalsRowShown="0" headerRowDxfId="194" dataDxfId="193" tableBorderDxfId="192">
  <autoFilter ref="AV176:AZ182" xr:uid="{00000000-0009-0000-0100-00000E000000}"/>
  <tableColumns count="5">
    <tableColumn id="1" xr3:uid="{00000000-0010-0000-0900-000001000000}" name="Column1" dataDxfId="191"/>
    <tableColumn id="2" xr3:uid="{00000000-0010-0000-0900-000002000000}" name="Component" dataDxfId="190"/>
    <tableColumn id="3" xr3:uid="{00000000-0010-0000-0900-000003000000}" name="Per 1 sample (µL)" dataDxfId="189"/>
    <tableColumn id="4" xr3:uid="{00000000-0010-0000-0900-000004000000}" name="0" dataDxfId="188"/>
    <tableColumn id="5" xr3:uid="{00000000-0010-0000-0900-000005000000}" name="Volume to tube TE" dataDxfId="187"/>
  </tableColumns>
  <tableStyleInfo name="Blank Style"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B000000}" name="Table2141617" displayName="Table2141617" ref="S132:AE140" totalsRowShown="0" headerRowDxfId="186" dataDxfId="185" tableBorderDxfId="184">
  <autoFilter ref="S132:AE140" xr:uid="{00000000-0009-0000-0100-000010000000}"/>
  <tableColumns count="13">
    <tableColumn id="1" xr3:uid="{00000000-0010-0000-0B00-000001000000}" name="Column1" dataDxfId="183"/>
    <tableColumn id="2" xr3:uid="{00000000-0010-0000-0B00-000002000000}" name="1" dataDxfId="182"/>
    <tableColumn id="3" xr3:uid="{00000000-0010-0000-0B00-000003000000}" name="2" dataDxfId="181"/>
    <tableColumn id="4" xr3:uid="{00000000-0010-0000-0B00-000004000000}" name="3" dataDxfId="180"/>
    <tableColumn id="5" xr3:uid="{00000000-0010-0000-0B00-000005000000}" name="4" dataDxfId="179"/>
    <tableColumn id="6" xr3:uid="{00000000-0010-0000-0B00-000006000000}" name="5" dataDxfId="178"/>
    <tableColumn id="7" xr3:uid="{00000000-0010-0000-0B00-000007000000}" name="6" dataDxfId="177"/>
    <tableColumn id="8" xr3:uid="{00000000-0010-0000-0B00-000008000000}" name="7" dataDxfId="176">
      <calculatedColumnFormula>Z88</calculatedColumnFormula>
    </tableColumn>
    <tableColumn id="9" xr3:uid="{00000000-0010-0000-0B00-000009000000}" name="8" dataDxfId="175">
      <calculatedColumnFormula>AA88</calculatedColumnFormula>
    </tableColumn>
    <tableColumn id="10" xr3:uid="{00000000-0010-0000-0B00-00000A000000}" name="9" dataDxfId="174">
      <calculatedColumnFormula>AB88</calculatedColumnFormula>
    </tableColumn>
    <tableColumn id="11" xr3:uid="{00000000-0010-0000-0B00-00000B000000}" name="10" dataDxfId="173">
      <calculatedColumnFormula>AC88</calculatedColumnFormula>
    </tableColumn>
    <tableColumn id="12" xr3:uid="{00000000-0010-0000-0B00-00000C000000}" name="11" dataDxfId="172">
      <calculatedColumnFormula>AD88</calculatedColumnFormula>
    </tableColumn>
    <tableColumn id="13" xr3:uid="{00000000-0010-0000-0B00-00000D000000}" name="12" dataDxfId="171">
      <calculatedColumnFormula>AE88</calculatedColumnFormula>
    </tableColumn>
  </tableColumns>
  <tableStyleInfo name="Blank Style"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D000000}" name="Table18" displayName="Table18" ref="C62:Q91" totalsRowShown="0" headerRowDxfId="170" dataDxfId="168" headerRowBorderDxfId="169" tableBorderDxfId="167" totalsRowBorderDxfId="166">
  <autoFilter ref="C62:Q91" xr:uid="{00000000-0009-0000-0100-000012000000}"/>
  <tableColumns count="15">
    <tableColumn id="1" xr3:uid="{00000000-0010-0000-0D00-000001000000}" name="DNA #" dataDxfId="165">
      <calculatedColumnFormula>IF('NGS Common - B'!C26="","",'NGS Common - B'!C26)</calculatedColumnFormula>
    </tableColumn>
    <tableColumn id="2" xr3:uid="{00000000-0010-0000-0D00-000002000000}" name="DNA Conc. (ng/µL)" dataDxfId="164">
      <calculatedColumnFormula>IF(C63="","",'NGS Common - B'!F26)</calculatedColumnFormula>
    </tableColumn>
    <tableColumn id="3" xr3:uid="{00000000-0010-0000-0D00-000003000000}" name="Sample Type" dataDxfId="163">
      <calculatedColumnFormula>IF(C63="","",'NGS Common - B'!E26)</calculatedColumnFormula>
    </tableColumn>
    <tableColumn id="4" xr3:uid="{00000000-0010-0000-0D00-000004000000}" name="Max Input FFPE 250 ng, Bone Marrow or Blood 80 ng" dataDxfId="162">
      <calculatedColumnFormula>IF(C63="","",IF(E63="FFPE",100,40))</calculatedColumnFormula>
    </tableColumn>
    <tableColumn id="5" xr3:uid="{00000000-0010-0000-0D00-000005000000}" name="Final Conc" dataDxfId="161">
      <calculatedColumnFormula>IF(C63="","",TEXT(F63/17.5,"0.0"))</calculatedColumnFormula>
    </tableColumn>
    <tableColumn id="6" xr3:uid="{00000000-0010-0000-0D00-000006000000}" name="Input (ng)" dataDxfId="160">
      <calculatedColumnFormula>IF(Table5[[#This Row],[DNA '#]]="","",IF(D63*17.5&gt;F63,F63,D63*17.5))</calculatedColumnFormula>
    </tableColumn>
    <tableColumn id="7" xr3:uid="{00000000-0010-0000-0D00-000007000000}" name="From Stock (µL)" dataDxfId="159">
      <calculatedColumnFormula>IF(C63="","",IF(H63/D63&lt;1,"Dilute sample 10X first, 1 µl stock + 9 µl H2O; then add "&amp;TEXT(H63/D63*10,"0.0")&amp;" µl diluted DNA",H63/D63))</calculatedColumnFormula>
    </tableColumn>
    <tableColumn id="8" xr3:uid="{00000000-0010-0000-0D00-000008000000}" name="#" dataDxfId="158">
      <calculatedColumnFormula>IF(C63="","",IF(H63/D63&lt;1,(16.75-H63/D63*10),(16.75-H63/D63)))</calculatedColumnFormula>
    </tableColumn>
    <tableColumn id="9" xr3:uid="{00000000-0010-0000-0D00-000009000000}" name="Column2" dataDxfId="157">
      <calculatedColumnFormula>IF(I63&gt;1,"",I63*10)</calculatedColumnFormula>
    </tableColumn>
    <tableColumn id="10" xr3:uid="{00000000-0010-0000-0D00-00000A000000}" name="Column1" dataDxfId="156">
      <calculatedColumnFormula>IF(I63&gt;1,"",17.5-I63)</calculatedColumnFormula>
    </tableColumn>
    <tableColumn id="11" xr3:uid="{00000000-0010-0000-0D00-00000B000000}" name="If sample is too concentrated" dataDxfId="155">
      <calculatedColumnFormula>IF(I63&lt;1,"Dilute sample 10X first, 1 µl stock DNA + 9 µl H2O","")</calculatedColumnFormula>
    </tableColumn>
    <tableColumn id="12" xr3:uid="{00000000-0010-0000-0D00-00000C000000}" name="Then" dataDxfId="154">
      <calculatedColumnFormula>IF(I63&lt;1,"Add "&amp;K63&amp;" ul diluted DNA and "&amp;J63&amp;" ul H2O.","")</calculatedColumnFormula>
    </tableColumn>
    <tableColumn id="13" xr3:uid="{00000000-0010-0000-0D00-00000D000000}" name="H2O (µL)" dataDxfId="153"/>
    <tableColumn id="14" xr3:uid="{00000000-0010-0000-0D00-00000E000000}" name="Index 1" dataDxfId="152"/>
    <tableColumn id="15" xr3:uid="{F77EC4F8-EA8D-4C5E-AF98-8433421F6ECB}" name="Index 2" dataDxfId="151"/>
  </tableColumns>
  <tableStyleInfo name="Blank Style"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1000000}" name="Table2813" displayName="Table2813" ref="S144:AE152" totalsRowShown="0" headerRowDxfId="150" dataDxfId="149" tableBorderDxfId="148">
  <autoFilter ref="S144:AE152" xr:uid="{00000000-0009-0000-0100-00000C000000}"/>
  <tableColumns count="13">
    <tableColumn id="1" xr3:uid="{00000000-0010-0000-1100-000001000000}" name="Column1" dataDxfId="147"/>
    <tableColumn id="2" xr3:uid="{00000000-0010-0000-1100-000002000000}" name="1" dataDxfId="146"/>
    <tableColumn id="3" xr3:uid="{00000000-0010-0000-1100-000003000000}" name="2" dataDxfId="145"/>
    <tableColumn id="4" xr3:uid="{00000000-0010-0000-1100-000004000000}" name="3" dataDxfId="144"/>
    <tableColumn id="5" xr3:uid="{00000000-0010-0000-1100-000005000000}" name="4" dataDxfId="143"/>
    <tableColumn id="6" xr3:uid="{00000000-0010-0000-1100-000006000000}" name="5" dataDxfId="142"/>
    <tableColumn id="7" xr3:uid="{00000000-0010-0000-1100-000007000000}" name="6" dataDxfId="141"/>
    <tableColumn id="8" xr3:uid="{00000000-0010-0000-1100-000008000000}" name="7" dataDxfId="140"/>
    <tableColumn id="9" xr3:uid="{00000000-0010-0000-1100-000009000000}" name="8" dataDxfId="139"/>
    <tableColumn id="10" xr3:uid="{00000000-0010-0000-1100-00000A000000}" name="9" dataDxfId="138"/>
    <tableColumn id="11" xr3:uid="{00000000-0010-0000-1100-00000B000000}" name="10" dataDxfId="137"/>
    <tableColumn id="12" xr3:uid="{00000000-0010-0000-1100-00000C000000}" name="11" dataDxfId="136"/>
    <tableColumn id="13" xr3:uid="{00000000-0010-0000-1100-00000D000000}" name="12" dataDxfId="135">
      <calculatedColumnFormula>AE101</calculatedColumnFormula>
    </tableColumn>
  </tableColumns>
  <tableStyleInfo name="Blank Style"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40B6D16-698C-4B0D-B8A8-FB40CEA15D4B}" name="Table434" displayName="Table434" ref="S211:AE220" totalsRowShown="0" headerRowDxfId="134" dataDxfId="132" headerRowBorderDxfId="133" tableBorderDxfId="131" totalsRowBorderDxfId="130">
  <autoFilter ref="S211:AE220" xr:uid="{040B6D16-698C-4B0D-B8A8-FB40CEA15D4B}"/>
  <tableColumns count="13">
    <tableColumn id="1" xr3:uid="{86526AC2-EF55-40F0-BD9D-141773693CF0}" name="Column1" dataDxfId="129"/>
    <tableColumn id="2" xr3:uid="{E7D65F90-7BA0-4B33-978A-E91C6101AEE0}" name="Column2" dataDxfId="128"/>
    <tableColumn id="3" xr3:uid="{61A71370-FB6A-49CD-91A5-AA08D84680C1}" name="Column3" dataDxfId="127"/>
    <tableColumn id="4" xr3:uid="{B1DF32FB-684B-4910-8561-036F10EBF0BC}" name="Column4" dataDxfId="126"/>
    <tableColumn id="5" xr3:uid="{610A454E-DDD5-4ECA-9C45-CA939E781996}" name="Column5" dataDxfId="125"/>
    <tableColumn id="6" xr3:uid="{55209A3D-99B9-473E-B96F-807F59A7C789}" name="Column6" dataDxfId="124"/>
    <tableColumn id="7" xr3:uid="{A2AF99AB-86DF-4A82-81D5-1353D9429FA6}" name="Column7" dataDxfId="123"/>
    <tableColumn id="8" xr3:uid="{184F72C8-4D32-42C4-8DBA-7F3B84000885}" name="Column8" dataDxfId="122"/>
    <tableColumn id="9" xr3:uid="{E13D428E-4D2C-456A-A7B5-2FAF8B6ECC31}" name="Column9" dataDxfId="121"/>
    <tableColumn id="10" xr3:uid="{4A03164D-DDEA-4EEB-BCE4-366EE1853000}" name="Column10" dataDxfId="120"/>
    <tableColumn id="11" xr3:uid="{A7F107FC-827F-4E60-8DE2-FD25987C0668}" name="Column11" dataDxfId="119"/>
    <tableColumn id="12" xr3:uid="{A1BBAC9A-6302-43B9-8D8E-FBC718A1D6D8}" name="Column12" dataDxfId="118"/>
    <tableColumn id="13" xr3:uid="{A422F2CF-8459-4BD7-BDC5-FCC2A027A351}" name="Column13" dataDxfId="117"/>
  </tableColumns>
  <tableStyleInfo name="Blank Style"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9000000}" name="Table426" displayName="Table426" ref="A1:O21" totalsRowShown="0" headerRowDxfId="115" dataDxfId="113" headerRowBorderDxfId="114" tableBorderDxfId="112" totalsRowBorderDxfId="111">
  <autoFilter ref="A1:O21" xr:uid="{00000000-0009-0000-0100-000019000000}"/>
  <tableColumns count="15">
    <tableColumn id="1" xr3:uid="{00000000-0010-0000-1900-000001000000}" name="DNA #" dataDxfId="110">
      <calculatedColumnFormula>IF('NGS Heme'!S2="","",'NGS Heme'!S2)</calculatedColumnFormula>
    </tableColumn>
    <tableColumn id="2" xr3:uid="{00000000-0010-0000-1900-000002000000}" name="DNA Conc. (ng/µL)" dataDxfId="109">
      <calculatedColumnFormula>IF(A2="","",'NGS Heme'!V2)</calculatedColumnFormula>
    </tableColumn>
    <tableColumn id="3" xr3:uid="{00000000-0010-0000-1900-000003000000}" name="Sample Type" dataDxfId="108">
      <calculatedColumnFormula>IF(A2="","",'NGS Heme'!U2)</calculatedColumnFormula>
    </tableColumn>
    <tableColumn id="4" xr3:uid="{00000000-0010-0000-1900-000004000000}" name="Max Input FFPE 250 ng, Bone Marrow or Blood 80 ng" dataDxfId="107">
      <calculatedColumnFormula>IF(A2="","",IF(C2="FFPE",100,80))</calculatedColumnFormula>
    </tableColumn>
    <tableColumn id="5" xr3:uid="{00000000-0010-0000-1900-000005000000}" name="Concentration need for the max input" dataDxfId="106">
      <calculatedColumnFormula>IF(A2="","",TEXT(D2/17.5,"0.0"))</calculatedColumnFormula>
    </tableColumn>
    <tableColumn id="6" xr3:uid="{00000000-0010-0000-1900-000006000000}" name="Input (ng)" dataDxfId="105">
      <calculatedColumnFormula>IF(A2="","",IF(B2*17.5&gt;D2,D2,B2*17.5))</calculatedColumnFormula>
    </tableColumn>
    <tableColumn id="7" xr3:uid="{00000000-0010-0000-1900-000007000000}" name="From Stock (µL)" dataDxfId="104">
      <calculatedColumnFormula>IF(A2="","",TEXT(F2/B2,"0.0"))</calculatedColumnFormula>
    </tableColumn>
    <tableColumn id="8" xr3:uid="{00000000-0010-0000-1900-000008000000}" name="#" dataDxfId="103">
      <calculatedColumnFormula>IF(A2="","",17.5-G2)</calculatedColumnFormula>
    </tableColumn>
    <tableColumn id="11" xr3:uid="{00000000-0010-0000-1900-00000B000000}" name="Hide/second dilution" dataDxfId="102">
      <calculatedColumnFormula>IF(Table426[[#This Row],[From Stock (µL)]]&gt;1,"",Table426[[#This Row],[From Stock (µL)]]*10)</calculatedColumnFormula>
    </tableColumn>
    <tableColumn id="12" xr3:uid="{00000000-0010-0000-1900-00000C000000}" name="Hide" dataDxfId="101">
      <calculatedColumnFormula>IF(Table426[[#This Row],[From Stock (µL)]]&gt;1,"",17.5-Table426[[#This Row],[Hide/second dilution]])</calculatedColumnFormula>
    </tableColumn>
    <tableColumn id="9" xr3:uid="{00000000-0010-0000-1900-000009000000}" name="If sample is too concentrated" dataDxfId="100">
      <calculatedColumnFormula>IF(G2&lt;1,"Dilute sample 10X first, 1 µl stock DNA + 9 µl H2O","")</calculatedColumnFormula>
    </tableColumn>
    <tableColumn id="10" xr3:uid="{00000000-0010-0000-1900-00000A000000}" name="Then" dataDxfId="99">
      <calculatedColumnFormula>IF(G2&lt;1,"Add "&amp;I2&amp;" ul diluted DNA and "&amp;H2&amp;" ul H2O.","")</calculatedColumnFormula>
    </tableColumn>
    <tableColumn id="13" xr3:uid="{00000000-0010-0000-1900-00000D000000}" name="H2O (µL)" dataDxfId="98"/>
    <tableColumn id="14" xr3:uid="{00000000-0010-0000-1900-00000E000000}" name="Index 1" dataDxfId="97"/>
    <tableColumn id="15" xr3:uid="{05DD3299-AEC8-4561-97F3-B054C43DE934}" name="Index 2" dataDxfId="96"/>
  </tableColumns>
  <tableStyleInfo name="Blank Style"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3112728" displayName="Table3112728" ref="O26:AA34" totalsRowShown="0" headerRowDxfId="95" dataDxfId="94" tableBorderDxfId="93">
  <autoFilter ref="O26:AA34" xr:uid="{00000000-0009-0000-0100-00001B000000}"/>
  <tableColumns count="13">
    <tableColumn id="1" xr3:uid="{00000000-0010-0000-1A00-000001000000}" name="Column1" dataDxfId="92"/>
    <tableColumn id="2" xr3:uid="{00000000-0010-0000-1A00-000002000000}" name="1" dataDxfId="91"/>
    <tableColumn id="3" xr3:uid="{00000000-0010-0000-1A00-000003000000}" name="2" dataDxfId="90"/>
    <tableColumn id="4" xr3:uid="{00000000-0010-0000-1A00-000004000000}" name="3" dataDxfId="89"/>
    <tableColumn id="5" xr3:uid="{00000000-0010-0000-1A00-000005000000}" name="4" dataDxfId="88"/>
    <tableColumn id="6" xr3:uid="{00000000-0010-0000-1A00-000006000000}" name="5" dataDxfId="87"/>
    <tableColumn id="7" xr3:uid="{00000000-0010-0000-1A00-000007000000}" name="6" dataDxfId="86"/>
    <tableColumn id="8" xr3:uid="{00000000-0010-0000-1A00-000008000000}" name="7" dataDxfId="85"/>
    <tableColumn id="9" xr3:uid="{00000000-0010-0000-1A00-000009000000}" name="8" dataDxfId="84"/>
    <tableColumn id="10" xr3:uid="{00000000-0010-0000-1A00-00000A000000}" name="9" dataDxfId="83"/>
    <tableColumn id="11" xr3:uid="{00000000-0010-0000-1A00-00000B000000}" name="10" dataDxfId="82"/>
    <tableColumn id="12" xr3:uid="{00000000-0010-0000-1A00-00000C000000}" name="11" dataDxfId="81"/>
    <tableColumn id="13" xr3:uid="{00000000-0010-0000-1A00-00000D000000}" name="12" dataDxfId="80"/>
  </tableColumns>
  <tableStyleInfo name="Blank Style"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311272829" displayName="Table311272829" ref="O37:AA45" totalsRowShown="0" headerRowDxfId="79" dataDxfId="78" tableBorderDxfId="77">
  <autoFilter ref="O37:AA45" xr:uid="{00000000-0009-0000-0100-00001C000000}"/>
  <tableColumns count="13">
    <tableColumn id="1" xr3:uid="{00000000-0010-0000-1B00-000001000000}" name="Column1" dataDxfId="76"/>
    <tableColumn id="2" xr3:uid="{00000000-0010-0000-1B00-000002000000}" name="1" dataDxfId="75">
      <calculatedColumnFormula>P25</calculatedColumnFormula>
    </tableColumn>
    <tableColumn id="3" xr3:uid="{00000000-0010-0000-1B00-000003000000}" name="2" dataDxfId="74"/>
    <tableColumn id="4" xr3:uid="{00000000-0010-0000-1B00-000004000000}" name="3" dataDxfId="73"/>
    <tableColumn id="5" xr3:uid="{00000000-0010-0000-1B00-000005000000}" name="4" dataDxfId="72"/>
    <tableColumn id="6" xr3:uid="{00000000-0010-0000-1B00-000006000000}" name="5" dataDxfId="71"/>
    <tableColumn id="7" xr3:uid="{00000000-0010-0000-1B00-000007000000}" name="6" dataDxfId="70"/>
    <tableColumn id="8" xr3:uid="{00000000-0010-0000-1B00-000008000000}" name="7" dataDxfId="69"/>
    <tableColumn id="9" xr3:uid="{00000000-0010-0000-1B00-000009000000}" name="8" dataDxfId="68"/>
    <tableColumn id="10" xr3:uid="{00000000-0010-0000-1B00-00000A000000}" name="9" dataDxfId="67"/>
    <tableColumn id="11" xr3:uid="{00000000-0010-0000-1B00-00000B000000}" name="10" dataDxfId="66"/>
    <tableColumn id="12" xr3:uid="{00000000-0010-0000-1B00-00000C000000}" name="11" dataDxfId="65"/>
    <tableColumn id="13" xr3:uid="{00000000-0010-0000-1B00-00000D000000}" name="12" dataDxfId="64"/>
  </tableColumns>
  <tableStyleInfo name="Blank Style"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311272830" displayName="Table311272830" ref="O49:AA57" totalsRowShown="0" headerRowDxfId="63" dataDxfId="62" tableBorderDxfId="61">
  <autoFilter ref="O49:AA57" xr:uid="{00000000-0009-0000-0100-00001D000000}"/>
  <tableColumns count="13">
    <tableColumn id="1" xr3:uid="{00000000-0010-0000-1C00-000001000000}" name="Column1" dataDxfId="60"/>
    <tableColumn id="2" xr3:uid="{00000000-0010-0000-1C00-000002000000}" name="1" dataDxfId="59">
      <calculatedColumnFormula>P27</calculatedColumnFormula>
    </tableColumn>
    <tableColumn id="3" xr3:uid="{00000000-0010-0000-1C00-000003000000}" name="2" dataDxfId="58"/>
    <tableColumn id="4" xr3:uid="{00000000-0010-0000-1C00-000004000000}" name="3" dataDxfId="57"/>
    <tableColumn id="5" xr3:uid="{00000000-0010-0000-1C00-000005000000}" name="4" dataDxfId="56"/>
    <tableColumn id="6" xr3:uid="{00000000-0010-0000-1C00-000006000000}" name="5" dataDxfId="55"/>
    <tableColumn id="7" xr3:uid="{00000000-0010-0000-1C00-000007000000}" name="6" dataDxfId="54"/>
    <tableColumn id="8" xr3:uid="{00000000-0010-0000-1C00-000008000000}" name="7" dataDxfId="53"/>
    <tableColumn id="9" xr3:uid="{00000000-0010-0000-1C00-000009000000}" name="8" dataDxfId="52"/>
    <tableColumn id="10" xr3:uid="{00000000-0010-0000-1C00-00000A000000}" name="9" dataDxfId="51"/>
    <tableColumn id="11" xr3:uid="{00000000-0010-0000-1C00-00000B000000}" name="10" dataDxfId="50"/>
    <tableColumn id="12" xr3:uid="{00000000-0010-0000-1C00-00000C000000}" name="11" dataDxfId="49"/>
    <tableColumn id="13" xr3:uid="{00000000-0010-0000-1C00-00000D000000}" name="12" dataDxfId="48"/>
  </tableColumns>
  <tableStyleInfo name="Blank Style"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31127283031" displayName="Table31127283031" ref="O61:AA69" totalsRowShown="0" headerRowDxfId="47" dataDxfId="46" tableBorderDxfId="45">
  <autoFilter ref="O61:AA69" xr:uid="{00000000-0009-0000-0100-00001E000000}"/>
  <tableColumns count="13">
    <tableColumn id="1" xr3:uid="{00000000-0010-0000-1D00-000001000000}" name="Column1" dataDxfId="44"/>
    <tableColumn id="2" xr3:uid="{00000000-0010-0000-1D00-000002000000}" name="1" dataDxfId="43">
      <calculatedColumnFormula>P48</calculatedColumnFormula>
    </tableColumn>
    <tableColumn id="3" xr3:uid="{00000000-0010-0000-1D00-000003000000}" name="2" dataDxfId="42"/>
    <tableColumn id="4" xr3:uid="{00000000-0010-0000-1D00-000004000000}" name="3" dataDxfId="41"/>
    <tableColumn id="5" xr3:uid="{00000000-0010-0000-1D00-000005000000}" name="4" dataDxfId="40"/>
    <tableColumn id="6" xr3:uid="{00000000-0010-0000-1D00-000006000000}" name="5" dataDxfId="39"/>
    <tableColumn id="7" xr3:uid="{00000000-0010-0000-1D00-000007000000}" name="6" dataDxfId="38"/>
    <tableColumn id="8" xr3:uid="{00000000-0010-0000-1D00-000008000000}" name="7" dataDxfId="37"/>
    <tableColumn id="9" xr3:uid="{00000000-0010-0000-1D00-000009000000}" name="8" dataDxfId="36"/>
    <tableColumn id="10" xr3:uid="{00000000-0010-0000-1D00-00000A000000}" name="9" dataDxfId="35"/>
    <tableColumn id="11" xr3:uid="{00000000-0010-0000-1D00-00000B000000}" name="10" dataDxfId="34"/>
    <tableColumn id="12" xr3:uid="{00000000-0010-0000-1D00-00000C000000}" name="11" dataDxfId="33"/>
    <tableColumn id="13" xr3:uid="{00000000-0010-0000-1D00-00000D000000}" name="12" dataDxfId="32"/>
  </tableColumns>
  <tableStyleInfo name="Blank Style"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3112728303132" displayName="Table3112728303132" ref="O73:AA81" totalsRowShown="0" headerRowDxfId="31" dataDxfId="30" tableBorderDxfId="29">
  <autoFilter ref="O73:AA81" xr:uid="{00000000-0009-0000-0100-00001F000000}"/>
  <tableColumns count="13">
    <tableColumn id="1" xr3:uid="{00000000-0010-0000-1E00-000001000000}" name="Column1" dataDxfId="28"/>
    <tableColumn id="2" xr3:uid="{00000000-0010-0000-1E00-000002000000}" name="1" dataDxfId="27">
      <calculatedColumnFormula>P64</calculatedColumnFormula>
    </tableColumn>
    <tableColumn id="3" xr3:uid="{00000000-0010-0000-1E00-000003000000}" name="2" dataDxfId="26"/>
    <tableColumn id="4" xr3:uid="{00000000-0010-0000-1E00-000004000000}" name="3" dataDxfId="25"/>
    <tableColumn id="5" xr3:uid="{00000000-0010-0000-1E00-000005000000}" name="4" dataDxfId="24"/>
    <tableColumn id="6" xr3:uid="{00000000-0010-0000-1E00-000006000000}" name="5" dataDxfId="23"/>
    <tableColumn id="7" xr3:uid="{00000000-0010-0000-1E00-000007000000}" name="6" dataDxfId="22"/>
    <tableColumn id="8" xr3:uid="{00000000-0010-0000-1E00-000008000000}" name="7" dataDxfId="21"/>
    <tableColumn id="9" xr3:uid="{00000000-0010-0000-1E00-000009000000}" name="8" dataDxfId="20"/>
    <tableColumn id="10" xr3:uid="{00000000-0010-0000-1E00-00000A000000}" name="9" dataDxfId="19"/>
    <tableColumn id="11" xr3:uid="{00000000-0010-0000-1E00-00000B000000}" name="10" dataDxfId="18"/>
    <tableColumn id="12" xr3:uid="{00000000-0010-0000-1E00-00000C000000}" name="11" dataDxfId="17"/>
    <tableColumn id="13" xr3:uid="{00000000-0010-0000-1E00-00000D000000}" name="12" dataDxfId="16"/>
  </tableColumns>
  <tableStyleInfo name="Blank Style"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Table311272830313233" displayName="Table311272830313233" ref="O85:AA93" totalsRowShown="0" headerRowDxfId="15" dataDxfId="14" tableBorderDxfId="13">
  <autoFilter ref="O85:AA93" xr:uid="{00000000-0009-0000-0100-000020000000}"/>
  <tableColumns count="13">
    <tableColumn id="1" xr3:uid="{00000000-0010-0000-1F00-000001000000}" name="Column1" dataDxfId="12"/>
    <tableColumn id="2" xr3:uid="{00000000-0010-0000-1F00-000002000000}" name="1" dataDxfId="11">
      <calculatedColumnFormula>P74</calculatedColumnFormula>
    </tableColumn>
    <tableColumn id="3" xr3:uid="{00000000-0010-0000-1F00-000003000000}" name="2" dataDxfId="10"/>
    <tableColumn id="4" xr3:uid="{00000000-0010-0000-1F00-000004000000}" name="3" dataDxfId="9"/>
    <tableColumn id="5" xr3:uid="{00000000-0010-0000-1F00-000005000000}" name="4" dataDxfId="8"/>
    <tableColumn id="6" xr3:uid="{00000000-0010-0000-1F00-000006000000}" name="5" dataDxfId="7"/>
    <tableColumn id="7" xr3:uid="{00000000-0010-0000-1F00-000007000000}" name="6" dataDxfId="6"/>
    <tableColumn id="8" xr3:uid="{00000000-0010-0000-1F00-000008000000}" name="7" dataDxfId="5"/>
    <tableColumn id="9" xr3:uid="{00000000-0010-0000-1F00-000009000000}" name="8" dataDxfId="4"/>
    <tableColumn id="10" xr3:uid="{00000000-0010-0000-1F00-00000A000000}" name="9" dataDxfId="3"/>
    <tableColumn id="11" xr3:uid="{00000000-0010-0000-1F00-00000B000000}" name="10" dataDxfId="2"/>
    <tableColumn id="12" xr3:uid="{00000000-0010-0000-1F00-00000C000000}" name="11" dataDxfId="1"/>
    <tableColumn id="13" xr3:uid="{00000000-0010-0000-1F00-00000D000000}" name="12" dataDxfId="0"/>
  </tableColumns>
  <tableStyleInfo name="Blank Style"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table" Target="../tables/table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3.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ctrlProp" Target="../ctrlProps/ctrlProp8.xml"/><Relationship Id="rId7" Type="http://schemas.openxmlformats.org/officeDocument/2006/relationships/table" Target="../tables/table1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0" Type="http://schemas.openxmlformats.org/officeDocument/2006/relationships/table" Target="../tables/table18.xml"/><Relationship Id="rId4" Type="http://schemas.openxmlformats.org/officeDocument/2006/relationships/ctrlProp" Target="../ctrlProps/ctrlProp9.xml"/><Relationship Id="rId9" Type="http://schemas.openxmlformats.org/officeDocument/2006/relationships/table" Target="../tables/table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FFFF00"/>
  </sheetPr>
  <dimension ref="A1:N26"/>
  <sheetViews>
    <sheetView workbookViewId="0">
      <selection activeCell="Q7" sqref="Q7"/>
    </sheetView>
  </sheetViews>
  <sheetFormatPr defaultRowHeight="16.5" x14ac:dyDescent="0.3"/>
  <cols>
    <col min="2" max="2" width="13.42578125" customWidth="1"/>
  </cols>
  <sheetData>
    <row r="1" spans="1:14" x14ac:dyDescent="0.3">
      <c r="A1" t="s">
        <v>66</v>
      </c>
    </row>
    <row r="2" spans="1:14" x14ac:dyDescent="0.3">
      <c r="A2" t="s">
        <v>46</v>
      </c>
    </row>
    <row r="3" spans="1:14" x14ac:dyDescent="0.3">
      <c r="A3" t="s">
        <v>47</v>
      </c>
    </row>
    <row r="4" spans="1:14" x14ac:dyDescent="0.3">
      <c r="A4" s="5" t="s">
        <v>68</v>
      </c>
      <c r="B4" s="5"/>
      <c r="C4" s="5"/>
      <c r="D4" s="5"/>
      <c r="E4" s="5"/>
      <c r="F4" s="5"/>
    </row>
    <row r="5" spans="1:14" ht="17.25" thickBot="1" x14ac:dyDescent="0.35">
      <c r="B5" t="s">
        <v>69</v>
      </c>
    </row>
    <row r="6" spans="1:14" ht="17.25" thickBot="1" x14ac:dyDescent="0.35">
      <c r="B6" t="s">
        <v>70</v>
      </c>
      <c r="E6" s="1" t="s">
        <v>269</v>
      </c>
      <c r="F6" s="2"/>
      <c r="G6" s="2"/>
      <c r="H6" s="2"/>
      <c r="I6" s="2"/>
      <c r="J6" s="2"/>
      <c r="K6" s="2"/>
      <c r="L6" s="2"/>
      <c r="M6" s="2"/>
      <c r="N6" s="3"/>
    </row>
    <row r="8" spans="1:14" x14ac:dyDescent="0.3">
      <c r="A8" t="s">
        <v>48</v>
      </c>
    </row>
    <row r="9" spans="1:14" x14ac:dyDescent="0.3">
      <c r="A9" t="s">
        <v>49</v>
      </c>
    </row>
    <row r="10" spans="1:14" x14ac:dyDescent="0.3">
      <c r="A10" t="s">
        <v>50</v>
      </c>
    </row>
    <row r="11" spans="1:14" x14ac:dyDescent="0.3">
      <c r="B11" t="s">
        <v>51</v>
      </c>
    </row>
    <row r="12" spans="1:14" x14ac:dyDescent="0.3">
      <c r="A12" t="s">
        <v>52</v>
      </c>
    </row>
    <row r="13" spans="1:14" x14ac:dyDescent="0.3">
      <c r="B13" t="s">
        <v>53</v>
      </c>
      <c r="C13" t="s">
        <v>54</v>
      </c>
    </row>
    <row r="14" spans="1:14" x14ac:dyDescent="0.3">
      <c r="D14" t="s">
        <v>55</v>
      </c>
    </row>
    <row r="15" spans="1:14" x14ac:dyDescent="0.3">
      <c r="D15" t="s">
        <v>56</v>
      </c>
    </row>
    <row r="16" spans="1:14" x14ac:dyDescent="0.3">
      <c r="D16" t="s">
        <v>57</v>
      </c>
    </row>
    <row r="17" spans="1:4" x14ac:dyDescent="0.3">
      <c r="D17" t="s">
        <v>58</v>
      </c>
    </row>
    <row r="18" spans="1:4" x14ac:dyDescent="0.3">
      <c r="D18" t="s">
        <v>59</v>
      </c>
    </row>
    <row r="19" spans="1:4" x14ac:dyDescent="0.3">
      <c r="D19" t="s">
        <v>60</v>
      </c>
    </row>
    <row r="20" spans="1:4" x14ac:dyDescent="0.3">
      <c r="C20" t="s">
        <v>61</v>
      </c>
    </row>
    <row r="21" spans="1:4" x14ac:dyDescent="0.3">
      <c r="D21" t="s">
        <v>62</v>
      </c>
    </row>
    <row r="22" spans="1:4" x14ac:dyDescent="0.3">
      <c r="D22" t="s">
        <v>63</v>
      </c>
    </row>
    <row r="23" spans="1:4" x14ac:dyDescent="0.3">
      <c r="D23" t="s">
        <v>64</v>
      </c>
    </row>
    <row r="24" spans="1:4" x14ac:dyDescent="0.3">
      <c r="D24" t="s">
        <v>65</v>
      </c>
    </row>
    <row r="26" spans="1:4" x14ac:dyDescent="0.3">
      <c r="A26" t="s">
        <v>67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electDefaultSaveFolder">
                <anchor moveWithCells="1" sizeWithCells="1">
                  <from>
                    <xdr:col>6</xdr:col>
                    <xdr:colOff>590550</xdr:colOff>
                    <xdr:row>3</xdr:row>
                    <xdr:rowOff>0</xdr:rowOff>
                  </from>
                  <to>
                    <xdr:col>10</xdr:col>
                    <xdr:colOff>228600</xdr:colOff>
                    <xdr:row>3</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1:BB37"/>
  <sheetViews>
    <sheetView zoomScale="80" zoomScaleNormal="80" workbookViewId="0">
      <selection activeCell="N15" sqref="N15"/>
    </sheetView>
  </sheetViews>
  <sheetFormatPr defaultColWidth="8.85546875" defaultRowHeight="16.5" x14ac:dyDescent="0.3"/>
  <cols>
    <col min="1" max="1" width="8.5703125" style="21" customWidth="1"/>
    <col min="2" max="2" width="11.140625" style="21" customWidth="1"/>
    <col min="3" max="3" width="9.140625" style="21"/>
    <col min="4" max="4" width="17.42578125" style="21" customWidth="1"/>
    <col min="5" max="5" width="13.85546875" style="21" customWidth="1"/>
    <col min="6" max="6" width="10.42578125" style="21" customWidth="1"/>
    <col min="7" max="7" width="9.140625" style="21"/>
    <col min="8" max="8" width="12.28515625" style="21" customWidth="1"/>
    <col min="9" max="9" width="12.5703125" style="21" customWidth="1"/>
    <col min="10" max="10" width="9.140625" style="21"/>
    <col min="11" max="11" width="13.42578125" style="21" customWidth="1"/>
    <col min="12" max="12" width="13.5703125" style="21" customWidth="1"/>
    <col min="13" max="13" width="11.85546875" style="21" customWidth="1"/>
    <col min="14" max="14" width="12.28515625" style="21" customWidth="1"/>
    <col min="15" max="15" width="14.42578125" style="21" customWidth="1"/>
    <col min="16" max="16" width="15.5703125" style="21" customWidth="1"/>
    <col min="17" max="17" width="24.140625" style="21" customWidth="1"/>
    <col min="18" max="18" width="17" style="21" customWidth="1"/>
    <col min="19" max="19" width="17.28515625" style="21" customWidth="1"/>
    <col min="20" max="20" width="32.140625" style="21" customWidth="1"/>
    <col min="21" max="21" width="14" style="21" customWidth="1"/>
    <col min="22" max="22" width="9.28515625" style="21" customWidth="1"/>
    <col min="23" max="23" width="11.5703125" style="21" customWidth="1"/>
    <col min="24" max="24" width="13.140625" style="21" customWidth="1"/>
    <col min="25" max="25" width="13.42578125" style="21" customWidth="1"/>
    <col min="26" max="26" width="14.28515625" style="21" customWidth="1"/>
    <col min="27" max="27" width="9.140625" style="21"/>
    <col min="28" max="30" width="9.85546875" style="21" customWidth="1"/>
    <col min="31" max="31" width="16.140625" style="21" customWidth="1"/>
    <col min="32" max="32" width="19" style="21" customWidth="1"/>
    <col min="33" max="33" width="17.7109375" style="21" customWidth="1"/>
    <col min="34" max="37" width="10.42578125" style="21" customWidth="1"/>
    <col min="38" max="46" width="11.42578125" style="21" customWidth="1"/>
    <col min="47" max="16384" width="8.85546875" style="21"/>
  </cols>
  <sheetData>
    <row r="1" spans="1:54" s="34" customFormat="1" ht="27" customHeight="1" x14ac:dyDescent="0.3">
      <c r="A1" s="24" t="s">
        <v>36</v>
      </c>
      <c r="B1" s="24" t="s">
        <v>0</v>
      </c>
      <c r="C1" s="23" t="s">
        <v>1</v>
      </c>
      <c r="D1" s="24" t="s">
        <v>2</v>
      </c>
      <c r="E1" s="24" t="s">
        <v>3</v>
      </c>
      <c r="F1" s="24" t="s">
        <v>4</v>
      </c>
      <c r="G1" s="24" t="s">
        <v>5</v>
      </c>
      <c r="H1" s="24" t="s">
        <v>6</v>
      </c>
      <c r="I1" s="24" t="s">
        <v>7</v>
      </c>
      <c r="J1" s="24" t="s">
        <v>8</v>
      </c>
      <c r="K1" s="24" t="s">
        <v>9</v>
      </c>
      <c r="L1" s="24" t="s">
        <v>10</v>
      </c>
      <c r="M1" s="24" t="s">
        <v>11</v>
      </c>
      <c r="N1" s="24" t="s">
        <v>12</v>
      </c>
      <c r="O1" s="24" t="s">
        <v>13</v>
      </c>
      <c r="P1" s="24" t="s">
        <v>14</v>
      </c>
      <c r="Q1" s="24" t="s">
        <v>15</v>
      </c>
      <c r="R1" s="24" t="s">
        <v>16</v>
      </c>
      <c r="S1" s="24" t="s">
        <v>17</v>
      </c>
      <c r="T1" s="24" t="s">
        <v>18</v>
      </c>
      <c r="U1" s="24" t="s">
        <v>19</v>
      </c>
      <c r="V1" s="24" t="s">
        <v>20</v>
      </c>
      <c r="W1" s="24" t="s">
        <v>22</v>
      </c>
      <c r="X1" s="24" t="s">
        <v>23</v>
      </c>
      <c r="Y1" s="24" t="s">
        <v>21</v>
      </c>
      <c r="Z1" s="24" t="s">
        <v>24</v>
      </c>
      <c r="AA1" s="24" t="s">
        <v>25</v>
      </c>
      <c r="AB1" s="15" t="s">
        <v>33</v>
      </c>
      <c r="AC1" s="16" t="s">
        <v>93</v>
      </c>
      <c r="AD1" s="16" t="s">
        <v>94</v>
      </c>
      <c r="AE1" s="17" t="s">
        <v>95</v>
      </c>
      <c r="AF1" s="17" t="s">
        <v>26</v>
      </c>
      <c r="AG1" s="17" t="s">
        <v>96</v>
      </c>
      <c r="AH1" s="25" t="s">
        <v>97</v>
      </c>
      <c r="AI1" s="25" t="s">
        <v>98</v>
      </c>
      <c r="AJ1" s="25" t="s">
        <v>99</v>
      </c>
      <c r="AK1" s="25" t="s">
        <v>100</v>
      </c>
      <c r="AL1" s="25" t="s">
        <v>101</v>
      </c>
      <c r="AM1" s="25" t="s">
        <v>102</v>
      </c>
      <c r="AN1" s="25" t="s">
        <v>103</v>
      </c>
      <c r="AO1" s="25" t="s">
        <v>104</v>
      </c>
      <c r="AP1" s="25" t="s">
        <v>105</v>
      </c>
      <c r="AQ1" s="25" t="s">
        <v>114</v>
      </c>
      <c r="AR1" s="25" t="s">
        <v>115</v>
      </c>
      <c r="AS1" s="25" t="s">
        <v>106</v>
      </c>
      <c r="AT1" s="25" t="s">
        <v>107</v>
      </c>
      <c r="AU1" s="34" t="s">
        <v>155</v>
      </c>
      <c r="AV1" s="34" t="s">
        <v>156</v>
      </c>
      <c r="AW1" s="34" t="s">
        <v>157</v>
      </c>
      <c r="AX1" s="34" t="s">
        <v>158</v>
      </c>
      <c r="AY1" s="34" t="s">
        <v>159</v>
      </c>
      <c r="AZ1" s="34" t="s">
        <v>160</v>
      </c>
      <c r="BA1" s="34" t="s">
        <v>161</v>
      </c>
      <c r="BB1" s="34" t="s">
        <v>162</v>
      </c>
    </row>
    <row r="2" spans="1:54" s="180" customFormat="1" ht="17.25" customHeight="1" x14ac:dyDescent="0.2">
      <c r="A2" s="179"/>
      <c r="B2" s="59"/>
      <c r="C2" s="46"/>
      <c r="D2" s="59"/>
      <c r="E2" s="41"/>
      <c r="F2" s="41"/>
      <c r="G2" s="40"/>
      <c r="H2" s="40"/>
      <c r="I2" s="40" t="s">
        <v>285</v>
      </c>
      <c r="J2" s="40" t="s">
        <v>286</v>
      </c>
      <c r="K2" s="42"/>
      <c r="L2" s="62"/>
      <c r="M2" s="43"/>
      <c r="N2" s="59" t="s">
        <v>278</v>
      </c>
      <c r="O2" s="40"/>
      <c r="P2" s="44"/>
      <c r="Q2" s="40"/>
      <c r="R2" s="40"/>
      <c r="S2" s="40"/>
      <c r="T2" s="60"/>
      <c r="U2" s="40" t="s">
        <v>274</v>
      </c>
      <c r="V2" s="40" t="s">
        <v>339</v>
      </c>
      <c r="W2" s="51"/>
      <c r="X2" s="41"/>
      <c r="Y2" s="41" t="s">
        <v>279</v>
      </c>
      <c r="Z2" s="43"/>
      <c r="AA2" s="40"/>
      <c r="AB2" s="46"/>
      <c r="AC2" s="46"/>
      <c r="AD2" s="46"/>
      <c r="AE2" s="46"/>
      <c r="AF2" s="46"/>
      <c r="AG2" s="46"/>
      <c r="AH2" s="46"/>
      <c r="AI2" s="46"/>
      <c r="AJ2" s="46"/>
      <c r="AK2" s="46"/>
      <c r="AL2" s="46"/>
      <c r="AM2" s="46"/>
      <c r="AN2" s="46"/>
      <c r="AO2" s="63" t="s">
        <v>280</v>
      </c>
      <c r="AP2" s="59" t="s">
        <v>280</v>
      </c>
      <c r="AQ2" s="46" t="s">
        <v>281</v>
      </c>
      <c r="AR2" s="46"/>
      <c r="AS2" s="46"/>
      <c r="AT2" s="46"/>
      <c r="AU2" s="61" t="s">
        <v>287</v>
      </c>
      <c r="AV2" s="40" t="s">
        <v>283</v>
      </c>
      <c r="AW2" s="40"/>
      <c r="AX2" s="40"/>
      <c r="AY2" s="40"/>
      <c r="AZ2" s="40"/>
      <c r="BA2" s="40"/>
    </row>
    <row r="3" spans="1:54" s="47" customFormat="1" ht="17.25" customHeight="1" x14ac:dyDescent="0.2">
      <c r="C3" s="48"/>
      <c r="D3" s="59"/>
      <c r="E3" s="51"/>
      <c r="F3" s="51"/>
      <c r="I3" s="40" t="s">
        <v>328</v>
      </c>
      <c r="J3" s="47" t="s">
        <v>277</v>
      </c>
      <c r="K3" s="51"/>
      <c r="L3" s="52"/>
      <c r="N3" s="59" t="s">
        <v>278</v>
      </c>
      <c r="P3" s="53"/>
      <c r="T3" s="45"/>
      <c r="U3" s="40" t="s">
        <v>274</v>
      </c>
      <c r="V3" s="40" t="s">
        <v>339</v>
      </c>
      <c r="W3" s="51"/>
      <c r="X3" s="51"/>
      <c r="Y3" s="51" t="s">
        <v>279</v>
      </c>
      <c r="AA3" s="54"/>
      <c r="AB3" s="48"/>
      <c r="AC3" s="48"/>
      <c r="AD3" s="48"/>
      <c r="AE3" s="48"/>
      <c r="AF3" s="48"/>
      <c r="AG3" s="48"/>
      <c r="AH3" s="48"/>
      <c r="AI3" s="48"/>
      <c r="AJ3" s="48"/>
      <c r="AK3" s="48"/>
      <c r="AL3" s="48"/>
      <c r="AM3" s="48"/>
      <c r="AN3" s="48"/>
      <c r="AO3" s="51" t="s">
        <v>280</v>
      </c>
      <c r="AP3" s="48" t="s">
        <v>280</v>
      </c>
      <c r="AQ3" s="46" t="s">
        <v>340</v>
      </c>
      <c r="AR3" s="46" t="s">
        <v>345</v>
      </c>
      <c r="AS3" s="48"/>
      <c r="AT3" s="48"/>
      <c r="AU3" s="55" t="s">
        <v>282</v>
      </c>
      <c r="AV3" s="48" t="s">
        <v>283</v>
      </c>
    </row>
    <row r="4" spans="1:54" s="47" customFormat="1" ht="17.25" customHeight="1" x14ac:dyDescent="0.2">
      <c r="C4" s="48"/>
      <c r="D4" s="59"/>
      <c r="E4" s="51"/>
      <c r="F4" s="51"/>
      <c r="I4" s="40" t="s">
        <v>329</v>
      </c>
      <c r="J4" s="47" t="s">
        <v>277</v>
      </c>
      <c r="K4" s="51"/>
      <c r="L4" s="52"/>
      <c r="N4" s="59" t="s">
        <v>299</v>
      </c>
      <c r="P4" s="53"/>
      <c r="T4" s="45"/>
      <c r="U4" s="40" t="s">
        <v>274</v>
      </c>
      <c r="V4" s="40" t="s">
        <v>339</v>
      </c>
      <c r="W4" s="51"/>
      <c r="X4" s="51"/>
      <c r="Y4" s="51" t="s">
        <v>279</v>
      </c>
      <c r="AA4" s="54"/>
      <c r="AB4" s="48"/>
      <c r="AC4" s="48"/>
      <c r="AD4" s="48"/>
      <c r="AE4" s="48"/>
      <c r="AF4" s="48"/>
      <c r="AG4" s="48"/>
      <c r="AH4" s="48"/>
      <c r="AI4" s="48"/>
      <c r="AJ4" s="48"/>
      <c r="AK4" s="48"/>
      <c r="AL4" s="48"/>
      <c r="AM4" s="48"/>
      <c r="AN4" s="48"/>
      <c r="AO4" s="51" t="s">
        <v>280</v>
      </c>
      <c r="AP4" s="48" t="s">
        <v>280</v>
      </c>
      <c r="AQ4" s="46" t="s">
        <v>341</v>
      </c>
      <c r="AR4" s="46" t="s">
        <v>345</v>
      </c>
      <c r="AS4" s="48"/>
      <c r="AT4" s="48"/>
      <c r="AU4" s="55" t="s">
        <v>282</v>
      </c>
      <c r="AV4" s="48" t="s">
        <v>283</v>
      </c>
    </row>
    <row r="5" spans="1:54" s="47" customFormat="1" ht="17.25" customHeight="1" x14ac:dyDescent="0.2">
      <c r="C5" s="48"/>
      <c r="D5" s="59"/>
      <c r="E5" s="51"/>
      <c r="F5" s="51"/>
      <c r="I5" s="40" t="s">
        <v>330</v>
      </c>
      <c r="K5" s="51">
        <v>45646</v>
      </c>
      <c r="L5" s="52"/>
      <c r="N5" s="59" t="s">
        <v>289</v>
      </c>
      <c r="P5" s="53" t="s">
        <v>290</v>
      </c>
      <c r="R5" s="47" t="s">
        <v>291</v>
      </c>
      <c r="S5" s="47" t="s">
        <v>292</v>
      </c>
      <c r="T5" s="45"/>
      <c r="U5" s="40" t="s">
        <v>274</v>
      </c>
      <c r="V5" s="40" t="s">
        <v>339</v>
      </c>
      <c r="W5" s="51">
        <v>45656</v>
      </c>
      <c r="X5" s="51"/>
      <c r="Y5" s="51" t="s">
        <v>279</v>
      </c>
      <c r="AA5" s="54"/>
      <c r="AB5" s="48"/>
      <c r="AC5" s="48"/>
      <c r="AD5" s="48"/>
      <c r="AE5" s="48"/>
      <c r="AF5" s="48"/>
      <c r="AG5" s="48"/>
      <c r="AH5" s="48"/>
      <c r="AI5" s="48"/>
      <c r="AJ5" s="48"/>
      <c r="AK5" s="48"/>
      <c r="AL5" s="48"/>
      <c r="AM5" s="48"/>
      <c r="AN5" s="48"/>
      <c r="AO5" s="51"/>
      <c r="AP5" s="48"/>
      <c r="AQ5" s="46" t="s">
        <v>342</v>
      </c>
      <c r="AR5" s="46">
        <v>2</v>
      </c>
      <c r="AS5" s="48"/>
      <c r="AT5" s="48"/>
      <c r="AU5" s="55"/>
      <c r="AV5" s="48"/>
    </row>
    <row r="6" spans="1:54" s="47" customFormat="1" ht="17.25" customHeight="1" x14ac:dyDescent="0.2">
      <c r="C6" s="48"/>
      <c r="D6" s="59"/>
      <c r="E6" s="51"/>
      <c r="F6" s="51"/>
      <c r="I6" s="40" t="s">
        <v>334</v>
      </c>
      <c r="K6" s="51">
        <v>45646</v>
      </c>
      <c r="L6" s="52"/>
      <c r="N6" s="59" t="s">
        <v>289</v>
      </c>
      <c r="P6" s="53" t="s">
        <v>290</v>
      </c>
      <c r="R6" s="47" t="s">
        <v>294</v>
      </c>
      <c r="S6" s="47" t="s">
        <v>295</v>
      </c>
      <c r="T6" s="45"/>
      <c r="U6" s="40" t="s">
        <v>274</v>
      </c>
      <c r="V6" s="40" t="s">
        <v>339</v>
      </c>
      <c r="W6" s="51">
        <v>45656</v>
      </c>
      <c r="X6" s="51"/>
      <c r="Y6" s="51" t="s">
        <v>279</v>
      </c>
      <c r="AA6" s="54"/>
      <c r="AB6" s="48"/>
      <c r="AC6" s="48"/>
      <c r="AD6" s="48"/>
      <c r="AE6" s="48"/>
      <c r="AF6" s="48"/>
      <c r="AG6" s="48"/>
      <c r="AH6" s="48"/>
      <c r="AI6" s="48"/>
      <c r="AJ6" s="48"/>
      <c r="AK6" s="48"/>
      <c r="AL6" s="48"/>
      <c r="AM6" s="48"/>
      <c r="AN6" s="48"/>
      <c r="AO6" s="51"/>
      <c r="AP6" s="48"/>
      <c r="AQ6" s="46" t="s">
        <v>343</v>
      </c>
      <c r="AR6" s="46">
        <v>1.8</v>
      </c>
      <c r="AS6" s="48"/>
      <c r="AT6" s="48"/>
      <c r="AU6" s="55"/>
      <c r="AV6" s="48"/>
    </row>
    <row r="7" spans="1:54" s="47" customFormat="1" ht="17.25" customHeight="1" x14ac:dyDescent="0.2">
      <c r="C7" s="48"/>
      <c r="D7" s="59"/>
      <c r="E7" s="51"/>
      <c r="F7" s="51"/>
      <c r="I7" s="40" t="s">
        <v>335</v>
      </c>
      <c r="K7" s="51">
        <v>45646</v>
      </c>
      <c r="L7" s="52"/>
      <c r="N7" s="59" t="s">
        <v>289</v>
      </c>
      <c r="P7" s="53" t="s">
        <v>290</v>
      </c>
      <c r="R7" s="47" t="s">
        <v>297</v>
      </c>
      <c r="S7" s="47" t="s">
        <v>298</v>
      </c>
      <c r="T7" s="45"/>
      <c r="U7" s="40" t="s">
        <v>274</v>
      </c>
      <c r="V7" s="40" t="s">
        <v>339</v>
      </c>
      <c r="W7" s="51">
        <v>45656</v>
      </c>
      <c r="X7" s="51"/>
      <c r="Y7" s="51" t="s">
        <v>279</v>
      </c>
      <c r="AA7" s="54"/>
      <c r="AB7" s="48"/>
      <c r="AC7" s="48"/>
      <c r="AD7" s="48"/>
      <c r="AE7" s="48"/>
      <c r="AF7" s="48"/>
      <c r="AO7" s="51"/>
      <c r="AP7" s="48"/>
      <c r="AQ7" s="46" t="s">
        <v>344</v>
      </c>
      <c r="AR7" s="46">
        <v>1.9</v>
      </c>
      <c r="AS7" s="48"/>
      <c r="AT7" s="48"/>
      <c r="AU7" s="55"/>
      <c r="AV7" s="48"/>
    </row>
    <row r="8" spans="1:54" s="180" customFormat="1" ht="17.25" customHeight="1" x14ac:dyDescent="0.3">
      <c r="A8" s="179"/>
      <c r="B8" s="59"/>
      <c r="C8" s="46"/>
      <c r="D8" s="59"/>
      <c r="E8" s="41"/>
      <c r="F8" s="41"/>
      <c r="G8" s="40"/>
      <c r="H8" s="40"/>
      <c r="I8" s="40" t="s">
        <v>336</v>
      </c>
      <c r="J8" s="40"/>
      <c r="K8" s="42"/>
      <c r="L8" s="62"/>
      <c r="M8" s="43"/>
      <c r="N8" s="59" t="s">
        <v>350</v>
      </c>
      <c r="O8" s="40"/>
      <c r="P8" s="44"/>
      <c r="Q8" s="40"/>
      <c r="R8" s="40"/>
      <c r="S8" s="40"/>
      <c r="T8" s="60"/>
      <c r="U8" s="40" t="s">
        <v>274</v>
      </c>
      <c r="V8" s="40" t="s">
        <v>339</v>
      </c>
      <c r="W8" s="41"/>
      <c r="X8" s="41"/>
      <c r="Y8" s="41"/>
      <c r="Z8" s="43"/>
      <c r="AA8" s="40"/>
      <c r="AB8" s="46"/>
      <c r="AC8" s="46"/>
      <c r="AD8" s="46"/>
      <c r="AE8" s="46"/>
      <c r="AF8" s="46"/>
      <c r="AG8" s="46"/>
      <c r="AH8" s="46"/>
      <c r="AI8" s="46"/>
      <c r="AJ8" s="46"/>
      <c r="AK8" s="46"/>
      <c r="AL8" s="46"/>
      <c r="AM8" s="46"/>
      <c r="AN8" s="46"/>
      <c r="AO8" s="63"/>
      <c r="AP8" s="59"/>
      <c r="AQ8" s="46" t="s">
        <v>346</v>
      </c>
      <c r="AR8" s="46" t="s">
        <v>345</v>
      </c>
      <c r="AS8" s="46"/>
      <c r="AT8" s="46"/>
      <c r="AU8" s="61"/>
      <c r="AV8" s="40"/>
      <c r="AW8" s="40"/>
      <c r="AX8" s="40"/>
      <c r="AY8" s="40"/>
      <c r="AZ8" s="40"/>
      <c r="BA8" s="40"/>
    </row>
    <row r="9" spans="1:54" s="47" customFormat="1" ht="17.25" customHeight="1" x14ac:dyDescent="0.2">
      <c r="C9" s="48"/>
      <c r="D9" s="59"/>
      <c r="E9" s="51"/>
      <c r="F9" s="51"/>
      <c r="I9" s="40" t="s">
        <v>337</v>
      </c>
      <c r="K9" s="51"/>
      <c r="L9" s="52"/>
      <c r="N9" s="59" t="s">
        <v>350</v>
      </c>
      <c r="P9" s="53"/>
      <c r="T9" s="45"/>
      <c r="U9" s="40" t="s">
        <v>274</v>
      </c>
      <c r="V9" s="40" t="s">
        <v>339</v>
      </c>
      <c r="W9" s="51"/>
      <c r="X9" s="51"/>
      <c r="Y9" s="51"/>
      <c r="AA9" s="54"/>
      <c r="AB9" s="48"/>
      <c r="AC9" s="48"/>
      <c r="AD9" s="48"/>
      <c r="AE9" s="48"/>
      <c r="AF9" s="48"/>
      <c r="AG9" s="48"/>
      <c r="AH9" s="48"/>
      <c r="AI9" s="48"/>
      <c r="AJ9" s="48"/>
      <c r="AK9" s="48"/>
      <c r="AL9" s="48"/>
      <c r="AM9" s="48"/>
      <c r="AN9" s="48"/>
      <c r="AO9" s="51"/>
      <c r="AP9" s="48"/>
      <c r="AQ9" s="46" t="s">
        <v>347</v>
      </c>
      <c r="AR9" s="46" t="s">
        <v>349</v>
      </c>
      <c r="AS9" s="48"/>
      <c r="AT9" s="48"/>
      <c r="AU9" s="55"/>
      <c r="AV9" s="48"/>
    </row>
    <row r="10" spans="1:54" s="47" customFormat="1" ht="17.25" customHeight="1" x14ac:dyDescent="0.2">
      <c r="C10" s="48"/>
      <c r="D10" s="59"/>
      <c r="E10" s="51"/>
      <c r="F10" s="51"/>
      <c r="I10" s="40" t="s">
        <v>338</v>
      </c>
      <c r="K10" s="51"/>
      <c r="L10" s="52"/>
      <c r="N10" s="59" t="s">
        <v>350</v>
      </c>
      <c r="P10" s="53"/>
      <c r="T10" s="45"/>
      <c r="U10" s="40" t="s">
        <v>274</v>
      </c>
      <c r="V10" s="40" t="s">
        <v>339</v>
      </c>
      <c r="W10" s="51"/>
      <c r="X10" s="51"/>
      <c r="Y10" s="51"/>
      <c r="AA10" s="54"/>
      <c r="AB10" s="48"/>
      <c r="AC10" s="48"/>
      <c r="AD10" s="48"/>
      <c r="AE10" s="48"/>
      <c r="AF10" s="48"/>
      <c r="AG10" s="48"/>
      <c r="AH10" s="48"/>
      <c r="AI10" s="48"/>
      <c r="AJ10" s="48"/>
      <c r="AK10" s="48"/>
      <c r="AL10" s="48"/>
      <c r="AM10" s="48"/>
      <c r="AN10" s="48"/>
      <c r="AO10" s="51"/>
      <c r="AP10" s="48"/>
      <c r="AQ10" s="46" t="s">
        <v>348</v>
      </c>
      <c r="AR10" s="46" t="s">
        <v>349</v>
      </c>
      <c r="AS10" s="48"/>
      <c r="AT10" s="48"/>
      <c r="AU10" s="55"/>
      <c r="AV10" s="48"/>
    </row>
    <row r="11" spans="1:54" s="47" customFormat="1" ht="17.25" customHeight="1" x14ac:dyDescent="0.2">
      <c r="C11" s="48"/>
      <c r="D11" s="59"/>
      <c r="E11" s="51"/>
      <c r="F11" s="51"/>
      <c r="I11" s="40"/>
      <c r="K11" s="51"/>
      <c r="L11" s="52"/>
      <c r="N11" s="59"/>
      <c r="P11" s="53"/>
      <c r="T11" s="45"/>
      <c r="V11" s="40"/>
      <c r="W11" s="51"/>
      <c r="X11" s="51"/>
      <c r="Y11" s="51"/>
      <c r="AA11" s="54"/>
      <c r="AB11" s="48"/>
      <c r="AC11" s="48"/>
      <c r="AD11" s="48"/>
      <c r="AE11" s="48"/>
      <c r="AF11" s="48"/>
      <c r="AG11" s="48"/>
      <c r="AH11" s="48"/>
      <c r="AI11" s="48"/>
      <c r="AJ11" s="48"/>
      <c r="AK11" s="48"/>
      <c r="AL11" s="48"/>
      <c r="AM11" s="48"/>
      <c r="AN11" s="48"/>
      <c r="AO11" s="51"/>
      <c r="AP11" s="48"/>
      <c r="AQ11" s="46"/>
      <c r="AR11" s="46"/>
      <c r="AS11" s="48"/>
      <c r="AT11" s="48"/>
      <c r="AU11" s="55"/>
      <c r="AV11" s="48"/>
    </row>
    <row r="12" spans="1:54" s="47" customFormat="1" ht="17.25" customHeight="1" x14ac:dyDescent="0.2">
      <c r="C12" s="48"/>
      <c r="D12" s="59"/>
      <c r="E12" s="51"/>
      <c r="F12" s="51"/>
      <c r="I12" s="40"/>
      <c r="K12" s="51"/>
      <c r="L12" s="52"/>
      <c r="N12" s="59"/>
      <c r="P12" s="53"/>
      <c r="T12" s="45"/>
      <c r="V12" s="40"/>
      <c r="W12" s="51"/>
      <c r="X12" s="51"/>
      <c r="Y12" s="51"/>
      <c r="AA12" s="54"/>
      <c r="AB12" s="48"/>
      <c r="AC12" s="48"/>
      <c r="AD12" s="48"/>
      <c r="AE12" s="48"/>
      <c r="AF12" s="48"/>
      <c r="AO12" s="51"/>
      <c r="AP12" s="48"/>
      <c r="AQ12" s="46"/>
      <c r="AR12" s="46"/>
      <c r="AS12" s="48"/>
      <c r="AT12" s="48"/>
      <c r="AU12" s="55"/>
      <c r="AV12" s="48"/>
    </row>
    <row r="13" spans="1:54" s="180" customFormat="1" ht="17.25" customHeight="1" x14ac:dyDescent="0.3">
      <c r="A13" s="179"/>
      <c r="B13" s="59"/>
      <c r="C13" s="46"/>
      <c r="D13" s="59"/>
      <c r="E13" s="41"/>
      <c r="F13" s="41"/>
      <c r="G13" s="40"/>
      <c r="H13" s="40"/>
      <c r="I13" s="40"/>
      <c r="J13" s="40"/>
      <c r="K13" s="42"/>
      <c r="L13" s="62"/>
      <c r="M13" s="43"/>
      <c r="N13" s="59"/>
      <c r="O13" s="40"/>
      <c r="P13" s="44"/>
      <c r="Q13" s="40"/>
      <c r="R13" s="40"/>
      <c r="S13" s="40"/>
      <c r="T13" s="60"/>
      <c r="U13" s="40"/>
      <c r="V13" s="40"/>
      <c r="W13" s="41"/>
      <c r="X13" s="41"/>
      <c r="Y13" s="41"/>
      <c r="Z13" s="43"/>
      <c r="AA13" s="40"/>
      <c r="AB13" s="46"/>
      <c r="AC13" s="46"/>
      <c r="AD13" s="46"/>
      <c r="AE13" s="46"/>
      <c r="AF13" s="46"/>
      <c r="AG13" s="46"/>
      <c r="AH13" s="46"/>
      <c r="AI13" s="46"/>
      <c r="AJ13" s="46"/>
      <c r="AK13" s="46"/>
      <c r="AL13" s="46"/>
      <c r="AM13" s="46"/>
      <c r="AN13" s="46"/>
      <c r="AO13" s="63"/>
      <c r="AP13" s="59"/>
      <c r="AQ13" s="46"/>
      <c r="AR13" s="46"/>
      <c r="AS13" s="46"/>
      <c r="AT13" s="46"/>
      <c r="AU13" s="61"/>
      <c r="AV13" s="40"/>
      <c r="AW13" s="40"/>
      <c r="AX13" s="40"/>
      <c r="AY13" s="40"/>
      <c r="AZ13" s="40"/>
      <c r="BA13" s="40"/>
    </row>
    <row r="14" spans="1:54" s="47" customFormat="1" ht="17.25" customHeight="1" x14ac:dyDescent="0.2">
      <c r="C14" s="48"/>
      <c r="D14" s="59"/>
      <c r="E14" s="51"/>
      <c r="F14" s="51"/>
      <c r="I14" s="40"/>
      <c r="K14" s="51"/>
      <c r="L14" s="52"/>
      <c r="N14" s="59"/>
      <c r="P14" s="53"/>
      <c r="T14" s="45"/>
      <c r="V14" s="40"/>
      <c r="W14" s="51"/>
      <c r="X14" s="51"/>
      <c r="Y14" s="51"/>
      <c r="AA14" s="54"/>
      <c r="AB14" s="48"/>
      <c r="AC14" s="48"/>
      <c r="AD14" s="48"/>
      <c r="AE14" s="48"/>
      <c r="AF14" s="48"/>
      <c r="AG14" s="48"/>
      <c r="AH14" s="48"/>
      <c r="AI14" s="48"/>
      <c r="AJ14" s="48"/>
      <c r="AK14" s="48"/>
      <c r="AL14" s="48"/>
      <c r="AM14" s="48"/>
      <c r="AN14" s="48"/>
      <c r="AO14" s="51"/>
      <c r="AP14" s="48"/>
      <c r="AQ14" s="46"/>
      <c r="AR14" s="46"/>
      <c r="AS14" s="48"/>
      <c r="AT14" s="48"/>
      <c r="AU14" s="55"/>
      <c r="AV14" s="48"/>
    </row>
    <row r="15" spans="1:54" s="47" customFormat="1" ht="17.25" customHeight="1" x14ac:dyDescent="0.2">
      <c r="C15" s="48"/>
      <c r="D15" s="59"/>
      <c r="E15" s="51"/>
      <c r="F15" s="51"/>
      <c r="I15" s="40"/>
      <c r="K15" s="51"/>
      <c r="L15" s="52"/>
      <c r="N15" s="59"/>
      <c r="P15" s="53"/>
      <c r="T15" s="45"/>
      <c r="V15" s="40"/>
      <c r="W15" s="51"/>
      <c r="X15" s="51"/>
      <c r="Y15" s="51"/>
      <c r="AA15" s="54"/>
      <c r="AB15" s="48"/>
      <c r="AC15" s="48"/>
      <c r="AD15" s="48"/>
      <c r="AE15" s="48"/>
      <c r="AF15" s="48"/>
      <c r="AG15" s="48"/>
      <c r="AH15" s="48"/>
      <c r="AI15" s="48"/>
      <c r="AJ15" s="48"/>
      <c r="AK15" s="48"/>
      <c r="AL15" s="48"/>
      <c r="AM15" s="48"/>
      <c r="AN15" s="48"/>
      <c r="AO15" s="51"/>
      <c r="AP15" s="48"/>
      <c r="AQ15" s="46"/>
      <c r="AR15" s="46"/>
      <c r="AS15" s="48"/>
      <c r="AT15" s="48"/>
      <c r="AU15" s="55"/>
      <c r="AV15" s="48"/>
    </row>
    <row r="16" spans="1:54" s="47" customFormat="1" ht="17.25" customHeight="1" x14ac:dyDescent="0.2">
      <c r="C16" s="48"/>
      <c r="D16" s="59"/>
      <c r="E16" s="51"/>
      <c r="F16" s="51"/>
      <c r="I16" s="40"/>
      <c r="K16" s="51"/>
      <c r="L16" s="52"/>
      <c r="N16" s="59"/>
      <c r="P16" s="53"/>
      <c r="T16" s="45"/>
      <c r="V16" s="40"/>
      <c r="W16" s="51"/>
      <c r="X16" s="51"/>
      <c r="Y16" s="51"/>
      <c r="AA16" s="54"/>
      <c r="AB16" s="48"/>
      <c r="AC16" s="48"/>
      <c r="AD16" s="48"/>
      <c r="AE16" s="48"/>
      <c r="AF16" s="48"/>
      <c r="AG16" s="48"/>
      <c r="AH16" s="48"/>
      <c r="AI16" s="48"/>
      <c r="AJ16" s="48"/>
      <c r="AK16" s="48"/>
      <c r="AL16" s="48"/>
      <c r="AM16" s="48"/>
      <c r="AN16" s="48"/>
      <c r="AO16" s="51"/>
      <c r="AP16" s="48"/>
      <c r="AQ16" s="46"/>
      <c r="AR16" s="46"/>
      <c r="AS16" s="48"/>
      <c r="AT16" s="48"/>
      <c r="AU16" s="55"/>
      <c r="AV16" s="48"/>
    </row>
    <row r="17" spans="1:54" s="47" customFormat="1" ht="17.25" customHeight="1" x14ac:dyDescent="0.2">
      <c r="C17" s="48"/>
      <c r="D17" s="59"/>
      <c r="E17" s="51"/>
      <c r="F17" s="51"/>
      <c r="I17" s="40"/>
      <c r="K17" s="51"/>
      <c r="L17" s="52"/>
      <c r="N17" s="59"/>
      <c r="P17" s="53"/>
      <c r="T17" s="45"/>
      <c r="V17" s="40"/>
      <c r="W17" s="51"/>
      <c r="X17" s="51"/>
      <c r="Y17" s="51"/>
      <c r="AA17" s="54"/>
      <c r="AB17" s="48"/>
      <c r="AC17" s="48"/>
      <c r="AD17" s="48"/>
      <c r="AE17" s="48"/>
      <c r="AF17" s="48"/>
      <c r="AG17" s="48"/>
      <c r="AH17" s="48"/>
      <c r="AI17" s="48"/>
      <c r="AJ17" s="48"/>
      <c r="AK17" s="48"/>
      <c r="AL17" s="48"/>
      <c r="AM17" s="48"/>
      <c r="AN17" s="48"/>
      <c r="AO17" s="51"/>
      <c r="AP17" s="48"/>
      <c r="AQ17" s="46"/>
      <c r="AR17" s="46"/>
      <c r="AS17" s="48"/>
      <c r="AT17" s="48"/>
      <c r="AU17" s="55"/>
      <c r="AV17" s="48"/>
    </row>
    <row r="18" spans="1:54" s="47" customFormat="1" ht="17.25" customHeight="1" x14ac:dyDescent="0.2">
      <c r="C18" s="48"/>
      <c r="D18" s="59"/>
      <c r="E18" s="51"/>
      <c r="F18" s="51"/>
      <c r="I18" s="40"/>
      <c r="K18" s="51"/>
      <c r="L18" s="52"/>
      <c r="N18" s="59"/>
      <c r="P18" s="53"/>
      <c r="T18" s="45"/>
      <c r="V18" s="40"/>
      <c r="W18" s="51"/>
      <c r="X18" s="51"/>
      <c r="Y18" s="51"/>
      <c r="AA18" s="54"/>
      <c r="AB18" s="48"/>
      <c r="AC18" s="48"/>
      <c r="AD18" s="48"/>
      <c r="AE18" s="48"/>
      <c r="AF18" s="48"/>
      <c r="AO18" s="51"/>
      <c r="AP18" s="48"/>
      <c r="AQ18" s="46"/>
      <c r="AR18" s="46"/>
      <c r="AS18" s="48"/>
      <c r="AT18" s="48"/>
      <c r="AU18" s="55"/>
      <c r="AV18" s="48"/>
    </row>
    <row r="19" spans="1:54" s="180" customFormat="1" ht="17.25" customHeight="1" x14ac:dyDescent="0.2">
      <c r="A19" s="179"/>
      <c r="B19" s="59"/>
      <c r="C19" s="46"/>
      <c r="D19" s="59"/>
      <c r="E19" s="41"/>
      <c r="F19" s="41"/>
      <c r="G19" s="40"/>
      <c r="H19" s="40"/>
      <c r="I19" s="40"/>
      <c r="J19" s="40"/>
      <c r="K19" s="42"/>
      <c r="L19" s="62"/>
      <c r="M19" s="43"/>
      <c r="N19" s="59"/>
      <c r="O19" s="40"/>
      <c r="P19" s="44"/>
      <c r="Q19" s="40"/>
      <c r="R19" s="40"/>
      <c r="S19" s="40"/>
      <c r="T19" s="60"/>
      <c r="U19" s="40"/>
      <c r="V19" s="40"/>
      <c r="W19" s="51"/>
      <c r="X19" s="41"/>
      <c r="Y19" s="41"/>
      <c r="Z19" s="43"/>
      <c r="AA19" s="40"/>
      <c r="AB19" s="46"/>
      <c r="AC19" s="46"/>
      <c r="AD19" s="46"/>
      <c r="AE19" s="46"/>
      <c r="AF19" s="46"/>
      <c r="AG19" s="46"/>
      <c r="AH19" s="46"/>
      <c r="AI19" s="46"/>
      <c r="AJ19" s="46"/>
      <c r="AK19" s="46"/>
      <c r="AL19" s="46"/>
      <c r="AM19" s="46"/>
      <c r="AN19" s="46"/>
      <c r="AO19" s="63"/>
      <c r="AP19" s="59"/>
      <c r="AQ19" s="46"/>
      <c r="AR19" s="46"/>
      <c r="AS19" s="46"/>
      <c r="AT19" s="46"/>
      <c r="AU19" s="61"/>
      <c r="AV19" s="40"/>
      <c r="AW19" s="40"/>
      <c r="AX19" s="40"/>
      <c r="AY19" s="40"/>
      <c r="AZ19" s="40"/>
      <c r="BA19" s="40"/>
    </row>
    <row r="20" spans="1:54" s="47" customFormat="1" ht="17.25" customHeight="1" x14ac:dyDescent="0.2">
      <c r="C20" s="48"/>
      <c r="D20" s="59"/>
      <c r="E20" s="51"/>
      <c r="F20" s="51"/>
      <c r="I20" s="40"/>
      <c r="K20" s="51"/>
      <c r="L20" s="52"/>
      <c r="N20" s="59"/>
      <c r="P20" s="53"/>
      <c r="T20" s="45"/>
      <c r="V20" s="40"/>
      <c r="W20" s="51"/>
      <c r="X20" s="51"/>
      <c r="Y20" s="51"/>
      <c r="AA20" s="54"/>
      <c r="AB20" s="48"/>
      <c r="AC20" s="48"/>
      <c r="AD20" s="48"/>
      <c r="AE20" s="48"/>
      <c r="AF20" s="48"/>
      <c r="AG20" s="48"/>
      <c r="AH20" s="48"/>
      <c r="AI20" s="48"/>
      <c r="AJ20" s="48"/>
      <c r="AK20" s="48"/>
      <c r="AL20" s="48"/>
      <c r="AM20" s="48"/>
      <c r="AN20" s="48"/>
      <c r="AO20" s="51"/>
      <c r="AP20" s="48"/>
      <c r="AQ20" s="46"/>
      <c r="AR20" s="46"/>
      <c r="AS20" s="48"/>
      <c r="AT20" s="48"/>
      <c r="AU20" s="55"/>
      <c r="AV20" s="48"/>
    </row>
    <row r="21" spans="1:54" s="47" customFormat="1" ht="17.25" customHeight="1" x14ac:dyDescent="0.2">
      <c r="C21" s="48"/>
      <c r="D21" s="59"/>
      <c r="E21" s="51"/>
      <c r="F21" s="51"/>
      <c r="I21" s="40"/>
      <c r="K21" s="51"/>
      <c r="L21" s="52"/>
      <c r="N21" s="59"/>
      <c r="P21" s="53"/>
      <c r="T21" s="45"/>
      <c r="V21" s="40"/>
      <c r="W21" s="51"/>
      <c r="X21" s="51"/>
      <c r="Y21" s="51"/>
      <c r="AA21" s="54"/>
      <c r="AB21" s="48"/>
      <c r="AC21" s="48"/>
      <c r="AD21" s="48"/>
      <c r="AE21" s="48"/>
      <c r="AF21" s="48"/>
      <c r="AG21" s="48"/>
      <c r="AH21" s="48"/>
      <c r="AI21" s="48"/>
      <c r="AJ21" s="48"/>
      <c r="AK21" s="48"/>
      <c r="AL21" s="48"/>
      <c r="AM21" s="48"/>
      <c r="AN21" s="48"/>
      <c r="AO21" s="51"/>
      <c r="AP21" s="48"/>
      <c r="AQ21" s="46"/>
      <c r="AR21" s="46"/>
      <c r="AS21" s="48"/>
      <c r="AT21" s="48"/>
      <c r="AU21" s="55"/>
      <c r="AV21" s="48"/>
    </row>
    <row r="22" spans="1:54" s="47" customFormat="1" ht="17.25" customHeight="1" x14ac:dyDescent="0.2">
      <c r="C22" s="48"/>
      <c r="D22" s="59"/>
      <c r="E22" s="51"/>
      <c r="F22" s="51"/>
      <c r="I22" s="40"/>
      <c r="K22" s="51"/>
      <c r="L22" s="52"/>
      <c r="N22" s="59"/>
      <c r="P22" s="53"/>
      <c r="T22" s="45"/>
      <c r="V22" s="40"/>
      <c r="W22" s="51"/>
      <c r="X22" s="51"/>
      <c r="Y22" s="51"/>
      <c r="AA22" s="54"/>
      <c r="AB22" s="48"/>
      <c r="AC22" s="48"/>
      <c r="AD22" s="48"/>
      <c r="AE22" s="48"/>
      <c r="AF22" s="48"/>
      <c r="AG22" s="48"/>
      <c r="AH22" s="48"/>
      <c r="AI22" s="48"/>
      <c r="AJ22" s="48"/>
      <c r="AK22" s="48"/>
      <c r="AL22" s="48"/>
      <c r="AM22" s="48"/>
      <c r="AN22" s="48"/>
      <c r="AO22" s="51"/>
      <c r="AP22" s="48"/>
      <c r="AQ22" s="46"/>
      <c r="AR22" s="46"/>
      <c r="AS22" s="48"/>
      <c r="AT22" s="48"/>
      <c r="AU22" s="55"/>
      <c r="AV22" s="48"/>
    </row>
    <row r="23" spans="1:54" s="47" customFormat="1" ht="17.25" customHeight="1" x14ac:dyDescent="0.2">
      <c r="C23" s="48"/>
      <c r="D23" s="59"/>
      <c r="E23" s="51"/>
      <c r="F23" s="51"/>
      <c r="I23" s="40"/>
      <c r="K23" s="51"/>
      <c r="L23" s="52"/>
      <c r="N23" s="59"/>
      <c r="P23" s="53"/>
      <c r="T23" s="45"/>
      <c r="V23" s="40"/>
      <c r="W23" s="51"/>
      <c r="X23" s="51"/>
      <c r="Y23" s="51"/>
      <c r="AA23" s="54"/>
      <c r="AB23" s="48"/>
      <c r="AC23" s="48"/>
      <c r="AD23" s="48"/>
      <c r="AE23" s="48"/>
      <c r="AF23" s="48"/>
      <c r="AO23" s="51"/>
      <c r="AP23" s="48"/>
      <c r="AQ23" s="46"/>
      <c r="AR23" s="46"/>
      <c r="AS23" s="48"/>
      <c r="AT23" s="48"/>
      <c r="AU23" s="55"/>
      <c r="AV23" s="48"/>
    </row>
    <row r="24" spans="1:54" s="180" customFormat="1" ht="17.25" customHeight="1" x14ac:dyDescent="0.3">
      <c r="A24" s="179"/>
      <c r="B24" s="59"/>
      <c r="C24" s="46"/>
      <c r="D24" s="59"/>
      <c r="E24" s="41"/>
      <c r="F24" s="41"/>
      <c r="G24" s="40"/>
      <c r="H24" s="40"/>
      <c r="I24" s="40"/>
      <c r="J24" s="40"/>
      <c r="K24" s="42"/>
      <c r="L24" s="62"/>
      <c r="M24" s="43"/>
      <c r="N24" s="59"/>
      <c r="O24" s="40"/>
      <c r="P24" s="44"/>
      <c r="Q24" s="40"/>
      <c r="R24" s="40"/>
      <c r="S24" s="40"/>
      <c r="T24" s="60"/>
      <c r="U24" s="40"/>
      <c r="V24" s="40"/>
      <c r="W24" s="41"/>
      <c r="X24" s="41"/>
      <c r="Y24" s="41"/>
      <c r="Z24" s="43"/>
      <c r="AA24" s="40"/>
      <c r="AB24" s="46"/>
      <c r="AC24" s="46"/>
      <c r="AD24" s="46"/>
      <c r="AE24" s="46"/>
      <c r="AF24" s="46"/>
      <c r="AG24" s="46"/>
      <c r="AH24" s="46"/>
      <c r="AI24" s="46"/>
      <c r="AJ24" s="46"/>
      <c r="AK24" s="46"/>
      <c r="AL24" s="46"/>
      <c r="AM24" s="46"/>
      <c r="AN24" s="46"/>
      <c r="AO24" s="63"/>
      <c r="AP24" s="59"/>
      <c r="AQ24" s="46"/>
      <c r="AR24" s="46"/>
      <c r="AS24" s="46"/>
      <c r="AT24" s="46"/>
      <c r="AU24" s="61"/>
      <c r="AV24" s="40"/>
      <c r="AW24" s="40"/>
      <c r="AX24" s="40"/>
      <c r="AY24" s="40"/>
      <c r="AZ24" s="40"/>
      <c r="BA24" s="40"/>
    </row>
    <row r="25" spans="1:54" s="33" customFormat="1" ht="15.75" customHeight="1" x14ac:dyDescent="0.3">
      <c r="A25" s="19"/>
      <c r="B25" s="22"/>
      <c r="C25" s="20"/>
      <c r="D25" s="59"/>
      <c r="E25" s="18"/>
      <c r="F25" s="18"/>
      <c r="G25" s="19"/>
      <c r="H25" s="19"/>
      <c r="I25" s="40"/>
      <c r="J25" s="18"/>
      <c r="K25" s="18"/>
      <c r="L25" s="32"/>
      <c r="M25" s="32"/>
      <c r="N25" s="39"/>
      <c r="O25" s="19"/>
      <c r="P25" s="19"/>
      <c r="Q25" s="32"/>
      <c r="R25" s="32"/>
      <c r="S25" s="32"/>
      <c r="T25" s="176"/>
      <c r="U25" s="19"/>
      <c r="V25" s="47"/>
      <c r="W25" s="32"/>
      <c r="X25" s="18"/>
      <c r="Y25" s="32"/>
      <c r="Z25" s="32"/>
      <c r="AA25" s="32"/>
      <c r="AB25" s="32"/>
      <c r="AC25" s="32"/>
      <c r="AD25" s="32"/>
      <c r="AE25" s="32"/>
      <c r="AF25" s="32"/>
      <c r="AG25" s="32"/>
      <c r="AH25" s="32"/>
      <c r="AI25" s="32"/>
      <c r="AJ25" s="32"/>
      <c r="AK25" s="32"/>
      <c r="AL25" s="32"/>
      <c r="AM25" s="32"/>
      <c r="AN25" s="32"/>
      <c r="AO25" s="32"/>
      <c r="AP25" s="32"/>
      <c r="AQ25" s="46"/>
      <c r="AR25" s="46"/>
      <c r="AS25" s="32"/>
      <c r="AT25" s="32"/>
    </row>
    <row r="26" spans="1:54" x14ac:dyDescent="0.3">
      <c r="A26" s="19"/>
      <c r="B26" s="19"/>
      <c r="C26" s="20"/>
      <c r="D26" s="59"/>
      <c r="E26" s="18"/>
      <c r="F26" s="18"/>
      <c r="G26" s="19"/>
      <c r="H26" s="19"/>
      <c r="I26" s="40"/>
      <c r="J26" s="19"/>
      <c r="K26" s="32"/>
      <c r="L26" s="32"/>
      <c r="M26" s="32"/>
      <c r="N26" s="19"/>
      <c r="O26" s="32"/>
      <c r="P26" s="32"/>
      <c r="Q26" s="32"/>
      <c r="R26" s="32"/>
      <c r="S26" s="32"/>
      <c r="T26" s="176"/>
      <c r="U26" s="32"/>
      <c r="V26" s="32"/>
      <c r="W26" s="32"/>
      <c r="X26" s="32"/>
      <c r="Y26" s="32"/>
      <c r="Z26" s="32"/>
      <c r="AA26" s="32"/>
      <c r="AB26" s="32"/>
      <c r="AC26" s="32"/>
      <c r="AD26" s="32"/>
      <c r="AE26" s="32"/>
      <c r="AF26" s="32"/>
      <c r="AG26" s="32"/>
      <c r="AH26" s="32"/>
      <c r="AI26" s="32"/>
      <c r="AJ26" s="32"/>
      <c r="AK26" s="32"/>
      <c r="AL26" s="32"/>
      <c r="AM26" s="32"/>
      <c r="AN26" s="32"/>
      <c r="AO26" s="32"/>
      <c r="AP26" s="32"/>
      <c r="AQ26" s="46"/>
      <c r="AR26" s="46"/>
      <c r="AS26" s="32"/>
      <c r="AT26" s="32"/>
      <c r="AU26" s="32"/>
      <c r="AV26" s="32"/>
      <c r="AW26" s="32"/>
      <c r="AX26" s="32"/>
      <c r="AY26" s="32"/>
      <c r="AZ26" s="32"/>
      <c r="BA26" s="32"/>
      <c r="BB26" s="32"/>
    </row>
    <row r="27" spans="1:54" x14ac:dyDescent="0.3">
      <c r="A27" s="19"/>
      <c r="B27" s="19"/>
      <c r="C27" s="20"/>
      <c r="D27" s="59"/>
      <c r="E27" s="18"/>
      <c r="F27" s="18"/>
      <c r="G27" s="19"/>
      <c r="H27" s="19"/>
      <c r="I27" s="40"/>
      <c r="J27" s="19"/>
      <c r="K27" s="32"/>
      <c r="L27" s="32"/>
      <c r="M27" s="32"/>
      <c r="N27" s="19"/>
      <c r="O27" s="32"/>
      <c r="P27" s="32"/>
      <c r="Q27" s="32"/>
      <c r="R27" s="32"/>
      <c r="S27" s="32"/>
      <c r="T27" s="176"/>
      <c r="U27" s="32"/>
      <c r="V27" s="32"/>
      <c r="W27" s="32"/>
      <c r="X27" s="32"/>
      <c r="Y27" s="32"/>
      <c r="Z27" s="32"/>
      <c r="AA27" s="32"/>
      <c r="AB27" s="32"/>
      <c r="AC27" s="32"/>
      <c r="AD27" s="32"/>
      <c r="AE27" s="32"/>
      <c r="AF27" s="32"/>
      <c r="AG27" s="32"/>
      <c r="AH27" s="32"/>
      <c r="AI27" s="32"/>
      <c r="AJ27" s="32"/>
      <c r="AK27" s="32"/>
      <c r="AL27" s="32"/>
      <c r="AM27" s="32"/>
      <c r="AN27" s="32"/>
      <c r="AO27" s="32"/>
      <c r="AP27" s="32"/>
      <c r="AQ27" s="46"/>
      <c r="AR27" s="46"/>
      <c r="AS27" s="32"/>
      <c r="AT27" s="32"/>
      <c r="AU27" s="32"/>
      <c r="AV27" s="32"/>
      <c r="AW27" s="32"/>
      <c r="AX27" s="32"/>
      <c r="AY27" s="32"/>
      <c r="AZ27" s="32"/>
      <c r="BA27" s="32"/>
      <c r="BB27" s="32"/>
    </row>
    <row r="28" spans="1:54" x14ac:dyDescent="0.3">
      <c r="A28" s="19"/>
      <c r="B28" s="19"/>
      <c r="C28" s="20"/>
      <c r="D28" s="59"/>
      <c r="E28" s="18"/>
      <c r="F28" s="18"/>
      <c r="G28" s="19"/>
      <c r="H28" s="19"/>
      <c r="I28" s="40"/>
      <c r="J28" s="19"/>
      <c r="K28" s="32"/>
      <c r="L28" s="32"/>
      <c r="M28" s="32"/>
      <c r="N28" s="19"/>
      <c r="O28" s="32"/>
      <c r="P28" s="32"/>
      <c r="Q28" s="32"/>
      <c r="R28" s="32"/>
      <c r="S28" s="32"/>
      <c r="T28" s="176"/>
      <c r="U28" s="32"/>
      <c r="V28" s="32"/>
      <c r="W28" s="32"/>
      <c r="X28" s="32"/>
      <c r="Y28" s="32"/>
      <c r="Z28" s="32"/>
      <c r="AA28" s="32"/>
      <c r="AB28" s="32"/>
      <c r="AC28" s="32"/>
      <c r="AD28" s="32"/>
      <c r="AE28" s="32"/>
      <c r="AF28" s="32"/>
      <c r="AG28" s="32"/>
      <c r="AH28" s="32"/>
      <c r="AI28" s="32"/>
      <c r="AJ28" s="32"/>
      <c r="AK28" s="32"/>
      <c r="AL28" s="32"/>
      <c r="AM28" s="32"/>
      <c r="AN28" s="32"/>
      <c r="AO28" s="32"/>
      <c r="AP28" s="32"/>
      <c r="AQ28" s="46"/>
      <c r="AR28" s="46"/>
      <c r="AS28" s="32"/>
      <c r="AT28" s="32"/>
      <c r="AU28" s="32"/>
      <c r="AV28" s="32"/>
      <c r="AW28" s="32"/>
      <c r="AX28" s="32"/>
      <c r="AY28" s="32"/>
      <c r="AZ28" s="32"/>
      <c r="BA28" s="32"/>
      <c r="BB28" s="32"/>
    </row>
    <row r="29" spans="1:54" x14ac:dyDescent="0.3">
      <c r="A29" s="19"/>
      <c r="B29" s="19"/>
      <c r="C29" s="20"/>
      <c r="D29" s="59"/>
      <c r="E29" s="18"/>
      <c r="F29" s="18"/>
      <c r="G29" s="19"/>
      <c r="H29" s="19"/>
      <c r="I29" s="40"/>
      <c r="J29" s="19"/>
      <c r="K29" s="32"/>
      <c r="L29" s="32"/>
      <c r="M29" s="32"/>
      <c r="N29" s="19"/>
      <c r="O29" s="32"/>
      <c r="P29" s="32"/>
      <c r="Q29" s="32"/>
      <c r="R29" s="32"/>
      <c r="S29" s="32"/>
      <c r="T29" s="176"/>
      <c r="U29" s="32"/>
      <c r="V29" s="32"/>
      <c r="W29" s="32"/>
      <c r="X29" s="32"/>
      <c r="Y29" s="32"/>
      <c r="Z29" s="32"/>
      <c r="AA29" s="32"/>
      <c r="AB29" s="32"/>
      <c r="AC29" s="32"/>
      <c r="AD29" s="32"/>
      <c r="AE29" s="32"/>
      <c r="AF29" s="32"/>
      <c r="AG29" s="32"/>
      <c r="AH29" s="32"/>
      <c r="AI29" s="32"/>
      <c r="AJ29" s="32"/>
      <c r="AK29" s="32"/>
      <c r="AL29" s="32"/>
      <c r="AM29" s="32"/>
      <c r="AN29" s="32"/>
      <c r="AO29" s="32"/>
      <c r="AP29" s="32"/>
      <c r="AQ29" s="46"/>
      <c r="AR29" s="46"/>
      <c r="AS29" s="32"/>
      <c r="AT29" s="32"/>
      <c r="AU29" s="32"/>
      <c r="AV29" s="32"/>
      <c r="AW29" s="32"/>
      <c r="AX29" s="32"/>
      <c r="AY29" s="32"/>
      <c r="AZ29" s="32"/>
      <c r="BA29" s="32"/>
      <c r="BB29" s="32"/>
    </row>
    <row r="30" spans="1:54" x14ac:dyDescent="0.3">
      <c r="A30" s="19"/>
      <c r="B30" s="19"/>
      <c r="C30" s="20"/>
      <c r="D30" s="59"/>
      <c r="E30" s="18"/>
      <c r="F30" s="18"/>
      <c r="G30" s="19"/>
      <c r="H30" s="19"/>
      <c r="I30" s="40"/>
      <c r="J30" s="19"/>
      <c r="K30" s="32"/>
      <c r="L30" s="32"/>
      <c r="M30" s="32"/>
      <c r="N30" s="19"/>
      <c r="O30" s="32"/>
      <c r="P30" s="32"/>
      <c r="Q30" s="32"/>
      <c r="R30" s="32"/>
      <c r="S30" s="32"/>
      <c r="T30" s="176"/>
      <c r="U30" s="32"/>
      <c r="V30" s="32"/>
      <c r="W30" s="32"/>
      <c r="X30" s="32"/>
      <c r="Y30" s="32"/>
      <c r="Z30" s="32"/>
      <c r="AA30" s="32"/>
      <c r="AB30" s="32"/>
      <c r="AC30" s="32"/>
      <c r="AD30" s="32"/>
      <c r="AE30" s="32"/>
      <c r="AF30" s="32"/>
      <c r="AG30" s="32"/>
      <c r="AH30" s="32"/>
      <c r="AI30" s="32"/>
      <c r="AJ30" s="32"/>
      <c r="AK30" s="32"/>
      <c r="AL30" s="32"/>
      <c r="AM30" s="32"/>
      <c r="AN30" s="32"/>
      <c r="AO30" s="32"/>
      <c r="AP30" s="32"/>
      <c r="AQ30" s="46"/>
      <c r="AR30" s="46"/>
      <c r="AS30" s="32"/>
      <c r="AT30" s="32"/>
      <c r="AU30" s="32"/>
      <c r="AV30" s="32"/>
      <c r="AW30" s="32"/>
      <c r="AX30" s="32"/>
      <c r="AY30" s="32"/>
      <c r="AZ30" s="32"/>
      <c r="BA30" s="32"/>
      <c r="BB30" s="32"/>
    </row>
    <row r="31" spans="1:54" x14ac:dyDescent="0.3">
      <c r="A31" s="19"/>
      <c r="B31" s="19"/>
      <c r="C31" s="20"/>
      <c r="D31" s="59"/>
      <c r="E31" s="18"/>
      <c r="F31" s="18"/>
      <c r="G31" s="19"/>
      <c r="H31" s="19"/>
      <c r="I31" s="40"/>
      <c r="J31" s="19"/>
      <c r="K31" s="32"/>
      <c r="L31" s="32"/>
      <c r="M31" s="32"/>
      <c r="N31" s="19"/>
      <c r="O31" s="32"/>
      <c r="P31" s="32"/>
      <c r="Q31" s="32"/>
      <c r="R31" s="32"/>
      <c r="S31" s="32"/>
      <c r="T31" s="176"/>
      <c r="U31" s="32"/>
      <c r="V31" s="32"/>
      <c r="W31" s="32"/>
      <c r="X31" s="32"/>
      <c r="Y31" s="32"/>
      <c r="Z31" s="32"/>
      <c r="AA31" s="32"/>
      <c r="AB31" s="32"/>
      <c r="AC31" s="32"/>
      <c r="AD31" s="32"/>
      <c r="AE31" s="32"/>
      <c r="AF31" s="32"/>
      <c r="AG31" s="32"/>
      <c r="AH31" s="32"/>
      <c r="AI31" s="32"/>
      <c r="AJ31" s="32"/>
      <c r="AK31" s="32"/>
      <c r="AL31" s="32"/>
      <c r="AM31" s="32"/>
      <c r="AN31" s="32"/>
      <c r="AO31" s="32"/>
      <c r="AP31" s="32"/>
      <c r="AQ31" s="46"/>
      <c r="AR31" s="46"/>
      <c r="AS31" s="32"/>
      <c r="AT31" s="32"/>
      <c r="AU31" s="32"/>
      <c r="AV31" s="32"/>
      <c r="AW31" s="32"/>
      <c r="AX31" s="32"/>
      <c r="AY31" s="32"/>
      <c r="AZ31" s="32"/>
      <c r="BA31" s="32"/>
      <c r="BB31" s="32"/>
    </row>
    <row r="32" spans="1:54" x14ac:dyDescent="0.3">
      <c r="A32" s="19"/>
      <c r="B32" s="19"/>
      <c r="C32" s="20"/>
      <c r="D32" s="59"/>
      <c r="E32" s="18"/>
      <c r="F32" s="18"/>
      <c r="G32" s="19"/>
      <c r="H32" s="19"/>
      <c r="I32" s="40"/>
      <c r="J32" s="19"/>
      <c r="K32" s="32"/>
      <c r="L32" s="32"/>
      <c r="M32" s="32"/>
      <c r="N32" s="19"/>
      <c r="O32" s="32"/>
      <c r="P32" s="32"/>
      <c r="Q32" s="32"/>
      <c r="R32" s="32"/>
      <c r="S32" s="32"/>
      <c r="T32" s="176"/>
      <c r="U32" s="32"/>
      <c r="V32" s="32"/>
      <c r="W32" s="32"/>
      <c r="X32" s="32"/>
      <c r="Y32" s="32"/>
      <c r="Z32" s="32"/>
      <c r="AA32" s="32"/>
      <c r="AB32" s="32"/>
      <c r="AC32" s="32"/>
      <c r="AD32" s="32"/>
      <c r="AE32" s="32"/>
      <c r="AF32" s="32"/>
      <c r="AG32" s="32"/>
      <c r="AH32" s="32"/>
      <c r="AI32" s="32"/>
      <c r="AJ32" s="32"/>
      <c r="AK32" s="32"/>
      <c r="AL32" s="32"/>
      <c r="AM32" s="32"/>
      <c r="AN32" s="32"/>
      <c r="AO32" s="32"/>
      <c r="AP32" s="32"/>
      <c r="AQ32" s="46"/>
      <c r="AR32" s="46"/>
      <c r="AS32" s="32"/>
      <c r="AT32" s="32"/>
      <c r="AU32" s="32"/>
      <c r="AV32" s="32"/>
      <c r="AW32" s="32"/>
      <c r="AX32" s="32"/>
      <c r="AY32" s="32"/>
      <c r="AZ32" s="32"/>
      <c r="BA32" s="32"/>
      <c r="BB32" s="32"/>
    </row>
    <row r="33" spans="1:54" x14ac:dyDescent="0.3">
      <c r="A33" s="19"/>
      <c r="B33" s="19"/>
      <c r="C33" s="20"/>
      <c r="D33" s="59"/>
      <c r="E33" s="18"/>
      <c r="F33" s="18"/>
      <c r="G33" s="19"/>
      <c r="H33" s="19"/>
      <c r="I33" s="40"/>
      <c r="J33" s="19"/>
      <c r="K33" s="32"/>
      <c r="L33" s="32"/>
      <c r="M33" s="32"/>
      <c r="N33" s="19"/>
      <c r="O33" s="32"/>
      <c r="P33" s="32"/>
      <c r="Q33" s="32"/>
      <c r="R33" s="32"/>
      <c r="S33" s="32"/>
      <c r="T33" s="176"/>
      <c r="U33" s="32"/>
      <c r="V33" s="32"/>
      <c r="W33" s="32"/>
      <c r="X33" s="32"/>
      <c r="Y33" s="32"/>
      <c r="Z33" s="32"/>
      <c r="AA33" s="32"/>
      <c r="AB33" s="32"/>
      <c r="AC33" s="32"/>
      <c r="AD33" s="32"/>
      <c r="AE33" s="32"/>
      <c r="AF33" s="32"/>
      <c r="AG33" s="32"/>
      <c r="AH33" s="32"/>
      <c r="AI33" s="32"/>
      <c r="AJ33" s="32"/>
      <c r="AK33" s="32"/>
      <c r="AL33" s="32"/>
      <c r="AM33" s="32"/>
      <c r="AN33" s="32"/>
      <c r="AO33" s="32"/>
      <c r="AP33" s="32"/>
      <c r="AQ33" s="46"/>
      <c r="AR33" s="46"/>
      <c r="AS33" s="32"/>
      <c r="AT33" s="32"/>
      <c r="AU33" s="32"/>
      <c r="AV33" s="32"/>
      <c r="AW33" s="32"/>
      <c r="AX33" s="32"/>
      <c r="AY33" s="32"/>
      <c r="AZ33" s="32"/>
      <c r="BA33" s="32"/>
      <c r="BB33" s="32"/>
    </row>
    <row r="34" spans="1:54" x14ac:dyDescent="0.3">
      <c r="A34" s="19"/>
      <c r="B34" s="19"/>
      <c r="C34" s="20"/>
      <c r="D34" s="59"/>
      <c r="E34" s="18"/>
      <c r="F34" s="18"/>
      <c r="G34" s="19"/>
      <c r="H34" s="19"/>
      <c r="I34" s="40"/>
      <c r="J34" s="19"/>
      <c r="K34" s="32"/>
      <c r="L34" s="32"/>
      <c r="M34" s="32"/>
      <c r="N34" s="19"/>
      <c r="O34" s="32"/>
      <c r="P34" s="32"/>
      <c r="Q34" s="32"/>
      <c r="R34" s="32"/>
      <c r="S34" s="32"/>
      <c r="T34" s="176"/>
      <c r="U34" s="32"/>
      <c r="V34" s="32"/>
      <c r="W34" s="32"/>
      <c r="X34" s="32"/>
      <c r="Y34" s="32"/>
      <c r="Z34" s="32"/>
      <c r="AA34" s="32"/>
      <c r="AB34" s="32"/>
      <c r="AC34" s="32"/>
      <c r="AD34" s="32"/>
      <c r="AE34" s="32"/>
      <c r="AF34" s="32"/>
      <c r="AG34" s="32"/>
      <c r="AH34" s="32"/>
      <c r="AI34" s="32"/>
      <c r="AJ34" s="32"/>
      <c r="AK34" s="32"/>
      <c r="AL34" s="32"/>
      <c r="AM34" s="32"/>
      <c r="AN34" s="32"/>
      <c r="AO34" s="32"/>
      <c r="AP34" s="32"/>
      <c r="AQ34" s="46"/>
      <c r="AR34" s="46"/>
      <c r="AS34" s="32"/>
      <c r="AT34" s="32"/>
      <c r="AU34" s="32"/>
      <c r="AV34" s="32"/>
      <c r="AW34" s="32"/>
      <c r="AX34" s="32"/>
      <c r="AY34" s="32"/>
      <c r="AZ34" s="32"/>
      <c r="BA34" s="32"/>
      <c r="BB34" s="32"/>
    </row>
    <row r="35" spans="1:54" x14ac:dyDescent="0.3">
      <c r="A35" s="196"/>
      <c r="B35" s="196"/>
      <c r="C35" s="197"/>
      <c r="D35" s="59"/>
      <c r="E35" s="198"/>
      <c r="F35" s="198"/>
      <c r="G35" s="196"/>
      <c r="H35" s="196"/>
      <c r="I35" s="40"/>
      <c r="J35" s="196"/>
      <c r="K35" s="33"/>
      <c r="L35" s="33"/>
      <c r="M35" s="33"/>
      <c r="N35" s="196"/>
      <c r="O35" s="33"/>
      <c r="P35" s="33"/>
      <c r="Q35" s="33"/>
      <c r="R35" s="33"/>
      <c r="S35" s="33"/>
      <c r="T35" s="199"/>
      <c r="U35" s="33"/>
      <c r="V35" s="33"/>
      <c r="W35" s="33"/>
      <c r="X35" s="33"/>
      <c r="Y35" s="33"/>
      <c r="Z35" s="33"/>
      <c r="AA35" s="33"/>
      <c r="AB35" s="33"/>
      <c r="AC35" s="33"/>
      <c r="AD35" s="33"/>
      <c r="AE35" s="33"/>
      <c r="AF35" s="33"/>
      <c r="AG35" s="33"/>
      <c r="AH35" s="33"/>
      <c r="AI35" s="33"/>
      <c r="AJ35" s="33"/>
      <c r="AK35" s="33"/>
      <c r="AL35" s="33"/>
      <c r="AM35" s="33"/>
      <c r="AN35" s="33"/>
      <c r="AO35" s="33"/>
      <c r="AP35" s="33"/>
      <c r="AQ35" s="46"/>
      <c r="AR35" s="46"/>
      <c r="AS35" s="33"/>
      <c r="AT35" s="33"/>
      <c r="AU35" s="33"/>
      <c r="AV35" s="33"/>
      <c r="AW35" s="33"/>
      <c r="AX35" s="33"/>
      <c r="AY35" s="33"/>
      <c r="AZ35" s="33"/>
      <c r="BA35" s="33"/>
      <c r="BB35" s="33"/>
    </row>
    <row r="36" spans="1:54" x14ac:dyDescent="0.3">
      <c r="A36" s="19"/>
      <c r="B36" s="19"/>
      <c r="C36" s="20"/>
      <c r="D36" s="59"/>
      <c r="E36" s="18"/>
      <c r="F36" s="18"/>
      <c r="G36" s="19"/>
      <c r="H36" s="19"/>
      <c r="I36" s="40"/>
      <c r="J36" s="19"/>
      <c r="K36" s="32"/>
      <c r="L36" s="32"/>
      <c r="M36" s="32"/>
      <c r="N36" s="19"/>
      <c r="O36" s="32"/>
      <c r="P36" s="32"/>
      <c r="Q36" s="32"/>
      <c r="R36" s="32"/>
      <c r="S36" s="32"/>
      <c r="T36" s="176"/>
      <c r="U36" s="32"/>
      <c r="V36" s="32"/>
      <c r="W36" s="32"/>
      <c r="X36" s="32"/>
      <c r="Y36" s="32"/>
      <c r="Z36" s="32"/>
      <c r="AA36" s="32"/>
      <c r="AB36" s="32"/>
      <c r="AC36" s="32"/>
      <c r="AD36" s="32"/>
      <c r="AE36" s="32"/>
      <c r="AF36" s="32"/>
      <c r="AG36" s="32"/>
      <c r="AH36" s="32"/>
      <c r="AI36" s="32"/>
      <c r="AJ36" s="32"/>
      <c r="AK36" s="32"/>
      <c r="AL36" s="32"/>
      <c r="AM36" s="32"/>
      <c r="AN36" s="32"/>
      <c r="AO36" s="32"/>
      <c r="AP36" s="32"/>
      <c r="AQ36" s="46"/>
      <c r="AR36" s="46"/>
      <c r="AS36" s="32"/>
      <c r="AT36" s="32"/>
      <c r="AU36" s="32"/>
      <c r="AV36" s="32"/>
      <c r="AW36" s="32"/>
      <c r="AX36" s="32"/>
      <c r="AY36" s="32"/>
      <c r="AZ36" s="32"/>
      <c r="BA36" s="32"/>
      <c r="BB36" s="32"/>
    </row>
    <row r="37" spans="1:54" x14ac:dyDescent="0.3">
      <c r="A37" s="19"/>
      <c r="B37" s="19"/>
      <c r="C37" s="20"/>
      <c r="D37" s="59"/>
      <c r="E37" s="18"/>
      <c r="F37" s="18"/>
      <c r="G37" s="19"/>
      <c r="H37" s="19"/>
      <c r="I37" s="40"/>
      <c r="J37" s="19"/>
      <c r="K37" s="32"/>
      <c r="L37" s="32"/>
      <c r="M37" s="32"/>
      <c r="N37" s="19"/>
      <c r="O37" s="32"/>
      <c r="P37" s="32"/>
      <c r="Q37" s="32"/>
      <c r="R37" s="32"/>
      <c r="S37" s="32"/>
      <c r="T37" s="176"/>
      <c r="U37" s="32"/>
      <c r="V37" s="32"/>
      <c r="W37" s="32"/>
      <c r="X37" s="32"/>
      <c r="Y37" s="32"/>
      <c r="Z37" s="32"/>
      <c r="AA37" s="32"/>
      <c r="AB37" s="32"/>
      <c r="AC37" s="32"/>
      <c r="AD37" s="32"/>
      <c r="AE37" s="32"/>
      <c r="AF37" s="32"/>
      <c r="AG37" s="32"/>
      <c r="AH37" s="32"/>
      <c r="AI37" s="32"/>
      <c r="AJ37" s="32"/>
      <c r="AK37" s="32"/>
      <c r="AL37" s="32"/>
      <c r="AM37" s="32"/>
      <c r="AN37" s="32"/>
      <c r="AO37" s="32"/>
      <c r="AP37" s="32"/>
      <c r="AQ37" s="46"/>
      <c r="AR37" s="46"/>
      <c r="AS37" s="32"/>
      <c r="AT37" s="32"/>
      <c r="AU37" s="32"/>
      <c r="AV37" s="32"/>
      <c r="AW37" s="32"/>
      <c r="AX37" s="32"/>
      <c r="AY37" s="32"/>
      <c r="AZ37" s="32"/>
      <c r="BA37" s="32"/>
      <c r="BB37" s="32"/>
    </row>
  </sheetData>
  <phoneticPr fontId="56" type="noConversion"/>
  <conditionalFormatting sqref="A7:C7 W7:AP7 J7:M7 O7:T7 E7:H7 AS7:AV7">
    <cfRule type="expression" dxfId="530" priority="314">
      <formula>$Z7="Canceled"</formula>
    </cfRule>
  </conditionalFormatting>
  <conditionalFormatting sqref="T7">
    <cfRule type="expression" dxfId="529" priority="315">
      <formula>AND(ISBLANK(X7), T7&lt;=TODAY(), Z7&lt;&gt;"Canceled")</formula>
    </cfRule>
    <cfRule type="expression" dxfId="528" priority="316">
      <formula>AND(ISBLANK(X7), T7&lt;=TODAY()+3, Z7&lt;&gt;"Canceled")</formula>
    </cfRule>
    <cfRule type="expression" dxfId="527" priority="317">
      <formula>AND(ISBLANK(X7), T7&lt;=TODAY()+5, Z7&lt;&gt;"Canceled")</formula>
    </cfRule>
  </conditionalFormatting>
  <conditionalFormatting sqref="P7">
    <cfRule type="expression" dxfId="526" priority="280">
      <formula>$Z7="Canceled"</formula>
    </cfRule>
  </conditionalFormatting>
  <conditionalFormatting sqref="T7">
    <cfRule type="expression" dxfId="525" priority="282">
      <formula>AND(ISBLANK(X7), T7&lt;=TODAY(), Z7&lt;&gt;"Canceled")</formula>
    </cfRule>
    <cfRule type="expression" dxfId="524" priority="283">
      <formula>AND(ISBLANK(X7), T7&lt;=TODAY()+3, Z7&lt;&gt;"Canceled")</formula>
    </cfRule>
    <cfRule type="expression" dxfId="523" priority="284">
      <formula>AND(ISBLANK(X7), T7&lt;=TODAY()+5, Z7&lt;&gt;"Canceled")</formula>
    </cfRule>
  </conditionalFormatting>
  <conditionalFormatting sqref="A7:C7 Q7:T7 W7:AP7 J7:M7 O7 E7:H7 AS7:AV7">
    <cfRule type="expression" dxfId="522" priority="281">
      <formula>$Z7="Canceled"</formula>
    </cfRule>
  </conditionalFormatting>
  <conditionalFormatting sqref="P7">
    <cfRule type="expression" dxfId="521" priority="279">
      <formula>$Z7="Canceled"</formula>
    </cfRule>
  </conditionalFormatting>
  <conditionalFormatting sqref="T3:T4">
    <cfRule type="expression" dxfId="520" priority="253">
      <formula>AND(ISBLANK(X3), T3&lt;=TODAY(), Z3&lt;&gt;"Canceled")</formula>
    </cfRule>
    <cfRule type="expression" dxfId="519" priority="254">
      <formula>AND(ISBLANK(X3), T3&lt;=TODAY()+3, Z3&lt;&gt;"Canceled")</formula>
    </cfRule>
    <cfRule type="expression" dxfId="518" priority="255">
      <formula>AND(ISBLANK(X3), T3&lt;=TODAY()+5, Z3&lt;&gt;"Canceled")</formula>
    </cfRule>
  </conditionalFormatting>
  <conditionalFormatting sqref="A3:C4 W3:AP4 J3:M4 O3:T4 E3:H4 AS3:AV4">
    <cfRule type="expression" dxfId="517" priority="252">
      <formula>$Z3="Canceled"</formula>
    </cfRule>
  </conditionalFormatting>
  <conditionalFormatting sqref="A6:C6 W6:AP6 J6:M6 O6:T6 E6:H6 AS6:AV6">
    <cfRule type="expression" dxfId="516" priority="247">
      <formula>$Z6="Canceled"</formula>
    </cfRule>
  </conditionalFormatting>
  <conditionalFormatting sqref="AA3">
    <cfRule type="expression" dxfId="515" priority="251">
      <formula>$Z3="Canceled"</formula>
    </cfRule>
  </conditionalFormatting>
  <conditionalFormatting sqref="T6">
    <cfRule type="expression" dxfId="514" priority="248">
      <formula>AND(ISBLANK(X6), T6&lt;=TODAY(), Z6&lt;&gt;"Canceled")</formula>
    </cfRule>
    <cfRule type="expression" dxfId="513" priority="249">
      <formula>AND(ISBLANK(X6), T6&lt;=TODAY()+3, Z6&lt;&gt;"Canceled")</formula>
    </cfRule>
    <cfRule type="expression" dxfId="512" priority="250">
      <formula>AND(ISBLANK(X6), T6&lt;=TODAY()+5, Z6&lt;&gt;"Canceled")</formula>
    </cfRule>
  </conditionalFormatting>
  <conditionalFormatting sqref="T6">
    <cfRule type="expression" dxfId="511" priority="244">
      <formula>AND(ISBLANK(X6), T6&lt;=TODAY(), Z6&lt;&gt;"Canceled")</formula>
    </cfRule>
    <cfRule type="expression" dxfId="510" priority="245">
      <formula>AND(ISBLANK(X6), T6&lt;=TODAY()+3, Z6&lt;&gt;"Canceled")</formula>
    </cfRule>
    <cfRule type="expression" dxfId="509" priority="246">
      <formula>AND(ISBLANK(X6), T6&lt;=TODAY()+5, Z6&lt;&gt;"Canceled")</formula>
    </cfRule>
  </conditionalFormatting>
  <conditionalFormatting sqref="A6:C6 W6:AN6 AS6:AV6 J6:M6 O6:T6 E6:H6">
    <cfRule type="expression" dxfId="508" priority="243">
      <formula>$Z6="Canceled"</formula>
    </cfRule>
  </conditionalFormatting>
  <conditionalFormatting sqref="T5">
    <cfRule type="expression" dxfId="507" priority="193">
      <formula>AND(ISBLANK(X5), T5&lt;=TODAY(), Z5&lt;&gt;"Canceled")</formula>
    </cfRule>
    <cfRule type="expression" dxfId="506" priority="194">
      <formula>AND(ISBLANK(X5), T5&lt;=TODAY()+3, Z5&lt;&gt;"Canceled")</formula>
    </cfRule>
    <cfRule type="expression" dxfId="505" priority="195">
      <formula>AND(ISBLANK(X5), T5&lt;=TODAY()+5, Z5&lt;&gt;"Canceled")</formula>
    </cfRule>
  </conditionalFormatting>
  <conditionalFormatting sqref="A5:C5 W5:AP5 J5:M5 O5:T5 E5:H5 AS5:AV5">
    <cfRule type="expression" dxfId="504" priority="192">
      <formula>$Z5="Canceled"</formula>
    </cfRule>
  </conditionalFormatting>
  <conditionalFormatting sqref="A12:C12 W12:AP12 J12:M12 O12:U12 E12:H12 AS12:AV12">
    <cfRule type="expression" dxfId="503" priority="136">
      <formula>$Z12="Canceled"</formula>
    </cfRule>
  </conditionalFormatting>
  <conditionalFormatting sqref="T12">
    <cfRule type="expression" dxfId="502" priority="137">
      <formula>AND(ISBLANK(X12), T12&lt;=TODAY(), Z12&lt;&gt;"Canceled")</formula>
    </cfRule>
    <cfRule type="expression" dxfId="501" priority="138">
      <formula>AND(ISBLANK(X12), T12&lt;=TODAY()+3, Z12&lt;&gt;"Canceled")</formula>
    </cfRule>
    <cfRule type="expression" dxfId="500" priority="139">
      <formula>AND(ISBLANK(X12), T12&lt;=TODAY()+5, Z12&lt;&gt;"Canceled")</formula>
    </cfRule>
  </conditionalFormatting>
  <conditionalFormatting sqref="P12">
    <cfRule type="expression" dxfId="499" priority="131">
      <formula>$Z12="Canceled"</formula>
    </cfRule>
  </conditionalFormatting>
  <conditionalFormatting sqref="T12">
    <cfRule type="expression" dxfId="498" priority="133">
      <formula>AND(ISBLANK(X12), T12&lt;=TODAY(), Z12&lt;&gt;"Canceled")</formula>
    </cfRule>
    <cfRule type="expression" dxfId="497" priority="134">
      <formula>AND(ISBLANK(X12), T12&lt;=TODAY()+3, Z12&lt;&gt;"Canceled")</formula>
    </cfRule>
    <cfRule type="expression" dxfId="496" priority="135">
      <formula>AND(ISBLANK(X12), T12&lt;=TODAY()+5, Z12&lt;&gt;"Canceled")</formula>
    </cfRule>
  </conditionalFormatting>
  <conditionalFormatting sqref="A12:C12 Q12:U12 W12:AP12 J12:M12 O12 E12:H12 AS12:AV12">
    <cfRule type="expression" dxfId="495" priority="132">
      <formula>$Z12="Canceled"</formula>
    </cfRule>
  </conditionalFormatting>
  <conditionalFormatting sqref="P12">
    <cfRule type="expression" dxfId="494" priority="130">
      <formula>$Z12="Canceled"</formula>
    </cfRule>
  </conditionalFormatting>
  <conditionalFormatting sqref="T9">
    <cfRule type="expression" dxfId="493" priority="127">
      <formula>AND(ISBLANK(X9), T9&lt;=TODAY(), Z9&lt;&gt;"Canceled")</formula>
    </cfRule>
    <cfRule type="expression" dxfId="492" priority="128">
      <formula>AND(ISBLANK(X9), T9&lt;=TODAY()+3, Z9&lt;&gt;"Canceled")</formula>
    </cfRule>
    <cfRule type="expression" dxfId="491" priority="129">
      <formula>AND(ISBLANK(X9), T9&lt;=TODAY()+5, Z9&lt;&gt;"Canceled")</formula>
    </cfRule>
  </conditionalFormatting>
  <conditionalFormatting sqref="A9:C9 W9:AP9 J9:M9 O9:T9 E9:H9 AS9:AV9">
    <cfRule type="expression" dxfId="490" priority="126">
      <formula>$Z9="Canceled"</formula>
    </cfRule>
  </conditionalFormatting>
  <conditionalFormatting sqref="A11:C11 W11:AP11 J11:M11 O11:U11 E11:H11 AS11:AV11">
    <cfRule type="expression" dxfId="489" priority="122">
      <formula>$Z11="Canceled"</formula>
    </cfRule>
  </conditionalFormatting>
  <conditionalFormatting sqref="T11">
    <cfRule type="expression" dxfId="488" priority="123">
      <formula>AND(ISBLANK(X11), T11&lt;=TODAY(), Z11&lt;&gt;"Canceled")</formula>
    </cfRule>
    <cfRule type="expression" dxfId="487" priority="124">
      <formula>AND(ISBLANK(X11), T11&lt;=TODAY()+3, Z11&lt;&gt;"Canceled")</formula>
    </cfRule>
    <cfRule type="expression" dxfId="486" priority="125">
      <formula>AND(ISBLANK(X11), T11&lt;=TODAY()+5, Z11&lt;&gt;"Canceled")</formula>
    </cfRule>
  </conditionalFormatting>
  <conditionalFormatting sqref="T11">
    <cfRule type="expression" dxfId="485" priority="119">
      <formula>AND(ISBLANK(X11), T11&lt;=TODAY(), Z11&lt;&gt;"Canceled")</formula>
    </cfRule>
    <cfRule type="expression" dxfId="484" priority="120">
      <formula>AND(ISBLANK(X11), T11&lt;=TODAY()+3, Z11&lt;&gt;"Canceled")</formula>
    </cfRule>
    <cfRule type="expression" dxfId="483" priority="121">
      <formula>AND(ISBLANK(X11), T11&lt;=TODAY()+5, Z11&lt;&gt;"Canceled")</formula>
    </cfRule>
  </conditionalFormatting>
  <conditionalFormatting sqref="A11:C11 W11:AN11 AS11:AV11 J11:M11 O11:U11 E11:H11">
    <cfRule type="expression" dxfId="482" priority="118">
      <formula>$Z11="Canceled"</formula>
    </cfRule>
  </conditionalFormatting>
  <conditionalFormatting sqref="T10">
    <cfRule type="expression" dxfId="481" priority="114">
      <formula>AND(ISBLANK(X10), T10&lt;=TODAY(), Z10&lt;&gt;"Canceled")</formula>
    </cfRule>
    <cfRule type="expression" dxfId="480" priority="115">
      <formula>AND(ISBLANK(X10), T10&lt;=TODAY()+3, Z10&lt;&gt;"Canceled")</formula>
    </cfRule>
    <cfRule type="expression" dxfId="479" priority="116">
      <formula>AND(ISBLANK(X10), T10&lt;=TODAY()+5, Z10&lt;&gt;"Canceled")</formula>
    </cfRule>
  </conditionalFormatting>
  <conditionalFormatting sqref="A10:C10 W10:AP10 J10:M10 O10:T10 E10:H10 AS10:AV10">
    <cfRule type="expression" dxfId="478" priority="113">
      <formula>$Z10="Canceled"</formula>
    </cfRule>
  </conditionalFormatting>
  <conditionalFormatting sqref="A18:C18 W18:AP18 J18:M18 O18:U18 E18:H18 AS18:AV18">
    <cfRule type="expression" dxfId="477" priority="52">
      <formula>$Z18="Canceled"</formula>
    </cfRule>
  </conditionalFormatting>
  <conditionalFormatting sqref="T18">
    <cfRule type="expression" dxfId="476" priority="53">
      <formula>AND(ISBLANK(X18), T18&lt;=TODAY(), Z18&lt;&gt;"Canceled")</formula>
    </cfRule>
    <cfRule type="expression" dxfId="475" priority="54">
      <formula>AND(ISBLANK(X18), T18&lt;=TODAY()+3, Z18&lt;&gt;"Canceled")</formula>
    </cfRule>
    <cfRule type="expression" dxfId="474" priority="55">
      <formula>AND(ISBLANK(X18), T18&lt;=TODAY()+5, Z18&lt;&gt;"Canceled")</formula>
    </cfRule>
  </conditionalFormatting>
  <conditionalFormatting sqref="P18">
    <cfRule type="expression" dxfId="473" priority="47">
      <formula>$Z18="Canceled"</formula>
    </cfRule>
  </conditionalFormatting>
  <conditionalFormatting sqref="T18">
    <cfRule type="expression" dxfId="472" priority="49">
      <formula>AND(ISBLANK(X18), T18&lt;=TODAY(), Z18&lt;&gt;"Canceled")</formula>
    </cfRule>
    <cfRule type="expression" dxfId="471" priority="50">
      <formula>AND(ISBLANK(X18), T18&lt;=TODAY()+3, Z18&lt;&gt;"Canceled")</formula>
    </cfRule>
    <cfRule type="expression" dxfId="470" priority="51">
      <formula>AND(ISBLANK(X18), T18&lt;=TODAY()+5, Z18&lt;&gt;"Canceled")</formula>
    </cfRule>
  </conditionalFormatting>
  <conditionalFormatting sqref="A18:C18 Q18:U18 W18:AP18 J18:M18 O18 E18:H18 AS18:AV18">
    <cfRule type="expression" dxfId="469" priority="48">
      <formula>$Z18="Canceled"</formula>
    </cfRule>
  </conditionalFormatting>
  <conditionalFormatting sqref="P18">
    <cfRule type="expression" dxfId="468" priority="46">
      <formula>$Z18="Canceled"</formula>
    </cfRule>
  </conditionalFormatting>
  <conditionalFormatting sqref="T14:T15">
    <cfRule type="expression" dxfId="467" priority="43">
      <formula>AND(ISBLANK(X14), T14&lt;=TODAY(), Z14&lt;&gt;"Canceled")</formula>
    </cfRule>
    <cfRule type="expression" dxfId="466" priority="44">
      <formula>AND(ISBLANK(X14), T14&lt;=TODAY()+3, Z14&lt;&gt;"Canceled")</formula>
    </cfRule>
    <cfRule type="expression" dxfId="465" priority="45">
      <formula>AND(ISBLANK(X14), T14&lt;=TODAY()+5, Z14&lt;&gt;"Canceled")</formula>
    </cfRule>
  </conditionalFormatting>
  <conditionalFormatting sqref="A14:C15 W14:AP15 J14:M15 O14:U15 E14:H15 AS14:AV15">
    <cfRule type="expression" dxfId="464" priority="42">
      <formula>$Z14="Canceled"</formula>
    </cfRule>
  </conditionalFormatting>
  <conditionalFormatting sqref="A17:C17 W17:AP17 J17:M17 O17:U17 E17:H17 AS17:AV17">
    <cfRule type="expression" dxfId="463" priority="37">
      <formula>$Z17="Canceled"</formula>
    </cfRule>
  </conditionalFormatting>
  <conditionalFormatting sqref="AA14">
    <cfRule type="expression" dxfId="462" priority="41">
      <formula>$Z14="Canceled"</formula>
    </cfRule>
  </conditionalFormatting>
  <conditionalFormatting sqref="T17">
    <cfRule type="expression" dxfId="461" priority="38">
      <formula>AND(ISBLANK(X17), T17&lt;=TODAY(), Z17&lt;&gt;"Canceled")</formula>
    </cfRule>
    <cfRule type="expression" dxfId="460" priority="39">
      <formula>AND(ISBLANK(X17), T17&lt;=TODAY()+3, Z17&lt;&gt;"Canceled")</formula>
    </cfRule>
    <cfRule type="expression" dxfId="459" priority="40">
      <formula>AND(ISBLANK(X17), T17&lt;=TODAY()+5, Z17&lt;&gt;"Canceled")</formula>
    </cfRule>
  </conditionalFormatting>
  <conditionalFormatting sqref="T17">
    <cfRule type="expression" dxfId="458" priority="34">
      <formula>AND(ISBLANK(X17), T17&lt;=TODAY(), Z17&lt;&gt;"Canceled")</formula>
    </cfRule>
    <cfRule type="expression" dxfId="457" priority="35">
      <formula>AND(ISBLANK(X17), T17&lt;=TODAY()+3, Z17&lt;&gt;"Canceled")</formula>
    </cfRule>
    <cfRule type="expression" dxfId="456" priority="36">
      <formula>AND(ISBLANK(X17), T17&lt;=TODAY()+5, Z17&lt;&gt;"Canceled")</formula>
    </cfRule>
  </conditionalFormatting>
  <conditionalFormatting sqref="A17:C17 W17:AN17 AS17:AV17 J17:M17 O17:U17 E17:H17">
    <cfRule type="expression" dxfId="455" priority="33">
      <formula>$Z17="Canceled"</formula>
    </cfRule>
  </conditionalFormatting>
  <conditionalFormatting sqref="T16">
    <cfRule type="expression" dxfId="454" priority="30">
      <formula>AND(ISBLANK(X16), T16&lt;=TODAY(), Z16&lt;&gt;"Canceled")</formula>
    </cfRule>
    <cfRule type="expression" dxfId="453" priority="31">
      <formula>AND(ISBLANK(X16), T16&lt;=TODAY()+3, Z16&lt;&gt;"Canceled")</formula>
    </cfRule>
    <cfRule type="expression" dxfId="452" priority="32">
      <formula>AND(ISBLANK(X16), T16&lt;=TODAY()+5, Z16&lt;&gt;"Canceled")</formula>
    </cfRule>
  </conditionalFormatting>
  <conditionalFormatting sqref="A16:C16 W16:AP16 J16:M16 O16:U16 E16:H16 AS16:AV16">
    <cfRule type="expression" dxfId="451" priority="29">
      <formula>$Z16="Canceled"</formula>
    </cfRule>
  </conditionalFormatting>
  <conditionalFormatting sqref="A23:C23 W23:AP23 J23:M23 O23:U23 E23:H23 AS23:AV23">
    <cfRule type="expression" dxfId="450" priority="25">
      <formula>$Z23="Canceled"</formula>
    </cfRule>
  </conditionalFormatting>
  <conditionalFormatting sqref="T23">
    <cfRule type="expression" dxfId="449" priority="26">
      <formula>AND(ISBLANK(X23), T23&lt;=TODAY(), Z23&lt;&gt;"Canceled")</formula>
    </cfRule>
    <cfRule type="expression" dxfId="448" priority="27">
      <formula>AND(ISBLANK(X23), T23&lt;=TODAY()+3, Z23&lt;&gt;"Canceled")</formula>
    </cfRule>
    <cfRule type="expression" dxfId="447" priority="28">
      <formula>AND(ISBLANK(X23), T23&lt;=TODAY()+5, Z23&lt;&gt;"Canceled")</formula>
    </cfRule>
  </conditionalFormatting>
  <conditionalFormatting sqref="P23">
    <cfRule type="expression" dxfId="446" priority="20">
      <formula>$Z23="Canceled"</formula>
    </cfRule>
  </conditionalFormatting>
  <conditionalFormatting sqref="T23">
    <cfRule type="expression" dxfId="445" priority="22">
      <formula>AND(ISBLANK(X23), T23&lt;=TODAY(), Z23&lt;&gt;"Canceled")</formula>
    </cfRule>
    <cfRule type="expression" dxfId="444" priority="23">
      <formula>AND(ISBLANK(X23), T23&lt;=TODAY()+3, Z23&lt;&gt;"Canceled")</formula>
    </cfRule>
    <cfRule type="expression" dxfId="443" priority="24">
      <formula>AND(ISBLANK(X23), T23&lt;=TODAY()+5, Z23&lt;&gt;"Canceled")</formula>
    </cfRule>
  </conditionalFormatting>
  <conditionalFormatting sqref="A23:C23 Q23:U23 W23:AP23 J23:M23 O23 E23:H23 AS23:AV23">
    <cfRule type="expression" dxfId="442" priority="21">
      <formula>$Z23="Canceled"</formula>
    </cfRule>
  </conditionalFormatting>
  <conditionalFormatting sqref="P23">
    <cfRule type="expression" dxfId="441" priority="19">
      <formula>$Z23="Canceled"</formula>
    </cfRule>
  </conditionalFormatting>
  <conditionalFormatting sqref="T20">
    <cfRule type="expression" dxfId="440" priority="16">
      <formula>AND(ISBLANK(X20), T20&lt;=TODAY(), Z20&lt;&gt;"Canceled")</formula>
    </cfRule>
    <cfRule type="expression" dxfId="439" priority="17">
      <formula>AND(ISBLANK(X20), T20&lt;=TODAY()+3, Z20&lt;&gt;"Canceled")</formula>
    </cfRule>
    <cfRule type="expression" dxfId="438" priority="18">
      <formula>AND(ISBLANK(X20), T20&lt;=TODAY()+5, Z20&lt;&gt;"Canceled")</formula>
    </cfRule>
  </conditionalFormatting>
  <conditionalFormatting sqref="A20:C20 W20:AP20 J20:M20 O20:U20 E20:H20 AS20:AV20">
    <cfRule type="expression" dxfId="437" priority="15">
      <formula>$Z20="Canceled"</formula>
    </cfRule>
  </conditionalFormatting>
  <conditionalFormatting sqref="A22:C22 W22:AP22 J22:M22 O22:U22 E22:H22 AS22:AV22">
    <cfRule type="expression" dxfId="436" priority="11">
      <formula>$Z22="Canceled"</formula>
    </cfRule>
  </conditionalFormatting>
  <conditionalFormatting sqref="T22">
    <cfRule type="expression" dxfId="435" priority="12">
      <formula>AND(ISBLANK(X22), T22&lt;=TODAY(), Z22&lt;&gt;"Canceled")</formula>
    </cfRule>
    <cfRule type="expression" dxfId="434" priority="13">
      <formula>AND(ISBLANK(X22), T22&lt;=TODAY()+3, Z22&lt;&gt;"Canceled")</formula>
    </cfRule>
    <cfRule type="expression" dxfId="433" priority="14">
      <formula>AND(ISBLANK(X22), T22&lt;=TODAY()+5, Z22&lt;&gt;"Canceled")</formula>
    </cfRule>
  </conditionalFormatting>
  <conditionalFormatting sqref="T22">
    <cfRule type="expression" dxfId="432" priority="8">
      <formula>AND(ISBLANK(X22), T22&lt;=TODAY(), Z22&lt;&gt;"Canceled")</formula>
    </cfRule>
    <cfRule type="expression" dxfId="431" priority="9">
      <formula>AND(ISBLANK(X22), T22&lt;=TODAY()+3, Z22&lt;&gt;"Canceled")</formula>
    </cfRule>
    <cfRule type="expression" dxfId="430" priority="10">
      <formula>AND(ISBLANK(X22), T22&lt;=TODAY()+5, Z22&lt;&gt;"Canceled")</formula>
    </cfRule>
  </conditionalFormatting>
  <conditionalFormatting sqref="A22:C22 W22:AN22 AS22:AV22 J22:M22 O22:U22 E22:H22">
    <cfRule type="expression" dxfId="429" priority="7">
      <formula>$Z22="Canceled"</formula>
    </cfRule>
  </conditionalFormatting>
  <conditionalFormatting sqref="T21">
    <cfRule type="expression" dxfId="428" priority="4">
      <formula>AND(ISBLANK(X21), T21&lt;=TODAY(), Z21&lt;&gt;"Canceled")</formula>
    </cfRule>
    <cfRule type="expression" dxfId="427" priority="5">
      <formula>AND(ISBLANK(X21), T21&lt;=TODAY()+3, Z21&lt;&gt;"Canceled")</formula>
    </cfRule>
    <cfRule type="expression" dxfId="426" priority="6">
      <formula>AND(ISBLANK(X21), T21&lt;=TODAY()+5, Z21&lt;&gt;"Canceled")</formula>
    </cfRule>
  </conditionalFormatting>
  <conditionalFormatting sqref="A21:C21 W21:AP21 J21:M21 O21:U21 E21:H21 AS21:AV21">
    <cfRule type="expression" dxfId="425" priority="3">
      <formula>$Z21="Canceled"</formula>
    </cfRule>
  </conditionalFormatting>
  <conditionalFormatting sqref="W2">
    <cfRule type="expression" dxfId="424" priority="2">
      <formula>$Z2="Canceled"</formula>
    </cfRule>
  </conditionalFormatting>
  <conditionalFormatting sqref="W19">
    <cfRule type="expression" dxfId="423" priority="1">
      <formula>$Z19="Canceled"</formula>
    </cfRule>
  </conditionalFormatting>
  <dataValidations count="2">
    <dataValidation type="list" allowBlank="1" showInputMessage="1" showErrorMessage="1" sqref="AL24:AL25 AJ24:AJ25 AN24:AN25 AL7 AL17 S17 AJ17 AN17 AH17 S7 AJ12 AN12 AH12 AL12 S12 AJ7 AN7 AH7 AH24:AH25 AL22 S22 AJ22 AN22 AH22" xr:uid="{00000000-0002-0000-0100-000000000000}">
      <formula1>rPhysFirstName_DNA</formula1>
    </dataValidation>
    <dataValidation type="list" allowBlank="1" showInputMessage="1" showErrorMessage="1" sqref="AI24:AI25 AK24:AK25 AG24:AG25 AK7 AK17 R17 AM17 AI17 AG17 R7 AM12 AI12 AG12 AK12 R12 AM7 AI7 AG7 AM24:AM25 AK22 R22 AM22 AI22 AG22" xr:uid="{00000000-0002-0000-0100-000001000000}">
      <formula1>rPhysLastName</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ErrorMessage="1" error="Please select from the dropdown" xr:uid="{00000000-0002-0000-0100-000004000000}">
          <x14:formula1>
            <xm:f>'R:\CANCTR RSCH\CMOL\Sample Receipt Logs\Clinical Sample Receiving Log\[Clinical Sample Receipt Log.xlsx]Holidays, Locations, Tests'!#REF!</xm:f>
          </x14:formula1>
          <xm:sqref>AD24:AD25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U91"/>
  <sheetViews>
    <sheetView topLeftCell="A24" zoomScaleNormal="100" workbookViewId="0">
      <selection activeCell="I50" sqref="I50"/>
    </sheetView>
  </sheetViews>
  <sheetFormatPr defaultColWidth="9.140625" defaultRowHeight="12.75" x14ac:dyDescent="0.2"/>
  <cols>
    <col min="1" max="1" width="6.28515625" style="8" customWidth="1"/>
    <col min="2" max="2" width="0.140625" style="8" hidden="1" customWidth="1"/>
    <col min="3" max="3" width="14.140625" style="8" customWidth="1"/>
    <col min="4" max="4" width="21.140625" style="8" customWidth="1"/>
    <col min="5" max="5" width="12.7109375" style="8" customWidth="1"/>
    <col min="6" max="6" width="17.140625" style="8" customWidth="1"/>
    <col min="7" max="7" width="9.42578125" style="8" customWidth="1"/>
    <col min="8" max="8" width="14.7109375" style="8" hidden="1" customWidth="1"/>
    <col min="9" max="9" width="16.140625" style="8" customWidth="1"/>
    <col min="10" max="10" width="12.85546875" style="8" hidden="1" customWidth="1"/>
    <col min="11" max="11" width="9.140625" style="8" hidden="1" customWidth="1"/>
    <col min="12" max="12" width="13.28515625" style="8" customWidth="1"/>
    <col min="13" max="14" width="13.28515625" style="8" hidden="1" customWidth="1"/>
    <col min="15" max="16" width="13.28515625" style="70" hidden="1" customWidth="1"/>
    <col min="17" max="18" width="13.28515625" style="8" hidden="1" customWidth="1"/>
    <col min="19" max="19" width="23" style="8" hidden="1" customWidth="1"/>
    <col min="20" max="21" width="9.140625" style="8" hidden="1" customWidth="1"/>
    <col min="22" max="22" width="9.140625" style="8"/>
    <col min="23" max="23" width="10.28515625" style="8" customWidth="1"/>
    <col min="24" max="16384" width="9.140625" style="8"/>
  </cols>
  <sheetData>
    <row r="1" spans="1:20" ht="13.5" thickBot="1" x14ac:dyDescent="0.25">
      <c r="A1" s="261" t="s">
        <v>35</v>
      </c>
      <c r="B1" s="262"/>
      <c r="C1" s="262"/>
      <c r="D1" s="262"/>
      <c r="E1" s="262"/>
      <c r="F1" s="262"/>
      <c r="G1" s="262"/>
      <c r="H1" s="113"/>
      <c r="I1" s="113"/>
      <c r="J1" s="114"/>
    </row>
    <row r="2" spans="1:20" ht="13.5" thickBot="1" x14ac:dyDescent="0.25"/>
    <row r="3" spans="1:20" ht="13.5" thickBot="1" x14ac:dyDescent="0.25">
      <c r="A3" s="115" t="s">
        <v>43</v>
      </c>
      <c r="B3" s="113"/>
      <c r="C3" s="113"/>
      <c r="D3" s="113"/>
      <c r="E3" s="113"/>
      <c r="F3" s="113"/>
      <c r="G3" s="113"/>
      <c r="H3" s="113"/>
      <c r="I3" s="113"/>
      <c r="J3" s="114"/>
    </row>
    <row r="4" spans="1:20" ht="13.5" thickBot="1" x14ac:dyDescent="0.25">
      <c r="A4" s="116" t="s">
        <v>27</v>
      </c>
      <c r="C4" s="11">
        <v>45681</v>
      </c>
      <c r="D4" s="117" t="s">
        <v>238</v>
      </c>
      <c r="E4" s="11" t="s">
        <v>300</v>
      </c>
    </row>
    <row r="5" spans="1:20" x14ac:dyDescent="0.2">
      <c r="A5" s="117"/>
      <c r="B5" s="118"/>
      <c r="D5" s="117"/>
      <c r="E5" s="27"/>
    </row>
    <row r="6" spans="1:20" ht="13.5" thickBot="1" x14ac:dyDescent="0.25">
      <c r="A6" s="119"/>
      <c r="B6" s="120"/>
      <c r="D6" s="119"/>
      <c r="E6" s="121"/>
    </row>
    <row r="7" spans="1:20" ht="13.5" thickBot="1" x14ac:dyDescent="0.25">
      <c r="A7" s="115" t="s">
        <v>37</v>
      </c>
      <c r="B7" s="113"/>
      <c r="C7" s="113"/>
      <c r="D7" s="113"/>
      <c r="E7" s="113"/>
      <c r="F7" s="113"/>
      <c r="G7" s="113"/>
      <c r="H7" s="113"/>
      <c r="I7" s="113"/>
      <c r="J7" s="114"/>
    </row>
    <row r="8" spans="1:20" ht="26.25" customHeight="1" x14ac:dyDescent="0.2">
      <c r="D8" s="119"/>
      <c r="E8" s="121"/>
    </row>
    <row r="9" spans="1:20" ht="13.5" thickBot="1" x14ac:dyDescent="0.25">
      <c r="B9" s="117" t="s">
        <v>38</v>
      </c>
      <c r="C9" s="6" t="s">
        <v>333</v>
      </c>
      <c r="D9" s="119"/>
      <c r="E9" s="121"/>
      <c r="Q9" s="120" t="str">
        <f ca="1">RIGHT(CELL("filename",A1),LEN(CELL("filename",A1))-FIND("]",CELL("filename",A1)))</f>
        <v>NGS Run Record</v>
      </c>
    </row>
    <row r="10" spans="1:20" ht="13.5" thickBot="1" x14ac:dyDescent="0.25">
      <c r="A10" s="115" t="s">
        <v>39</v>
      </c>
      <c r="B10" s="113"/>
      <c r="C10" s="113"/>
      <c r="D10" s="113"/>
      <c r="E10" s="113"/>
      <c r="F10" s="113"/>
      <c r="G10" s="113"/>
      <c r="H10" s="113"/>
      <c r="I10" s="113"/>
      <c r="J10" s="114"/>
    </row>
    <row r="11" spans="1:20" ht="27.75" customHeight="1" x14ac:dyDescent="0.2">
      <c r="D11" s="119"/>
      <c r="E11" s="121"/>
    </row>
    <row r="12" spans="1:20" ht="15.6" customHeight="1" thickBot="1" x14ac:dyDescent="0.25">
      <c r="A12" s="122"/>
      <c r="B12" s="117" t="s">
        <v>40</v>
      </c>
      <c r="C12" s="6" t="s">
        <v>332</v>
      </c>
      <c r="D12" s="119"/>
      <c r="E12" s="121"/>
    </row>
    <row r="13" spans="1:20" ht="13.5" hidden="1" thickBot="1" x14ac:dyDescent="0.25">
      <c r="A13" s="123" t="s">
        <v>118</v>
      </c>
      <c r="B13" s="113"/>
      <c r="C13" s="113"/>
      <c r="D13" s="113"/>
      <c r="E13" s="113"/>
      <c r="F13" s="113"/>
      <c r="G13" s="114"/>
      <c r="H13" s="113"/>
      <c r="I13" s="113"/>
      <c r="J13" s="114"/>
    </row>
    <row r="14" spans="1:20" ht="36.75" hidden="1" customHeight="1" thickBot="1" x14ac:dyDescent="0.25">
      <c r="A14" s="124"/>
      <c r="B14" s="125" t="s">
        <v>41</v>
      </c>
      <c r="C14" s="125" t="s">
        <v>7</v>
      </c>
      <c r="D14" s="125" t="s">
        <v>44</v>
      </c>
      <c r="E14" s="126" t="s">
        <v>117</v>
      </c>
      <c r="F14" s="126" t="s">
        <v>120</v>
      </c>
      <c r="G14" s="126" t="s">
        <v>12</v>
      </c>
      <c r="H14" s="126" t="s">
        <v>8</v>
      </c>
      <c r="I14" s="125" t="s">
        <v>42</v>
      </c>
      <c r="J14" s="127" t="s">
        <v>113</v>
      </c>
      <c r="Q14" s="8">
        <v>1</v>
      </c>
      <c r="S14" s="8" t="s">
        <v>121</v>
      </c>
      <c r="T14" s="8">
        <f>COUNTIFS(I15:I16, "OK", G15:G16, "ffpe")</f>
        <v>0</v>
      </c>
    </row>
    <row r="15" spans="1:20" hidden="1" x14ac:dyDescent="0.2">
      <c r="A15" s="128" t="s">
        <v>130</v>
      </c>
      <c r="B15" s="129"/>
      <c r="C15" s="130"/>
      <c r="D15" s="131"/>
      <c r="E15" s="132"/>
      <c r="F15" s="133"/>
      <c r="G15" s="134"/>
      <c r="H15" s="135"/>
      <c r="I15" s="9" t="str">
        <f>IF(AND(B15&lt;&gt;"", C15&lt;&gt;"", G15&lt;&gt;""), "OK", IF(B15="", "Enter Name", IF(C15="", "Enter ID", IF(G15="", "Enter Sample Type", "--"))))</f>
        <v>Enter Name</v>
      </c>
      <c r="J15" s="7">
        <f>COUNTIF(I15:I22, "OK")</f>
        <v>0</v>
      </c>
      <c r="Q15" s="8">
        <f>MIN(COUNTA(PatientList[DNA Number]),COUNTA(Samples['#])-$J$15)</f>
        <v>9</v>
      </c>
      <c r="S15" s="8" t="s">
        <v>122</v>
      </c>
      <c r="T15" s="8">
        <f>COUNTIFS(I15:I16, "OK", G15:G16, "&lt;&gt;FFPE")</f>
        <v>0</v>
      </c>
    </row>
    <row r="16" spans="1:20" hidden="1" x14ac:dyDescent="0.2">
      <c r="A16" s="136" t="s">
        <v>129</v>
      </c>
      <c r="B16" s="137"/>
      <c r="C16" s="138"/>
      <c r="D16" s="131"/>
      <c r="E16" s="132"/>
      <c r="F16" s="133"/>
      <c r="G16" s="139"/>
      <c r="H16" s="135"/>
      <c r="I16" s="9" t="str">
        <f>IF(I15&lt;&gt;"OK", "Enter Sample in QC #1", IF(AND(B16&lt;&gt;"", C16&lt;&gt;"", G16&lt;&gt;""), "OK", IF(B16="", "Enter Name", IF(C16="", "Enter ID", IF(G16="", "Enter Sample Type", "--")))))</f>
        <v>Enter Sample in QC #1</v>
      </c>
      <c r="J16" s="140"/>
      <c r="Q16" s="8">
        <f xml:space="preserve"> $Q$15+1</f>
        <v>10</v>
      </c>
    </row>
    <row r="17" spans="1:17" hidden="1" x14ac:dyDescent="0.2">
      <c r="A17" s="136" t="s">
        <v>123</v>
      </c>
      <c r="B17" s="137"/>
      <c r="C17" s="138"/>
      <c r="D17" s="141"/>
      <c r="E17" s="132"/>
      <c r="F17" s="133"/>
      <c r="G17" s="139"/>
      <c r="H17" s="135"/>
      <c r="I17" s="9" t="str">
        <f>IF(I16&lt;&gt;"OK", "Enter Sample in QC #2", IF(AND(B17&lt;&gt;"", C17&lt;&gt;"", G17&lt;&gt;""), "OK", IF(B17="", "Enter Name", IF(C17="", "Enter ID", IF(G17="", "Enter Sample Type", "--")))))</f>
        <v>Enter Sample in QC #2</v>
      </c>
      <c r="J17" s="140"/>
      <c r="Q17" s="8">
        <f>$Q$16+$J$15</f>
        <v>10</v>
      </c>
    </row>
    <row r="18" spans="1:17" hidden="1" x14ac:dyDescent="0.2">
      <c r="A18" s="136" t="s">
        <v>124</v>
      </c>
      <c r="B18" s="137"/>
      <c r="C18" s="138"/>
      <c r="D18" s="141"/>
      <c r="E18" s="132"/>
      <c r="F18" s="133"/>
      <c r="G18" s="139"/>
      <c r="H18" s="135"/>
      <c r="I18" s="9" t="str">
        <f>IF(I17&lt;&gt;"OK", "Enter Sample in QC #3", IF(AND(B18&lt;&gt;"", C18&lt;&gt;"", G18&lt;&gt;""), "OK", IF(B18="", "Enter Name", IF(C18="", "Enter ID", IF(G18="", "Enter Sample Type", "--")))))</f>
        <v>Enter Sample in QC #3</v>
      </c>
      <c r="J18" s="140"/>
    </row>
    <row r="19" spans="1:17" hidden="1" x14ac:dyDescent="0.2">
      <c r="A19" s="136" t="s">
        <v>125</v>
      </c>
      <c r="B19" s="137"/>
      <c r="C19" s="138"/>
      <c r="D19" s="141"/>
      <c r="E19" s="132"/>
      <c r="F19" s="133"/>
      <c r="G19" s="139"/>
      <c r="H19" s="135"/>
      <c r="I19" s="9" t="str">
        <f>IF(I18&lt;&gt;"OK", "Enter Sample in QC #4", IF(AND(B19&lt;&gt;"", C19&lt;&gt;"", G19&lt;&gt;""), "OK", IF(B19="", "Enter Name", IF(C19="", "Enter ID", IF(G19="", "Enter Sample Type", "--")))))</f>
        <v>Enter Sample in QC #4</v>
      </c>
      <c r="J19" s="140"/>
    </row>
    <row r="20" spans="1:17" hidden="1" x14ac:dyDescent="0.2">
      <c r="A20" s="136" t="s">
        <v>126</v>
      </c>
      <c r="B20" s="137"/>
      <c r="C20" s="138"/>
      <c r="D20" s="141"/>
      <c r="E20" s="132"/>
      <c r="F20" s="133"/>
      <c r="G20" s="139"/>
      <c r="H20" s="135"/>
      <c r="I20" s="9" t="str">
        <f>IF(I19&lt;&gt;"OK", "Enter Sample in QC #5", IF(AND(B20&lt;&gt;"", C20&lt;&gt;"", G20&lt;&gt;""), "OK", IF(B20="", "Enter Name", IF(C20="", "Enter ID", IF(G20="", "Enter Sample Type", "--")))))</f>
        <v>Enter Sample in QC #5</v>
      </c>
      <c r="J20" s="140"/>
    </row>
    <row r="21" spans="1:17" hidden="1" x14ac:dyDescent="0.2">
      <c r="A21" s="136" t="s">
        <v>127</v>
      </c>
      <c r="B21" s="137"/>
      <c r="C21" s="138"/>
      <c r="D21" s="141"/>
      <c r="E21" s="132"/>
      <c r="F21" s="133"/>
      <c r="G21" s="139"/>
      <c r="H21" s="135"/>
      <c r="I21" s="9" t="str">
        <f>IF(I20&lt;&gt;"OK", "Enter Sample in QC #6", IF(AND(B21&lt;&gt;"", C21&lt;&gt;"", G21&lt;&gt;""), "OK", IF(B21="", "Enter Name", IF(C21="", "Enter ID", IF(G21="", "Enter Sample Type", "--")))))</f>
        <v>Enter Sample in QC #6</v>
      </c>
      <c r="J21" s="140"/>
    </row>
    <row r="22" spans="1:17" ht="13.5" hidden="1" thickBot="1" x14ac:dyDescent="0.25">
      <c r="A22" s="142" t="s">
        <v>128</v>
      </c>
      <c r="B22" s="137"/>
      <c r="C22" s="138"/>
      <c r="D22" s="141"/>
      <c r="E22" s="132"/>
      <c r="F22" s="133"/>
      <c r="G22" s="139"/>
      <c r="H22" s="135"/>
      <c r="I22" s="9" t="str">
        <f>IF(I21&lt;&gt;"OK", "Enter Sample in QC #7", IF(AND(B22&lt;&gt;"", C22&lt;&gt;"", G22&lt;&gt;""), "OK", IF(B22="", "Enter Name", IF(C22="", "Enter ID", IF(G22="", "Enter Sample Type", "--")))))</f>
        <v>Enter Sample in QC #7</v>
      </c>
      <c r="J22" s="140"/>
    </row>
    <row r="23" spans="1:17" ht="13.5" thickBot="1" x14ac:dyDescent="0.25">
      <c r="A23" s="115" t="s">
        <v>132</v>
      </c>
      <c r="B23" s="143"/>
      <c r="C23" s="113"/>
      <c r="D23" s="113"/>
      <c r="E23" s="113"/>
      <c r="F23" s="113"/>
      <c r="G23" s="113"/>
      <c r="H23" s="113"/>
      <c r="I23" s="113"/>
      <c r="J23" s="114"/>
    </row>
    <row r="24" spans="1:17" ht="38.25" x14ac:dyDescent="0.2">
      <c r="A24" s="144" t="s">
        <v>133</v>
      </c>
      <c r="C24" s="26"/>
      <c r="D24" s="145"/>
      <c r="E24" s="145"/>
      <c r="F24" s="145"/>
      <c r="G24" s="145"/>
      <c r="H24" s="145"/>
      <c r="I24" s="27"/>
      <c r="J24" s="120"/>
    </row>
    <row r="25" spans="1:17" ht="13.5" thickBot="1" x14ac:dyDescent="0.25">
      <c r="A25" s="127"/>
      <c r="B25" s="146"/>
      <c r="C25" s="147"/>
      <c r="D25" s="148"/>
      <c r="G25" s="149"/>
    </row>
    <row r="26" spans="1:17" ht="13.5" thickBot="1" x14ac:dyDescent="0.25">
      <c r="A26" s="115" t="s">
        <v>134</v>
      </c>
      <c r="B26" s="113"/>
      <c r="C26" s="113"/>
      <c r="D26" s="113"/>
      <c r="E26" s="113"/>
      <c r="F26" s="113"/>
      <c r="G26" s="113"/>
      <c r="H26" s="113"/>
      <c r="I26" s="113"/>
      <c r="J26" s="114"/>
    </row>
    <row r="27" spans="1:17" ht="17.25" customHeight="1" thickBot="1" x14ac:dyDescent="0.25">
      <c r="B27" s="117" t="s">
        <v>45</v>
      </c>
      <c r="C27" s="263" t="str">
        <f>IF(COUNTA(PatientList[DNA Number])&lt;&gt;COUNTA(PatientList[Assay ID]), "The # of DNA numbers and the # of Assay IDs do not match, recheck the patient list.", IF(COUNTA(PatientList[Assay ID])&lt;&gt;COUNTIF(PatientList[Assay ID], "NGS*"), "At least one assay ID is not the same, recheck the patient list.", 'Patient List'!V2&amp;C24&amp;"_"&amp;"_"&amp;LEFT(E4)&amp;IF(ISNUMBER(FIND(" ",E4)),MID(E4,FIND(" ",E4)+1,1),"")&amp;IF(ISNUMBER(FIND(" ",E4,FIND(" ",E4)+1)),MID(E4,FIND(" ",E4,FIND(" ",E4)+1)+1,1),"")))</f>
        <v>NGS-T4__CL</v>
      </c>
      <c r="D27" s="264"/>
      <c r="E27" s="150"/>
      <c r="F27" s="151"/>
      <c r="G27" s="151"/>
      <c r="H27" s="151"/>
    </row>
    <row r="28" spans="1:17" ht="13.5" thickBot="1" x14ac:dyDescent="0.25">
      <c r="A28" s="117"/>
      <c r="B28" s="152"/>
      <c r="C28" s="152"/>
      <c r="D28" s="152"/>
      <c r="E28" s="152"/>
      <c r="F28" s="152"/>
      <c r="G28" s="152"/>
    </row>
    <row r="29" spans="1:17" ht="13.5" thickBot="1" x14ac:dyDescent="0.25">
      <c r="A29" s="115" t="s">
        <v>164</v>
      </c>
      <c r="B29" s="113"/>
      <c r="C29" s="113"/>
      <c r="D29" s="113"/>
      <c r="E29" s="113"/>
      <c r="F29" s="113"/>
      <c r="G29" s="113"/>
      <c r="H29" s="113"/>
      <c r="I29" s="113"/>
      <c r="J29" s="114"/>
    </row>
    <row r="30" spans="1:17" x14ac:dyDescent="0.2">
      <c r="A30" s="117"/>
      <c r="B30" s="152"/>
      <c r="C30" s="152"/>
      <c r="D30" s="152"/>
      <c r="E30" s="152"/>
      <c r="F30" s="152"/>
      <c r="G30" s="152"/>
    </row>
    <row r="31" spans="1:17" x14ac:dyDescent="0.2">
      <c r="A31" s="117"/>
      <c r="B31" s="152"/>
      <c r="C31" s="152"/>
      <c r="D31" s="152"/>
      <c r="E31" s="152"/>
      <c r="F31" s="152"/>
      <c r="G31" s="152"/>
    </row>
    <row r="32" spans="1:17" ht="13.5" thickBot="1" x14ac:dyDescent="0.25">
      <c r="A32" s="117"/>
      <c r="B32" s="152"/>
      <c r="C32" s="152"/>
      <c r="D32" s="152"/>
      <c r="E32" s="152"/>
      <c r="F32" s="152"/>
      <c r="G32" s="152"/>
    </row>
    <row r="33" spans="1:21" ht="13.5" thickBot="1" x14ac:dyDescent="0.25">
      <c r="A33" s="115" t="s">
        <v>222</v>
      </c>
      <c r="B33" s="113"/>
      <c r="C33" s="113"/>
      <c r="D33" s="113"/>
      <c r="E33" s="113"/>
      <c r="F33" s="113"/>
      <c r="G33" s="113"/>
      <c r="H33" s="113"/>
      <c r="I33" s="113"/>
      <c r="J33" s="114"/>
    </row>
    <row r="34" spans="1:21" x14ac:dyDescent="0.2">
      <c r="A34" s="117"/>
      <c r="B34" s="152"/>
      <c r="C34" s="152"/>
      <c r="D34" s="152"/>
      <c r="E34" s="152"/>
      <c r="F34" s="152"/>
      <c r="G34" s="152"/>
    </row>
    <row r="35" spans="1:21" ht="13.5" thickBot="1" x14ac:dyDescent="0.25"/>
    <row r="36" spans="1:21" ht="13.5" thickBot="1" x14ac:dyDescent="0.25">
      <c r="A36" s="115" t="s">
        <v>221</v>
      </c>
      <c r="B36" s="113"/>
      <c r="C36" s="113"/>
      <c r="D36" s="113"/>
      <c r="E36" s="113"/>
      <c r="F36" s="113"/>
      <c r="G36" s="114"/>
    </row>
    <row r="38" spans="1:21" ht="19.5" customHeight="1" x14ac:dyDescent="0.2">
      <c r="A38" s="35" t="s">
        <v>111</v>
      </c>
      <c r="B38" s="153" t="s">
        <v>29</v>
      </c>
      <c r="C38" s="153" t="s">
        <v>112</v>
      </c>
      <c r="D38" s="153" t="s">
        <v>308</v>
      </c>
      <c r="E38" s="153" t="s">
        <v>87</v>
      </c>
      <c r="F38" s="153" t="s">
        <v>88</v>
      </c>
      <c r="G38" s="154" t="s">
        <v>89</v>
      </c>
      <c r="H38" s="36" t="s">
        <v>167</v>
      </c>
      <c r="I38" s="36" t="s">
        <v>163</v>
      </c>
      <c r="J38" s="36" t="s">
        <v>33</v>
      </c>
      <c r="K38" s="36" t="s">
        <v>93</v>
      </c>
      <c r="M38" s="155" t="s">
        <v>202</v>
      </c>
      <c r="N38" s="155" t="s">
        <v>176</v>
      </c>
      <c r="O38" s="156" t="s">
        <v>177</v>
      </c>
      <c r="P38" s="157" t="str">
        <f>Samples[[#Headers],[DNA '#]]</f>
        <v>DNA #</v>
      </c>
      <c r="Q38" s="157" t="s">
        <v>178</v>
      </c>
      <c r="R38" s="157" t="s">
        <v>185</v>
      </c>
      <c r="S38" s="158" t="s">
        <v>180</v>
      </c>
      <c r="T38" s="159" t="s">
        <v>181</v>
      </c>
      <c r="U38" s="159" t="s">
        <v>186</v>
      </c>
    </row>
    <row r="39" spans="1:21" ht="16.149999999999999" customHeight="1" x14ac:dyDescent="0.2">
      <c r="A39" s="160"/>
      <c r="B39" s="56" t="str">
        <f>IF(E88&gt;0,"NTC","")</f>
        <v>NTC</v>
      </c>
      <c r="C39" s="38" t="str">
        <f>IF(Samples[[#This Row],[Name]]="","","NTC - Heme")</f>
        <v>NTC - Heme</v>
      </c>
      <c r="D39" s="38"/>
      <c r="E39" s="56"/>
      <c r="F39" s="57"/>
      <c r="G39" s="58"/>
      <c r="H39" s="56"/>
      <c r="I39" s="71"/>
      <c r="J39" s="56"/>
      <c r="K39" s="56"/>
      <c r="M39" s="155"/>
      <c r="N39" s="155"/>
      <c r="O39" s="156"/>
      <c r="P39" s="157"/>
      <c r="Q39" s="157"/>
      <c r="R39" s="157"/>
      <c r="S39" s="158"/>
      <c r="T39" s="159"/>
      <c r="U39" s="159"/>
    </row>
    <row r="40" spans="1:21" ht="16.149999999999999" customHeight="1" x14ac:dyDescent="0.2">
      <c r="A40" s="161"/>
      <c r="B40" s="56" t="str">
        <f>IF(E91&gt;0,"NTC","")</f>
        <v/>
      </c>
      <c r="C40" s="38" t="str">
        <f>IF(Samples[[#This Row],[Name]]="","","NTC-Comp")</f>
        <v/>
      </c>
      <c r="D40" s="38"/>
      <c r="E40" s="38"/>
      <c r="F40" s="50"/>
      <c r="G40" s="37"/>
      <c r="H40" s="38"/>
      <c r="I40" s="71"/>
      <c r="J40" s="38"/>
      <c r="K40" s="38"/>
      <c r="M40" s="155"/>
      <c r="N40" s="155"/>
      <c r="O40" s="156"/>
      <c r="P40" s="157"/>
      <c r="Q40" s="157"/>
      <c r="R40" s="157"/>
      <c r="S40" s="158"/>
      <c r="T40" s="159"/>
      <c r="U40" s="159"/>
    </row>
    <row r="41" spans="1:21" x14ac:dyDescent="0.2">
      <c r="A41" s="162">
        <v>1</v>
      </c>
      <c r="B41" s="163" t="str">
        <f>'Patient List'!A2&amp;", "&amp;'Patient List'!B2</f>
        <v xml:space="preserve">, </v>
      </c>
      <c r="C41" s="164" t="str">
        <f>'Patient List'!I2</f>
        <v>C00026B</v>
      </c>
      <c r="D41" s="164">
        <f>'Patient List'!D2</f>
        <v>0</v>
      </c>
      <c r="E41" s="163" t="str">
        <f>'Patient List'!N2</f>
        <v>DNA</v>
      </c>
      <c r="F41" s="50" t="str">
        <f ca="1">IF(A41&lt;$Q$16, IF('Patient List'!I2="", "", 'Patient List'!AQ2), IF('NGS Run Record'!A41='NGS Run Record'!$Q$16, IF('NGS Run Record'!$I$15&lt;&gt;"OK", "", 'NGS Run Record'!$E$15), IF($J$15=0, "", OFFSET('NGS Run Record'!$E$15, MIN('NGS Run Record'!A41-'NGS Run Record'!$Q$16, $J$15), 0))))</f>
        <v>5.0</v>
      </c>
      <c r="G41" s="37">
        <f>'Patient List'!AR2</f>
        <v>0</v>
      </c>
      <c r="H41" s="38" t="str">
        <f>IF(Samples[[#This Row],[DNA '#]]="","",Samples[[#This Row],[Column1]]&amp;"/"&amp;Samples[[#This Row],[Column2]])</f>
        <v>/</v>
      </c>
      <c r="I41" s="71" t="s">
        <v>274</v>
      </c>
      <c r="J41" s="49"/>
      <c r="K41" s="49"/>
      <c r="M41" s="165" t="str">
        <f>IF(Samples[[#This Row],[Sample type]]="","",IF(Samples[[#This Row],[Sample type]]="FFPE","100","40"))</f>
        <v>40</v>
      </c>
      <c r="N41" s="166">
        <f>M41/17.5</f>
        <v>2.2857142857142856</v>
      </c>
      <c r="O41" s="167">
        <f ca="1">MIN(Samples[[#This Row],[DNA Conc. (ng/µl )]]*17.5,N41*17.5)</f>
        <v>40</v>
      </c>
      <c r="P41" s="157" t="str">
        <f>IF(Samples[[#This Row],[DNA '#]]="","",Samples[[#This Row],[DNA '#]])</f>
        <v>C00026B</v>
      </c>
      <c r="Q41" s="168">
        <f ca="1">IF(M41="","",O41/Samples[[#This Row],[DNA Conc. (ng/µl )]])</f>
        <v>8</v>
      </c>
      <c r="R41" s="168">
        <f ca="1">IF(M41="","",17.5-Q41)</f>
        <v>9.5</v>
      </c>
      <c r="S41" s="169" t="str">
        <f ca="1">IF(Q41&lt;1,"Dilute sample 10X first, 1 µl stock + 9 µl H2O; then add ","")</f>
        <v/>
      </c>
      <c r="T41" s="8" t="str">
        <f ca="1">IF(S41="","",S41&amp;TEXT(Q41*10,0)&amp;" µl DNA from stock; then add "&amp;TEXT(17.5-Q41*10,0)&amp;" µl H2O")</f>
        <v/>
      </c>
      <c r="U41" s="8">
        <f ca="1">IF(M41="","",O41)</f>
        <v>40</v>
      </c>
    </row>
    <row r="42" spans="1:21" x14ac:dyDescent="0.2">
      <c r="A42" s="162">
        <v>2</v>
      </c>
      <c r="B42" s="38" t="str">
        <f ca="1">IF(A42&lt;$Q$16, IF('Patient List'!I3="", "", CONCATENATE('Patient List'!A3, ", ", 'Patient List'!B3)), IF('NGS Run Record'!A42='NGS Run Record'!$Q$16, IF('NGS Run Record'!$I$15&lt;&gt;"OK", "", 'NGS Run Record'!$B$15), IF($J$15=0, "", OFFSET('NGS Run Record'!$B$15, MIN('NGS Run Record'!A42-'NGS Run Record'!$Q$16, $J$15), 0))))</f>
        <v xml:space="preserve">, </v>
      </c>
      <c r="C42" s="164" t="str">
        <f ca="1">IF(A42&lt;$Q$16, IF('Patient List'!I3="", "", 'Patient List'!I3), IF('NGS Run Record'!A42='NGS Run Record'!$Q$16, IF('NGS Run Record'!$I$15&lt;&gt;"OK", "", 'NGS Run Record'!$C$15), IF($J$15=0, "", OFFSET('NGS Run Record'!$C$15, MIN(ABS('NGS Run Record'!A42-'NGS Run Record'!$Q$16), $J$15), 0))))</f>
        <v>S1</v>
      </c>
      <c r="D42" s="164">
        <f>'Patient List'!D3</f>
        <v>0</v>
      </c>
      <c r="E42" s="38" t="str">
        <f ca="1">IF(A42&lt;$Q$16, IF('Patient List'!I3="", "", 'Patient List'!N3), IF('NGS Run Record'!A42='NGS Run Record'!$Q$16, IF('NGS Run Record'!$I$15&lt;&gt;"OK", "", 'NGS Run Record'!$G$15), IF($J$15=0, "", OFFSET('NGS Run Record'!$G$15, MIN('NGS Run Record'!A42-'NGS Run Record'!$Q$16, $J$15), 0))))</f>
        <v>DNA</v>
      </c>
      <c r="F42" s="50" t="str">
        <f ca="1">IF(A42&lt;$Q$16, IF('Patient List'!I3="", "", 'Patient List'!AQ3), IF('NGS Run Record'!A42='NGS Run Record'!$Q$16, IF('NGS Run Record'!$I$15&lt;&gt;"OK", "", 'NGS Run Record'!$E$15), IF($J$15=0, "", OFFSET('NGS Run Record'!$E$15, MIN('NGS Run Record'!A42-'NGS Run Record'!$Q$16, $J$15), 0))))</f>
        <v>40</v>
      </c>
      <c r="G42" s="170" t="str">
        <f ca="1">IF(A42&lt;$Q$16, IF('Patient List'!I3="", "", 'Patient List'!AR3), IF('NGS Run Record'!A42='NGS Run Record'!$Q$16, IF('NGS Run Record'!$I$15&lt;&gt;"OK", "", 'NGS Run Record'!$F$15), IF($J$15=0, "", OFFSET('NGS Run Record'!$F$15, MIN('NGS Run Record'!A42-'NGS Run Record'!$Q$16, $J$15), 0))))</f>
        <v>1.8</v>
      </c>
      <c r="H42" s="38" t="str">
        <f ca="1">IF(Samples[[#This Row],[DNA '#]]="","",Samples[[#This Row],[Column1]]&amp;"/"&amp;Samples[[#This Row],[Column2]])</f>
        <v>/</v>
      </c>
      <c r="I42" s="71" t="s">
        <v>274</v>
      </c>
      <c r="J42" s="38"/>
      <c r="K42" s="49"/>
      <c r="M42" s="165" t="str">
        <f ca="1">IF(Samples[[#This Row],[Sample type]]="","",IF(Samples[[#This Row],[Sample type]]="FFPE","100","40"))</f>
        <v>40</v>
      </c>
      <c r="N42" s="166">
        <f t="shared" ref="N42:N46" ca="1" si="0">M42/17.5</f>
        <v>2.2857142857142856</v>
      </c>
      <c r="O42" s="167">
        <f ca="1">MIN(Samples[[#This Row],[DNA Conc. (ng/µl )]]*17.5,N42*17.5)</f>
        <v>40</v>
      </c>
      <c r="P42" s="157" t="str">
        <f ca="1">IF(Samples[[#This Row],[DNA '#]]="","",Samples[[#This Row],[DNA '#]])</f>
        <v>S1</v>
      </c>
      <c r="Q42" s="168">
        <f ca="1">IF(M42="","",O42/Samples[[#This Row],[DNA Conc. (ng/µl )]])</f>
        <v>1</v>
      </c>
      <c r="R42" s="168">
        <f t="shared" ref="R42:R46" ca="1" si="1">IF(M42="","",17.5-Q42)</f>
        <v>16.5</v>
      </c>
      <c r="S42" s="169" t="str">
        <f t="shared" ref="S42:S46" ca="1" si="2">IF(Q42&lt;1,"Dilute sample 10X first, 1 µl stock + 9 µl H2O; then add ","")</f>
        <v/>
      </c>
      <c r="T42" s="8" t="str">
        <f t="shared" ref="T42:T46" ca="1" si="3">IF(S42="","",S42&amp;TEXT(Q42*10,0)&amp;" µl DNA from stock; then add "&amp;TEXT(17.5-Q42*10,0)&amp;" µl H2O")</f>
        <v/>
      </c>
      <c r="U42" s="8">
        <f t="shared" ref="U42:U46" ca="1" si="4">IF(M42="","",O42)</f>
        <v>40</v>
      </c>
    </row>
    <row r="43" spans="1:21" x14ac:dyDescent="0.2">
      <c r="A43" s="162">
        <v>3</v>
      </c>
      <c r="B43" s="38" t="str">
        <f ca="1">IF(A43&lt;$Q$16, IF('Patient List'!I4="", "", CONCATENATE('Patient List'!A4, ", ", 'Patient List'!B4)), IF('NGS Run Record'!A43='NGS Run Record'!$Q$16, IF('NGS Run Record'!$I$15&lt;&gt;"OK", "", 'NGS Run Record'!$B$15), IF($J$15=0, "", OFFSET('NGS Run Record'!$B$15, MIN('NGS Run Record'!A43-'NGS Run Record'!$Q$16, $J$15), 0))))</f>
        <v xml:space="preserve">, </v>
      </c>
      <c r="C43" s="164" t="str">
        <f ca="1">IF(A43&lt;$Q$16, IF('Patient List'!I4="", "", 'Patient List'!I4), IF('NGS Run Record'!A43='NGS Run Record'!$Q$16, IF('NGS Run Record'!$I$15&lt;&gt;"OK", "", 'NGS Run Record'!$C$15), IF($J$15=0, "", OFFSET('NGS Run Record'!$C$15, MIN(ABS('NGS Run Record'!A43-'NGS Run Record'!$Q$16), $J$15), 0))))</f>
        <v>S2</v>
      </c>
      <c r="D43" s="164">
        <f>'Patient List'!D4</f>
        <v>0</v>
      </c>
      <c r="E43" s="38" t="str">
        <f ca="1">IF(A43&lt;$Q$16, IF('Patient List'!I4="", "", 'Patient List'!N4), IF('NGS Run Record'!A43='NGS Run Record'!$Q$16, IF('NGS Run Record'!$I$15&lt;&gt;"OK", "", 'NGS Run Record'!$G$15), IF($J$15=0, "", OFFSET('NGS Run Record'!$G$15, MIN('NGS Run Record'!A43-'NGS Run Record'!$Q$16, $J$15), 0))))</f>
        <v>FFPE</v>
      </c>
      <c r="F43" s="50" t="str">
        <f ca="1">IF(A43&lt;$Q$16, IF('Patient List'!I4="", "", 'Patient List'!AQ4), IF('NGS Run Record'!A43='NGS Run Record'!$Q$16, IF('NGS Run Record'!$I$15&lt;&gt;"OK", "", 'NGS Run Record'!$E$15), IF($J$15=0, "", OFFSET('NGS Run Record'!$E$15, MIN('NGS Run Record'!A43-'NGS Run Record'!$Q$16, $J$15), 0))))</f>
        <v>50</v>
      </c>
      <c r="G43" s="170" t="str">
        <f ca="1">IF(A43&lt;$Q$16, IF('Patient List'!I4="", "", 'Patient List'!AR4), IF('NGS Run Record'!A43='NGS Run Record'!$Q$16, IF('NGS Run Record'!$I$15&lt;&gt;"OK", "", 'NGS Run Record'!$F$15), IF($J$15=0, "", OFFSET('NGS Run Record'!$F$15, MIN('NGS Run Record'!A43-'NGS Run Record'!$Q$16, $J$15), 0))))</f>
        <v>1.8</v>
      </c>
      <c r="H43" s="38" t="str">
        <f ca="1">IF(Samples[[#This Row],[DNA '#]]="","",Samples[[#This Row],[Column1]]&amp;"/"&amp;Samples[[#This Row],[Column2]])</f>
        <v>/</v>
      </c>
      <c r="I43" s="71" t="s">
        <v>274</v>
      </c>
      <c r="J43" s="38"/>
      <c r="K43" s="49"/>
      <c r="M43" s="165" t="str">
        <f ca="1">IF(Samples[[#This Row],[Sample type]]="","",IF(Samples[[#This Row],[Sample type]]="FFPE","100","40"))</f>
        <v>100</v>
      </c>
      <c r="N43" s="166">
        <f t="shared" ca="1" si="0"/>
        <v>5.7142857142857144</v>
      </c>
      <c r="O43" s="167">
        <f ca="1">MIN(Samples[[#This Row],[DNA Conc. (ng/µl )]]*17.5,N43*17.5)</f>
        <v>100</v>
      </c>
      <c r="P43" s="157" t="str">
        <f ca="1">IF(Samples[[#This Row],[DNA '#]]="","",Samples[[#This Row],[DNA '#]])</f>
        <v>S2</v>
      </c>
      <c r="Q43" s="168">
        <f ca="1">IF(M43="","",O43/Samples[[#This Row],[DNA Conc. (ng/µl )]])</f>
        <v>2</v>
      </c>
      <c r="R43" s="168">
        <f t="shared" ca="1" si="1"/>
        <v>15.5</v>
      </c>
      <c r="S43" s="169" t="str">
        <f t="shared" ca="1" si="2"/>
        <v/>
      </c>
      <c r="T43" s="8" t="str">
        <f t="shared" ca="1" si="3"/>
        <v/>
      </c>
      <c r="U43" s="8">
        <f t="shared" ca="1" si="4"/>
        <v>100</v>
      </c>
    </row>
    <row r="44" spans="1:21" x14ac:dyDescent="0.2">
      <c r="A44" s="162">
        <v>4</v>
      </c>
      <c r="B44" s="38" t="str">
        <f ca="1">IF(A44&lt;$Q$16, IF('Patient List'!I5="", "", CONCATENATE('Patient List'!A5, ", ", 'Patient List'!B5)), IF('NGS Run Record'!A44='NGS Run Record'!$Q$16, IF('NGS Run Record'!$I$15&lt;&gt;"OK", "", 'NGS Run Record'!$B$15), IF($J$15=0, "", OFFSET('NGS Run Record'!$B$15, MIN('NGS Run Record'!A44-'NGS Run Record'!$Q$16, $J$15), 0))))</f>
        <v xml:space="preserve">, </v>
      </c>
      <c r="C44" s="164" t="str">
        <f ca="1">IF(A44&lt;$Q$16, IF('Patient List'!I5="", "", 'Patient List'!I5), IF('NGS Run Record'!A44='NGS Run Record'!$Q$16, IF('NGS Run Record'!$I$15&lt;&gt;"OK", "", 'NGS Run Record'!$C$15), IF($J$15=0, "", OFFSET('NGS Run Record'!$C$15, MIN(ABS('NGS Run Record'!A44-'NGS Run Record'!$Q$16), $J$15), 0))))</f>
        <v>S3</v>
      </c>
      <c r="D44" s="164">
        <f>'Patient List'!D5</f>
        <v>0</v>
      </c>
      <c r="E44" s="38" t="str">
        <f ca="1">IF(A44&lt;$Q$16, IF('Patient List'!I5="", "", 'Patient List'!N5), IF('NGS Run Record'!A44='NGS Run Record'!$Q$16, IF('NGS Run Record'!$I$15&lt;&gt;"OK", "", 'NGS Run Record'!$G$15), IF($J$15=0, "", OFFSET('NGS Run Record'!$G$15, MIN('NGS Run Record'!A44-'NGS Run Record'!$Q$16, $J$15), 0))))</f>
        <v>Bone Marrow</v>
      </c>
      <c r="F44" s="50" t="str">
        <f ca="1">IF(A44&lt;$Q$16, IF('Patient List'!I5="", "", 'Patient List'!AQ5), IF('NGS Run Record'!A44='NGS Run Record'!$Q$16, IF('NGS Run Record'!$I$15&lt;&gt;"OK", "", 'NGS Run Record'!$E$15), IF($J$15=0, "", OFFSET('NGS Run Record'!$E$15, MIN('NGS Run Record'!A44-'NGS Run Record'!$Q$16, $J$15), 0))))</f>
        <v>60</v>
      </c>
      <c r="G44" s="170">
        <f ca="1">IF(A44&lt;$Q$16, IF('Patient List'!I5="", "", 'Patient List'!AR5), IF('NGS Run Record'!A44='NGS Run Record'!$Q$16, IF('NGS Run Record'!$I$15&lt;&gt;"OK", "", 'NGS Run Record'!$F$15), IF($J$15=0, "", OFFSET('NGS Run Record'!$F$15, MIN('NGS Run Record'!A44-'NGS Run Record'!$Q$16, $J$15), 0))))</f>
        <v>2</v>
      </c>
      <c r="H44" s="38" t="str">
        <f ca="1">IF(Samples[[#This Row],[DNA '#]]="","",Samples[[#This Row],[Column1]]&amp;"/"&amp;Samples[[#This Row],[Column2]])</f>
        <v>/</v>
      </c>
      <c r="I44" s="71" t="s">
        <v>274</v>
      </c>
      <c r="J44" s="38"/>
      <c r="K44" s="49"/>
      <c r="M44" s="165" t="str">
        <f ca="1">IF(Samples[[#This Row],[Sample type]]="","",IF(Samples[[#This Row],[Sample type]]="FFPE","100","40"))</f>
        <v>40</v>
      </c>
      <c r="N44" s="166">
        <f t="shared" ca="1" si="0"/>
        <v>2.2857142857142856</v>
      </c>
      <c r="O44" s="167">
        <f ca="1">MIN(Samples[[#This Row],[DNA Conc. (ng/µl )]]*17.5,N44*17.5)</f>
        <v>40</v>
      </c>
      <c r="P44" s="157" t="str">
        <f ca="1">IF(Samples[[#This Row],[DNA '#]]="","",Samples[[#This Row],[DNA '#]])</f>
        <v>S3</v>
      </c>
      <c r="Q44" s="168">
        <f ca="1">IF(M44="","",O44/Samples[[#This Row],[DNA Conc. (ng/µl )]])</f>
        <v>0.66666666666666663</v>
      </c>
      <c r="R44" s="168">
        <f t="shared" ca="1" si="1"/>
        <v>16.833333333333332</v>
      </c>
      <c r="S44" s="169" t="str">
        <f t="shared" ca="1" si="2"/>
        <v xml:space="preserve">Dilute sample 10X first, 1 µl stock + 9 µl H2O; then add </v>
      </c>
      <c r="T44" s="8" t="str">
        <f t="shared" ca="1" si="3"/>
        <v>Dilute sample 10X first, 1 µl stock + 9 µl H2O; then add 7 µl DNA from stock; then add 11 µl H2O</v>
      </c>
      <c r="U44" s="8">
        <f t="shared" ca="1" si="4"/>
        <v>40</v>
      </c>
    </row>
    <row r="45" spans="1:21" x14ac:dyDescent="0.2">
      <c r="A45" s="162">
        <v>5</v>
      </c>
      <c r="B45" s="38" t="str">
        <f ca="1">IF(A45&lt;$Q$16, IF('Patient List'!I6="", "", CONCATENATE('Patient List'!A6, ", ", 'Patient List'!B6)), IF('NGS Run Record'!A45='NGS Run Record'!$Q$16, IF('NGS Run Record'!$I$15&lt;&gt;"OK", "", 'NGS Run Record'!$B$15), IF($J$15=0, "", OFFSET('NGS Run Record'!$B$15, MIN('NGS Run Record'!A45-'NGS Run Record'!$Q$16, $J$15), 0))))</f>
        <v xml:space="preserve">, </v>
      </c>
      <c r="C45" s="164" t="str">
        <f ca="1">IF(A45&lt;$Q$16, IF('Patient List'!I6="", "", 'Patient List'!I6), IF('NGS Run Record'!A45='NGS Run Record'!$Q$16, IF('NGS Run Record'!$I$15&lt;&gt;"OK", "", 'NGS Run Record'!$C$15), IF($J$15=0, "", OFFSET('NGS Run Record'!$C$15, MIN(ABS('NGS Run Record'!A45-'NGS Run Record'!$Q$16), $J$15), 0))))</f>
        <v>S4</v>
      </c>
      <c r="D45" s="164">
        <f>'Patient List'!D6</f>
        <v>0</v>
      </c>
      <c r="E45" s="38" t="str">
        <f ca="1">IF(A45&lt;$Q$16, IF('Patient List'!I6="", "", 'Patient List'!N6), IF('NGS Run Record'!A45='NGS Run Record'!$Q$16, IF('NGS Run Record'!$I$15&lt;&gt;"OK", "", 'NGS Run Record'!$G$15), IF($J$15=0, "", OFFSET('NGS Run Record'!$G$15, MIN('NGS Run Record'!A45-'NGS Run Record'!$Q$16, $J$15), 0))))</f>
        <v>Bone Marrow</v>
      </c>
      <c r="F45" s="50" t="str">
        <f ca="1">IF(A45&lt;$Q$16, IF('Patient List'!I6="", "", 'Patient List'!AQ6), IF('NGS Run Record'!A45='NGS Run Record'!$Q$16, IF('NGS Run Record'!$I$15&lt;&gt;"OK", "", 'NGS Run Record'!$E$15), IF($J$15=0, "", OFFSET('NGS Run Record'!$E$15, MIN('NGS Run Record'!A45-'NGS Run Record'!$Q$16, $J$15), 0))))</f>
        <v>70</v>
      </c>
      <c r="G45" s="170">
        <f ca="1">IF(A45&lt;$Q$16, IF('Patient List'!I6="", "", 'Patient List'!AR6), IF('NGS Run Record'!A45='NGS Run Record'!$Q$16, IF('NGS Run Record'!$I$15&lt;&gt;"OK", "", 'NGS Run Record'!$F$15), IF($J$15=0, "", OFFSET('NGS Run Record'!$F$15, MIN('NGS Run Record'!A45-'NGS Run Record'!$Q$16, $J$15), 0))))</f>
        <v>1.8</v>
      </c>
      <c r="H45" s="38" t="str">
        <f ca="1">IF(Samples[[#This Row],[DNA '#]]="","",Samples[[#This Row],[Column1]]&amp;"/"&amp;Samples[[#This Row],[Column2]])</f>
        <v>/</v>
      </c>
      <c r="I45" s="71" t="s">
        <v>274</v>
      </c>
      <c r="J45" s="38"/>
      <c r="K45" s="49"/>
      <c r="M45" s="165" t="str">
        <f ca="1">IF(Samples[[#This Row],[Sample type]]="","",IF(Samples[[#This Row],[Sample type]]="FFPE","100","40"))</f>
        <v>40</v>
      </c>
      <c r="N45" s="166">
        <f t="shared" ca="1" si="0"/>
        <v>2.2857142857142856</v>
      </c>
      <c r="O45" s="167">
        <f ca="1">MIN(Samples[[#This Row],[DNA Conc. (ng/µl )]]*17.5,N45*17.5)</f>
        <v>40</v>
      </c>
      <c r="P45" s="157" t="str">
        <f ca="1">IF(Samples[[#This Row],[DNA '#]]="","",Samples[[#This Row],[DNA '#]])</f>
        <v>S4</v>
      </c>
      <c r="Q45" s="168">
        <f ca="1">IF(M45="","",O45/Samples[[#This Row],[DNA Conc. (ng/µl )]])</f>
        <v>0.5714285714285714</v>
      </c>
      <c r="R45" s="168">
        <f t="shared" ca="1" si="1"/>
        <v>16.928571428571427</v>
      </c>
      <c r="S45" s="169" t="str">
        <f t="shared" ca="1" si="2"/>
        <v xml:space="preserve">Dilute sample 10X first, 1 µl stock + 9 µl H2O; then add </v>
      </c>
      <c r="T45" s="8" t="str">
        <f t="shared" ca="1" si="3"/>
        <v>Dilute sample 10X first, 1 µl stock + 9 µl H2O; then add 6 µl DNA from stock; then add 12 µl H2O</v>
      </c>
      <c r="U45" s="8">
        <f t="shared" ca="1" si="4"/>
        <v>40</v>
      </c>
    </row>
    <row r="46" spans="1:21" x14ac:dyDescent="0.2">
      <c r="A46" s="162">
        <v>6</v>
      </c>
      <c r="B46" s="38" t="str">
        <f ca="1">IF(A46&lt;$Q$16, IF('Patient List'!I7="", "", CONCATENATE('Patient List'!A7, ", ", 'Patient List'!B7)), IF('NGS Run Record'!A46='NGS Run Record'!$Q$16, IF('NGS Run Record'!$I$15&lt;&gt;"OK", "", 'NGS Run Record'!$B$15), IF($J$15=0, "", OFFSET('NGS Run Record'!$B$15, MIN('NGS Run Record'!A46-'NGS Run Record'!$Q$16, $J$15), 0))))</f>
        <v xml:space="preserve">, </v>
      </c>
      <c r="C46" s="164" t="str">
        <f ca="1">IF(A46&lt;$Q$16, IF('Patient List'!I7="", "", 'Patient List'!I7), IF('NGS Run Record'!A46='NGS Run Record'!$Q$16, IF('NGS Run Record'!$I$15&lt;&gt;"OK", "", 'NGS Run Record'!$C$15), IF($J$15=0, "", OFFSET('NGS Run Record'!$C$15, MIN(ABS('NGS Run Record'!A46-'NGS Run Record'!$Q$16), $J$15), 0))))</f>
        <v>S5</v>
      </c>
      <c r="D46" s="164">
        <f>'Patient List'!D7</f>
        <v>0</v>
      </c>
      <c r="E46" s="38" t="str">
        <f ca="1">IF(A46&lt;$Q$16, IF('Patient List'!I7="", "", 'Patient List'!N7), IF('NGS Run Record'!A46='NGS Run Record'!$Q$16, IF('NGS Run Record'!$I$15&lt;&gt;"OK", "", 'NGS Run Record'!$G$15), IF($J$15=0, "", OFFSET('NGS Run Record'!$G$15, MIN('NGS Run Record'!A46-'NGS Run Record'!$Q$16, $J$15), 0))))</f>
        <v>Bone Marrow</v>
      </c>
      <c r="F46" s="50" t="str">
        <f ca="1">IF(A46&lt;$Q$16, IF('Patient List'!I7="", "", 'Patient List'!AQ7), IF('NGS Run Record'!A46='NGS Run Record'!$Q$16, IF('NGS Run Record'!$I$15&lt;&gt;"OK", "", 'NGS Run Record'!$E$15), IF($J$15=0, "", OFFSET('NGS Run Record'!$E$15, MIN('NGS Run Record'!A46-'NGS Run Record'!$Q$16, $J$15), 0))))</f>
        <v>80</v>
      </c>
      <c r="G46" s="170">
        <f ca="1">IF(A46&lt;$Q$16, IF('Patient List'!I7="", "", 'Patient List'!AR7), IF('NGS Run Record'!A46='NGS Run Record'!$Q$16, IF('NGS Run Record'!$I$15&lt;&gt;"OK", "", 'NGS Run Record'!$F$15), IF($J$15=0, "", OFFSET('NGS Run Record'!$F$15, MIN('NGS Run Record'!A46-'NGS Run Record'!$Q$16, $J$15), 0))))</f>
        <v>1.9</v>
      </c>
      <c r="H46" s="38" t="str">
        <f ca="1">IF(Samples[[#This Row],[DNA '#]]="","",Samples[[#This Row],[Column1]]&amp;"/"&amp;Samples[[#This Row],[Column2]])</f>
        <v>/</v>
      </c>
      <c r="I46" s="71" t="s">
        <v>274</v>
      </c>
      <c r="J46" s="38"/>
      <c r="K46" s="49"/>
      <c r="M46" s="165" t="str">
        <f ca="1">IF(Samples[[#This Row],[Sample type]]="","",IF(Samples[[#This Row],[Sample type]]="FFPE","100","40"))</f>
        <v>40</v>
      </c>
      <c r="N46" s="166">
        <f t="shared" ca="1" si="0"/>
        <v>2.2857142857142856</v>
      </c>
      <c r="O46" s="167">
        <f ca="1">MIN(Samples[[#This Row],[DNA Conc. (ng/µl )]]*17.5,N46*17.5)</f>
        <v>40</v>
      </c>
      <c r="P46" s="157" t="str">
        <f ca="1">IF(Samples[[#This Row],[DNA '#]]="","",Samples[[#This Row],[DNA '#]])</f>
        <v>S5</v>
      </c>
      <c r="Q46" s="168">
        <f ca="1">IF(M46="","",O46/Samples[[#This Row],[DNA Conc. (ng/µl )]])</f>
        <v>0.5</v>
      </c>
      <c r="R46" s="168">
        <f t="shared" ca="1" si="1"/>
        <v>17</v>
      </c>
      <c r="S46" s="169" t="str">
        <f t="shared" ca="1" si="2"/>
        <v xml:space="preserve">Dilute sample 10X first, 1 µl stock + 9 µl H2O; then add </v>
      </c>
      <c r="T46" s="8" t="str">
        <f t="shared" ca="1" si="3"/>
        <v>Dilute sample 10X first, 1 µl stock + 9 µl H2O; then add 5 µl DNA from stock; then add 13 µl H2O</v>
      </c>
      <c r="U46" s="8">
        <f t="shared" ca="1" si="4"/>
        <v>40</v>
      </c>
    </row>
    <row r="47" spans="1:21" x14ac:dyDescent="0.2">
      <c r="A47" s="162">
        <v>7</v>
      </c>
      <c r="B47" s="38" t="str">
        <f ca="1">IF(A47&lt;$Q$16, IF('Patient List'!I8="", "", CONCATENATE('Patient List'!A8, ", ", 'Patient List'!B8)), IF('NGS Run Record'!A47='NGS Run Record'!$Q$16, IF('NGS Run Record'!$I$15&lt;&gt;"OK", "", 'NGS Run Record'!$B$15), IF($J$15=0, "", OFFSET('NGS Run Record'!$B$15, MIN('NGS Run Record'!A47-'NGS Run Record'!$Q$16, $J$15), 0))))</f>
        <v xml:space="preserve">, </v>
      </c>
      <c r="C47" s="164" t="str">
        <f ca="1">IF(A47&lt;$Q$16, IF('Patient List'!I8="", "", 'Patient List'!I8), IF('NGS Run Record'!A47='NGS Run Record'!$Q$16, IF('NGS Run Record'!$I$15&lt;&gt;"OK", "", 'NGS Run Record'!$C$15), IF($J$15=0, "", OFFSET('NGS Run Record'!$C$15, MIN(ABS('NGS Run Record'!A47-'NGS Run Record'!$Q$16), $J$15), 0))))</f>
        <v>S6</v>
      </c>
      <c r="D47" s="164">
        <f>'Patient List'!D8</f>
        <v>0</v>
      </c>
      <c r="E47" s="38" t="str">
        <f ca="1">IF(A47&lt;$Q$16, IF('Patient List'!I8="", "", 'Patient List'!N8), IF('NGS Run Record'!A47='NGS Run Record'!$Q$16, IF('NGS Run Record'!$I$15&lt;&gt;"OK", "", 'NGS Run Record'!$G$15), IF($J$15=0, "", OFFSET('NGS Run Record'!$G$15, MIN('NGS Run Record'!A47-'NGS Run Record'!$Q$16, $J$15), 0))))</f>
        <v>Blood</v>
      </c>
      <c r="F47" s="50" t="str">
        <f ca="1">IF(A47&lt;$Q$16, IF('Patient List'!I8="", "", 'Patient List'!AQ8), IF('NGS Run Record'!A47='NGS Run Record'!$Q$16, IF('NGS Run Record'!$I$15&lt;&gt;"OK", "", 'NGS Run Record'!$E$15), IF($J$15=0, "", OFFSET('NGS Run Record'!$E$15, MIN('NGS Run Record'!A47-'NGS Run Record'!$Q$16, $J$15), 0))))</f>
        <v>90</v>
      </c>
      <c r="G47" s="170" t="str">
        <f ca="1">IF(A47&lt;$Q$16, IF('Patient List'!I8="", "", 'Patient List'!AR8), IF('NGS Run Record'!A47='NGS Run Record'!$Q$16, IF('NGS Run Record'!$I$15&lt;&gt;"OK", "", 'NGS Run Record'!$F$15), IF($J$15=0, "", OFFSET('NGS Run Record'!$F$15, MIN('NGS Run Record'!A47-'NGS Run Record'!$Q$16, $J$15), 0))))</f>
        <v>1.8</v>
      </c>
      <c r="H47" s="38" t="str">
        <f ca="1">IF(Samples[[#This Row],[DNA '#]]="","",Samples[[#This Row],[Column1]]&amp;"/"&amp;Samples[[#This Row],[Column2]])</f>
        <v>/</v>
      </c>
      <c r="I47" s="71" t="s">
        <v>274</v>
      </c>
      <c r="J47" s="38"/>
      <c r="K47" s="49"/>
      <c r="M47" s="165" t="str">
        <f ca="1">IF(Samples[[#This Row],[Sample type]]="","",IF(Samples[[#This Row],[Sample type]]="FFPE","100","40"))</f>
        <v>40</v>
      </c>
      <c r="N47" s="166">
        <f t="shared" ref="N47:N76" ca="1" si="5">M47/17.5</f>
        <v>2.2857142857142856</v>
      </c>
      <c r="O47" s="167">
        <f ca="1">MIN(Samples[[#This Row],[DNA Conc. (ng/µl )]]*17.5,N47*17.5)</f>
        <v>40</v>
      </c>
      <c r="P47" s="157" t="str">
        <f ca="1">IF(Samples[[#This Row],[DNA '#]]="","",Samples[[#This Row],[DNA '#]])</f>
        <v>S6</v>
      </c>
      <c r="Q47" s="168">
        <f ca="1">IF(M47="","",O47/Samples[[#This Row],[DNA Conc. (ng/µl )]])</f>
        <v>0.44444444444444442</v>
      </c>
      <c r="R47" s="168">
        <f t="shared" ref="R47:R76" ca="1" si="6">IF(M47="","",17.5-Q47)</f>
        <v>17.055555555555557</v>
      </c>
      <c r="S47" s="169" t="str">
        <f t="shared" ref="S47:S76" ca="1" si="7">IF(Q47&lt;1,"Dilute sample 10X first, 1 µl stock + 9 µl H2O; then add ","")</f>
        <v xml:space="preserve">Dilute sample 10X first, 1 µl stock + 9 µl H2O; then add </v>
      </c>
      <c r="T47" s="8" t="str">
        <f t="shared" ref="T47:T76" ca="1" si="8">IF(S47="","",S47&amp;TEXT(Q47*10,0)&amp;" µl DNA from stock; then add "&amp;TEXT(17.5-Q47*10,0)&amp;" µl H2O")</f>
        <v>Dilute sample 10X first, 1 µl stock + 9 µl H2O; then add 4 µl DNA from stock; then add 13 µl H2O</v>
      </c>
      <c r="U47" s="8">
        <f t="shared" ref="U47:U76" ca="1" si="9">IF(M47="","",O47)</f>
        <v>40</v>
      </c>
    </row>
    <row r="48" spans="1:21" x14ac:dyDescent="0.2">
      <c r="A48" s="162">
        <v>8</v>
      </c>
      <c r="B48" s="38" t="str">
        <f ca="1">IF(A48&lt;$Q$16, IF('Patient List'!I9="", "", CONCATENATE('Patient List'!A9, ", ", 'Patient List'!B9)), IF('NGS Run Record'!A48='NGS Run Record'!$Q$16, IF('NGS Run Record'!$I$15&lt;&gt;"OK", "", 'NGS Run Record'!$B$15), IF($J$15=0, "", OFFSET('NGS Run Record'!$B$15, MIN('NGS Run Record'!A48-'NGS Run Record'!$Q$16, $J$15), 0))))</f>
        <v xml:space="preserve">, </v>
      </c>
      <c r="C48" s="164" t="str">
        <f ca="1">IF(A48&lt;$Q$16, IF('Patient List'!I9="", "", 'Patient List'!I9), IF('NGS Run Record'!A48='NGS Run Record'!$Q$16, IF('NGS Run Record'!$I$15&lt;&gt;"OK", "", 'NGS Run Record'!$C$15), IF($J$15=0, "", OFFSET('NGS Run Record'!$C$15, MIN(ABS('NGS Run Record'!A48-'NGS Run Record'!$Q$16), $J$15), 0))))</f>
        <v>S7</v>
      </c>
      <c r="D48" s="164">
        <f>'Patient List'!D9</f>
        <v>0</v>
      </c>
      <c r="E48" s="38" t="str">
        <f ca="1">IF(A48&lt;$Q$16, IF('Patient List'!I9="", "", 'Patient List'!N9), IF('NGS Run Record'!A48='NGS Run Record'!$Q$16, IF('NGS Run Record'!$I$15&lt;&gt;"OK", "", 'NGS Run Record'!$G$15), IF($J$15=0, "", OFFSET('NGS Run Record'!$G$15, MIN('NGS Run Record'!A48-'NGS Run Record'!$Q$16, $J$15), 0))))</f>
        <v>Blood</v>
      </c>
      <c r="F48" s="50" t="str">
        <f ca="1">IF(A48&lt;$Q$16, IF('Patient List'!I9="", "", 'Patient List'!AQ9), IF('NGS Run Record'!A48='NGS Run Record'!$Q$16, IF('NGS Run Record'!$I$15&lt;&gt;"OK", "", 'NGS Run Record'!$E$15), IF($J$15=0, "", OFFSET('NGS Run Record'!$E$15, MIN('NGS Run Record'!A48-'NGS Run Record'!$Q$16, $J$15), 0))))</f>
        <v>100</v>
      </c>
      <c r="G48" s="170" t="str">
        <f ca="1">IF(A48&lt;$Q$16, IF('Patient List'!I9="", "", 'Patient List'!AR9), IF('NGS Run Record'!A48='NGS Run Record'!$Q$16, IF('NGS Run Record'!$I$15&lt;&gt;"OK", "", 'NGS Run Record'!$F$15), IF($J$15=0, "", OFFSET('NGS Run Record'!$F$15, MIN('NGS Run Record'!A48-'NGS Run Record'!$Q$16, $J$15), 0))))</f>
        <v>1.9</v>
      </c>
      <c r="H48" s="38" t="str">
        <f ca="1">IF(Samples[[#This Row],[DNA '#]]="","",Samples[[#This Row],[Column1]]&amp;"/"&amp;Samples[[#This Row],[Column2]])</f>
        <v>/</v>
      </c>
      <c r="I48" s="71" t="s">
        <v>274</v>
      </c>
      <c r="J48" s="38"/>
      <c r="K48" s="49"/>
      <c r="M48" s="165" t="str">
        <f ca="1">IF(Samples[[#This Row],[Sample type]]="","",IF(Samples[[#This Row],[Sample type]]="FFPE","100","40"))</f>
        <v>40</v>
      </c>
      <c r="N48" s="166">
        <f t="shared" ca="1" si="5"/>
        <v>2.2857142857142856</v>
      </c>
      <c r="O48" s="167">
        <f ca="1">MIN(Samples[[#This Row],[DNA Conc. (ng/µl )]]*17.5,N48*17.5)</f>
        <v>40</v>
      </c>
      <c r="P48" s="157" t="str">
        <f ca="1">IF(Samples[[#This Row],[DNA '#]]="","",Samples[[#This Row],[DNA '#]])</f>
        <v>S7</v>
      </c>
      <c r="Q48" s="168">
        <f ca="1">IF(M48="","",O48/Samples[[#This Row],[DNA Conc. (ng/µl )]])</f>
        <v>0.4</v>
      </c>
      <c r="R48" s="168">
        <f t="shared" ca="1" si="6"/>
        <v>17.100000000000001</v>
      </c>
      <c r="S48" s="169" t="str">
        <f t="shared" ca="1" si="7"/>
        <v xml:space="preserve">Dilute sample 10X first, 1 µl stock + 9 µl H2O; then add </v>
      </c>
      <c r="T48" s="8" t="str">
        <f t="shared" ca="1" si="8"/>
        <v>Dilute sample 10X first, 1 µl stock + 9 µl H2O; then add 4 µl DNA from stock; then add 14 µl H2O</v>
      </c>
      <c r="U48" s="8">
        <f t="shared" ca="1" si="9"/>
        <v>40</v>
      </c>
    </row>
    <row r="49" spans="1:21" x14ac:dyDescent="0.2">
      <c r="A49" s="162">
        <v>9</v>
      </c>
      <c r="B49" s="38" t="str">
        <f ca="1">IF(A49&lt;$Q$16, IF('Patient List'!I10="", "", CONCATENATE('Patient List'!A10, ", ", 'Patient List'!B10)), IF('NGS Run Record'!A49='NGS Run Record'!$Q$16, IF('NGS Run Record'!$I$15&lt;&gt;"OK", "", 'NGS Run Record'!$B$15), IF($J$15=0, "", OFFSET('NGS Run Record'!$B$15, MIN('NGS Run Record'!A49-'NGS Run Record'!$Q$16, $J$15), 0))))</f>
        <v xml:space="preserve">, </v>
      </c>
      <c r="C49" s="164" t="str">
        <f ca="1">IF(A49&lt;$Q$16, IF('Patient List'!I10="", "", 'Patient List'!I10), IF('NGS Run Record'!A49='NGS Run Record'!$Q$16, IF('NGS Run Record'!$I$15&lt;&gt;"OK", "", 'NGS Run Record'!$C$15), IF($J$15=0, "", OFFSET('NGS Run Record'!$C$15, MIN(ABS('NGS Run Record'!A49-'NGS Run Record'!$Q$16), $J$15), 0))))</f>
        <v>S8</v>
      </c>
      <c r="D49" s="164">
        <f>'Patient List'!D10</f>
        <v>0</v>
      </c>
      <c r="E49" s="38" t="str">
        <f ca="1">IF(A49&lt;$Q$16, IF('Patient List'!I10="", "", 'Patient List'!N10), IF('NGS Run Record'!A49='NGS Run Record'!$Q$16, IF('NGS Run Record'!$I$15&lt;&gt;"OK", "", 'NGS Run Record'!$G$15), IF($J$15=0, "", OFFSET('NGS Run Record'!$G$15, MIN('NGS Run Record'!A49-'NGS Run Record'!$Q$16, $J$15), 0))))</f>
        <v>Blood</v>
      </c>
      <c r="F49" s="50" t="str">
        <f ca="1">IF(A49&lt;$Q$16, IF('Patient List'!I10="", "", 'Patient List'!AQ10), IF('NGS Run Record'!A49='NGS Run Record'!$Q$16, IF('NGS Run Record'!$I$15&lt;&gt;"OK", "", 'NGS Run Record'!$E$15), IF($J$15=0, "", OFFSET('NGS Run Record'!$E$15, MIN('NGS Run Record'!A49-'NGS Run Record'!$Q$16, $J$15), 0))))</f>
        <v>110</v>
      </c>
      <c r="G49" s="170" t="str">
        <f ca="1">IF(A49&lt;$Q$16, IF('Patient List'!I10="", "", 'Patient List'!AR10), IF('NGS Run Record'!A49='NGS Run Record'!$Q$16, IF('NGS Run Record'!$I$15&lt;&gt;"OK", "", 'NGS Run Record'!$F$15), IF($J$15=0, "", OFFSET('NGS Run Record'!$F$15, MIN('NGS Run Record'!A49-'NGS Run Record'!$Q$16, $J$15), 0))))</f>
        <v>1.9</v>
      </c>
      <c r="H49" s="38" t="str">
        <f ca="1">IF(Samples[[#This Row],[DNA '#]]="","",Samples[[#This Row],[Column1]]&amp;"/"&amp;Samples[[#This Row],[Column2]])</f>
        <v>/</v>
      </c>
      <c r="I49" s="71" t="s">
        <v>274</v>
      </c>
      <c r="J49" s="38"/>
      <c r="K49" s="49"/>
      <c r="M49" s="165" t="str">
        <f ca="1">IF(Samples[[#This Row],[Sample type]]="","",IF(Samples[[#This Row],[Sample type]]="FFPE","100","40"))</f>
        <v>40</v>
      </c>
      <c r="N49" s="166">
        <f t="shared" ca="1" si="5"/>
        <v>2.2857142857142856</v>
      </c>
      <c r="O49" s="167">
        <f ca="1">MIN(Samples[[#This Row],[DNA Conc. (ng/µl )]]*17.5,N49*17.5)</f>
        <v>40</v>
      </c>
      <c r="P49" s="157" t="str">
        <f ca="1">IF(Samples[[#This Row],[DNA '#]]="","",Samples[[#This Row],[DNA '#]])</f>
        <v>S8</v>
      </c>
      <c r="Q49" s="168">
        <f ca="1">IF(M49="","",O49/Samples[[#This Row],[DNA Conc. (ng/µl )]])</f>
        <v>0.36363636363636365</v>
      </c>
      <c r="R49" s="168">
        <f t="shared" ca="1" si="6"/>
        <v>17.136363636363637</v>
      </c>
      <c r="S49" s="169" t="str">
        <f t="shared" ca="1" si="7"/>
        <v xml:space="preserve">Dilute sample 10X first, 1 µl stock + 9 µl H2O; then add </v>
      </c>
      <c r="T49" s="8" t="str">
        <f t="shared" ca="1" si="8"/>
        <v>Dilute sample 10X first, 1 µl stock + 9 µl H2O; then add 4 µl DNA from stock; then add 14 µl H2O</v>
      </c>
      <c r="U49" s="8">
        <f t="shared" ca="1" si="9"/>
        <v>40</v>
      </c>
    </row>
    <row r="50" spans="1:21" x14ac:dyDescent="0.2">
      <c r="A50" s="162">
        <v>10</v>
      </c>
      <c r="B50" s="38" t="str">
        <f ca="1">IF(A50&lt;$Q$16, IF('Patient List'!I11="", "", CONCATENATE('Patient List'!A11, ", ", 'Patient List'!B11)), IF('NGS Run Record'!A50='NGS Run Record'!$Q$16, IF('NGS Run Record'!$I$15&lt;&gt;"OK", "", 'NGS Run Record'!$B$15), IF($J$15=0, "", OFFSET('NGS Run Record'!$B$15, MIN('NGS Run Record'!A50-'NGS Run Record'!$Q$16, $J$15), 0))))</f>
        <v/>
      </c>
      <c r="C50" s="164" t="str">
        <f ca="1">IF(A50&lt;$Q$16, IF('Patient List'!I11="", "", 'Patient List'!I11), IF('NGS Run Record'!A50='NGS Run Record'!$Q$16, IF('NGS Run Record'!$I$15&lt;&gt;"OK", "", 'NGS Run Record'!$C$15), IF($J$15=0, "", OFFSET('NGS Run Record'!$C$15, MIN(ABS('NGS Run Record'!A50-'NGS Run Record'!$Q$16), $J$15), 0))))</f>
        <v/>
      </c>
      <c r="D50" s="164">
        <f>'Patient List'!D11</f>
        <v>0</v>
      </c>
      <c r="E50" s="38" t="str">
        <f ca="1">IF(A50&lt;$Q$16, IF('Patient List'!I11="", "", 'Patient List'!N11), IF('NGS Run Record'!A50='NGS Run Record'!$Q$16, IF('NGS Run Record'!$I$15&lt;&gt;"OK", "", 'NGS Run Record'!$G$15), IF($J$15=0, "", OFFSET('NGS Run Record'!$G$15, MIN('NGS Run Record'!A50-'NGS Run Record'!$Q$16, $J$15), 0))))</f>
        <v/>
      </c>
      <c r="F50" s="50" t="str">
        <f ca="1">IF(A50&lt;$Q$16, IF('Patient List'!I11="", "", 'Patient List'!AQ11), IF('NGS Run Record'!A50='NGS Run Record'!$Q$16, IF('NGS Run Record'!$I$15&lt;&gt;"OK", "", 'NGS Run Record'!$E$15), IF($J$15=0, "", OFFSET('NGS Run Record'!$E$15, MIN('NGS Run Record'!A50-'NGS Run Record'!$Q$16, $J$15), 0))))</f>
        <v/>
      </c>
      <c r="G50" s="170" t="str">
        <f ca="1">IF(A50&lt;$Q$16, IF('Patient List'!I11="", "", 'Patient List'!AR11), IF('NGS Run Record'!A50='NGS Run Record'!$Q$16, IF('NGS Run Record'!$I$15&lt;&gt;"OK", "", 'NGS Run Record'!$F$15), IF($J$15=0, "", OFFSET('NGS Run Record'!$F$15, MIN('NGS Run Record'!A50-'NGS Run Record'!$Q$16, $J$15), 0))))</f>
        <v/>
      </c>
      <c r="H50" s="38" t="str">
        <f ca="1">IF(Samples[[#This Row],[DNA '#]]="","",Samples[[#This Row],[Column1]]&amp;"/"&amp;Samples[[#This Row],[Column2]])</f>
        <v/>
      </c>
      <c r="I50" s="71"/>
      <c r="J50" s="38"/>
      <c r="K50" s="49"/>
      <c r="M50" s="165" t="str">
        <f ca="1">IF(Samples[[#This Row],[Sample type]]="","",IF(Samples[[#This Row],[Sample type]]="FFPE","100","40"))</f>
        <v/>
      </c>
      <c r="N50" s="166" t="e">
        <f t="shared" ca="1" si="5"/>
        <v>#VALUE!</v>
      </c>
      <c r="O50" s="167" t="e">
        <f ca="1">MIN(Samples[[#This Row],[DNA Conc. (ng/µl )]]*17.5,N50*17.5)</f>
        <v>#VALUE!</v>
      </c>
      <c r="P50" s="157" t="str">
        <f ca="1">IF(Samples[[#This Row],[DNA '#]]="","",Samples[[#This Row],[DNA '#]])</f>
        <v/>
      </c>
      <c r="Q50" s="168" t="str">
        <f ca="1">IF(M50="","",O50/Samples[[#This Row],[DNA Conc. (ng/µl )]])</f>
        <v/>
      </c>
      <c r="R50" s="168" t="str">
        <f t="shared" ca="1" si="6"/>
        <v/>
      </c>
      <c r="S50" s="169" t="str">
        <f t="shared" ca="1" si="7"/>
        <v/>
      </c>
      <c r="T50" s="8" t="str">
        <f t="shared" ca="1" si="8"/>
        <v/>
      </c>
      <c r="U50" s="8" t="str">
        <f t="shared" ca="1" si="9"/>
        <v/>
      </c>
    </row>
    <row r="51" spans="1:21" x14ac:dyDescent="0.2">
      <c r="A51" s="162">
        <v>11</v>
      </c>
      <c r="B51" s="38" t="str">
        <f ca="1">IF(A51&lt;$Q$16, IF('Patient List'!I12="", "", CONCATENATE('Patient List'!A12, ", ", 'Patient List'!B12)), IF('NGS Run Record'!A51='NGS Run Record'!$Q$16, IF('NGS Run Record'!$I$15&lt;&gt;"OK", "", 'NGS Run Record'!$B$15), IF($J$15=0, "", OFFSET('NGS Run Record'!$B$15, MIN('NGS Run Record'!A51-'NGS Run Record'!$Q$16, $J$15), 0))))</f>
        <v/>
      </c>
      <c r="C51" s="164" t="str">
        <f ca="1">IF(A51&lt;$Q$16, IF('Patient List'!I12="", "", 'Patient List'!I12), IF('NGS Run Record'!A51='NGS Run Record'!$Q$16, IF('NGS Run Record'!$I$15&lt;&gt;"OK", "", 'NGS Run Record'!$C$15), IF($J$15=0, "", OFFSET('NGS Run Record'!$C$15, MIN(ABS('NGS Run Record'!A51-'NGS Run Record'!$Q$16), $J$15), 0))))</f>
        <v/>
      </c>
      <c r="D51" s="164">
        <f>'Patient List'!D12</f>
        <v>0</v>
      </c>
      <c r="E51" s="38" t="str">
        <f ca="1">IF(A51&lt;$Q$16, IF('Patient List'!I12="", "", 'Patient List'!N12), IF('NGS Run Record'!A51='NGS Run Record'!$Q$16, IF('NGS Run Record'!$I$15&lt;&gt;"OK", "", 'NGS Run Record'!$G$15), IF($J$15=0, "", OFFSET('NGS Run Record'!$G$15, MIN('NGS Run Record'!A51-'NGS Run Record'!$Q$16, $J$15), 0))))</f>
        <v/>
      </c>
      <c r="F51" s="50" t="str">
        <f ca="1">IF(A51&lt;$Q$16, IF('Patient List'!I12="", "", 'Patient List'!AQ12), IF('NGS Run Record'!A51='NGS Run Record'!$Q$16, IF('NGS Run Record'!$I$15&lt;&gt;"OK", "", 'NGS Run Record'!$E$15), IF($J$15=0, "", OFFSET('NGS Run Record'!$E$15, MIN('NGS Run Record'!A51-'NGS Run Record'!$Q$16, $J$15), 0))))</f>
        <v/>
      </c>
      <c r="G51" s="170" t="str">
        <f ca="1">IF(A51&lt;$Q$16, IF('Patient List'!I12="", "", 'Patient List'!AR12), IF('NGS Run Record'!A51='NGS Run Record'!$Q$16, IF('NGS Run Record'!$I$15&lt;&gt;"OK", "", 'NGS Run Record'!$F$15), IF($J$15=0, "", OFFSET('NGS Run Record'!$F$15, MIN('NGS Run Record'!A51-'NGS Run Record'!$Q$16, $J$15), 0))))</f>
        <v/>
      </c>
      <c r="H51" s="38" t="str">
        <f ca="1">IF(Samples[[#This Row],[DNA '#]]="","",Samples[[#This Row],[Column1]]&amp;"/"&amp;Samples[[#This Row],[Column2]])</f>
        <v/>
      </c>
      <c r="I51" s="71"/>
      <c r="J51" s="38"/>
      <c r="K51" s="49"/>
      <c r="M51" s="165" t="str">
        <f ca="1">IF(Samples[[#This Row],[Sample type]]="","",IF(Samples[[#This Row],[Sample type]]="FFPE","100","40"))</f>
        <v/>
      </c>
      <c r="N51" s="166" t="e">
        <f t="shared" ca="1" si="5"/>
        <v>#VALUE!</v>
      </c>
      <c r="O51" s="167" t="e">
        <f ca="1">MIN(Samples[[#This Row],[DNA Conc. (ng/µl )]]*17.5,N51*17.5)</f>
        <v>#VALUE!</v>
      </c>
      <c r="P51" s="157" t="str">
        <f ca="1">IF(Samples[[#This Row],[DNA '#]]="","",Samples[[#This Row],[DNA '#]])</f>
        <v/>
      </c>
      <c r="Q51" s="168" t="str">
        <f ca="1">IF(M51="","",O51/Samples[[#This Row],[DNA Conc. (ng/µl )]])</f>
        <v/>
      </c>
      <c r="R51" s="168" t="str">
        <f t="shared" ca="1" si="6"/>
        <v/>
      </c>
      <c r="S51" s="169" t="str">
        <f t="shared" ca="1" si="7"/>
        <v/>
      </c>
      <c r="T51" s="8" t="str">
        <f t="shared" ca="1" si="8"/>
        <v/>
      </c>
      <c r="U51" s="8" t="str">
        <f t="shared" ca="1" si="9"/>
        <v/>
      </c>
    </row>
    <row r="52" spans="1:21" x14ac:dyDescent="0.2">
      <c r="A52" s="162">
        <v>12</v>
      </c>
      <c r="B52" s="38" t="str">
        <f ca="1">IF(A52&lt;$Q$16, IF('Patient List'!I13="", "", CONCATENATE('Patient List'!A13, ", ", 'Patient List'!B13)), IF('NGS Run Record'!A52='NGS Run Record'!$Q$16, IF('NGS Run Record'!$I$15&lt;&gt;"OK", "", 'NGS Run Record'!$B$15), IF($J$15=0, "", OFFSET('NGS Run Record'!$B$15, MIN('NGS Run Record'!A52-'NGS Run Record'!$Q$16, $J$15), 0))))</f>
        <v/>
      </c>
      <c r="C52" s="164" t="str">
        <f ca="1">IF(A52&lt;$Q$16, IF('Patient List'!I13="", "", 'Patient List'!I13), IF('NGS Run Record'!A52='NGS Run Record'!$Q$16, IF('NGS Run Record'!$I$15&lt;&gt;"OK", "", 'NGS Run Record'!$C$15), IF($J$15=0, "", OFFSET('NGS Run Record'!$C$15, MIN(ABS('NGS Run Record'!A52-'NGS Run Record'!$Q$16), $J$15), 0))))</f>
        <v/>
      </c>
      <c r="D52" s="164">
        <f>'Patient List'!D13</f>
        <v>0</v>
      </c>
      <c r="E52" s="38" t="str">
        <f ca="1">IF(A52&lt;$Q$16, IF('Patient List'!I13="", "", 'Patient List'!N13), IF('NGS Run Record'!A52='NGS Run Record'!$Q$16, IF('NGS Run Record'!$I$15&lt;&gt;"OK", "", 'NGS Run Record'!$G$15), IF($J$15=0, "", OFFSET('NGS Run Record'!$G$15, MIN('NGS Run Record'!A52-'NGS Run Record'!$Q$16, $J$15), 0))))</f>
        <v/>
      </c>
      <c r="F52" s="50" t="str">
        <f ca="1">IF(A52&lt;$Q$16, IF('Patient List'!I13="", "", 'Patient List'!AQ13), IF('NGS Run Record'!A52='NGS Run Record'!$Q$16, IF('NGS Run Record'!$I$15&lt;&gt;"OK", "", 'NGS Run Record'!$E$15), IF($J$15=0, "", OFFSET('NGS Run Record'!$E$15, MIN('NGS Run Record'!A52-'NGS Run Record'!$Q$16, $J$15), 0))))</f>
        <v/>
      </c>
      <c r="G52" s="170" t="str">
        <f ca="1">IF(A52&lt;$Q$16, IF('Patient List'!I13="", "", 'Patient List'!AR13), IF('NGS Run Record'!A52='NGS Run Record'!$Q$16, IF('NGS Run Record'!$I$15&lt;&gt;"OK", "", 'NGS Run Record'!$F$15), IF($J$15=0, "", OFFSET('NGS Run Record'!$F$15, MIN('NGS Run Record'!A52-'NGS Run Record'!$Q$16, $J$15), 0))))</f>
        <v/>
      </c>
      <c r="H52" s="38" t="str">
        <f ca="1">IF(Samples[[#This Row],[DNA '#]]="","",Samples[[#This Row],[Column1]]&amp;"/"&amp;Samples[[#This Row],[Column2]])</f>
        <v/>
      </c>
      <c r="I52" s="71"/>
      <c r="J52" s="49"/>
      <c r="K52" s="49"/>
      <c r="M52" s="165" t="str">
        <f ca="1">IF(Samples[[#This Row],[Sample type]]="","",IF(Samples[[#This Row],[Sample type]]="FFPE","100","40"))</f>
        <v/>
      </c>
      <c r="N52" s="166" t="e">
        <f t="shared" ca="1" si="5"/>
        <v>#VALUE!</v>
      </c>
      <c r="O52" s="167" t="e">
        <f ca="1">MIN(Samples[[#This Row],[DNA Conc. (ng/µl )]]*17.5,N52*17.5)</f>
        <v>#VALUE!</v>
      </c>
      <c r="P52" s="157" t="str">
        <f ca="1">IF(Samples[[#This Row],[DNA '#]]="","",Samples[[#This Row],[DNA '#]])</f>
        <v/>
      </c>
      <c r="Q52" s="168" t="str">
        <f ca="1">IF(M52="","",O52/Samples[[#This Row],[DNA Conc. (ng/µl )]])</f>
        <v/>
      </c>
      <c r="R52" s="168" t="str">
        <f t="shared" ca="1" si="6"/>
        <v/>
      </c>
      <c r="S52" s="169" t="str">
        <f t="shared" ca="1" si="7"/>
        <v/>
      </c>
      <c r="T52" s="8" t="str">
        <f t="shared" ca="1" si="8"/>
        <v/>
      </c>
      <c r="U52" s="8" t="str">
        <f t="shared" ca="1" si="9"/>
        <v/>
      </c>
    </row>
    <row r="53" spans="1:21" x14ac:dyDescent="0.2">
      <c r="A53" s="162">
        <v>13</v>
      </c>
      <c r="B53" s="38" t="str">
        <f ca="1">IF(A53&lt;$Q$16, IF('Patient List'!I14="", "", CONCATENATE('Patient List'!A14, ", ", 'Patient List'!B14)), IF('NGS Run Record'!A53='NGS Run Record'!$Q$16, IF('NGS Run Record'!$I$15&lt;&gt;"OK", "", 'NGS Run Record'!$B$15), IF($J$15=0, "", OFFSET('NGS Run Record'!$B$15, MIN('NGS Run Record'!A53-'NGS Run Record'!$Q$16, $J$15), 0))))</f>
        <v/>
      </c>
      <c r="C53" s="164" t="str">
        <f ca="1">IF(A53&lt;$Q$16, IF('Patient List'!I14="", "", 'Patient List'!I14), IF('NGS Run Record'!A53='NGS Run Record'!$Q$16, IF('NGS Run Record'!$I$15&lt;&gt;"OK", "", 'NGS Run Record'!$C$15), IF($J$15=0, "", OFFSET('NGS Run Record'!$C$15, MIN(ABS('NGS Run Record'!A53-'NGS Run Record'!$Q$16), $J$15), 0))))</f>
        <v/>
      </c>
      <c r="D53" s="164">
        <f>'Patient List'!D14</f>
        <v>0</v>
      </c>
      <c r="E53" s="38" t="str">
        <f ca="1">IF(A53&lt;$Q$16, IF('Patient List'!I14="", "", 'Patient List'!N14), IF('NGS Run Record'!A53='NGS Run Record'!$Q$16, IF('NGS Run Record'!$I$15&lt;&gt;"OK", "", 'NGS Run Record'!$G$15), IF($J$15=0, "", OFFSET('NGS Run Record'!$G$15, MIN('NGS Run Record'!A53-'NGS Run Record'!$Q$16, $J$15), 0))))</f>
        <v/>
      </c>
      <c r="F53" s="50" t="str">
        <f ca="1">IF(A53&lt;$Q$16, IF('Patient List'!I14="", "", 'Patient List'!AQ14), IF('NGS Run Record'!A53='NGS Run Record'!$Q$16, IF('NGS Run Record'!$I$15&lt;&gt;"OK", "", 'NGS Run Record'!$E$15), IF($J$15=0, "", OFFSET('NGS Run Record'!$E$15, MIN('NGS Run Record'!A53-'NGS Run Record'!$Q$16, $J$15), 0))))</f>
        <v/>
      </c>
      <c r="G53" s="170" t="str">
        <f ca="1">IF(A53&lt;$Q$16, IF('Patient List'!I14="", "", 'Patient List'!AR14), IF('NGS Run Record'!A53='NGS Run Record'!$Q$16, IF('NGS Run Record'!$I$15&lt;&gt;"OK", "", 'NGS Run Record'!$F$15), IF($J$15=0, "", OFFSET('NGS Run Record'!$F$15, MIN('NGS Run Record'!A53-'NGS Run Record'!$Q$16, $J$15), 0))))</f>
        <v/>
      </c>
      <c r="H53" s="38" t="str">
        <f ca="1">IF(Samples[[#This Row],[DNA '#]]="","",Samples[[#This Row],[Column1]]&amp;"/"&amp;Samples[[#This Row],[Column2]])</f>
        <v/>
      </c>
      <c r="I53" s="71"/>
      <c r="J53" s="38"/>
      <c r="K53" s="49"/>
      <c r="M53" s="165" t="str">
        <f ca="1">IF(Samples[[#This Row],[Sample type]]="","",IF(Samples[[#This Row],[Sample type]]="FFPE","100","40"))</f>
        <v/>
      </c>
      <c r="N53" s="166" t="e">
        <f t="shared" ca="1" si="5"/>
        <v>#VALUE!</v>
      </c>
      <c r="O53" s="167" t="e">
        <f ca="1">MIN(Samples[[#This Row],[DNA Conc. (ng/µl )]]*17.5,N53*17.5)</f>
        <v>#VALUE!</v>
      </c>
      <c r="P53" s="157" t="str">
        <f ca="1">IF(Samples[[#This Row],[DNA '#]]="","",Samples[[#This Row],[DNA '#]])</f>
        <v/>
      </c>
      <c r="Q53" s="168" t="str">
        <f ca="1">IF(M53="","",O53/Samples[[#This Row],[DNA Conc. (ng/µl )]])</f>
        <v/>
      </c>
      <c r="R53" s="168" t="str">
        <f t="shared" ca="1" si="6"/>
        <v/>
      </c>
      <c r="S53" s="169" t="str">
        <f t="shared" ca="1" si="7"/>
        <v/>
      </c>
      <c r="T53" s="8" t="str">
        <f t="shared" ca="1" si="8"/>
        <v/>
      </c>
      <c r="U53" s="8" t="str">
        <f t="shared" ca="1" si="9"/>
        <v/>
      </c>
    </row>
    <row r="54" spans="1:21" x14ac:dyDescent="0.2">
      <c r="A54" s="171">
        <v>14</v>
      </c>
      <c r="B54" s="172" t="str">
        <f ca="1">IF(A54&lt;$Q$16, IF('Patient List'!I15="", "", CONCATENATE('Patient List'!A15, ", ", 'Patient List'!B15)), IF('NGS Run Record'!A54='NGS Run Record'!$Q$16, IF('NGS Run Record'!$I$15&lt;&gt;"OK", "", 'NGS Run Record'!$B$15), IF($J$15=0, "", OFFSET('NGS Run Record'!$B$15, MIN('NGS Run Record'!A54-'NGS Run Record'!$Q$16, $J$15), 0))))</f>
        <v/>
      </c>
      <c r="C54" s="173" t="str">
        <f ca="1">IF(A54&lt;$Q$16, IF('Patient List'!I15="", "", 'Patient List'!I15), IF('NGS Run Record'!A54='NGS Run Record'!$Q$16, IF('NGS Run Record'!$I$15&lt;&gt;"OK", "", 'NGS Run Record'!$C$15), IF($J$15=0, "", OFFSET('NGS Run Record'!$C$15, MIN(ABS('NGS Run Record'!A54-'NGS Run Record'!$Q$16), $J$15), 0))))</f>
        <v/>
      </c>
      <c r="D54" s="164">
        <f>'Patient List'!D15</f>
        <v>0</v>
      </c>
      <c r="E54" s="172" t="str">
        <f ca="1">IF(A54&lt;$Q$16, IF('Patient List'!I15="", "", 'Patient List'!N15), IF('NGS Run Record'!A54='NGS Run Record'!$Q$16, IF('NGS Run Record'!$I$15&lt;&gt;"OK", "", 'NGS Run Record'!$G$15), IF($J$15=0, "", OFFSET('NGS Run Record'!$G$15, MIN('NGS Run Record'!A54-'NGS Run Record'!$Q$16, $J$15), 0))))</f>
        <v/>
      </c>
      <c r="F54" s="174" t="str">
        <f ca="1">IF(A54&lt;$Q$16, IF('Patient List'!I15="", "", 'Patient List'!AQ15), IF('NGS Run Record'!A54='NGS Run Record'!$Q$16, IF('NGS Run Record'!$I$15&lt;&gt;"OK", "", 'NGS Run Record'!$E$15), IF($J$15=0, "", OFFSET('NGS Run Record'!$E$15, MIN('NGS Run Record'!A54-'NGS Run Record'!$Q$16, $J$15), 0))))</f>
        <v/>
      </c>
      <c r="G54" s="175" t="str">
        <f ca="1">IF(A54&lt;$Q$16, IF('Patient List'!I15="", "", 'Patient List'!AR15), IF('NGS Run Record'!A54='NGS Run Record'!$Q$16, IF('NGS Run Record'!$I$15&lt;&gt;"OK", "", 'NGS Run Record'!$F$15), IF($J$15=0, "", OFFSET('NGS Run Record'!$F$15, MIN('NGS Run Record'!A54-'NGS Run Record'!$Q$16, $J$15), 0))))</f>
        <v/>
      </c>
      <c r="H54" s="38" t="str">
        <f ca="1">IF(Samples[[#This Row],[DNA '#]]="","",Samples[[#This Row],[Column1]]&amp;"/"&amp;Samples[[#This Row],[Column2]])</f>
        <v/>
      </c>
      <c r="I54" s="71"/>
      <c r="J54" s="38"/>
      <c r="K54" s="49"/>
      <c r="M54" s="165" t="str">
        <f ca="1">IF(Samples[[#This Row],[Sample type]]="","",IF(Samples[[#This Row],[Sample type]]="FFPE","100","40"))</f>
        <v/>
      </c>
      <c r="N54" s="166" t="e">
        <f t="shared" ca="1" si="5"/>
        <v>#VALUE!</v>
      </c>
      <c r="O54" s="167" t="e">
        <f ca="1">MIN(Samples[[#This Row],[DNA Conc. (ng/µl )]]*17.5,N54*17.5)</f>
        <v>#VALUE!</v>
      </c>
      <c r="P54" s="157" t="str">
        <f ca="1">IF(Samples[[#This Row],[DNA '#]]="","",Samples[[#This Row],[DNA '#]])</f>
        <v/>
      </c>
      <c r="Q54" s="168" t="str">
        <f ca="1">IF(M54="","",O54/Samples[[#This Row],[DNA Conc. (ng/µl )]])</f>
        <v/>
      </c>
      <c r="R54" s="168" t="str">
        <f t="shared" ca="1" si="6"/>
        <v/>
      </c>
      <c r="S54" s="169" t="str">
        <f t="shared" ca="1" si="7"/>
        <v/>
      </c>
      <c r="T54" s="8" t="str">
        <f t="shared" ca="1" si="8"/>
        <v/>
      </c>
      <c r="U54" s="8" t="str">
        <f t="shared" ca="1" si="9"/>
        <v/>
      </c>
    </row>
    <row r="55" spans="1:21" x14ac:dyDescent="0.2">
      <c r="A55" s="171">
        <v>15</v>
      </c>
      <c r="B55" s="172" t="str">
        <f ca="1">IF(A55&lt;$Q$16, IF('Patient List'!I16="", "", CONCATENATE('Patient List'!A16, ", ", 'Patient List'!B16)), IF('NGS Run Record'!A55='NGS Run Record'!$Q$16, IF('NGS Run Record'!$I$15&lt;&gt;"OK", "", 'NGS Run Record'!$B$15), IF($J$15=0, "", OFFSET('NGS Run Record'!$B$15, MIN('NGS Run Record'!A55-'NGS Run Record'!$Q$16, $J$15), 0))))</f>
        <v/>
      </c>
      <c r="C55" s="173" t="str">
        <f ca="1">IF(A55&lt;$Q$16, IF('Patient List'!I16="", "", 'Patient List'!I16), IF('NGS Run Record'!A55='NGS Run Record'!$Q$16, IF('NGS Run Record'!$I$15&lt;&gt;"OK", "", 'NGS Run Record'!$C$15), IF($J$15=0, "", OFFSET('NGS Run Record'!$C$15, MIN(ABS('NGS Run Record'!A55-'NGS Run Record'!$Q$16), $J$15), 0))))</f>
        <v/>
      </c>
      <c r="D55" s="164">
        <f>'Patient List'!D16</f>
        <v>0</v>
      </c>
      <c r="E55" s="172" t="str">
        <f ca="1">IF(A55&lt;$Q$16, IF('Patient List'!I16="", "", 'Patient List'!N16), IF('NGS Run Record'!A55='NGS Run Record'!$Q$16, IF('NGS Run Record'!$I$15&lt;&gt;"OK", "", 'NGS Run Record'!$G$15), IF($J$15=0, "", OFFSET('NGS Run Record'!$G$15, MIN('NGS Run Record'!A55-'NGS Run Record'!$Q$16, $J$15), 0))))</f>
        <v/>
      </c>
      <c r="F55" s="174" t="str">
        <f ca="1">IF(A55&lt;$Q$16, IF('Patient List'!I16="", "", 'Patient List'!AQ16), IF('NGS Run Record'!A55='NGS Run Record'!$Q$16, IF('NGS Run Record'!$I$15&lt;&gt;"OK", "", 'NGS Run Record'!$E$15), IF($J$15=0, "", OFFSET('NGS Run Record'!$E$15, MIN('NGS Run Record'!A55-'NGS Run Record'!$Q$16, $J$15), 0))))</f>
        <v/>
      </c>
      <c r="G55" s="175" t="str">
        <f ca="1">IF(A55&lt;$Q$16, IF('Patient List'!I16="", "", 'Patient List'!AR16), IF('NGS Run Record'!A55='NGS Run Record'!$Q$16, IF('NGS Run Record'!$I$15&lt;&gt;"OK", "", 'NGS Run Record'!$F$15), IF($J$15=0, "", OFFSET('NGS Run Record'!$F$15, MIN('NGS Run Record'!A55-'NGS Run Record'!$Q$16, $J$15), 0))))</f>
        <v/>
      </c>
      <c r="H55" s="38" t="str">
        <f ca="1">IF(Samples[[#This Row],[DNA '#]]="","",Samples[[#This Row],[Column1]]&amp;"/"&amp;Samples[[#This Row],[Column2]])</f>
        <v/>
      </c>
      <c r="I55" s="71"/>
      <c r="J55" s="38"/>
      <c r="K55" s="49"/>
      <c r="M55" s="165" t="str">
        <f ca="1">IF(Samples[[#This Row],[Sample type]]="","",IF(Samples[[#This Row],[Sample type]]="FFPE","100","40"))</f>
        <v/>
      </c>
      <c r="N55" s="166" t="e">
        <f t="shared" ca="1" si="5"/>
        <v>#VALUE!</v>
      </c>
      <c r="O55" s="167" t="e">
        <f ca="1">MIN(Samples[[#This Row],[DNA Conc. (ng/µl )]]*17.5,N55*17.5)</f>
        <v>#VALUE!</v>
      </c>
      <c r="P55" s="157" t="str">
        <f ca="1">IF(Samples[[#This Row],[DNA '#]]="","",Samples[[#This Row],[DNA '#]])</f>
        <v/>
      </c>
      <c r="Q55" s="168" t="str">
        <f ca="1">IF(M55="","",O55/Samples[[#This Row],[DNA Conc. (ng/µl )]])</f>
        <v/>
      </c>
      <c r="R55" s="168" t="str">
        <f t="shared" ca="1" si="6"/>
        <v/>
      </c>
      <c r="S55" s="169" t="str">
        <f t="shared" ca="1" si="7"/>
        <v/>
      </c>
      <c r="T55" s="8" t="str">
        <f t="shared" ca="1" si="8"/>
        <v/>
      </c>
      <c r="U55" s="8" t="str">
        <f t="shared" ca="1" si="9"/>
        <v/>
      </c>
    </row>
    <row r="56" spans="1:21" x14ac:dyDescent="0.2">
      <c r="A56" s="171">
        <v>16</v>
      </c>
      <c r="B56" s="172" t="str">
        <f ca="1">IF(A56&lt;$Q$16, IF('Patient List'!I17="", "", CONCATENATE('Patient List'!A17, ", ", 'Patient List'!B17)), IF('NGS Run Record'!A56='NGS Run Record'!$Q$16, IF('NGS Run Record'!$I$15&lt;&gt;"OK", "", 'NGS Run Record'!$B$15), IF($J$15=0, "", OFFSET('NGS Run Record'!$B$15, MIN('NGS Run Record'!A56-'NGS Run Record'!$Q$16, $J$15), 0))))</f>
        <v/>
      </c>
      <c r="C56" s="173" t="str">
        <f ca="1">IF(A56&lt;$Q$16, IF('Patient List'!I17="", "", 'Patient List'!I17), IF('NGS Run Record'!A56='NGS Run Record'!$Q$16, IF('NGS Run Record'!$I$15&lt;&gt;"OK", "", 'NGS Run Record'!$C$15), IF($J$15=0, "", OFFSET('NGS Run Record'!$C$15, MIN(ABS('NGS Run Record'!A56-'NGS Run Record'!$Q$16), $J$15), 0))))</f>
        <v/>
      </c>
      <c r="D56" s="164">
        <f>'Patient List'!D17</f>
        <v>0</v>
      </c>
      <c r="E56" s="172" t="str">
        <f ca="1">IF(A56&lt;$Q$16, IF('Patient List'!I17="", "", 'Patient List'!N17), IF('NGS Run Record'!A56='NGS Run Record'!$Q$16, IF('NGS Run Record'!$I$15&lt;&gt;"OK", "", 'NGS Run Record'!$G$15), IF($J$15=0, "", OFFSET('NGS Run Record'!$G$15, MIN('NGS Run Record'!A56-'NGS Run Record'!$Q$16, $J$15), 0))))</f>
        <v/>
      </c>
      <c r="F56" s="174" t="str">
        <f ca="1">IF(A56&lt;$Q$16, IF('Patient List'!I17="", "", 'Patient List'!AQ17), IF('NGS Run Record'!A56='NGS Run Record'!$Q$16, IF('NGS Run Record'!$I$15&lt;&gt;"OK", "", 'NGS Run Record'!$E$15), IF($J$15=0, "", OFFSET('NGS Run Record'!$E$15, MIN('NGS Run Record'!A56-'NGS Run Record'!$Q$16, $J$15), 0))))</f>
        <v/>
      </c>
      <c r="G56" s="175" t="str">
        <f ca="1">IF(A56&lt;$Q$16, IF('Patient List'!I17="", "", 'Patient List'!AR17), IF('NGS Run Record'!A56='NGS Run Record'!$Q$16, IF('NGS Run Record'!$I$15&lt;&gt;"OK", "", 'NGS Run Record'!$F$15), IF($J$15=0, "", OFFSET('NGS Run Record'!$F$15, MIN('NGS Run Record'!A56-'NGS Run Record'!$Q$16, $J$15), 0))))</f>
        <v/>
      </c>
      <c r="H56" s="38" t="str">
        <f ca="1">IF(Samples[[#This Row],[DNA '#]]="","",Samples[[#This Row],[Column1]]&amp;"/"&amp;Samples[[#This Row],[Column2]])</f>
        <v/>
      </c>
      <c r="I56" s="71"/>
      <c r="J56" s="38"/>
      <c r="K56" s="49"/>
      <c r="M56" s="165" t="str">
        <f ca="1">IF(Samples[[#This Row],[Sample type]]="","",IF(Samples[[#This Row],[Sample type]]="FFPE","100","40"))</f>
        <v/>
      </c>
      <c r="N56" s="166" t="e">
        <f t="shared" ca="1" si="5"/>
        <v>#VALUE!</v>
      </c>
      <c r="O56" s="167" t="e">
        <f ca="1">MIN(Samples[[#This Row],[DNA Conc. (ng/µl )]]*17.5,N56*17.5)</f>
        <v>#VALUE!</v>
      </c>
      <c r="P56" s="157" t="str">
        <f ca="1">IF(Samples[[#This Row],[DNA '#]]="","",Samples[[#This Row],[DNA '#]])</f>
        <v/>
      </c>
      <c r="Q56" s="168" t="str">
        <f ca="1">IF(M56="","",O56/Samples[[#This Row],[DNA Conc. (ng/µl )]])</f>
        <v/>
      </c>
      <c r="R56" s="168" t="str">
        <f t="shared" ca="1" si="6"/>
        <v/>
      </c>
      <c r="S56" s="169" t="str">
        <f t="shared" ca="1" si="7"/>
        <v/>
      </c>
      <c r="T56" s="8" t="str">
        <f t="shared" ca="1" si="8"/>
        <v/>
      </c>
      <c r="U56" s="8" t="str">
        <f t="shared" ca="1" si="9"/>
        <v/>
      </c>
    </row>
    <row r="57" spans="1:21" x14ac:dyDescent="0.2">
      <c r="A57" s="171">
        <v>17</v>
      </c>
      <c r="B57" s="172" t="str">
        <f ca="1">IF(A57&lt;$Q$16, IF('Patient List'!I18="", "", CONCATENATE('Patient List'!A18, ", ", 'Patient List'!B18)), IF('NGS Run Record'!A57='NGS Run Record'!$Q$16, IF('NGS Run Record'!$I$15&lt;&gt;"OK", "", 'NGS Run Record'!$B$15), IF($J$15=0, "", OFFSET('NGS Run Record'!$B$15, MIN('NGS Run Record'!A57-'NGS Run Record'!$Q$16, $J$15), 0))))</f>
        <v/>
      </c>
      <c r="C57" s="173" t="str">
        <f ca="1">IF(A57&lt;$Q$16, IF('Patient List'!I18="", "", 'Patient List'!I18), IF('NGS Run Record'!A57='NGS Run Record'!$Q$16, IF('NGS Run Record'!$I$15&lt;&gt;"OK", "", 'NGS Run Record'!$C$15), IF($J$15=0, "", OFFSET('NGS Run Record'!$C$15, MIN(ABS('NGS Run Record'!A57-'NGS Run Record'!$Q$16), $J$15), 0))))</f>
        <v/>
      </c>
      <c r="D57" s="164">
        <f>'Patient List'!D18</f>
        <v>0</v>
      </c>
      <c r="E57" s="172" t="str">
        <f ca="1">IF(A57&lt;$Q$16, IF('Patient List'!I18="", "", 'Patient List'!N18), IF('NGS Run Record'!A57='NGS Run Record'!$Q$16, IF('NGS Run Record'!$I$15&lt;&gt;"OK", "", 'NGS Run Record'!$G$15), IF($J$15=0, "", OFFSET('NGS Run Record'!$G$15, MIN('NGS Run Record'!A57-'NGS Run Record'!$Q$16, $J$15), 0))))</f>
        <v/>
      </c>
      <c r="F57" s="174" t="str">
        <f ca="1">IF(A57&lt;$Q$16, IF('Patient List'!I18="", "", 'Patient List'!AQ18), IF('NGS Run Record'!A57='NGS Run Record'!$Q$16, IF('NGS Run Record'!$I$15&lt;&gt;"OK", "", 'NGS Run Record'!$E$15), IF($J$15=0, "", OFFSET('NGS Run Record'!$E$15, MIN('NGS Run Record'!A57-'NGS Run Record'!$Q$16, $J$15), 0))))</f>
        <v/>
      </c>
      <c r="G57" s="175" t="str">
        <f ca="1">IF(A57&lt;$Q$16, IF('Patient List'!I18="", "", 'Patient List'!AR18), IF('NGS Run Record'!A57='NGS Run Record'!$Q$16, IF('NGS Run Record'!$I$15&lt;&gt;"OK", "", 'NGS Run Record'!$F$15), IF($J$15=0, "", OFFSET('NGS Run Record'!$F$15, MIN('NGS Run Record'!A57-'NGS Run Record'!$Q$16, $J$15), 0))))</f>
        <v/>
      </c>
      <c r="H57" s="38" t="str">
        <f ca="1">IF(Samples[[#This Row],[DNA '#]]="","",Samples[[#This Row],[Column1]]&amp;"/"&amp;Samples[[#This Row],[Column2]])</f>
        <v/>
      </c>
      <c r="I57" s="71"/>
      <c r="J57" s="38"/>
      <c r="K57" s="49"/>
      <c r="M57" s="165" t="str">
        <f ca="1">IF(Samples[[#This Row],[Sample type]]="","",IF(Samples[[#This Row],[Sample type]]="FFPE","100","40"))</f>
        <v/>
      </c>
      <c r="N57" s="166" t="e">
        <f t="shared" ca="1" si="5"/>
        <v>#VALUE!</v>
      </c>
      <c r="O57" s="167" t="e">
        <f ca="1">MIN(Samples[[#This Row],[DNA Conc. (ng/µl )]]*17.5,N57*17.5)</f>
        <v>#VALUE!</v>
      </c>
      <c r="P57" s="157" t="str">
        <f ca="1">IF(Samples[[#This Row],[DNA '#]]="","",Samples[[#This Row],[DNA '#]])</f>
        <v/>
      </c>
      <c r="Q57" s="168" t="str">
        <f ca="1">IF(M57="","",O57/Samples[[#This Row],[DNA Conc. (ng/µl )]])</f>
        <v/>
      </c>
      <c r="R57" s="168" t="str">
        <f t="shared" ca="1" si="6"/>
        <v/>
      </c>
      <c r="S57" s="169" t="str">
        <f t="shared" ca="1" si="7"/>
        <v/>
      </c>
      <c r="T57" s="8" t="str">
        <f t="shared" ca="1" si="8"/>
        <v/>
      </c>
      <c r="U57" s="8" t="str">
        <f t="shared" ca="1" si="9"/>
        <v/>
      </c>
    </row>
    <row r="58" spans="1:21" x14ac:dyDescent="0.2">
      <c r="A58" s="171">
        <v>18</v>
      </c>
      <c r="B58" s="172" t="str">
        <f ca="1">IF(A58&lt;$Q$16, IF('Patient List'!I19="", "", CONCATENATE('Patient List'!A19, ", ", 'Patient List'!B19)), IF('NGS Run Record'!A58='NGS Run Record'!$Q$16, IF('NGS Run Record'!$I$15&lt;&gt;"OK", "", 'NGS Run Record'!$B$15), IF($J$15=0, "", OFFSET('NGS Run Record'!$B$15, MIN('NGS Run Record'!A58-'NGS Run Record'!$Q$16, $J$15), 0))))</f>
        <v/>
      </c>
      <c r="C58" s="173" t="str">
        <f ca="1">IF(A58&lt;$Q$16, IF('Patient List'!I19="", "", 'Patient List'!I19), IF('NGS Run Record'!A58='NGS Run Record'!$Q$16, IF('NGS Run Record'!$I$15&lt;&gt;"OK", "", 'NGS Run Record'!$C$15), IF($J$15=0, "", OFFSET('NGS Run Record'!$C$15, MIN(ABS('NGS Run Record'!A58-'NGS Run Record'!$Q$16), $J$15), 0))))</f>
        <v/>
      </c>
      <c r="D58" s="164">
        <f>'Patient List'!D19</f>
        <v>0</v>
      </c>
      <c r="E58" s="172" t="str">
        <f ca="1">IF(A58&lt;$Q$16, IF('Patient List'!I19="", "", 'Patient List'!N19), IF('NGS Run Record'!A58='NGS Run Record'!$Q$16, IF('NGS Run Record'!$I$15&lt;&gt;"OK", "", 'NGS Run Record'!$G$15), IF($J$15=0, "", OFFSET('NGS Run Record'!$G$15, MIN('NGS Run Record'!A58-'NGS Run Record'!$Q$16, $J$15), 0))))</f>
        <v/>
      </c>
      <c r="F58" s="174" t="str">
        <f ca="1">IF(A58&lt;$Q$16, IF('Patient List'!I19="", "", 'Patient List'!AQ19), IF('NGS Run Record'!A58='NGS Run Record'!$Q$16, IF('NGS Run Record'!$I$15&lt;&gt;"OK", "", 'NGS Run Record'!$E$15), IF($J$15=0, "", OFFSET('NGS Run Record'!$E$15, MIN('NGS Run Record'!A58-'NGS Run Record'!$Q$16, $J$15), 0))))</f>
        <v/>
      </c>
      <c r="G58" s="175" t="str">
        <f ca="1">IF(A58&lt;$Q$16, IF('Patient List'!I19="", "", 'Patient List'!AR19), IF('NGS Run Record'!A58='NGS Run Record'!$Q$16, IF('NGS Run Record'!$I$15&lt;&gt;"OK", "", 'NGS Run Record'!$F$15), IF($J$15=0, "", OFFSET('NGS Run Record'!$F$15, MIN('NGS Run Record'!A58-'NGS Run Record'!$Q$16, $J$15), 0))))</f>
        <v/>
      </c>
      <c r="H58" s="38" t="str">
        <f ca="1">IF(Samples[[#This Row],[DNA '#]]="","",Samples[[#This Row],[Column1]]&amp;"/"&amp;Samples[[#This Row],[Column2]])</f>
        <v/>
      </c>
      <c r="I58" s="71"/>
      <c r="J58" s="38"/>
      <c r="K58" s="49"/>
      <c r="M58" s="165" t="str">
        <f ca="1">IF(Samples[[#This Row],[Sample type]]="","",IF(Samples[[#This Row],[Sample type]]="FFPE","100","40"))</f>
        <v/>
      </c>
      <c r="N58" s="166" t="e">
        <f t="shared" ca="1" si="5"/>
        <v>#VALUE!</v>
      </c>
      <c r="O58" s="167" t="e">
        <f ca="1">MIN(Samples[[#This Row],[DNA Conc. (ng/µl )]]*17.5,N58*17.5)</f>
        <v>#VALUE!</v>
      </c>
      <c r="P58" s="157" t="str">
        <f ca="1">IF(Samples[[#This Row],[DNA '#]]="","",Samples[[#This Row],[DNA '#]])</f>
        <v/>
      </c>
      <c r="Q58" s="168" t="str">
        <f ca="1">IF(M58="","",O58/Samples[[#This Row],[DNA Conc. (ng/µl )]])</f>
        <v/>
      </c>
      <c r="R58" s="168" t="str">
        <f t="shared" ca="1" si="6"/>
        <v/>
      </c>
      <c r="S58" s="169" t="str">
        <f t="shared" ca="1" si="7"/>
        <v/>
      </c>
      <c r="T58" s="8" t="str">
        <f t="shared" ca="1" si="8"/>
        <v/>
      </c>
      <c r="U58" s="8" t="str">
        <f t="shared" ca="1" si="9"/>
        <v/>
      </c>
    </row>
    <row r="59" spans="1:21" x14ac:dyDescent="0.2">
      <c r="A59" s="171">
        <v>19</v>
      </c>
      <c r="B59" s="172" t="str">
        <f ca="1">IF(A59&lt;$Q$16, IF('Patient List'!I20="", "", CONCATENATE('Patient List'!A20, ", ", 'Patient List'!B20)), IF('NGS Run Record'!A59='NGS Run Record'!$Q$16, IF('NGS Run Record'!$I$15&lt;&gt;"OK", "", 'NGS Run Record'!$B$15), IF($J$15=0, "", OFFSET('NGS Run Record'!$B$15, MIN('NGS Run Record'!A59-'NGS Run Record'!$Q$16, $J$15), 0))))</f>
        <v/>
      </c>
      <c r="C59" s="173" t="str">
        <f ca="1">IF(A59&lt;$Q$16, IF('Patient List'!I20="", "", 'Patient List'!I20), IF('NGS Run Record'!A59='NGS Run Record'!$Q$16, IF('NGS Run Record'!$I$15&lt;&gt;"OK", "", 'NGS Run Record'!$C$15), IF($J$15=0, "", OFFSET('NGS Run Record'!$C$15, MIN(ABS('NGS Run Record'!A59-'NGS Run Record'!$Q$16), $J$15), 0))))</f>
        <v/>
      </c>
      <c r="D59" s="164">
        <f>'Patient List'!D20</f>
        <v>0</v>
      </c>
      <c r="E59" s="172" t="str">
        <f ca="1">IF(A59&lt;$Q$16, IF('Patient List'!I20="", "", 'Patient List'!N20), IF('NGS Run Record'!A59='NGS Run Record'!$Q$16, IF('NGS Run Record'!$I$15&lt;&gt;"OK", "", 'NGS Run Record'!$G$15), IF($J$15=0, "", OFFSET('NGS Run Record'!$G$15, MIN('NGS Run Record'!A59-'NGS Run Record'!$Q$16, $J$15), 0))))</f>
        <v/>
      </c>
      <c r="F59" s="174" t="str">
        <f ca="1">IF(A59&lt;$Q$16, IF('Patient List'!I20="", "", 'Patient List'!AQ20), IF('NGS Run Record'!A59='NGS Run Record'!$Q$16, IF('NGS Run Record'!$I$15&lt;&gt;"OK", "", 'NGS Run Record'!$E$15), IF($J$15=0, "", OFFSET('NGS Run Record'!$E$15, MIN('NGS Run Record'!A59-'NGS Run Record'!$Q$16, $J$15), 0))))</f>
        <v/>
      </c>
      <c r="G59" s="175" t="str">
        <f ca="1">IF(A59&lt;$Q$16, IF('Patient List'!I20="", "", 'Patient List'!AR20), IF('NGS Run Record'!A59='NGS Run Record'!$Q$16, IF('NGS Run Record'!$I$15&lt;&gt;"OK", "", 'NGS Run Record'!$F$15), IF($J$15=0, "", OFFSET('NGS Run Record'!$F$15, MIN('NGS Run Record'!A59-'NGS Run Record'!$Q$16, $J$15), 0))))</f>
        <v/>
      </c>
      <c r="H59" s="38" t="str">
        <f ca="1">IF(Samples[[#This Row],[DNA '#]]="","",Samples[[#This Row],[Column1]]&amp;"/"&amp;Samples[[#This Row],[Column2]])</f>
        <v/>
      </c>
      <c r="I59" s="71"/>
      <c r="J59" s="38"/>
      <c r="K59" s="49"/>
      <c r="M59" s="165" t="str">
        <f ca="1">IF(Samples[[#This Row],[Sample type]]="","",IF(Samples[[#This Row],[Sample type]]="FFPE","100","40"))</f>
        <v/>
      </c>
      <c r="N59" s="166" t="e">
        <f t="shared" ca="1" si="5"/>
        <v>#VALUE!</v>
      </c>
      <c r="O59" s="167" t="e">
        <f ca="1">MIN(Samples[[#This Row],[DNA Conc. (ng/µl )]]*17.5,N59*17.5)</f>
        <v>#VALUE!</v>
      </c>
      <c r="P59" s="157" t="str">
        <f ca="1">IF(Samples[[#This Row],[DNA '#]]="","",Samples[[#This Row],[DNA '#]])</f>
        <v/>
      </c>
      <c r="Q59" s="168" t="str">
        <f ca="1">IF(M59="","",O59/Samples[[#This Row],[DNA Conc. (ng/µl )]])</f>
        <v/>
      </c>
      <c r="R59" s="168" t="str">
        <f t="shared" ca="1" si="6"/>
        <v/>
      </c>
      <c r="S59" s="169" t="str">
        <f t="shared" ca="1" si="7"/>
        <v/>
      </c>
      <c r="T59" s="8" t="str">
        <f t="shared" ca="1" si="8"/>
        <v/>
      </c>
      <c r="U59" s="8" t="str">
        <f t="shared" ca="1" si="9"/>
        <v/>
      </c>
    </row>
    <row r="60" spans="1:21" x14ac:dyDescent="0.2">
      <c r="A60" s="171">
        <v>20</v>
      </c>
      <c r="B60" s="172" t="str">
        <f ca="1">IF(A60&lt;$Q$16, IF('Patient List'!I21="", "", CONCATENATE('Patient List'!A21, ", ", 'Patient List'!B21)), IF('NGS Run Record'!A60='NGS Run Record'!$Q$16, IF('NGS Run Record'!$I$15&lt;&gt;"OK", "", 'NGS Run Record'!$B$15), IF($J$15=0, "", OFFSET('NGS Run Record'!$B$15, MIN('NGS Run Record'!A60-'NGS Run Record'!$Q$16, $J$15), 0))))</f>
        <v/>
      </c>
      <c r="C60" s="173" t="str">
        <f ca="1">IF(A60&lt;$Q$16, IF('Patient List'!I21="", "", 'Patient List'!I21), IF('NGS Run Record'!A60='NGS Run Record'!$Q$16, IF('NGS Run Record'!$I$15&lt;&gt;"OK", "", 'NGS Run Record'!$C$15), IF($J$15=0, "", OFFSET('NGS Run Record'!$C$15, MIN(ABS('NGS Run Record'!A60-'NGS Run Record'!$Q$16), $J$15), 0))))</f>
        <v/>
      </c>
      <c r="D60" s="164">
        <f>'Patient List'!D21</f>
        <v>0</v>
      </c>
      <c r="E60" s="172" t="str">
        <f ca="1">IF(A60&lt;$Q$16, IF('Patient List'!I21="", "", 'Patient List'!N21), IF('NGS Run Record'!A60='NGS Run Record'!$Q$16, IF('NGS Run Record'!$I$15&lt;&gt;"OK", "", 'NGS Run Record'!$G$15), IF($J$15=0, "", OFFSET('NGS Run Record'!$G$15, MIN('NGS Run Record'!A60-'NGS Run Record'!$Q$16, $J$15), 0))))</f>
        <v/>
      </c>
      <c r="F60" s="174" t="str">
        <f ca="1">IF(A60&lt;$Q$16, IF('Patient List'!I21="", "", 'Patient List'!AQ21), IF('NGS Run Record'!A60='NGS Run Record'!$Q$16, IF('NGS Run Record'!$I$15&lt;&gt;"OK", "", 'NGS Run Record'!$E$15), IF($J$15=0, "", OFFSET('NGS Run Record'!$E$15, MIN('NGS Run Record'!A60-'NGS Run Record'!$Q$16, $J$15), 0))))</f>
        <v/>
      </c>
      <c r="G60" s="175" t="str">
        <f ca="1">IF(A60&lt;$Q$16, IF('Patient List'!I21="", "", 'Patient List'!AR21), IF('NGS Run Record'!A60='NGS Run Record'!$Q$16, IF('NGS Run Record'!$I$15&lt;&gt;"OK", "", 'NGS Run Record'!$F$15), IF($J$15=0, "", OFFSET('NGS Run Record'!$F$15, MIN('NGS Run Record'!A60-'NGS Run Record'!$Q$16, $J$15), 0))))</f>
        <v/>
      </c>
      <c r="H60" s="38" t="str">
        <f ca="1">IF(Samples[[#This Row],[DNA '#]]="","",Samples[[#This Row],[Column1]]&amp;"/"&amp;Samples[[#This Row],[Column2]])</f>
        <v/>
      </c>
      <c r="I60" s="71"/>
      <c r="J60" s="38"/>
      <c r="K60" s="49"/>
      <c r="M60" s="165" t="str">
        <f ca="1">IF(Samples[[#This Row],[Sample type]]="","",IF(Samples[[#This Row],[Sample type]]="FFPE","100","40"))</f>
        <v/>
      </c>
      <c r="N60" s="166" t="e">
        <f t="shared" ca="1" si="5"/>
        <v>#VALUE!</v>
      </c>
      <c r="O60" s="167" t="e">
        <f ca="1">MIN(Samples[[#This Row],[DNA Conc. (ng/µl )]]*17.5,N60*17.5)</f>
        <v>#VALUE!</v>
      </c>
      <c r="P60" s="157" t="str">
        <f ca="1">IF(Samples[[#This Row],[DNA '#]]="","",Samples[[#This Row],[DNA '#]])</f>
        <v/>
      </c>
      <c r="Q60" s="168" t="str">
        <f ca="1">IF(M60="","",O60/Samples[[#This Row],[DNA Conc. (ng/µl )]])</f>
        <v/>
      </c>
      <c r="R60" s="168" t="str">
        <f t="shared" ca="1" si="6"/>
        <v/>
      </c>
      <c r="S60" s="169" t="str">
        <f t="shared" ca="1" si="7"/>
        <v/>
      </c>
      <c r="T60" s="8" t="str">
        <f t="shared" ca="1" si="8"/>
        <v/>
      </c>
      <c r="U60" s="8" t="str">
        <f t="shared" ca="1" si="9"/>
        <v/>
      </c>
    </row>
    <row r="61" spans="1:21" x14ac:dyDescent="0.2">
      <c r="A61" s="171">
        <v>21</v>
      </c>
      <c r="B61" s="172" t="str">
        <f ca="1">IF(A61&lt;$Q$16, IF('Patient List'!I22="", "", CONCATENATE('Patient List'!A22, ", ", 'Patient List'!B22)), IF('NGS Run Record'!A61='NGS Run Record'!$Q$16, IF('NGS Run Record'!$I$15&lt;&gt;"OK", "", 'NGS Run Record'!$B$15), IF($J$15=0, "", OFFSET('NGS Run Record'!$B$15, MIN('NGS Run Record'!A61-'NGS Run Record'!$Q$16, $J$15), 0))))</f>
        <v/>
      </c>
      <c r="C61" s="173" t="str">
        <f ca="1">IF(A61&lt;$Q$16, IF('Patient List'!I22="", "", 'Patient List'!I22), IF('NGS Run Record'!A61='NGS Run Record'!$Q$16, IF('NGS Run Record'!$I$15&lt;&gt;"OK", "", 'NGS Run Record'!$C$15), IF($J$15=0, "", OFFSET('NGS Run Record'!$C$15, MIN(ABS('NGS Run Record'!A61-'NGS Run Record'!$Q$16), $J$15), 0))))</f>
        <v/>
      </c>
      <c r="D61" s="164">
        <f>'Patient List'!D22</f>
        <v>0</v>
      </c>
      <c r="E61" s="172" t="str">
        <f ca="1">IF(A61&lt;$Q$16, IF('Patient List'!I22="", "", 'Patient List'!N22), IF('NGS Run Record'!A61='NGS Run Record'!$Q$16, IF('NGS Run Record'!$I$15&lt;&gt;"OK", "", 'NGS Run Record'!$G$15), IF($J$15=0, "", OFFSET('NGS Run Record'!$G$15, MIN('NGS Run Record'!A61-'NGS Run Record'!$Q$16, $J$15), 0))))</f>
        <v/>
      </c>
      <c r="F61" s="174" t="str">
        <f ca="1">IF(A61&lt;$Q$16, IF('Patient List'!I22="", "", 'Patient List'!AQ22), IF('NGS Run Record'!A61='NGS Run Record'!$Q$16, IF('NGS Run Record'!$I$15&lt;&gt;"OK", "", 'NGS Run Record'!$E$15), IF($J$15=0, "", OFFSET('NGS Run Record'!$E$15, MIN('NGS Run Record'!A61-'NGS Run Record'!$Q$16, $J$15), 0))))</f>
        <v/>
      </c>
      <c r="G61" s="175" t="str">
        <f ca="1">IF(A61&lt;$Q$16, IF('Patient List'!I22="", "", 'Patient List'!AR22), IF('NGS Run Record'!A61='NGS Run Record'!$Q$16, IF('NGS Run Record'!$I$15&lt;&gt;"OK", "", 'NGS Run Record'!$F$15), IF($J$15=0, "", OFFSET('NGS Run Record'!$F$15, MIN('NGS Run Record'!A61-'NGS Run Record'!$Q$16, $J$15), 0))))</f>
        <v/>
      </c>
      <c r="H61" s="38" t="str">
        <f ca="1">IF(Samples[[#This Row],[DNA '#]]="","",Samples[[#This Row],[Column1]]&amp;"/"&amp;Samples[[#This Row],[Column2]])</f>
        <v/>
      </c>
      <c r="I61" s="71"/>
      <c r="J61" s="38"/>
      <c r="K61" s="49"/>
      <c r="M61" s="165" t="str">
        <f ca="1">IF(Samples[[#This Row],[Sample type]]="","",IF(Samples[[#This Row],[Sample type]]="FFPE","100","40"))</f>
        <v/>
      </c>
      <c r="N61" s="166" t="e">
        <f t="shared" ca="1" si="5"/>
        <v>#VALUE!</v>
      </c>
      <c r="O61" s="167" t="e">
        <f ca="1">MIN(Samples[[#This Row],[DNA Conc. (ng/µl )]]*17.5,N61*17.5)</f>
        <v>#VALUE!</v>
      </c>
      <c r="P61" s="157" t="str">
        <f ca="1">IF(Samples[[#This Row],[DNA '#]]="","",Samples[[#This Row],[DNA '#]])</f>
        <v/>
      </c>
      <c r="Q61" s="168" t="str">
        <f ca="1">IF(M61="","",O61/Samples[[#This Row],[DNA Conc. (ng/µl )]])</f>
        <v/>
      </c>
      <c r="R61" s="168" t="str">
        <f t="shared" ca="1" si="6"/>
        <v/>
      </c>
      <c r="S61" s="169" t="str">
        <f t="shared" ca="1" si="7"/>
        <v/>
      </c>
      <c r="T61" s="8" t="str">
        <f t="shared" ca="1" si="8"/>
        <v/>
      </c>
      <c r="U61" s="8" t="str">
        <f t="shared" ca="1" si="9"/>
        <v/>
      </c>
    </row>
    <row r="62" spans="1:21" x14ac:dyDescent="0.2">
      <c r="A62" s="171">
        <v>22</v>
      </c>
      <c r="B62" s="172" t="str">
        <f ca="1">IF(A62&lt;$Q$16, IF('Patient List'!I23="", "", CONCATENATE('Patient List'!A23, ", ", 'Patient List'!B23)), IF('NGS Run Record'!A62='NGS Run Record'!$Q$16, IF('NGS Run Record'!$I$15&lt;&gt;"OK", "", 'NGS Run Record'!$B$15), IF($J$15=0, "", OFFSET('NGS Run Record'!$B$15, MIN('NGS Run Record'!A62-'NGS Run Record'!$Q$16, $J$15), 0))))</f>
        <v/>
      </c>
      <c r="C62" s="173" t="str">
        <f ca="1">IF(A62&lt;$Q$16, IF('Patient List'!I23="", "", 'Patient List'!I23), IF('NGS Run Record'!A62='NGS Run Record'!$Q$16, IF('NGS Run Record'!$I$15&lt;&gt;"OK", "", 'NGS Run Record'!$C$15), IF($J$15=0, "", OFFSET('NGS Run Record'!$C$15, MIN(ABS('NGS Run Record'!A62-'NGS Run Record'!$Q$16), $J$15), 0))))</f>
        <v/>
      </c>
      <c r="D62" s="164">
        <f>'Patient List'!D23</f>
        <v>0</v>
      </c>
      <c r="E62" s="172" t="str">
        <f ca="1">IF(A62&lt;$Q$16, IF('Patient List'!I23="", "", 'Patient List'!N23), IF('NGS Run Record'!A62='NGS Run Record'!$Q$16, IF('NGS Run Record'!$I$15&lt;&gt;"OK", "", 'NGS Run Record'!$G$15), IF($J$15=0, "", OFFSET('NGS Run Record'!$G$15, MIN('NGS Run Record'!A62-'NGS Run Record'!$Q$16, $J$15), 0))))</f>
        <v/>
      </c>
      <c r="F62" s="174" t="str">
        <f ca="1">IF(A62&lt;$Q$16, IF('Patient List'!I23="", "", 'Patient List'!AQ23), IF('NGS Run Record'!A62='NGS Run Record'!$Q$16, IF('NGS Run Record'!$I$15&lt;&gt;"OK", "", 'NGS Run Record'!$E$15), IF($J$15=0, "", OFFSET('NGS Run Record'!$E$15, MIN('NGS Run Record'!A62-'NGS Run Record'!$Q$16, $J$15), 0))))</f>
        <v/>
      </c>
      <c r="G62" s="175" t="str">
        <f ca="1">IF(A62&lt;$Q$16, IF('Patient List'!I23="", "", 'Patient List'!AR23), IF('NGS Run Record'!A62='NGS Run Record'!$Q$16, IF('NGS Run Record'!$I$15&lt;&gt;"OK", "", 'NGS Run Record'!$F$15), IF($J$15=0, "", OFFSET('NGS Run Record'!$F$15, MIN('NGS Run Record'!A62-'NGS Run Record'!$Q$16, $J$15), 0))))</f>
        <v/>
      </c>
      <c r="H62" s="38" t="str">
        <f ca="1">IF(Samples[[#This Row],[DNA '#]]="","",Samples[[#This Row],[Column1]]&amp;"/"&amp;Samples[[#This Row],[Column2]])</f>
        <v/>
      </c>
      <c r="I62" s="71"/>
      <c r="J62" s="38"/>
      <c r="K62" s="49"/>
      <c r="M62" s="165" t="str">
        <f ca="1">IF(Samples[[#This Row],[Sample type]]="","",IF(Samples[[#This Row],[Sample type]]="FFPE","100","40"))</f>
        <v/>
      </c>
      <c r="N62" s="166" t="e">
        <f t="shared" ca="1" si="5"/>
        <v>#VALUE!</v>
      </c>
      <c r="O62" s="167" t="e">
        <f ca="1">MIN(Samples[[#This Row],[DNA Conc. (ng/µl )]]*17.5,N62*17.5)</f>
        <v>#VALUE!</v>
      </c>
      <c r="P62" s="157" t="str">
        <f ca="1">IF(Samples[[#This Row],[DNA '#]]="","",Samples[[#This Row],[DNA '#]])</f>
        <v/>
      </c>
      <c r="Q62" s="168" t="str">
        <f ca="1">IF(M62="","",O62/Samples[[#This Row],[DNA Conc. (ng/µl )]])</f>
        <v/>
      </c>
      <c r="R62" s="168" t="str">
        <f t="shared" ca="1" si="6"/>
        <v/>
      </c>
      <c r="S62" s="169" t="str">
        <f t="shared" ca="1" si="7"/>
        <v/>
      </c>
      <c r="T62" s="8" t="str">
        <f t="shared" ca="1" si="8"/>
        <v/>
      </c>
      <c r="U62" s="8" t="str">
        <f t="shared" ca="1" si="9"/>
        <v/>
      </c>
    </row>
    <row r="63" spans="1:21" x14ac:dyDescent="0.2">
      <c r="A63" s="161">
        <v>23</v>
      </c>
      <c r="B63" s="38" t="str">
        <f ca="1">IF(A63&lt;$Q$16, IF('Patient List'!I28="", "", CONCATENATE('Patient List'!A28, ", ", 'Patient List'!B28)), IF('NGS Run Record'!A63='NGS Run Record'!$Q$16, IF('NGS Run Record'!$I$15&lt;&gt;"OK", "", 'NGS Run Record'!$B$15), IF($J$15=0, "", OFFSET('NGS Run Record'!$B$15, MIN('NGS Run Record'!A63-'NGS Run Record'!$Q$16, $J$15), 0))))</f>
        <v/>
      </c>
      <c r="C63" s="173" t="str">
        <f ca="1">IF(A63&lt;$Q$16, IF('Patient List'!I24="", "", 'Patient List'!I24), IF('NGS Run Record'!A63='NGS Run Record'!$Q$16, IF('NGS Run Record'!$I$15&lt;&gt;"OK", "", 'NGS Run Record'!$C$15), IF($J$15=0, "", OFFSET('NGS Run Record'!$C$15, MIN(ABS('NGS Run Record'!A63-'NGS Run Record'!$Q$16), $J$15), 0))))</f>
        <v/>
      </c>
      <c r="D63" s="164">
        <f>'Patient List'!D24</f>
        <v>0</v>
      </c>
      <c r="E63" s="172" t="str">
        <f ca="1">IF(A63&lt;$Q$16, IF('Patient List'!I24="", "", 'Patient List'!N24), IF('NGS Run Record'!A63='NGS Run Record'!$Q$16, IF('NGS Run Record'!$I$15&lt;&gt;"OK", "", 'NGS Run Record'!$G$15), IF($J$15=0, "", OFFSET('NGS Run Record'!$G$15, MIN('NGS Run Record'!A63-'NGS Run Record'!$Q$16, $J$15), 0))))</f>
        <v/>
      </c>
      <c r="F63" s="174" t="str">
        <f ca="1">IF(A63&lt;$Q$16, IF('Patient List'!I24="", "", 'Patient List'!AQ24), IF('NGS Run Record'!A63='NGS Run Record'!$Q$16, IF('NGS Run Record'!$I$15&lt;&gt;"OK", "", 'NGS Run Record'!$E$15), IF($J$15=0, "", OFFSET('NGS Run Record'!$E$15, MIN('NGS Run Record'!A63-'NGS Run Record'!$Q$16, $J$15), 0))))</f>
        <v/>
      </c>
      <c r="G63" s="175" t="str">
        <f ca="1">IF(A63&lt;$Q$16, IF('Patient List'!I24="", "", 'Patient List'!AR24), IF('NGS Run Record'!A63='NGS Run Record'!$Q$16, IF('NGS Run Record'!$I$15&lt;&gt;"OK", "", 'NGS Run Record'!$F$15), IF($J$15=0, "", OFFSET('NGS Run Record'!$F$15, MIN('NGS Run Record'!A63-'NGS Run Record'!$Q$16, $J$15), 0))))</f>
        <v/>
      </c>
      <c r="H63" s="38" t="str">
        <f ca="1">IF(Samples[[#This Row],[DNA '#]]="","",Samples[[#This Row],[Column1]]&amp;"/"&amp;Samples[[#This Row],[Column2]])</f>
        <v/>
      </c>
      <c r="I63" s="38"/>
      <c r="J63" s="38"/>
      <c r="K63" s="38"/>
      <c r="M63" s="165" t="str">
        <f ca="1">IF(Samples[[#This Row],[Sample type]]="","",IF(Samples[[#This Row],[Sample type]]="FFPE","100","40"))</f>
        <v/>
      </c>
      <c r="N63" s="166" t="e">
        <f t="shared" ca="1" si="5"/>
        <v>#VALUE!</v>
      </c>
      <c r="O63" s="167" t="e">
        <f ca="1">MIN(Samples[[#This Row],[DNA Conc. (ng/µl )]]*17.5,N63*17.5)</f>
        <v>#VALUE!</v>
      </c>
      <c r="P63" s="157" t="str">
        <f ca="1">IF(Samples[[#This Row],[DNA '#]]="","",Samples[[#This Row],[DNA '#]])</f>
        <v/>
      </c>
      <c r="Q63" s="168" t="str">
        <f ca="1">IF(M63="","",O63/Samples[[#This Row],[DNA Conc. (ng/µl )]])</f>
        <v/>
      </c>
      <c r="R63" s="168" t="str">
        <f t="shared" ca="1" si="6"/>
        <v/>
      </c>
      <c r="S63" s="169" t="str">
        <f t="shared" ca="1" si="7"/>
        <v/>
      </c>
      <c r="T63" s="8" t="str">
        <f t="shared" ca="1" si="8"/>
        <v/>
      </c>
      <c r="U63" s="8" t="str">
        <f t="shared" ca="1" si="9"/>
        <v/>
      </c>
    </row>
    <row r="64" spans="1:21" x14ac:dyDescent="0.2">
      <c r="A64" s="161">
        <v>24</v>
      </c>
      <c r="B64" s="38" t="str">
        <f ca="1">IF(A64&lt;$Q$16, IF('Patient List'!I29="", "", CONCATENATE('Patient List'!A29, ", ", 'Patient List'!B29)), IF('NGS Run Record'!A64='NGS Run Record'!$Q$16, IF('NGS Run Record'!$I$15&lt;&gt;"OK", "", 'NGS Run Record'!$B$15), IF($J$15=0, "", OFFSET('NGS Run Record'!$B$15, MIN('NGS Run Record'!A64-'NGS Run Record'!$Q$16, $J$15), 0))))</f>
        <v/>
      </c>
      <c r="C64" s="173" t="str">
        <f ca="1">IF(A64&lt;$Q$16, IF('Patient List'!I25="", "", 'Patient List'!I25), IF('NGS Run Record'!A64='NGS Run Record'!$Q$16, IF('NGS Run Record'!$I$15&lt;&gt;"OK", "", 'NGS Run Record'!$C$15), IF($J$15=0, "", OFFSET('NGS Run Record'!$C$15, MIN(ABS('NGS Run Record'!A64-'NGS Run Record'!$Q$16), $J$15), 0))))</f>
        <v/>
      </c>
      <c r="D64" s="164">
        <f>'Patient List'!D25</f>
        <v>0</v>
      </c>
      <c r="E64" s="172" t="str">
        <f ca="1">IF(A64&lt;$Q$16, IF('Patient List'!I25="", "", 'Patient List'!N25), IF('NGS Run Record'!A64='NGS Run Record'!$Q$16, IF('NGS Run Record'!$I$15&lt;&gt;"OK", "", 'NGS Run Record'!$G$15), IF($J$15=0, "", OFFSET('NGS Run Record'!$G$15, MIN('NGS Run Record'!A64-'NGS Run Record'!$Q$16, $J$15), 0))))</f>
        <v/>
      </c>
      <c r="F64" s="174" t="str">
        <f ca="1">IF(A64&lt;$Q$16, IF('Patient List'!I25="", "", 'Patient List'!AQ25), IF('NGS Run Record'!A64='NGS Run Record'!$Q$16, IF('NGS Run Record'!$I$15&lt;&gt;"OK", "", 'NGS Run Record'!$E$15), IF($J$15=0, "", OFFSET('NGS Run Record'!$E$15, MIN('NGS Run Record'!A64-'NGS Run Record'!$Q$16, $J$15), 0))))</f>
        <v/>
      </c>
      <c r="G64" s="175" t="str">
        <f ca="1">IF(A64&lt;$Q$16, IF('Patient List'!I25="", "", 'Patient List'!AR25), IF('NGS Run Record'!A64='NGS Run Record'!$Q$16, IF('NGS Run Record'!$I$15&lt;&gt;"OK", "", 'NGS Run Record'!$F$15), IF($J$15=0, "", OFFSET('NGS Run Record'!$F$15, MIN('NGS Run Record'!A64-'NGS Run Record'!$Q$16, $J$15), 0))))</f>
        <v/>
      </c>
      <c r="H64" s="38" t="str">
        <f ca="1">IF(Samples[[#This Row],[DNA '#]]="","",Samples[[#This Row],[Column1]]&amp;"/"&amp;Samples[[#This Row],[Column2]])</f>
        <v/>
      </c>
      <c r="I64" s="38"/>
      <c r="J64" s="38"/>
      <c r="K64" s="38"/>
      <c r="M64" s="165" t="str">
        <f ca="1">IF(Samples[[#This Row],[Sample type]]="","",IF(Samples[[#This Row],[Sample type]]="FFPE","100","40"))</f>
        <v/>
      </c>
      <c r="N64" s="166" t="e">
        <f t="shared" ca="1" si="5"/>
        <v>#VALUE!</v>
      </c>
      <c r="O64" s="167" t="e">
        <f ca="1">MIN(Samples[[#This Row],[DNA Conc. (ng/µl )]]*17.5,N64*17.5)</f>
        <v>#VALUE!</v>
      </c>
      <c r="P64" s="157" t="str">
        <f ca="1">IF(Samples[[#This Row],[DNA '#]]="","",Samples[[#This Row],[DNA '#]])</f>
        <v/>
      </c>
      <c r="Q64" s="168" t="str">
        <f ca="1">IF(M64="","",O64/Samples[[#This Row],[DNA Conc. (ng/µl )]])</f>
        <v/>
      </c>
      <c r="R64" s="168" t="str">
        <f t="shared" ca="1" si="6"/>
        <v/>
      </c>
      <c r="S64" s="169" t="str">
        <f t="shared" ca="1" si="7"/>
        <v/>
      </c>
      <c r="T64" s="8" t="str">
        <f t="shared" ca="1" si="8"/>
        <v/>
      </c>
      <c r="U64" s="8" t="str">
        <f t="shared" ca="1" si="9"/>
        <v/>
      </c>
    </row>
    <row r="65" spans="1:21" x14ac:dyDescent="0.2">
      <c r="A65" s="161">
        <v>25</v>
      </c>
      <c r="B65" s="38" t="str">
        <f ca="1">IF(A65&lt;$Q$16, IF('Patient List'!I29="", "", CONCATENATE('Patient List'!A29, ", ", 'Patient List'!B29)), IF('NGS Run Record'!A65='NGS Run Record'!$Q$16, IF('NGS Run Record'!$I$15&lt;&gt;"OK", "", 'NGS Run Record'!$B$15), IF($J$15=0, "", OFFSET('NGS Run Record'!$B$15, MIN('NGS Run Record'!A65-'NGS Run Record'!$Q$16, $J$15), 0))))</f>
        <v/>
      </c>
      <c r="C65" s="173" t="str">
        <f ca="1">IF(A65&lt;$Q$16, IF('Patient List'!I26="", "", 'Patient List'!I26), IF('NGS Run Record'!A65='NGS Run Record'!$Q$16, IF('NGS Run Record'!$I$15&lt;&gt;"OK", "", 'NGS Run Record'!$C$15), IF($J$15=0, "", OFFSET('NGS Run Record'!$C$15, MIN(ABS('NGS Run Record'!A65-'NGS Run Record'!$Q$16), $J$15), 0))))</f>
        <v/>
      </c>
      <c r="D65" s="164">
        <f>'Patient List'!D26</f>
        <v>0</v>
      </c>
      <c r="E65" s="172" t="str">
        <f ca="1">IF(A65&lt;$Q$16, IF('Patient List'!I26="", "", 'Patient List'!N26), IF('NGS Run Record'!A65='NGS Run Record'!$Q$16, IF('NGS Run Record'!$I$15&lt;&gt;"OK", "", 'NGS Run Record'!$G$15), IF($J$15=0, "", OFFSET('NGS Run Record'!$G$15, MIN('NGS Run Record'!A65-'NGS Run Record'!$Q$16, $J$15), 0))))</f>
        <v/>
      </c>
      <c r="F65" s="174" t="str">
        <f ca="1">IF(A65&lt;$Q$16, IF('Patient List'!I26="", "", 'Patient List'!AQ26), IF('NGS Run Record'!A65='NGS Run Record'!$Q$16, IF('NGS Run Record'!$I$15&lt;&gt;"OK", "", 'NGS Run Record'!$E$15), IF($J$15=0, "", OFFSET('NGS Run Record'!$E$15, MIN('NGS Run Record'!A65-'NGS Run Record'!$Q$16, $J$15), 0))))</f>
        <v/>
      </c>
      <c r="G65" s="175" t="str">
        <f ca="1">IF(A65&lt;$Q$16, IF('Patient List'!I26="", "", 'Patient List'!AR26), IF('NGS Run Record'!A65='NGS Run Record'!$Q$16, IF('NGS Run Record'!$I$15&lt;&gt;"OK", "", 'NGS Run Record'!$F$15), IF($J$15=0, "", OFFSET('NGS Run Record'!$F$15, MIN('NGS Run Record'!A65-'NGS Run Record'!$Q$16, $J$15), 0))))</f>
        <v/>
      </c>
      <c r="H65" s="38" t="str">
        <f ca="1">IF(Samples[[#This Row],[DNA '#]]="","",Samples[[#This Row],[Column1]]&amp;"/"&amp;Samples[[#This Row],[Column2]])</f>
        <v/>
      </c>
      <c r="I65" s="38"/>
      <c r="J65" s="38"/>
      <c r="K65" s="38"/>
      <c r="M65" s="165" t="str">
        <f ca="1">IF(Samples[[#This Row],[Sample type]]="","",IF(Samples[[#This Row],[Sample type]]="FFPE","100","40"))</f>
        <v/>
      </c>
      <c r="N65" s="166" t="e">
        <f t="shared" ca="1" si="5"/>
        <v>#VALUE!</v>
      </c>
      <c r="O65" s="167" t="e">
        <f ca="1">MIN(Samples[[#This Row],[DNA Conc. (ng/µl )]]*17.5,N65*17.5)</f>
        <v>#VALUE!</v>
      </c>
      <c r="P65" s="157" t="str">
        <f ca="1">IF(Samples[[#This Row],[DNA '#]]="","",Samples[[#This Row],[DNA '#]])</f>
        <v/>
      </c>
      <c r="Q65" s="168" t="str">
        <f ca="1">IF(M65="","",O65/Samples[[#This Row],[DNA Conc. (ng/µl )]])</f>
        <v/>
      </c>
      <c r="R65" s="168" t="str">
        <f t="shared" ca="1" si="6"/>
        <v/>
      </c>
      <c r="S65" s="169" t="str">
        <f t="shared" ca="1" si="7"/>
        <v/>
      </c>
      <c r="T65" s="8" t="str">
        <f t="shared" ca="1" si="8"/>
        <v/>
      </c>
      <c r="U65" s="8" t="str">
        <f t="shared" ca="1" si="9"/>
        <v/>
      </c>
    </row>
    <row r="66" spans="1:21" x14ac:dyDescent="0.2">
      <c r="A66" s="161">
        <v>26</v>
      </c>
      <c r="B66" s="38" t="str">
        <f ca="1">IF(A66&lt;$Q$16, IF('Patient List'!I31="", "", CONCATENATE('Patient List'!A31, ", ", 'Patient List'!B31)), IF('NGS Run Record'!A66='NGS Run Record'!$Q$16, IF('NGS Run Record'!$I$15&lt;&gt;"OK", "", 'NGS Run Record'!$B$15), IF($J$15=0, "", OFFSET('NGS Run Record'!$B$15, MIN('NGS Run Record'!A66-'NGS Run Record'!$Q$16, $J$15), 0))))</f>
        <v/>
      </c>
      <c r="C66" s="173" t="str">
        <f ca="1">IF(A66&lt;$Q$16, IF('Patient List'!I27="", "", 'Patient List'!I27), IF('NGS Run Record'!A66='NGS Run Record'!$Q$16, IF('NGS Run Record'!$I$15&lt;&gt;"OK", "", 'NGS Run Record'!$C$15), IF($J$15=0, "", OFFSET('NGS Run Record'!$C$15, MIN(ABS('NGS Run Record'!A66-'NGS Run Record'!$Q$16), $J$15), 0))))</f>
        <v/>
      </c>
      <c r="D66" s="164">
        <f>'Patient List'!D27</f>
        <v>0</v>
      </c>
      <c r="E66" s="172" t="str">
        <f ca="1">IF(A66&lt;$Q$16, IF('Patient List'!I27="", "", 'Patient List'!N27), IF('NGS Run Record'!A66='NGS Run Record'!$Q$16, IF('NGS Run Record'!$I$15&lt;&gt;"OK", "", 'NGS Run Record'!$G$15), IF($J$15=0, "", OFFSET('NGS Run Record'!$G$15, MIN('NGS Run Record'!A66-'NGS Run Record'!$Q$16, $J$15), 0))))</f>
        <v/>
      </c>
      <c r="F66" s="174" t="str">
        <f ca="1">IF(A66&lt;$Q$16, IF('Patient List'!I27="", "", 'Patient List'!AQ27), IF('NGS Run Record'!A66='NGS Run Record'!$Q$16, IF('NGS Run Record'!$I$15&lt;&gt;"OK", "", 'NGS Run Record'!$E$15), IF($J$15=0, "", OFFSET('NGS Run Record'!$E$15, MIN('NGS Run Record'!A66-'NGS Run Record'!$Q$16, $J$15), 0))))</f>
        <v/>
      </c>
      <c r="G66" s="175" t="str">
        <f ca="1">IF(A66&lt;$Q$16, IF('Patient List'!I27="", "", 'Patient List'!AR27), IF('NGS Run Record'!A66='NGS Run Record'!$Q$16, IF('NGS Run Record'!$I$15&lt;&gt;"OK", "", 'NGS Run Record'!$F$15), IF($J$15=0, "", OFFSET('NGS Run Record'!$F$15, MIN('NGS Run Record'!A66-'NGS Run Record'!$Q$16, $J$15), 0))))</f>
        <v/>
      </c>
      <c r="H66" s="38" t="str">
        <f ca="1">IF(Samples[[#This Row],[DNA '#]]="","",Samples[[#This Row],[Column1]]&amp;"/"&amp;Samples[[#This Row],[Column2]])</f>
        <v/>
      </c>
      <c r="I66" s="38"/>
      <c r="J66" s="38"/>
      <c r="K66" s="38"/>
      <c r="M66" s="165" t="str">
        <f ca="1">IF(Samples[[#This Row],[Sample type]]="","",IF(Samples[[#This Row],[Sample type]]="FFPE","100","40"))</f>
        <v/>
      </c>
      <c r="N66" s="166" t="e">
        <f t="shared" ca="1" si="5"/>
        <v>#VALUE!</v>
      </c>
      <c r="O66" s="167" t="e">
        <f ca="1">MIN(Samples[[#This Row],[DNA Conc. (ng/µl )]]*17.5,N66*17.5)</f>
        <v>#VALUE!</v>
      </c>
      <c r="P66" s="157" t="str">
        <f ca="1">IF(Samples[[#This Row],[DNA '#]]="","",Samples[[#This Row],[DNA '#]])</f>
        <v/>
      </c>
      <c r="Q66" s="168" t="str">
        <f ca="1">IF(M66="","",O66/Samples[[#This Row],[DNA Conc. (ng/µl )]])</f>
        <v/>
      </c>
      <c r="R66" s="168" t="str">
        <f t="shared" ca="1" si="6"/>
        <v/>
      </c>
      <c r="S66" s="169" t="str">
        <f t="shared" ca="1" si="7"/>
        <v/>
      </c>
      <c r="T66" s="8" t="str">
        <f t="shared" ca="1" si="8"/>
        <v/>
      </c>
      <c r="U66" s="8" t="str">
        <f t="shared" ca="1" si="9"/>
        <v/>
      </c>
    </row>
    <row r="67" spans="1:21" x14ac:dyDescent="0.2">
      <c r="A67" s="161">
        <v>27</v>
      </c>
      <c r="B67" s="38" t="str">
        <f ca="1">IF(A67&lt;$Q$16, IF('Patient List'!I31="", "", CONCATENATE('Patient List'!A31, ", ", 'Patient List'!B31)), IF('NGS Run Record'!A67='NGS Run Record'!$Q$16, IF('NGS Run Record'!$I$15&lt;&gt;"OK", "", 'NGS Run Record'!$B$15), IF($J$15=0, "", OFFSET('NGS Run Record'!$B$15, MIN('NGS Run Record'!A67-'NGS Run Record'!$Q$16, $J$15), 0))))</f>
        <v/>
      </c>
      <c r="C67" s="173" t="str">
        <f ca="1">IF(A67&lt;$Q$16, IF('Patient List'!I28="", "", 'Patient List'!I28), IF('NGS Run Record'!A67='NGS Run Record'!$Q$16, IF('NGS Run Record'!$I$15&lt;&gt;"OK", "", 'NGS Run Record'!$C$15), IF($J$15=0, "", OFFSET('NGS Run Record'!$C$15, MIN(ABS('NGS Run Record'!A67-'NGS Run Record'!$Q$16), $J$15), 0))))</f>
        <v/>
      </c>
      <c r="D67" s="164">
        <f>'Patient List'!D28</f>
        <v>0</v>
      </c>
      <c r="E67" s="172" t="str">
        <f ca="1">IF(A67&lt;$Q$16, IF('Patient List'!I28="", "", 'Patient List'!N28), IF('NGS Run Record'!A67='NGS Run Record'!$Q$16, IF('NGS Run Record'!$I$15&lt;&gt;"OK", "", 'NGS Run Record'!$G$15), IF($J$15=0, "", OFFSET('NGS Run Record'!$G$15, MIN('NGS Run Record'!A67-'NGS Run Record'!$Q$16, $J$15), 0))))</f>
        <v/>
      </c>
      <c r="F67" s="174" t="str">
        <f ca="1">IF(A67&lt;$Q$16, IF('Patient List'!I28="", "", 'Patient List'!AQ28), IF('NGS Run Record'!A67='NGS Run Record'!$Q$16, IF('NGS Run Record'!$I$15&lt;&gt;"OK", "", 'NGS Run Record'!$E$15), IF($J$15=0, "", OFFSET('NGS Run Record'!$E$15, MIN('NGS Run Record'!A67-'NGS Run Record'!$Q$16, $J$15), 0))))</f>
        <v/>
      </c>
      <c r="G67" s="175" t="str">
        <f ca="1">IF(A67&lt;$Q$16, IF('Patient List'!I28="", "", 'Patient List'!AR28), IF('NGS Run Record'!A67='NGS Run Record'!$Q$16, IF('NGS Run Record'!$I$15&lt;&gt;"OK", "", 'NGS Run Record'!$F$15), IF($J$15=0, "", OFFSET('NGS Run Record'!$F$15, MIN('NGS Run Record'!A67-'NGS Run Record'!$Q$16, $J$15), 0))))</f>
        <v/>
      </c>
      <c r="H67" s="38" t="str">
        <f ca="1">IF(Samples[[#This Row],[DNA '#]]="","",Samples[[#This Row],[Column1]]&amp;"/"&amp;Samples[[#This Row],[Column2]])</f>
        <v/>
      </c>
      <c r="I67" s="38"/>
      <c r="J67" s="38"/>
      <c r="K67" s="38"/>
      <c r="M67" s="165" t="str">
        <f ca="1">IF(Samples[[#This Row],[Sample type]]="","",IF(Samples[[#This Row],[Sample type]]="FFPE","100","40"))</f>
        <v/>
      </c>
      <c r="N67" s="166" t="e">
        <f t="shared" ca="1" si="5"/>
        <v>#VALUE!</v>
      </c>
      <c r="O67" s="167" t="e">
        <f ca="1">MIN(Samples[[#This Row],[DNA Conc. (ng/µl )]]*17.5,N67*17.5)</f>
        <v>#VALUE!</v>
      </c>
      <c r="P67" s="157" t="str">
        <f ca="1">IF(Samples[[#This Row],[DNA '#]]="","",Samples[[#This Row],[DNA '#]])</f>
        <v/>
      </c>
      <c r="Q67" s="168" t="str">
        <f ca="1">IF(M67="","",O67/Samples[[#This Row],[DNA Conc. (ng/µl )]])</f>
        <v/>
      </c>
      <c r="R67" s="168" t="str">
        <f t="shared" ca="1" si="6"/>
        <v/>
      </c>
      <c r="S67" s="169" t="str">
        <f t="shared" ca="1" si="7"/>
        <v/>
      </c>
      <c r="T67" s="8" t="str">
        <f t="shared" ca="1" si="8"/>
        <v/>
      </c>
      <c r="U67" s="8" t="str">
        <f t="shared" ca="1" si="9"/>
        <v/>
      </c>
    </row>
    <row r="68" spans="1:21" x14ac:dyDescent="0.2">
      <c r="A68" s="161">
        <v>28</v>
      </c>
      <c r="B68" s="38" t="str">
        <f ca="1">IF(A68&lt;$Q$16, IF('Patient List'!I29="", "", CONCATENATE('Patient List'!A29, ", ", 'Patient List'!B29)), IF('NGS Run Record'!A68='NGS Run Record'!$Q$16, IF('NGS Run Record'!$I$15&lt;&gt;"OK", "", 'NGS Run Record'!$B$15), IF($J$15=0, "", OFFSET('NGS Run Record'!$B$15, MIN('NGS Run Record'!A68-'NGS Run Record'!$Q$16, $J$15), 0))))</f>
        <v/>
      </c>
      <c r="C68" s="173" t="str">
        <f ca="1">IF(A68&lt;$Q$16, IF('Patient List'!I29="", "", 'Patient List'!I29), IF('NGS Run Record'!A68='NGS Run Record'!$Q$16, IF('NGS Run Record'!$I$15&lt;&gt;"OK", "", 'NGS Run Record'!$C$15), IF($J$15=0, "", OFFSET('NGS Run Record'!$C$15, MIN(ABS('NGS Run Record'!A68-'NGS Run Record'!$Q$16), $J$15), 0))))</f>
        <v/>
      </c>
      <c r="D68" s="164">
        <f>'Patient List'!D29</f>
        <v>0</v>
      </c>
      <c r="E68" s="172" t="str">
        <f ca="1">IF(A68&lt;$Q$16, IF('Patient List'!I29="", "", 'Patient List'!N29), IF('NGS Run Record'!A68='NGS Run Record'!$Q$16, IF('NGS Run Record'!$I$15&lt;&gt;"OK", "", 'NGS Run Record'!$G$15), IF($J$15=0, "", OFFSET('NGS Run Record'!$G$15, MIN('NGS Run Record'!A68-'NGS Run Record'!$Q$16, $J$15), 0))))</f>
        <v/>
      </c>
      <c r="F68" s="174" t="str">
        <f ca="1">IF(A68&lt;$Q$16, IF('Patient List'!I29="", "", 'Patient List'!AQ29), IF('NGS Run Record'!A68='NGS Run Record'!$Q$16, IF('NGS Run Record'!$I$15&lt;&gt;"OK", "", 'NGS Run Record'!$E$15), IF($J$15=0, "", OFFSET('NGS Run Record'!$E$15, MIN('NGS Run Record'!A68-'NGS Run Record'!$Q$16, $J$15), 0))))</f>
        <v/>
      </c>
      <c r="G68" s="175" t="str">
        <f ca="1">IF(A68&lt;$Q$16, IF('Patient List'!I29="", "", 'Patient List'!AR29), IF('NGS Run Record'!A68='NGS Run Record'!$Q$16, IF('NGS Run Record'!$I$15&lt;&gt;"OK", "", 'NGS Run Record'!$F$15), IF($J$15=0, "", OFFSET('NGS Run Record'!$F$15, MIN('NGS Run Record'!A68-'NGS Run Record'!$Q$16, $J$15), 0))))</f>
        <v/>
      </c>
      <c r="H68" s="38" t="str">
        <f ca="1">IF(Samples[[#This Row],[DNA '#]]="","",Samples[[#This Row],[Column1]]&amp;"/"&amp;Samples[[#This Row],[Column2]])</f>
        <v/>
      </c>
      <c r="I68" s="38"/>
      <c r="J68" s="38"/>
      <c r="K68" s="38"/>
      <c r="M68" s="165" t="str">
        <f ca="1">IF(Samples[[#This Row],[Sample type]]="","",IF(Samples[[#This Row],[Sample type]]="FFPE","100","40"))</f>
        <v/>
      </c>
      <c r="N68" s="166" t="e">
        <f t="shared" ca="1" si="5"/>
        <v>#VALUE!</v>
      </c>
      <c r="O68" s="167" t="e">
        <f ca="1">MIN(Samples[[#This Row],[DNA Conc. (ng/µl )]]*17.5,N68*17.5)</f>
        <v>#VALUE!</v>
      </c>
      <c r="P68" s="157" t="str">
        <f ca="1">IF(Samples[[#This Row],[DNA '#]]="","",Samples[[#This Row],[DNA '#]])</f>
        <v/>
      </c>
      <c r="Q68" s="168" t="str">
        <f ca="1">IF(M68="","",O68/Samples[[#This Row],[DNA Conc. (ng/µl )]])</f>
        <v/>
      </c>
      <c r="R68" s="168" t="str">
        <f t="shared" ca="1" si="6"/>
        <v/>
      </c>
      <c r="S68" s="169" t="str">
        <f t="shared" ca="1" si="7"/>
        <v/>
      </c>
      <c r="T68" s="8" t="str">
        <f t="shared" ca="1" si="8"/>
        <v/>
      </c>
      <c r="U68" s="8" t="str">
        <f t="shared" ca="1" si="9"/>
        <v/>
      </c>
    </row>
    <row r="69" spans="1:21" x14ac:dyDescent="0.2">
      <c r="A69" s="161">
        <v>29</v>
      </c>
      <c r="B69" s="38" t="str">
        <f ca="1">IF(A69&lt;$Q$16, IF('Patient List'!I32="", "", CONCATENATE('Patient List'!A32, ", ", 'Patient List'!B32)), IF('NGS Run Record'!A69='NGS Run Record'!$Q$16, IF('NGS Run Record'!$I$15&lt;&gt;"OK", "", 'NGS Run Record'!$B$15), IF($J$15=0, "", OFFSET('NGS Run Record'!$B$15, MIN('NGS Run Record'!A69-'NGS Run Record'!$Q$16, $J$15), 0))))</f>
        <v/>
      </c>
      <c r="C69" s="173" t="str">
        <f ca="1">IF(A69&lt;$Q$16, IF('Patient List'!I30="", "", 'Patient List'!I30), IF('NGS Run Record'!A69='NGS Run Record'!$Q$16, IF('NGS Run Record'!$I$15&lt;&gt;"OK", "", 'NGS Run Record'!$C$15), IF($J$15=0, "", OFFSET('NGS Run Record'!$C$15, MIN(ABS('NGS Run Record'!A69-'NGS Run Record'!$Q$16), $J$15), 0))))</f>
        <v/>
      </c>
      <c r="D69" s="164">
        <f>'Patient List'!D30</f>
        <v>0</v>
      </c>
      <c r="E69" s="172" t="str">
        <f ca="1">IF(A69&lt;$Q$16, IF('Patient List'!I30="", "", 'Patient List'!N30), IF('NGS Run Record'!A69='NGS Run Record'!$Q$16, IF('NGS Run Record'!$I$15&lt;&gt;"OK", "", 'NGS Run Record'!$G$15), IF($J$15=0, "", OFFSET('NGS Run Record'!$G$15, MIN('NGS Run Record'!A69-'NGS Run Record'!$Q$16, $J$15), 0))))</f>
        <v/>
      </c>
      <c r="F69" s="174" t="str">
        <f ca="1">IF(A69&lt;$Q$16, IF('Patient List'!I30="", "", 'Patient List'!AQ30), IF('NGS Run Record'!A69='NGS Run Record'!$Q$16, IF('NGS Run Record'!$I$15&lt;&gt;"OK", "", 'NGS Run Record'!$E$15), IF($J$15=0, "", OFFSET('NGS Run Record'!$E$15, MIN('NGS Run Record'!A69-'NGS Run Record'!$Q$16, $J$15), 0))))</f>
        <v/>
      </c>
      <c r="G69" s="175" t="str">
        <f ca="1">IF(A69&lt;$Q$16, IF('Patient List'!I30="", "", 'Patient List'!AR30), IF('NGS Run Record'!A69='NGS Run Record'!$Q$16, IF('NGS Run Record'!$I$15&lt;&gt;"OK", "", 'NGS Run Record'!$F$15), IF($J$15=0, "", OFFSET('NGS Run Record'!$F$15, MIN('NGS Run Record'!A69-'NGS Run Record'!$Q$16, $J$15), 0))))</f>
        <v/>
      </c>
      <c r="H69" s="38" t="str">
        <f ca="1">IF(Samples[[#This Row],[DNA '#]]="","",Samples[[#This Row],[Column1]]&amp;"/"&amp;Samples[[#This Row],[Column2]])</f>
        <v/>
      </c>
      <c r="I69" s="38"/>
      <c r="J69" s="38"/>
      <c r="K69" s="38"/>
      <c r="M69" s="165" t="str">
        <f ca="1">IF(Samples[[#This Row],[Sample type]]="","",IF(Samples[[#This Row],[Sample type]]="FFPE","100","40"))</f>
        <v/>
      </c>
      <c r="N69" s="166" t="e">
        <f t="shared" ca="1" si="5"/>
        <v>#VALUE!</v>
      </c>
      <c r="O69" s="167" t="e">
        <f ca="1">MIN(Samples[[#This Row],[DNA Conc. (ng/µl )]]*17.5,N69*17.5)</f>
        <v>#VALUE!</v>
      </c>
      <c r="P69" s="157" t="str">
        <f ca="1">IF(Samples[[#This Row],[DNA '#]]="","",Samples[[#This Row],[DNA '#]])</f>
        <v/>
      </c>
      <c r="Q69" s="168" t="str">
        <f ca="1">IF(M69="","",O69/Samples[[#This Row],[DNA Conc. (ng/µl )]])</f>
        <v/>
      </c>
      <c r="R69" s="168" t="str">
        <f t="shared" ca="1" si="6"/>
        <v/>
      </c>
      <c r="S69" s="169" t="str">
        <f t="shared" ca="1" si="7"/>
        <v/>
      </c>
      <c r="T69" s="8" t="str">
        <f t="shared" ca="1" si="8"/>
        <v/>
      </c>
      <c r="U69" s="8" t="str">
        <f t="shared" ca="1" si="9"/>
        <v/>
      </c>
    </row>
    <row r="70" spans="1:21" x14ac:dyDescent="0.2">
      <c r="A70" s="161">
        <v>30</v>
      </c>
      <c r="B70" s="38" t="str">
        <f ca="1">IF(A70&lt;$Q$16, IF('Patient List'!I32="", "", CONCATENATE('Patient List'!A32, ", ", 'Patient List'!B32)), IF('NGS Run Record'!A70='NGS Run Record'!$Q$16, IF('NGS Run Record'!$I$15&lt;&gt;"OK", "", 'NGS Run Record'!$B$15), IF($J$15=0, "", OFFSET('NGS Run Record'!$B$15, MIN('NGS Run Record'!A70-'NGS Run Record'!$Q$16, $J$15), 0))))</f>
        <v/>
      </c>
      <c r="C70" s="173" t="str">
        <f ca="1">IF(A70&lt;$Q$16, IF('Patient List'!I31="", "", 'Patient List'!I31), IF('NGS Run Record'!A70='NGS Run Record'!$Q$16, IF('NGS Run Record'!$I$15&lt;&gt;"OK", "", 'NGS Run Record'!$C$15), IF($J$15=0, "", OFFSET('NGS Run Record'!$C$15, MIN(ABS('NGS Run Record'!A70-'NGS Run Record'!$Q$16), $J$15), 0))))</f>
        <v/>
      </c>
      <c r="D70" s="164">
        <f>'Patient List'!D31</f>
        <v>0</v>
      </c>
      <c r="E70" s="172" t="str">
        <f ca="1">IF(A70&lt;$Q$16, IF('Patient List'!I31="", "", 'Patient List'!N31), IF('NGS Run Record'!A70='NGS Run Record'!$Q$16, IF('NGS Run Record'!$I$15&lt;&gt;"OK", "", 'NGS Run Record'!$G$15), IF($J$15=0, "", OFFSET('NGS Run Record'!$G$15, MIN('NGS Run Record'!A70-'NGS Run Record'!$Q$16, $J$15), 0))))</f>
        <v/>
      </c>
      <c r="F70" s="174" t="str">
        <f ca="1">IF(A70&lt;$Q$16, IF('Patient List'!I31="", "", 'Patient List'!AQ31), IF('NGS Run Record'!A70='NGS Run Record'!$Q$16, IF('NGS Run Record'!$I$15&lt;&gt;"OK", "", 'NGS Run Record'!$E$15), IF($J$15=0, "", OFFSET('NGS Run Record'!$E$15, MIN('NGS Run Record'!A70-'NGS Run Record'!$Q$16, $J$15), 0))))</f>
        <v/>
      </c>
      <c r="G70" s="175" t="str">
        <f ca="1">IF(A70&lt;$Q$16, IF('Patient List'!I31="", "", 'Patient List'!AR31), IF('NGS Run Record'!A70='NGS Run Record'!$Q$16, IF('NGS Run Record'!$I$15&lt;&gt;"OK", "", 'NGS Run Record'!$F$15), IF($J$15=0, "", OFFSET('NGS Run Record'!$F$15, MIN('NGS Run Record'!A70-'NGS Run Record'!$Q$16, $J$15), 0))))</f>
        <v/>
      </c>
      <c r="H70" s="38" t="str">
        <f ca="1">IF(Samples[[#This Row],[DNA '#]]="","",Samples[[#This Row],[Column1]]&amp;"/"&amp;Samples[[#This Row],[Column2]])</f>
        <v/>
      </c>
      <c r="I70" s="38"/>
      <c r="J70" s="38"/>
      <c r="K70" s="38"/>
      <c r="M70" s="165" t="str">
        <f ca="1">IF(Samples[[#This Row],[Sample type]]="","",IF(Samples[[#This Row],[Sample type]]="FFPE","100","40"))</f>
        <v/>
      </c>
      <c r="N70" s="166" t="e">
        <f t="shared" ca="1" si="5"/>
        <v>#VALUE!</v>
      </c>
      <c r="O70" s="167" t="e">
        <f ca="1">MIN(Samples[[#This Row],[DNA Conc. (ng/µl )]]*17.5,N70*17.5)</f>
        <v>#VALUE!</v>
      </c>
      <c r="P70" s="157" t="str">
        <f ca="1">IF(Samples[[#This Row],[DNA '#]]="","",Samples[[#This Row],[DNA '#]])</f>
        <v/>
      </c>
      <c r="Q70" s="168" t="str">
        <f ca="1">IF(M70="","",O70/Samples[[#This Row],[DNA Conc. (ng/µl )]])</f>
        <v/>
      </c>
      <c r="R70" s="168" t="str">
        <f t="shared" ca="1" si="6"/>
        <v/>
      </c>
      <c r="S70" s="169" t="str">
        <f t="shared" ca="1" si="7"/>
        <v/>
      </c>
      <c r="T70" s="8" t="str">
        <f t="shared" ca="1" si="8"/>
        <v/>
      </c>
      <c r="U70" s="8" t="str">
        <f t="shared" ca="1" si="9"/>
        <v/>
      </c>
    </row>
    <row r="71" spans="1:21" x14ac:dyDescent="0.2">
      <c r="A71" s="161">
        <v>31</v>
      </c>
      <c r="B71" s="38" t="str">
        <f ca="1">IF(A71&lt;$Q$16, IF('Patient List'!I29="", "", CONCATENATE('Patient List'!A29, ", ", 'Patient List'!B29)), IF('NGS Run Record'!A71='NGS Run Record'!$Q$16, IF('NGS Run Record'!$I$15&lt;&gt;"OK", "", 'NGS Run Record'!$B$15), IF($J$15=0, "", OFFSET('NGS Run Record'!$B$15, MIN('NGS Run Record'!A71-'NGS Run Record'!$Q$16, $J$15), 0))))</f>
        <v/>
      </c>
      <c r="C71" s="173" t="str">
        <f ca="1">IF(A71&lt;$Q$16, IF('Patient List'!I32="", "", 'Patient List'!I32), IF('NGS Run Record'!A71='NGS Run Record'!$Q$16, IF('NGS Run Record'!$I$15&lt;&gt;"OK", "", 'NGS Run Record'!$C$15), IF($J$15=0, "", OFFSET('NGS Run Record'!$C$15, MIN(ABS('NGS Run Record'!A71-'NGS Run Record'!$Q$16), $J$15), 0))))</f>
        <v/>
      </c>
      <c r="D71" s="164">
        <f>'Patient List'!D32</f>
        <v>0</v>
      </c>
      <c r="E71" s="172" t="str">
        <f ca="1">IF(A71&lt;$Q$16, IF('Patient List'!I32="", "", 'Patient List'!N32), IF('NGS Run Record'!A71='NGS Run Record'!$Q$16, IF('NGS Run Record'!$I$15&lt;&gt;"OK", "", 'NGS Run Record'!$G$15), IF($J$15=0, "", OFFSET('NGS Run Record'!$G$15, MIN('NGS Run Record'!A71-'NGS Run Record'!$Q$16, $J$15), 0))))</f>
        <v/>
      </c>
      <c r="F71" s="174" t="str">
        <f ca="1">IF(A71&lt;$Q$16, IF('Patient List'!I32="", "", 'Patient List'!AQ32), IF('NGS Run Record'!A71='NGS Run Record'!$Q$16, IF('NGS Run Record'!$I$15&lt;&gt;"OK", "", 'NGS Run Record'!$E$15), IF($J$15=0, "", OFFSET('NGS Run Record'!$E$15, MIN('NGS Run Record'!A71-'NGS Run Record'!$Q$16, $J$15), 0))))</f>
        <v/>
      </c>
      <c r="G71" s="175" t="str">
        <f ca="1">IF(A71&lt;$Q$16, IF('Patient List'!I32="", "", 'Patient List'!AR32), IF('NGS Run Record'!A71='NGS Run Record'!$Q$16, IF('NGS Run Record'!$I$15&lt;&gt;"OK", "", 'NGS Run Record'!$F$15), IF($J$15=0, "", OFFSET('NGS Run Record'!$F$15, MIN('NGS Run Record'!A71-'NGS Run Record'!$Q$16, $J$15), 0))))</f>
        <v/>
      </c>
      <c r="H71" s="38" t="str">
        <f ca="1">IF(Samples[[#This Row],[DNA '#]]="","",Samples[[#This Row],[Column1]]&amp;"/"&amp;Samples[[#This Row],[Column2]])</f>
        <v/>
      </c>
      <c r="I71" s="38"/>
      <c r="J71" s="38"/>
      <c r="K71" s="38"/>
      <c r="M71" s="165" t="str">
        <f ca="1">IF(Samples[[#This Row],[Sample type]]="","",IF(Samples[[#This Row],[Sample type]]="FFPE","100","40"))</f>
        <v/>
      </c>
      <c r="N71" s="166" t="e">
        <f t="shared" ca="1" si="5"/>
        <v>#VALUE!</v>
      </c>
      <c r="O71" s="167" t="e">
        <f ca="1">MIN(Samples[[#This Row],[DNA Conc. (ng/µl )]]*17.5,N71*17.5)</f>
        <v>#VALUE!</v>
      </c>
      <c r="P71" s="157" t="str">
        <f ca="1">IF(Samples[[#This Row],[DNA '#]]="","",Samples[[#This Row],[DNA '#]])</f>
        <v/>
      </c>
      <c r="Q71" s="168" t="str">
        <f ca="1">IF(M71="","",O71/Samples[[#This Row],[DNA Conc. (ng/µl )]])</f>
        <v/>
      </c>
      <c r="R71" s="168" t="str">
        <f t="shared" ca="1" si="6"/>
        <v/>
      </c>
      <c r="S71" s="169" t="str">
        <f t="shared" ca="1" si="7"/>
        <v/>
      </c>
      <c r="T71" s="8" t="str">
        <f t="shared" ca="1" si="8"/>
        <v/>
      </c>
      <c r="U71" s="8" t="str">
        <f t="shared" ca="1" si="9"/>
        <v/>
      </c>
    </row>
    <row r="72" spans="1:21" x14ac:dyDescent="0.2">
      <c r="A72" s="177">
        <v>32</v>
      </c>
      <c r="B72" s="38" t="str">
        <f ca="1">IF(A72&lt;$Q$16, IF('Patient List'!I24="", "", CONCATENATE('Patient List'!A24, ", ", 'Patient List'!B24)), IF('NGS Run Record'!A72='NGS Run Record'!$Q$16, IF('NGS Run Record'!$I$15&lt;&gt;"OK", "", 'NGS Run Record'!$B$15), IF($J$15=0, "", OFFSET('NGS Run Record'!$B$15, MIN('NGS Run Record'!A72-'NGS Run Record'!$Q$16, $J$15), 0))))</f>
        <v/>
      </c>
      <c r="C72" s="173" t="str">
        <f ca="1">IF(A72&lt;$Q$16, IF('Patient List'!I33="", "", 'Patient List'!I33), IF('NGS Run Record'!A72='NGS Run Record'!$Q$16, IF('NGS Run Record'!$I$15&lt;&gt;"OK", "", 'NGS Run Record'!$C$15), IF($J$15=0, "", OFFSET('NGS Run Record'!$C$15, MIN(ABS('NGS Run Record'!A72-'NGS Run Record'!$Q$16), $J$15), 0))))</f>
        <v/>
      </c>
      <c r="D72" s="164">
        <f>'Patient List'!D33</f>
        <v>0</v>
      </c>
      <c r="E72" s="172" t="str">
        <f ca="1">IF(A72&lt;$Q$16, IF('Patient List'!I33="", "", 'Patient List'!N33), IF('NGS Run Record'!A72='NGS Run Record'!$Q$16, IF('NGS Run Record'!$I$15&lt;&gt;"OK", "", 'NGS Run Record'!$G$15), IF($J$15=0, "", OFFSET('NGS Run Record'!$G$15, MIN('NGS Run Record'!A72-'NGS Run Record'!$Q$16, $J$15), 0))))</f>
        <v/>
      </c>
      <c r="F72" s="174" t="str">
        <f ca="1">IF(A72&lt;$Q$16, IF('Patient List'!I33="", "", 'Patient List'!AQ33), IF('NGS Run Record'!A72='NGS Run Record'!$Q$16, IF('NGS Run Record'!$I$15&lt;&gt;"OK", "", 'NGS Run Record'!$E$15), IF($J$15=0, "", OFFSET('NGS Run Record'!$E$15, MIN('NGS Run Record'!A72-'NGS Run Record'!$Q$16, $J$15), 0))))</f>
        <v/>
      </c>
      <c r="G72" s="175" t="str">
        <f ca="1">IF(A72&lt;$Q$16, IF('Patient List'!I33="", "", 'Patient List'!AR33), IF('NGS Run Record'!A72='NGS Run Record'!$Q$16, IF('NGS Run Record'!$I$15&lt;&gt;"OK", "", 'NGS Run Record'!$F$15), IF($J$15=0, "", OFFSET('NGS Run Record'!$F$15, MIN('NGS Run Record'!A72-'NGS Run Record'!$Q$16, $J$15), 0))))</f>
        <v/>
      </c>
      <c r="H72" s="38" t="str">
        <f ca="1">IF(Samples[[#This Row],[DNA '#]]="","",Samples[[#This Row],[Column1]]&amp;"/"&amp;Samples[[#This Row],[Column2]])</f>
        <v/>
      </c>
      <c r="I72" s="71"/>
      <c r="J72" s="38"/>
      <c r="K72" s="38"/>
      <c r="M72" s="165" t="str">
        <f ca="1">IF(Samples[[#This Row],[Sample type]]="","",IF(Samples[[#This Row],[Sample type]]="FFPE","100","40"))</f>
        <v/>
      </c>
      <c r="N72" s="166" t="e">
        <f t="shared" ca="1" si="5"/>
        <v>#VALUE!</v>
      </c>
      <c r="O72" s="167" t="e">
        <f ca="1">MIN(Samples[[#This Row],[DNA Conc. (ng/µl )]]*17.5,N72*17.5)</f>
        <v>#VALUE!</v>
      </c>
      <c r="P72" s="157" t="str">
        <f ca="1">IF(Samples[[#This Row],[DNA '#]]="","",Samples[[#This Row],[DNA '#]])</f>
        <v/>
      </c>
      <c r="Q72" s="168" t="str">
        <f ca="1">IF(M72="","",O72/Samples[[#This Row],[DNA Conc. (ng/µl )]])</f>
        <v/>
      </c>
      <c r="R72" s="168" t="str">
        <f t="shared" ca="1" si="6"/>
        <v/>
      </c>
      <c r="S72" s="169" t="str">
        <f t="shared" ca="1" si="7"/>
        <v/>
      </c>
      <c r="T72" s="8" t="str">
        <f t="shared" ca="1" si="8"/>
        <v/>
      </c>
      <c r="U72" s="8" t="str">
        <f t="shared" ca="1" si="9"/>
        <v/>
      </c>
    </row>
    <row r="73" spans="1:21" x14ac:dyDescent="0.2">
      <c r="A73" s="161">
        <v>33</v>
      </c>
      <c r="B73" s="38" t="str">
        <f ca="1">IF(A73&lt;$Q$16, IF('Patient List'!I29="", "", CONCATENATE('Patient List'!A29, ", ", 'Patient List'!B29)), IF('NGS Run Record'!A73='NGS Run Record'!$Q$16, IF('NGS Run Record'!$I$15&lt;&gt;"OK", "", 'NGS Run Record'!$B$15), IF($J$15=0, "", OFFSET('NGS Run Record'!$B$15, MIN('NGS Run Record'!A73-'NGS Run Record'!$Q$16, $J$15), 0))))</f>
        <v/>
      </c>
      <c r="C73" s="173" t="str">
        <f ca="1">IF(A73&lt;$Q$16, IF('Patient List'!I34="", "", 'Patient List'!I34), IF('NGS Run Record'!A73='NGS Run Record'!$Q$16, IF('NGS Run Record'!$I$15&lt;&gt;"OK", "", 'NGS Run Record'!$C$15), IF($J$15=0, "", OFFSET('NGS Run Record'!$C$15, MIN(ABS('NGS Run Record'!A73-'NGS Run Record'!$Q$16), $J$15), 0))))</f>
        <v/>
      </c>
      <c r="D73" s="164">
        <f>'Patient List'!D34</f>
        <v>0</v>
      </c>
      <c r="E73" s="172" t="str">
        <f ca="1">IF(A73&lt;$Q$16, IF('Patient List'!I34="", "", 'Patient List'!N34), IF('NGS Run Record'!A73='NGS Run Record'!$Q$16, IF('NGS Run Record'!$I$15&lt;&gt;"OK", "", 'NGS Run Record'!$G$15), IF($J$15=0, "", OFFSET('NGS Run Record'!$G$15, MIN('NGS Run Record'!A73-'NGS Run Record'!$Q$16, $J$15), 0))))</f>
        <v/>
      </c>
      <c r="F73" s="174" t="str">
        <f ca="1">IF(A73&lt;$Q$16, IF('Patient List'!I34="", "", 'Patient List'!AQ34), IF('NGS Run Record'!A73='NGS Run Record'!$Q$16, IF('NGS Run Record'!$I$15&lt;&gt;"OK", "", 'NGS Run Record'!$E$15), IF($J$15=0, "", OFFSET('NGS Run Record'!$E$15, MIN('NGS Run Record'!A73-'NGS Run Record'!$Q$16, $J$15), 0))))</f>
        <v/>
      </c>
      <c r="G73" s="175" t="str">
        <f ca="1">IF(A73&lt;$Q$16, IF('Patient List'!I34="", "", 'Patient List'!AR34), IF('NGS Run Record'!A73='NGS Run Record'!$Q$16, IF('NGS Run Record'!$I$15&lt;&gt;"OK", "", 'NGS Run Record'!$F$15), IF($J$15=0, "", OFFSET('NGS Run Record'!$F$15, MIN('NGS Run Record'!A73-'NGS Run Record'!$Q$16, $J$15), 0))))</f>
        <v/>
      </c>
      <c r="H73" s="38" t="str">
        <f ca="1">IF(Samples[[#This Row],[DNA '#]]="","",Samples[[#This Row],[Column1]]&amp;"/"&amp;Samples[[#This Row],[Column2]])</f>
        <v/>
      </c>
      <c r="I73" s="38"/>
      <c r="J73" s="38"/>
      <c r="K73" s="38"/>
      <c r="M73" s="165" t="str">
        <f ca="1">IF(Samples[[#This Row],[Sample type]]="","",IF(Samples[[#This Row],[Sample type]]="FFPE","100","40"))</f>
        <v/>
      </c>
      <c r="N73" s="166" t="e">
        <f t="shared" ca="1" si="5"/>
        <v>#VALUE!</v>
      </c>
      <c r="O73" s="167" t="e">
        <f ca="1">MIN(Samples[[#This Row],[DNA Conc. (ng/µl )]]*17.5,N73*17.5)</f>
        <v>#VALUE!</v>
      </c>
      <c r="P73" s="157" t="str">
        <f ca="1">IF(Samples[[#This Row],[DNA '#]]="","",Samples[[#This Row],[DNA '#]])</f>
        <v/>
      </c>
      <c r="Q73" s="168" t="str">
        <f ca="1">IF(M73="","",O73/Samples[[#This Row],[DNA Conc. (ng/µl )]])</f>
        <v/>
      </c>
      <c r="R73" s="168" t="str">
        <f t="shared" ca="1" si="6"/>
        <v/>
      </c>
      <c r="S73" s="169" t="str">
        <f t="shared" ca="1" si="7"/>
        <v/>
      </c>
      <c r="T73" s="8" t="str">
        <f t="shared" ca="1" si="8"/>
        <v/>
      </c>
      <c r="U73" s="8" t="str">
        <f t="shared" ca="1" si="9"/>
        <v/>
      </c>
    </row>
    <row r="74" spans="1:21" x14ac:dyDescent="0.2">
      <c r="A74" s="161">
        <v>34</v>
      </c>
      <c r="B74" s="38" t="str">
        <f ca="1">IF(A74&lt;$Q$16, IF('Patient List'!I41="", "", CONCATENATE('Patient List'!A41, ", ", 'Patient List'!B41)), IF('NGS Run Record'!A74='NGS Run Record'!$Q$16, IF('NGS Run Record'!$I$15&lt;&gt;"OK", "", 'NGS Run Record'!$B$15), IF($J$15=0, "", OFFSET('NGS Run Record'!$B$15, MIN('NGS Run Record'!A74-'NGS Run Record'!$Q$16, $J$15), 0))))</f>
        <v/>
      </c>
      <c r="C74" s="173" t="str">
        <f ca="1">IF(A74&lt;$Q$16, IF('Patient List'!I35="", "", 'Patient List'!I35), IF('NGS Run Record'!A74='NGS Run Record'!$Q$16, IF('NGS Run Record'!$I$15&lt;&gt;"OK", "", 'NGS Run Record'!$C$15), IF($J$15=0, "", OFFSET('NGS Run Record'!$C$15, MIN(ABS('NGS Run Record'!A74-'NGS Run Record'!$Q$16), $J$15), 0))))</f>
        <v/>
      </c>
      <c r="D74" s="164">
        <f>'Patient List'!D35</f>
        <v>0</v>
      </c>
      <c r="E74" s="172" t="str">
        <f ca="1">IF(A74&lt;$Q$16, IF('Patient List'!I35="", "", 'Patient List'!N35), IF('NGS Run Record'!A74='NGS Run Record'!$Q$16, IF('NGS Run Record'!$I$15&lt;&gt;"OK", "", 'NGS Run Record'!$G$15), IF($J$15=0, "", OFFSET('NGS Run Record'!$G$15, MIN('NGS Run Record'!A74-'NGS Run Record'!$Q$16, $J$15), 0))))</f>
        <v/>
      </c>
      <c r="F74" s="174" t="str">
        <f ca="1">IF(A74&lt;$Q$16, IF('Patient List'!I35="", "", 'Patient List'!AQ35), IF('NGS Run Record'!A74='NGS Run Record'!$Q$16, IF('NGS Run Record'!$I$15&lt;&gt;"OK", "", 'NGS Run Record'!$E$15), IF($J$15=0, "", OFFSET('NGS Run Record'!$E$15, MIN('NGS Run Record'!A74-'NGS Run Record'!$Q$16, $J$15), 0))))</f>
        <v/>
      </c>
      <c r="G74" s="175" t="str">
        <f ca="1">IF(A74&lt;$Q$16, IF('Patient List'!I35="", "", 'Patient List'!AR35), IF('NGS Run Record'!A74='NGS Run Record'!$Q$16, IF('NGS Run Record'!$I$15&lt;&gt;"OK", "", 'NGS Run Record'!$F$15), IF($J$15=0, "", OFFSET('NGS Run Record'!$F$15, MIN('NGS Run Record'!A74-'NGS Run Record'!$Q$16, $J$15), 0))))</f>
        <v/>
      </c>
      <c r="H74" s="38" t="str">
        <f ca="1">IF(Samples[[#This Row],[DNA '#]]="","",Samples[[#This Row],[Column1]]&amp;"/"&amp;Samples[[#This Row],[Column2]])</f>
        <v/>
      </c>
      <c r="I74" s="38"/>
      <c r="J74" s="38"/>
      <c r="K74" s="38"/>
      <c r="M74" s="165" t="str">
        <f ca="1">IF(Samples[[#This Row],[Sample type]]="","",IF(Samples[[#This Row],[Sample type]]="FFPE","100","40"))</f>
        <v/>
      </c>
      <c r="N74" s="166" t="e">
        <f t="shared" ca="1" si="5"/>
        <v>#VALUE!</v>
      </c>
      <c r="O74" s="167" t="e">
        <f ca="1">MIN(Samples[[#This Row],[DNA Conc. (ng/µl )]]*17.5,N74*17.5)</f>
        <v>#VALUE!</v>
      </c>
      <c r="P74" s="157" t="str">
        <f ca="1">IF(Samples[[#This Row],[DNA '#]]="","",Samples[[#This Row],[DNA '#]])</f>
        <v/>
      </c>
      <c r="Q74" s="168" t="str">
        <f ca="1">IF(M74="","",O74/Samples[[#This Row],[DNA Conc. (ng/µl )]])</f>
        <v/>
      </c>
      <c r="R74" s="168" t="str">
        <f t="shared" ca="1" si="6"/>
        <v/>
      </c>
      <c r="S74" s="169" t="str">
        <f t="shared" ca="1" si="7"/>
        <v/>
      </c>
      <c r="T74" s="8" t="str">
        <f t="shared" ca="1" si="8"/>
        <v/>
      </c>
      <c r="U74" s="8" t="str">
        <f t="shared" ca="1" si="9"/>
        <v/>
      </c>
    </row>
    <row r="75" spans="1:21" x14ac:dyDescent="0.2">
      <c r="A75" s="161">
        <v>35</v>
      </c>
      <c r="B75" s="38" t="str">
        <f ca="1">IF(A75&lt;$Q$16, IF('Patient List'!I28="", "", CONCATENATE('Patient List'!A28, ", ", 'Patient List'!B28)), IF('NGS Run Record'!A75='NGS Run Record'!$Q$16, IF('NGS Run Record'!$I$15&lt;&gt;"OK", "", 'NGS Run Record'!$B$15), IF($J$15=0, "", OFFSET('NGS Run Record'!$B$15, MIN('NGS Run Record'!A75-'NGS Run Record'!$Q$16, $J$15), 0))))</f>
        <v/>
      </c>
      <c r="C75" s="173" t="str">
        <f ca="1">IF(A75&lt;$Q$16, IF('Patient List'!I36="", "", 'Patient List'!I36), IF('NGS Run Record'!A75='NGS Run Record'!$Q$16, IF('NGS Run Record'!$I$15&lt;&gt;"OK", "", 'NGS Run Record'!$C$15), IF($J$15=0, "", OFFSET('NGS Run Record'!$C$15, MIN(ABS('NGS Run Record'!A75-'NGS Run Record'!$Q$16), $J$15), 0))))</f>
        <v/>
      </c>
      <c r="D75" s="164">
        <f>'Patient List'!D36</f>
        <v>0</v>
      </c>
      <c r="E75" s="172" t="str">
        <f ca="1">IF(A75&lt;$Q$16, IF('Patient List'!I36="", "", 'Patient List'!N36), IF('NGS Run Record'!A75='NGS Run Record'!$Q$16, IF('NGS Run Record'!$I$15&lt;&gt;"OK", "", 'NGS Run Record'!$G$15), IF($J$15=0, "", OFFSET('NGS Run Record'!$G$15, MIN('NGS Run Record'!A75-'NGS Run Record'!$Q$16, $J$15), 0))))</f>
        <v/>
      </c>
      <c r="F75" s="174" t="str">
        <f ca="1">IF(A75&lt;$Q$16, IF('Patient List'!I36="", "", 'Patient List'!AQ36), IF('NGS Run Record'!A75='NGS Run Record'!$Q$16, IF('NGS Run Record'!$I$15&lt;&gt;"OK", "", 'NGS Run Record'!$E$15), IF($J$15=0, "", OFFSET('NGS Run Record'!$E$15, MIN('NGS Run Record'!A75-'NGS Run Record'!$Q$16, $J$15), 0))))</f>
        <v/>
      </c>
      <c r="G75" s="175" t="str">
        <f ca="1">IF(A75&lt;$Q$16, IF('Patient List'!I36="", "", 'Patient List'!AR36), IF('NGS Run Record'!A75='NGS Run Record'!$Q$16, IF('NGS Run Record'!$I$15&lt;&gt;"OK", "", 'NGS Run Record'!$F$15), IF($J$15=0, "", OFFSET('NGS Run Record'!$F$15, MIN('NGS Run Record'!A75-'NGS Run Record'!$Q$16, $J$15), 0))))</f>
        <v/>
      </c>
      <c r="H75" s="38" t="str">
        <f ca="1">IF(Samples[[#This Row],[DNA '#]]="","",Samples[[#This Row],[Column1]]&amp;"/"&amp;Samples[[#This Row],[Column2]])</f>
        <v/>
      </c>
      <c r="I75" s="38"/>
      <c r="J75" s="38"/>
      <c r="K75" s="38"/>
      <c r="M75" s="165" t="str">
        <f ca="1">IF(Samples[[#This Row],[Sample type]]="","",IF(Samples[[#This Row],[Sample type]]="FFPE","100","40"))</f>
        <v/>
      </c>
      <c r="N75" s="166" t="e">
        <f t="shared" ca="1" si="5"/>
        <v>#VALUE!</v>
      </c>
      <c r="O75" s="167" t="e">
        <f ca="1">MIN(Samples[[#This Row],[DNA Conc. (ng/µl )]]*17.5,N75*17.5)</f>
        <v>#VALUE!</v>
      </c>
      <c r="P75" s="157" t="str">
        <f ca="1">IF(Samples[[#This Row],[DNA '#]]="","",Samples[[#This Row],[DNA '#]])</f>
        <v/>
      </c>
      <c r="Q75" s="168" t="str">
        <f ca="1">IF(M75="","",O75/Samples[[#This Row],[DNA Conc. (ng/µl )]])</f>
        <v/>
      </c>
      <c r="R75" s="168" t="str">
        <f t="shared" ca="1" si="6"/>
        <v/>
      </c>
      <c r="S75" s="169" t="str">
        <f t="shared" ca="1" si="7"/>
        <v/>
      </c>
      <c r="T75" s="8" t="str">
        <f t="shared" ca="1" si="8"/>
        <v/>
      </c>
      <c r="U75" s="8" t="str">
        <f t="shared" ca="1" si="9"/>
        <v/>
      </c>
    </row>
    <row r="76" spans="1:21" x14ac:dyDescent="0.2">
      <c r="A76" s="201">
        <v>36</v>
      </c>
      <c r="B76" s="172" t="str">
        <f ca="1">IF(A76&lt;$Q$16, IF('Patient List'!I43="", "", CONCATENATE('Patient List'!A43, ", ", 'Patient List'!B43)), IF('NGS Run Record'!A76='NGS Run Record'!$Q$16, IF('NGS Run Record'!$I$15&lt;&gt;"OK", "", 'NGS Run Record'!$B$15), IF($J$15=0, "", OFFSET('NGS Run Record'!$B$15, MIN('NGS Run Record'!A76-'NGS Run Record'!$Q$16, $J$15), 0))))</f>
        <v/>
      </c>
      <c r="C76" s="173" t="str">
        <f ca="1">IF(A76&lt;$Q$16, IF('Patient List'!I37="", "", 'Patient List'!I37), IF('NGS Run Record'!A76='NGS Run Record'!$Q$16, IF('NGS Run Record'!$I$15&lt;&gt;"OK", "", 'NGS Run Record'!$C$15), IF($J$15=0, "", OFFSET('NGS Run Record'!$C$15, MIN(ABS('NGS Run Record'!A76-'NGS Run Record'!$Q$16), $J$15), 0))))</f>
        <v/>
      </c>
      <c r="D76" s="173">
        <f>'Patient List'!D37</f>
        <v>0</v>
      </c>
      <c r="E76" s="172" t="str">
        <f ca="1">IF(A76&lt;$Q$16, IF('Patient List'!I37="", "", 'Patient List'!N37), IF('NGS Run Record'!A76='NGS Run Record'!$Q$16, IF('NGS Run Record'!$I$15&lt;&gt;"OK", "", 'NGS Run Record'!$G$15), IF($J$15=0, "", OFFSET('NGS Run Record'!$G$15, MIN('NGS Run Record'!A76-'NGS Run Record'!$Q$16, $J$15), 0))))</f>
        <v/>
      </c>
      <c r="F76" s="174" t="str">
        <f ca="1">IF(A76&lt;$Q$16, IF('Patient List'!I37="", "", 'Patient List'!AQ37), IF('NGS Run Record'!A76='NGS Run Record'!$Q$16, IF('NGS Run Record'!$I$15&lt;&gt;"OK", "", 'NGS Run Record'!$E$15), IF($J$15=0, "", OFFSET('NGS Run Record'!$E$15, MIN('NGS Run Record'!A76-'NGS Run Record'!$Q$16, $J$15), 0))))</f>
        <v/>
      </c>
      <c r="G76" s="175" t="str">
        <f ca="1">IF(A76&lt;$Q$16, IF('Patient List'!I37="", "", 'Patient List'!AR37), IF('NGS Run Record'!A76='NGS Run Record'!$Q$16, IF('NGS Run Record'!$I$15&lt;&gt;"OK", "", 'NGS Run Record'!$F$15), IF($J$15=0, "", OFFSET('NGS Run Record'!$F$15, MIN('NGS Run Record'!A76-'NGS Run Record'!$Q$16, $J$15), 0))))</f>
        <v/>
      </c>
      <c r="H76" s="172" t="str">
        <f ca="1">IF(Samples[[#This Row],[DNA '#]]="","",Samples[[#This Row],[Column1]]&amp;"/"&amp;Samples[[#This Row],[Column2]])</f>
        <v/>
      </c>
      <c r="I76" s="172"/>
      <c r="J76" s="38"/>
      <c r="K76" s="38"/>
      <c r="M76" s="165" t="str">
        <f ca="1">IF(Samples[[#This Row],[Sample type]]="","",IF(Samples[[#This Row],[Sample type]]="FFPE","100","40"))</f>
        <v/>
      </c>
      <c r="N76" s="166" t="e">
        <f t="shared" ca="1" si="5"/>
        <v>#VALUE!</v>
      </c>
      <c r="O76" s="167" t="e">
        <f ca="1">MIN(Samples[[#This Row],[DNA Conc. (ng/µl )]]*17.5,N76*17.5)</f>
        <v>#VALUE!</v>
      </c>
      <c r="P76" s="157" t="str">
        <f ca="1">IF(Samples[[#This Row],[DNA '#]]="","",Samples[[#This Row],[DNA '#]])</f>
        <v/>
      </c>
      <c r="Q76" s="168" t="str">
        <f ca="1">IF(M76="","",O76/Samples[[#This Row],[DNA Conc. (ng/µl )]])</f>
        <v/>
      </c>
      <c r="R76" s="168" t="str">
        <f t="shared" ca="1" si="6"/>
        <v/>
      </c>
      <c r="S76" s="169" t="str">
        <f t="shared" ca="1" si="7"/>
        <v/>
      </c>
      <c r="T76" s="8" t="str">
        <f t="shared" ca="1" si="8"/>
        <v/>
      </c>
      <c r="U76" s="8" t="str">
        <f t="shared" ca="1" si="9"/>
        <v/>
      </c>
    </row>
    <row r="77" spans="1:21" x14ac:dyDescent="0.2">
      <c r="A77" s="202"/>
      <c r="B77" s="203" t="str">
        <f ca="1">IF(A77&lt;$Q$16, IF('Patient List'!I25="", "", CONCATENATE('Patient List'!A25, ", ", 'Patient List'!B25)), IF('NGS Run Record'!A77='NGS Run Record'!$Q$16, IF('NGS Run Record'!$I$15&lt;&gt;"OK", "", 'NGS Run Record'!$B$15), IF($J$15=0, "", OFFSET('NGS Run Record'!$B$15, MIN('NGS Run Record'!A77-'NGS Run Record'!$Q$16, $J$15), 0))))</f>
        <v/>
      </c>
      <c r="C77" s="204"/>
      <c r="D77" s="204"/>
      <c r="E77" s="203"/>
      <c r="F77" s="205"/>
      <c r="G77" s="206"/>
      <c r="H77" s="203"/>
      <c r="I77" s="207"/>
      <c r="J77" s="200"/>
      <c r="K77" s="38"/>
    </row>
    <row r="78" spans="1:21" ht="13.5" x14ac:dyDescent="0.2">
      <c r="A78" s="28"/>
      <c r="B78" s="29"/>
      <c r="C78" s="30"/>
      <c r="D78" s="30"/>
      <c r="E78" s="29"/>
      <c r="F78" s="31"/>
      <c r="G78" s="31"/>
      <c r="H78" s="29"/>
    </row>
    <row r="79" spans="1:21" ht="16.5" x14ac:dyDescent="0.2">
      <c r="A79" s="67" t="s">
        <v>30</v>
      </c>
      <c r="C79" s="67">
        <f ca="1">YEAR(TODAY())</f>
        <v>2025</v>
      </c>
      <c r="D79" s="67" t="s">
        <v>31</v>
      </c>
      <c r="E79" s="69">
        <f ca="1">COUNTA(C39:C76)-COUNTIF(C39:C76, "")</f>
        <v>10</v>
      </c>
      <c r="F79" s="70">
        <f>SUM(G88:G91)</f>
        <v>11</v>
      </c>
      <c r="K79" s="70"/>
    </row>
    <row r="80" spans="1:21" x14ac:dyDescent="0.2">
      <c r="A80" s="67" t="s">
        <v>32</v>
      </c>
      <c r="C80" s="67" t="str">
        <f ca="1">TEXT(MONTH(TODAY()), "00")</f>
        <v>01</v>
      </c>
    </row>
    <row r="82" spans="4:12" x14ac:dyDescent="0.2">
      <c r="K82" s="70"/>
    </row>
    <row r="87" spans="4:12" x14ac:dyDescent="0.2">
      <c r="L87" s="68" t="str">
        <f>IF(E89=0,"0",IF(AND(E89&gt;0,E90&gt;0),J89,K89))</f>
        <v>0</v>
      </c>
    </row>
    <row r="88" spans="4:12" x14ac:dyDescent="0.2">
      <c r="D88" s="66" t="s">
        <v>165</v>
      </c>
      <c r="E88" s="67">
        <f>COUNTIF(I41:I77,"*NGS Heme*")</f>
        <v>9</v>
      </c>
      <c r="G88" s="67">
        <f>IF(E88&gt;0,E88+2,0)</f>
        <v>11</v>
      </c>
      <c r="H88" s="67"/>
      <c r="I88" s="67"/>
      <c r="J88" s="67"/>
    </row>
    <row r="89" spans="4:12" ht="25.5" x14ac:dyDescent="0.2">
      <c r="D89" s="66" t="s">
        <v>196</v>
      </c>
      <c r="E89" s="67">
        <f>COUNTIF(I41:I77,"*NGS Common - B*")</f>
        <v>0</v>
      </c>
      <c r="G89" s="67" t="str">
        <f>L87</f>
        <v>0</v>
      </c>
      <c r="H89" s="67"/>
      <c r="I89" s="67"/>
      <c r="J89" s="67">
        <f>E89+1</f>
        <v>1</v>
      </c>
      <c r="K89" s="67">
        <f>E89+2</f>
        <v>2</v>
      </c>
    </row>
    <row r="90" spans="4:12" ht="25.5" x14ac:dyDescent="0.2">
      <c r="D90" s="66" t="s">
        <v>197</v>
      </c>
      <c r="E90" s="67">
        <f>COUNTIF(I41:I77,"*NGS Common - F*")</f>
        <v>0</v>
      </c>
      <c r="G90" s="67">
        <f>IF(E90&gt;0,E90+2,0)</f>
        <v>0</v>
      </c>
      <c r="H90" s="67"/>
      <c r="I90" s="67"/>
      <c r="J90" s="67">
        <f>E90+1</f>
        <v>1</v>
      </c>
      <c r="K90" s="67">
        <f>E90+2</f>
        <v>2</v>
      </c>
    </row>
    <row r="91" spans="4:12" x14ac:dyDescent="0.2">
      <c r="D91" s="66" t="s">
        <v>252</v>
      </c>
      <c r="E91" s="178">
        <f>COUNTIF(I41:I77,"*NGS-Comp*")</f>
        <v>0</v>
      </c>
      <c r="G91" s="67">
        <f>IF(E91&gt;0,E91+2,0)</f>
        <v>0</v>
      </c>
    </row>
  </sheetData>
  <sheetProtection selectLockedCells="1"/>
  <dataConsolidate/>
  <mergeCells count="2">
    <mergeCell ref="A1:G1"/>
    <mergeCell ref="C27:D27"/>
  </mergeCells>
  <conditionalFormatting sqref="Q41:Q76">
    <cfRule type="cellIs" dxfId="366" priority="1" operator="lessThan">
      <formula>1</formula>
    </cfRule>
  </conditionalFormatting>
  <dataValidations count="7">
    <dataValidation type="list" allowBlank="1" showInputMessage="1" showErrorMessage="1" sqref="B10 B6 B23" xr:uid="{00000000-0002-0000-0200-000000000000}">
      <formula1>"Min Yang, Leesa Rorstrom, Sarah Schmitt, Ziyan Pessetto, Stephen Hyter"</formula1>
    </dataValidation>
    <dataValidation type="list" allowBlank="1" showInputMessage="1" showErrorMessage="1" sqref="G15:G22 G24" xr:uid="{00000000-0002-0000-0200-000001000000}">
      <formula1>"FFPE, Blood/BM, Cell Line"</formula1>
    </dataValidation>
    <dataValidation type="list" allowBlank="1" showInputMessage="1" showErrorMessage="1" sqref="C24" xr:uid="{00000000-0002-0000-0200-000002000000}">
      <formula1>"a, b, c, d, e, f"</formula1>
    </dataValidation>
    <dataValidation type="list" allowBlank="1" showInputMessage="1" showErrorMessage="1" sqref="E4" xr:uid="{00000000-0002-0000-0200-000005000000}">
      <formula1>"Chunhua Li,Stephen Hyter,Sarah Schmitt, Megan Neill"</formula1>
    </dataValidation>
    <dataValidation type="list" allowBlank="1" showInputMessage="1" showErrorMessage="1" sqref="I39:I77" xr:uid="{00000000-0002-0000-0200-000006000000}">
      <formula1>"NGS Heme,NGS Common - B,NGS Common - F,NGS-Comp"</formula1>
    </dataValidation>
    <dataValidation type="list" allowBlank="1" showInputMessage="1" showErrorMessage="1" sqref="J39:J76" xr:uid="{00000000-0002-0000-0200-000003000000}">
      <formula1>"N701,N702,N703,N704,N705,N706,N707,N710,N711,N712,N714,N715"</formula1>
    </dataValidation>
    <dataValidation type="list" allowBlank="1" showInputMessage="1" showErrorMessage="1" sqref="K39:K76" xr:uid="{00000000-0002-0000-0200-000004000000}">
      <formula1>"S502,S503,S505,S506,S507,S508,S510,S511"</formula1>
    </dataValidation>
  </dataValidations>
  <hyperlinks>
    <hyperlink ref="A1" location="'Patient List'!A2" display="Step 1: Enter Patient List from the Sample Receipt Log on the Patient List Tab (click to enter)" xr:uid="{00000000-0004-0000-0200-000000000000}"/>
  </hyperlinks>
  <pageMargins left="0.7" right="0.7" top="0.75" bottom="0.75" header="0.3" footer="0.3"/>
  <pageSetup orientation="portrait" r:id="rId1"/>
  <ignoredErrors>
    <ignoredError sqref="N41:N4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teRecord">
                <anchor moveWithCells="1" sizeWithCells="1">
                  <from>
                    <xdr:col>11</xdr:col>
                    <xdr:colOff>133350</xdr:colOff>
                    <xdr:row>36</xdr:row>
                    <xdr:rowOff>66675</xdr:rowOff>
                  </from>
                  <to>
                    <xdr:col>22</xdr:col>
                    <xdr:colOff>142875</xdr:colOff>
                    <xdr:row>37</xdr:row>
                    <xdr:rowOff>438150</xdr:rowOff>
                  </to>
                </anchor>
              </controlPr>
            </control>
          </mc:Choice>
        </mc:AlternateContent>
        <mc:AlternateContent xmlns:mc="http://schemas.openxmlformats.org/markup-compatibility/2006">
          <mc:Choice Requires="x14">
            <control shapeId="2051" r:id="rId5" name="Button 3">
              <controlPr defaultSize="0" print="0" autoFill="0" autoPict="0" macro="[0]!SelectTemplateFile">
                <anchor moveWithCells="1" sizeWithCells="1">
                  <from>
                    <xdr:col>0</xdr:col>
                    <xdr:colOff>304800</xdr:colOff>
                    <xdr:row>7</xdr:row>
                    <xdr:rowOff>66675</xdr:rowOff>
                  </from>
                  <to>
                    <xdr:col>5</xdr:col>
                    <xdr:colOff>0</xdr:colOff>
                    <xdr:row>7</xdr:row>
                    <xdr:rowOff>257175</xdr:rowOff>
                  </to>
                </anchor>
              </controlPr>
            </control>
          </mc:Choice>
        </mc:AlternateContent>
        <mc:AlternateContent xmlns:mc="http://schemas.openxmlformats.org/markup-compatibility/2006">
          <mc:Choice Requires="x14">
            <control shapeId="2052" r:id="rId6" name="Button 4">
              <controlPr defaultSize="0" print="0" autoFill="0" autoPict="0" macro="[0]!SelectSaveFolder">
                <anchor moveWithCells="1" sizeWithCells="1">
                  <from>
                    <xdr:col>0</xdr:col>
                    <xdr:colOff>304800</xdr:colOff>
                    <xdr:row>10</xdr:row>
                    <xdr:rowOff>95250</xdr:rowOff>
                  </from>
                  <to>
                    <xdr:col>5</xdr:col>
                    <xdr:colOff>0</xdr:colOff>
                    <xdr:row>10</xdr:row>
                    <xdr:rowOff>266700</xdr:rowOff>
                  </to>
                </anchor>
              </controlPr>
            </control>
          </mc:Choice>
        </mc:AlternateContent>
        <mc:AlternateContent xmlns:mc="http://schemas.openxmlformats.org/markup-compatibility/2006">
          <mc:Choice Requires="x14">
            <control shapeId="2058" r:id="rId7" name="Button 10">
              <controlPr defaultSize="0" print="0" autoFill="0" autoPict="0" macro="[0]!_xludf.split">
                <anchor moveWithCells="1" sizeWithCells="1">
                  <from>
                    <xdr:col>0</xdr:col>
                    <xdr:colOff>714375</xdr:colOff>
                    <xdr:row>29</xdr:row>
                    <xdr:rowOff>57150</xdr:rowOff>
                  </from>
                  <to>
                    <xdr:col>4</xdr:col>
                    <xdr:colOff>133350</xdr:colOff>
                    <xdr:row>31</xdr:row>
                    <xdr:rowOff>0</xdr:rowOff>
                  </to>
                </anchor>
              </controlPr>
            </control>
          </mc:Choice>
        </mc:AlternateContent>
        <mc:AlternateContent xmlns:mc="http://schemas.openxmlformats.org/markup-compatibility/2006">
          <mc:Choice Requires="x14">
            <control shapeId="2060" r:id="rId8" name="Button 12">
              <controlPr defaultSize="0" print="0" autoFill="0" autoPict="0" macro="[0]!HideRows">
                <anchor moveWithCells="1" sizeWithCells="1">
                  <from>
                    <xdr:col>11</xdr:col>
                    <xdr:colOff>304800</xdr:colOff>
                    <xdr:row>40</xdr:row>
                    <xdr:rowOff>28575</xdr:rowOff>
                  </from>
                  <to>
                    <xdr:col>22</xdr:col>
                    <xdr:colOff>361950</xdr:colOff>
                    <xdr:row>43</xdr:row>
                    <xdr:rowOff>123825</xdr:rowOff>
                  </to>
                </anchor>
              </controlPr>
            </control>
          </mc:Choice>
        </mc:AlternateContent>
        <mc:AlternateContent xmlns:mc="http://schemas.openxmlformats.org/markup-compatibility/2006">
          <mc:Choice Requires="x14">
            <control shapeId="2061" r:id="rId9" name="Button 13">
              <controlPr defaultSize="0" print="0" autoFill="0" autoPict="0" macro="[0]!UnhideRows">
                <anchor moveWithCells="1" sizeWithCells="1">
                  <from>
                    <xdr:col>23</xdr:col>
                    <xdr:colOff>371475</xdr:colOff>
                    <xdr:row>40</xdr:row>
                    <xdr:rowOff>9525</xdr:rowOff>
                  </from>
                  <to>
                    <xdr:col>26</xdr:col>
                    <xdr:colOff>104775</xdr:colOff>
                    <xdr:row>44</xdr:row>
                    <xdr:rowOff>9525</xdr:rowOff>
                  </to>
                </anchor>
              </controlPr>
            </control>
          </mc:Choice>
        </mc:AlternateContent>
      </controls>
    </mc:Choice>
  </mc:AlternateContent>
  <tableParts count="1">
    <tablePart r:id="rId10"/>
  </tableParts>
  <extLst>
    <ext xmlns:x14="http://schemas.microsoft.com/office/spreadsheetml/2009/9/main" uri="{78C0D931-6437-407d-A8EE-F0AAD7539E65}">
      <x14:conditionalFormattings>
        <x14:conditionalFormatting xmlns:xm="http://schemas.microsoft.com/office/excel/2006/main">
          <x14:cfRule type="expression" priority="295" stopIfTrue="1" id="{369019BE-823E-4FC4-8CFB-067043CE3658}">
            <xm:f>'Patient List'!$J2="Brown"</xm:f>
            <x14:dxf>
              <font>
                <color theme="0"/>
              </font>
              <fill>
                <patternFill>
                  <bgColor rgb="FF663300"/>
                </patternFill>
              </fill>
            </x14:dxf>
          </x14:cfRule>
          <x14:cfRule type="expression" priority="296" stopIfTrue="1" id="{82636743-BB3E-4A89-B38D-19AE1E245652}">
            <xm:f>'Patient List'!$J2="Orange"</xm:f>
            <x14:dxf>
              <font>
                <color theme="0"/>
              </font>
              <fill>
                <patternFill>
                  <bgColor theme="9" tint="-0.24994659260841701"/>
                </patternFill>
              </fill>
            </x14:dxf>
          </x14:cfRule>
          <x14:cfRule type="expression" priority="297" stopIfTrue="1" id="{ED20730E-87B5-4682-9362-1E3780B4CFF5}">
            <xm:f>'Patient List'!$J2="Yellow"</xm:f>
            <x14:dxf>
              <fill>
                <patternFill>
                  <bgColor rgb="FFFFFF00"/>
                </patternFill>
              </fill>
            </x14:dxf>
          </x14:cfRule>
          <x14:cfRule type="expression" priority="298" stopIfTrue="1" id="{536BBF8E-4144-4CE2-83EB-191AAC2AAE7A}">
            <xm:f>'Patient List'!$J2="Purple"</xm:f>
            <x14:dxf>
              <font>
                <color theme="0"/>
              </font>
              <fill>
                <patternFill>
                  <bgColor rgb="FF7030A0"/>
                </patternFill>
              </fill>
            </x14:dxf>
          </x14:cfRule>
          <x14:cfRule type="expression" priority="299" stopIfTrue="1" id="{305AE655-BEE9-42C2-8C7B-A22313A5794A}">
            <xm:f>'Patient List'!$J2="Black"</xm:f>
            <x14:dxf>
              <font>
                <color theme="0"/>
              </font>
              <fill>
                <patternFill>
                  <bgColor theme="1"/>
                </patternFill>
              </fill>
            </x14:dxf>
          </x14:cfRule>
          <x14:cfRule type="expression" priority="300" stopIfTrue="1" id="{BAF83B05-FECE-405A-9CCB-3D53F11BEE75}">
            <xm:f>'Patient List'!$J2="Green"</xm:f>
            <x14:dxf>
              <font>
                <color theme="0"/>
              </font>
              <fill>
                <patternFill>
                  <bgColor rgb="FF00B050"/>
                </patternFill>
              </fill>
            </x14:dxf>
          </x14:cfRule>
          <x14:cfRule type="expression" priority="301" stopIfTrue="1" id="{D4FFA436-E592-4900-B1C0-45415E7B6E08}">
            <xm:f>'Patient List'!$J2="Blue"</xm:f>
            <x14:dxf>
              <font>
                <color theme="0"/>
              </font>
              <fill>
                <patternFill>
                  <bgColor rgb="FF0070C0"/>
                </patternFill>
              </fill>
            </x14:dxf>
          </x14:cfRule>
          <x14:cfRule type="expression" priority="302" stopIfTrue="1" id="{A7EE4D5C-2305-4437-A4A2-E6864E5995BC}">
            <xm:f>'Patient List'!$J2="Red"</xm:f>
            <x14:dxf>
              <font>
                <color theme="0"/>
              </font>
              <fill>
                <patternFill>
                  <bgColor rgb="FFFF0000"/>
                </patternFill>
              </fill>
            </x14:dxf>
          </x14:cfRule>
          <xm:sqref>A41:A67</xm:sqref>
        </x14:conditionalFormatting>
        <x14:conditionalFormatting xmlns:xm="http://schemas.microsoft.com/office/excel/2006/main">
          <x14:cfRule type="expression" priority="311" stopIfTrue="1" id="{369019BE-823E-4FC4-8CFB-067043CE3658}">
            <xm:f>'Patient List'!$J25="Brown"</xm:f>
            <x14:dxf>
              <font>
                <color theme="0"/>
              </font>
              <fill>
                <patternFill>
                  <bgColor rgb="FF663300"/>
                </patternFill>
              </fill>
            </x14:dxf>
          </x14:cfRule>
          <x14:cfRule type="expression" priority="312" stopIfTrue="1" id="{82636743-BB3E-4A89-B38D-19AE1E245652}">
            <xm:f>'Patient List'!$J25="Orange"</xm:f>
            <x14:dxf>
              <font>
                <color theme="0"/>
              </font>
              <fill>
                <patternFill>
                  <bgColor theme="9" tint="-0.24994659260841701"/>
                </patternFill>
              </fill>
            </x14:dxf>
          </x14:cfRule>
          <x14:cfRule type="expression" priority="313" stopIfTrue="1" id="{ED20730E-87B5-4682-9362-1E3780B4CFF5}">
            <xm:f>'Patient List'!$J25="Yellow"</xm:f>
            <x14:dxf>
              <fill>
                <patternFill>
                  <bgColor rgb="FFFFFF00"/>
                </patternFill>
              </fill>
            </x14:dxf>
          </x14:cfRule>
          <x14:cfRule type="expression" priority="314" stopIfTrue="1" id="{536BBF8E-4144-4CE2-83EB-191AAC2AAE7A}">
            <xm:f>'Patient List'!$J25="Purple"</xm:f>
            <x14:dxf>
              <font>
                <color theme="0"/>
              </font>
              <fill>
                <patternFill>
                  <bgColor rgb="FF7030A0"/>
                </patternFill>
              </fill>
            </x14:dxf>
          </x14:cfRule>
          <x14:cfRule type="expression" priority="315" stopIfTrue="1" id="{305AE655-BEE9-42C2-8C7B-A22313A5794A}">
            <xm:f>'Patient List'!$J25="Black"</xm:f>
            <x14:dxf>
              <font>
                <color theme="0"/>
              </font>
              <fill>
                <patternFill>
                  <bgColor theme="1"/>
                </patternFill>
              </fill>
            </x14:dxf>
          </x14:cfRule>
          <x14:cfRule type="expression" priority="316" stopIfTrue="1" id="{BAF83B05-FECE-405A-9CCB-3D53F11BEE75}">
            <xm:f>'Patient List'!$J25="Green"</xm:f>
            <x14:dxf>
              <font>
                <color theme="0"/>
              </font>
              <fill>
                <patternFill>
                  <bgColor rgb="FF00B050"/>
                </patternFill>
              </fill>
            </x14:dxf>
          </x14:cfRule>
          <x14:cfRule type="expression" priority="317" stopIfTrue="1" id="{D4FFA436-E592-4900-B1C0-45415E7B6E08}">
            <xm:f>'Patient List'!$J25="Blue"</xm:f>
            <x14:dxf>
              <font>
                <color theme="0"/>
              </font>
              <fill>
                <patternFill>
                  <bgColor rgb="FF0070C0"/>
                </patternFill>
              </fill>
            </x14:dxf>
          </x14:cfRule>
          <x14:cfRule type="expression" priority="318" stopIfTrue="1" id="{A7EE4D5C-2305-4437-A4A2-E6864E5995BC}">
            <xm:f>'Patient List'!$J25="Red"</xm:f>
            <x14:dxf>
              <font>
                <color theme="0"/>
              </font>
              <fill>
                <patternFill>
                  <bgColor rgb="FFFF0000"/>
                </patternFill>
              </fill>
            </x14:dxf>
          </x14:cfRule>
          <xm:sqref>A77:A78</xm:sqref>
        </x14:conditionalFormatting>
        <x14:conditionalFormatting xmlns:xm="http://schemas.microsoft.com/office/excel/2006/main">
          <x14:cfRule type="expression" priority="327" stopIfTrue="1" id="{369019BE-823E-4FC4-8CFB-067043CE3658}">
            <xm:f>'Patient List'!$J25="Brown"</xm:f>
            <x14:dxf>
              <font>
                <color theme="0"/>
              </font>
              <fill>
                <patternFill>
                  <bgColor rgb="FF663300"/>
                </patternFill>
              </fill>
            </x14:dxf>
          </x14:cfRule>
          <x14:cfRule type="expression" priority="328" stopIfTrue="1" id="{82636743-BB3E-4A89-B38D-19AE1E245652}">
            <xm:f>'Patient List'!$J25="Orange"</xm:f>
            <x14:dxf>
              <font>
                <color theme="0"/>
              </font>
              <fill>
                <patternFill>
                  <bgColor theme="9" tint="-0.24994659260841701"/>
                </patternFill>
              </fill>
            </x14:dxf>
          </x14:cfRule>
          <x14:cfRule type="expression" priority="329" stopIfTrue="1" id="{ED20730E-87B5-4682-9362-1E3780B4CFF5}">
            <xm:f>'Patient List'!$J25="Yellow"</xm:f>
            <x14:dxf>
              <fill>
                <patternFill>
                  <bgColor rgb="FFFFFF00"/>
                </patternFill>
              </fill>
            </x14:dxf>
          </x14:cfRule>
          <x14:cfRule type="expression" priority="330" stopIfTrue="1" id="{536BBF8E-4144-4CE2-83EB-191AAC2AAE7A}">
            <xm:f>'Patient List'!$J25="Purple"</xm:f>
            <x14:dxf>
              <font>
                <color theme="0"/>
              </font>
              <fill>
                <patternFill>
                  <bgColor rgb="FF7030A0"/>
                </patternFill>
              </fill>
            </x14:dxf>
          </x14:cfRule>
          <x14:cfRule type="expression" priority="331" stopIfTrue="1" id="{305AE655-BEE9-42C2-8C7B-A22313A5794A}">
            <xm:f>'Patient List'!$J25="Black"</xm:f>
            <x14:dxf>
              <font>
                <color theme="0"/>
              </font>
              <fill>
                <patternFill>
                  <bgColor theme="1"/>
                </patternFill>
              </fill>
            </x14:dxf>
          </x14:cfRule>
          <x14:cfRule type="expression" priority="332" stopIfTrue="1" id="{BAF83B05-FECE-405A-9CCB-3D53F11BEE75}">
            <xm:f>'Patient List'!$J25="Green"</xm:f>
            <x14:dxf>
              <font>
                <color theme="0"/>
              </font>
              <fill>
                <patternFill>
                  <bgColor rgb="FF00B050"/>
                </patternFill>
              </fill>
            </x14:dxf>
          </x14:cfRule>
          <x14:cfRule type="expression" priority="333" stopIfTrue="1" id="{D4FFA436-E592-4900-B1C0-45415E7B6E08}">
            <xm:f>'Patient List'!$J25="Blue"</xm:f>
            <x14:dxf>
              <font>
                <color theme="0"/>
              </font>
              <fill>
                <patternFill>
                  <bgColor rgb="FF0070C0"/>
                </patternFill>
              </fill>
            </x14:dxf>
          </x14:cfRule>
          <x14:cfRule type="expression" priority="334" stopIfTrue="1" id="{A7EE4D5C-2305-4437-A4A2-E6864E5995BC}">
            <xm:f>'Patient List'!$J25="Red"</xm:f>
            <x14:dxf>
              <font>
                <color theme="0"/>
              </font>
              <fill>
                <patternFill>
                  <bgColor rgb="FFFF0000"/>
                </patternFill>
              </fill>
            </x14:dxf>
          </x14:cfRule>
          <xm:sqref>A75:A76</xm:sqref>
        </x14:conditionalFormatting>
        <x14:conditionalFormatting xmlns:xm="http://schemas.microsoft.com/office/excel/2006/main">
          <x14:cfRule type="expression" priority="343" stopIfTrue="1" id="{369019BE-823E-4FC4-8CFB-067043CE3658}">
            <xm:f>'Patient List'!$J24="Brown"</xm:f>
            <x14:dxf>
              <font>
                <color theme="0"/>
              </font>
              <fill>
                <patternFill>
                  <bgColor rgb="FF663300"/>
                </patternFill>
              </fill>
            </x14:dxf>
          </x14:cfRule>
          <x14:cfRule type="expression" priority="344" stopIfTrue="1" id="{82636743-BB3E-4A89-B38D-19AE1E245652}">
            <xm:f>'Patient List'!$J24="Orange"</xm:f>
            <x14:dxf>
              <font>
                <color theme="0"/>
              </font>
              <fill>
                <patternFill>
                  <bgColor theme="9" tint="-0.24994659260841701"/>
                </patternFill>
              </fill>
            </x14:dxf>
          </x14:cfRule>
          <x14:cfRule type="expression" priority="345" stopIfTrue="1" id="{ED20730E-87B5-4682-9362-1E3780B4CFF5}">
            <xm:f>'Patient List'!$J24="Yellow"</xm:f>
            <x14:dxf>
              <fill>
                <patternFill>
                  <bgColor rgb="FFFFFF00"/>
                </patternFill>
              </fill>
            </x14:dxf>
          </x14:cfRule>
          <x14:cfRule type="expression" priority="346" stopIfTrue="1" id="{536BBF8E-4144-4CE2-83EB-191AAC2AAE7A}">
            <xm:f>'Patient List'!$J24="Purple"</xm:f>
            <x14:dxf>
              <font>
                <color theme="0"/>
              </font>
              <fill>
                <patternFill>
                  <bgColor rgb="FF7030A0"/>
                </patternFill>
              </fill>
            </x14:dxf>
          </x14:cfRule>
          <x14:cfRule type="expression" priority="347" stopIfTrue="1" id="{305AE655-BEE9-42C2-8C7B-A22313A5794A}">
            <xm:f>'Patient List'!$J24="Black"</xm:f>
            <x14:dxf>
              <font>
                <color theme="0"/>
              </font>
              <fill>
                <patternFill>
                  <bgColor theme="1"/>
                </patternFill>
              </fill>
            </x14:dxf>
          </x14:cfRule>
          <x14:cfRule type="expression" priority="348" stopIfTrue="1" id="{BAF83B05-FECE-405A-9CCB-3D53F11BEE75}">
            <xm:f>'Patient List'!$J24="Green"</xm:f>
            <x14:dxf>
              <font>
                <color theme="0"/>
              </font>
              <fill>
                <patternFill>
                  <bgColor rgb="FF00B050"/>
                </patternFill>
              </fill>
            </x14:dxf>
          </x14:cfRule>
          <x14:cfRule type="expression" priority="349" stopIfTrue="1" id="{D4FFA436-E592-4900-B1C0-45415E7B6E08}">
            <xm:f>'Patient List'!$J24="Blue"</xm:f>
            <x14:dxf>
              <font>
                <color theme="0"/>
              </font>
              <fill>
                <patternFill>
                  <bgColor rgb="FF0070C0"/>
                </patternFill>
              </fill>
            </x14:dxf>
          </x14:cfRule>
          <x14:cfRule type="expression" priority="350" stopIfTrue="1" id="{A7EE4D5C-2305-4437-A4A2-E6864E5995BC}">
            <xm:f>'Patient List'!$J24="Red"</xm:f>
            <x14:dxf>
              <font>
                <color theme="0"/>
              </font>
              <fill>
                <patternFill>
                  <bgColor rgb="FFFF0000"/>
                </patternFill>
              </fill>
            </x14:dxf>
          </x14:cfRule>
          <xm:sqref>A72:A74</xm:sqref>
        </x14:conditionalFormatting>
        <x14:conditionalFormatting xmlns:xm="http://schemas.microsoft.com/office/excel/2006/main">
          <x14:cfRule type="expression" priority="359" stopIfTrue="1" id="{369019BE-823E-4FC4-8CFB-067043CE3658}">
            <xm:f>'Patient List'!$J25="Brown"</xm:f>
            <x14:dxf>
              <font>
                <color theme="0"/>
              </font>
              <fill>
                <patternFill>
                  <bgColor rgb="FF663300"/>
                </patternFill>
              </fill>
            </x14:dxf>
          </x14:cfRule>
          <x14:cfRule type="expression" priority="360" stopIfTrue="1" id="{82636743-BB3E-4A89-B38D-19AE1E245652}">
            <xm:f>'Patient List'!$J25="Orange"</xm:f>
            <x14:dxf>
              <font>
                <color theme="0"/>
              </font>
              <fill>
                <patternFill>
                  <bgColor theme="9" tint="-0.24994659260841701"/>
                </patternFill>
              </fill>
            </x14:dxf>
          </x14:cfRule>
          <x14:cfRule type="expression" priority="361" stopIfTrue="1" id="{ED20730E-87B5-4682-9362-1E3780B4CFF5}">
            <xm:f>'Patient List'!$J25="Yellow"</xm:f>
            <x14:dxf>
              <fill>
                <patternFill>
                  <bgColor rgb="FFFFFF00"/>
                </patternFill>
              </fill>
            </x14:dxf>
          </x14:cfRule>
          <x14:cfRule type="expression" priority="362" stopIfTrue="1" id="{536BBF8E-4144-4CE2-83EB-191AAC2AAE7A}">
            <xm:f>'Patient List'!$J25="Purple"</xm:f>
            <x14:dxf>
              <font>
                <color theme="0"/>
              </font>
              <fill>
                <patternFill>
                  <bgColor rgb="FF7030A0"/>
                </patternFill>
              </fill>
            </x14:dxf>
          </x14:cfRule>
          <x14:cfRule type="expression" priority="363" stopIfTrue="1" id="{305AE655-BEE9-42C2-8C7B-A22313A5794A}">
            <xm:f>'Patient List'!$J25="Black"</xm:f>
            <x14:dxf>
              <font>
                <color theme="0"/>
              </font>
              <fill>
                <patternFill>
                  <bgColor theme="1"/>
                </patternFill>
              </fill>
            </x14:dxf>
          </x14:cfRule>
          <x14:cfRule type="expression" priority="364" stopIfTrue="1" id="{BAF83B05-FECE-405A-9CCB-3D53F11BEE75}">
            <xm:f>'Patient List'!$J25="Green"</xm:f>
            <x14:dxf>
              <font>
                <color theme="0"/>
              </font>
              <fill>
                <patternFill>
                  <bgColor rgb="FF00B050"/>
                </patternFill>
              </fill>
            </x14:dxf>
          </x14:cfRule>
          <x14:cfRule type="expression" priority="365" stopIfTrue="1" id="{D4FFA436-E592-4900-B1C0-45415E7B6E08}">
            <xm:f>'Patient List'!$J25="Blue"</xm:f>
            <x14:dxf>
              <font>
                <color theme="0"/>
              </font>
              <fill>
                <patternFill>
                  <bgColor rgb="FF0070C0"/>
                </patternFill>
              </fill>
            </x14:dxf>
          </x14:cfRule>
          <x14:cfRule type="expression" priority="366" stopIfTrue="1" id="{A7EE4D5C-2305-4437-A4A2-E6864E5995BC}">
            <xm:f>'Patient List'!$J25="Red"</xm:f>
            <x14:dxf>
              <font>
                <color theme="0"/>
              </font>
              <fill>
                <patternFill>
                  <bgColor rgb="FFFF0000"/>
                </patternFill>
              </fill>
            </x14:dxf>
          </x14:cfRule>
          <xm:sqref>A71</xm:sqref>
        </x14:conditionalFormatting>
        <x14:conditionalFormatting xmlns:xm="http://schemas.microsoft.com/office/excel/2006/main">
          <x14:cfRule type="expression" priority="375" stopIfTrue="1" id="{369019BE-823E-4FC4-8CFB-067043CE3658}">
            <xm:f>'Patient List'!$J25="Brown"</xm:f>
            <x14:dxf>
              <font>
                <color theme="0"/>
              </font>
              <fill>
                <patternFill>
                  <bgColor rgb="FF663300"/>
                </patternFill>
              </fill>
            </x14:dxf>
          </x14:cfRule>
          <x14:cfRule type="expression" priority="376" stopIfTrue="1" id="{82636743-BB3E-4A89-B38D-19AE1E245652}">
            <xm:f>'Patient List'!$J25="Orange"</xm:f>
            <x14:dxf>
              <font>
                <color theme="0"/>
              </font>
              <fill>
                <patternFill>
                  <bgColor theme="9" tint="-0.24994659260841701"/>
                </patternFill>
              </fill>
            </x14:dxf>
          </x14:cfRule>
          <x14:cfRule type="expression" priority="377" stopIfTrue="1" id="{ED20730E-87B5-4682-9362-1E3780B4CFF5}">
            <xm:f>'Patient List'!$J25="Yellow"</xm:f>
            <x14:dxf>
              <fill>
                <patternFill>
                  <bgColor rgb="FFFFFF00"/>
                </patternFill>
              </fill>
            </x14:dxf>
          </x14:cfRule>
          <x14:cfRule type="expression" priority="378" stopIfTrue="1" id="{536BBF8E-4144-4CE2-83EB-191AAC2AAE7A}">
            <xm:f>'Patient List'!$J25="Purple"</xm:f>
            <x14:dxf>
              <font>
                <color theme="0"/>
              </font>
              <fill>
                <patternFill>
                  <bgColor rgb="FF7030A0"/>
                </patternFill>
              </fill>
            </x14:dxf>
          </x14:cfRule>
          <x14:cfRule type="expression" priority="379" stopIfTrue="1" id="{305AE655-BEE9-42C2-8C7B-A22313A5794A}">
            <xm:f>'Patient List'!$J25="Black"</xm:f>
            <x14:dxf>
              <font>
                <color theme="0"/>
              </font>
              <fill>
                <patternFill>
                  <bgColor theme="1"/>
                </patternFill>
              </fill>
            </x14:dxf>
          </x14:cfRule>
          <x14:cfRule type="expression" priority="380" stopIfTrue="1" id="{BAF83B05-FECE-405A-9CCB-3D53F11BEE75}">
            <xm:f>'Patient List'!$J25="Green"</xm:f>
            <x14:dxf>
              <font>
                <color theme="0"/>
              </font>
              <fill>
                <patternFill>
                  <bgColor rgb="FF00B050"/>
                </patternFill>
              </fill>
            </x14:dxf>
          </x14:cfRule>
          <x14:cfRule type="expression" priority="381" stopIfTrue="1" id="{D4FFA436-E592-4900-B1C0-45415E7B6E08}">
            <xm:f>'Patient List'!$J25="Blue"</xm:f>
            <x14:dxf>
              <font>
                <color theme="0"/>
              </font>
              <fill>
                <patternFill>
                  <bgColor rgb="FF0070C0"/>
                </patternFill>
              </fill>
            </x14:dxf>
          </x14:cfRule>
          <x14:cfRule type="expression" priority="382" stopIfTrue="1" id="{A7EE4D5C-2305-4437-A4A2-E6864E5995BC}">
            <xm:f>'Patient List'!$J25="Red"</xm:f>
            <x14:dxf>
              <font>
                <color theme="0"/>
              </font>
              <fill>
                <patternFill>
                  <bgColor rgb="FFFF0000"/>
                </patternFill>
              </fill>
            </x14:dxf>
          </x14:cfRule>
          <xm:sqref>A68:A69</xm:sqref>
        </x14:conditionalFormatting>
        <x14:conditionalFormatting xmlns:xm="http://schemas.microsoft.com/office/excel/2006/main">
          <x14:cfRule type="expression" priority="415" stopIfTrue="1" id="{369019BE-823E-4FC4-8CFB-067043CE3658}">
            <xm:f>'Patient List'!$J26="Brown"</xm:f>
            <x14:dxf>
              <font>
                <color theme="0"/>
              </font>
              <fill>
                <patternFill>
                  <bgColor rgb="FF663300"/>
                </patternFill>
              </fill>
            </x14:dxf>
          </x14:cfRule>
          <x14:cfRule type="expression" priority="416" stopIfTrue="1" id="{82636743-BB3E-4A89-B38D-19AE1E245652}">
            <xm:f>'Patient List'!$J26="Orange"</xm:f>
            <x14:dxf>
              <font>
                <color theme="0"/>
              </font>
              <fill>
                <patternFill>
                  <bgColor theme="9" tint="-0.24994659260841701"/>
                </patternFill>
              </fill>
            </x14:dxf>
          </x14:cfRule>
          <x14:cfRule type="expression" priority="417" stopIfTrue="1" id="{ED20730E-87B5-4682-9362-1E3780B4CFF5}">
            <xm:f>'Patient List'!$J26="Yellow"</xm:f>
            <x14:dxf>
              <fill>
                <patternFill>
                  <bgColor rgb="FFFFFF00"/>
                </patternFill>
              </fill>
            </x14:dxf>
          </x14:cfRule>
          <x14:cfRule type="expression" priority="418" stopIfTrue="1" id="{536BBF8E-4144-4CE2-83EB-191AAC2AAE7A}">
            <xm:f>'Patient List'!$J26="Purple"</xm:f>
            <x14:dxf>
              <font>
                <color theme="0"/>
              </font>
              <fill>
                <patternFill>
                  <bgColor rgb="FF7030A0"/>
                </patternFill>
              </fill>
            </x14:dxf>
          </x14:cfRule>
          <x14:cfRule type="expression" priority="419" stopIfTrue="1" id="{305AE655-BEE9-42C2-8C7B-A22313A5794A}">
            <xm:f>'Patient List'!$J26="Black"</xm:f>
            <x14:dxf>
              <font>
                <color theme="0"/>
              </font>
              <fill>
                <patternFill>
                  <bgColor theme="1"/>
                </patternFill>
              </fill>
            </x14:dxf>
          </x14:cfRule>
          <x14:cfRule type="expression" priority="420" stopIfTrue="1" id="{BAF83B05-FECE-405A-9CCB-3D53F11BEE75}">
            <xm:f>'Patient List'!$J26="Green"</xm:f>
            <x14:dxf>
              <font>
                <color theme="0"/>
              </font>
              <fill>
                <patternFill>
                  <bgColor rgb="FF00B050"/>
                </patternFill>
              </fill>
            </x14:dxf>
          </x14:cfRule>
          <x14:cfRule type="expression" priority="421" stopIfTrue="1" id="{D4FFA436-E592-4900-B1C0-45415E7B6E08}">
            <xm:f>'Patient List'!$J26="Blue"</xm:f>
            <x14:dxf>
              <font>
                <color theme="0"/>
              </font>
              <fill>
                <patternFill>
                  <bgColor rgb="FF0070C0"/>
                </patternFill>
              </fill>
            </x14:dxf>
          </x14:cfRule>
          <x14:cfRule type="expression" priority="422" stopIfTrue="1" id="{A7EE4D5C-2305-4437-A4A2-E6864E5995BC}">
            <xm:f>'Patient List'!$J26="Red"</xm:f>
            <x14:dxf>
              <font>
                <color theme="0"/>
              </font>
              <fill>
                <patternFill>
                  <bgColor rgb="FFFF0000"/>
                </patternFill>
              </fill>
            </x14:dxf>
          </x14:cfRule>
          <xm:sqref>A70</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C1:DF254"/>
  <sheetViews>
    <sheetView tabSelected="1" topLeftCell="A180" zoomScale="90" zoomScaleNormal="90" workbookViewId="0">
      <selection activeCell="AA199" sqref="AA199"/>
    </sheetView>
  </sheetViews>
  <sheetFormatPr defaultColWidth="9.140625" defaultRowHeight="12.75" x14ac:dyDescent="0.3"/>
  <cols>
    <col min="1" max="1" width="9.140625" style="67"/>
    <col min="2" max="2" width="9.140625" style="67" customWidth="1"/>
    <col min="3" max="3" width="14.42578125" style="67" customWidth="1"/>
    <col min="4" max="4" width="9.140625" style="67" customWidth="1"/>
    <col min="5" max="5" width="12.85546875" style="67" customWidth="1"/>
    <col min="6" max="7" width="1" style="67" hidden="1" customWidth="1"/>
    <col min="8" max="8" width="11.28515625" style="67" customWidth="1"/>
    <col min="9" max="9" width="20" style="66" customWidth="1"/>
    <col min="10" max="10" width="5.28515625" style="67" customWidth="1"/>
    <col min="11" max="12" width="10.28515625" style="67" hidden="1" customWidth="1"/>
    <col min="13" max="13" width="12.28515625" style="66" hidden="1" customWidth="1"/>
    <col min="14" max="14" width="10.140625" style="66" hidden="1" customWidth="1"/>
    <col min="15" max="15" width="9.140625" style="67" customWidth="1"/>
    <col min="16" max="16" width="9.28515625" style="67" customWidth="1"/>
    <col min="17" max="18" width="9.140625" style="67"/>
    <col min="19" max="19" width="5" style="67" customWidth="1"/>
    <col min="20" max="31" width="7.42578125" style="67" customWidth="1"/>
    <col min="32" max="32" width="2.140625" style="67" customWidth="1"/>
    <col min="33" max="33" width="3" style="67" customWidth="1"/>
    <col min="34" max="34" width="9.140625" style="67"/>
    <col min="35" max="39" width="6.7109375" style="67" customWidth="1"/>
    <col min="40" max="40" width="3.42578125" style="67" customWidth="1"/>
    <col min="41" max="41" width="3" style="67" customWidth="1"/>
    <col min="42" max="43" width="2.28515625" style="67" customWidth="1"/>
    <col min="44" max="44" width="2.42578125" style="67" customWidth="1"/>
    <col min="45" max="45" width="2.7109375" style="67" customWidth="1"/>
    <col min="46" max="46" width="3" style="67" customWidth="1"/>
    <col min="47" max="47" width="3.42578125" style="67" customWidth="1"/>
    <col min="48" max="48" width="5.7109375" style="67" customWidth="1"/>
    <col min="49" max="49" width="31.42578125" style="67" customWidth="1"/>
    <col min="50" max="50" width="5.7109375" style="67" customWidth="1"/>
    <col min="51" max="51" width="12.7109375" style="67" customWidth="1"/>
    <col min="52" max="53" width="5.7109375" style="67" customWidth="1"/>
    <col min="54" max="65" width="7.7109375" style="67" customWidth="1"/>
    <col min="66" max="66" width="9.140625" style="67"/>
    <col min="67" max="67" width="4.5703125" style="67" customWidth="1"/>
    <col min="68" max="79" width="7.5703125" style="67" customWidth="1"/>
    <col min="80" max="80" width="9.140625" style="67"/>
    <col min="81" max="81" width="4.28515625" style="67" customWidth="1"/>
    <col min="82" max="93" width="8" style="67" customWidth="1"/>
    <col min="94" max="94" width="9.140625" style="67"/>
    <col min="95" max="95" width="4.140625" style="67" customWidth="1"/>
    <col min="96" max="107" width="6.85546875" style="67" customWidth="1"/>
    <col min="108" max="16384" width="9.140625" style="67"/>
  </cols>
  <sheetData>
    <row r="1" spans="3:19" x14ac:dyDescent="0.3">
      <c r="C1" s="72" t="s">
        <v>188</v>
      </c>
      <c r="S1" s="72"/>
    </row>
    <row r="2" spans="3:19" ht="25.5" x14ac:dyDescent="0.3">
      <c r="C2" s="73" t="s">
        <v>166</v>
      </c>
      <c r="D2" s="74"/>
      <c r="E2" s="74"/>
      <c r="F2" s="74"/>
      <c r="G2" s="74"/>
      <c r="S2" s="73"/>
    </row>
    <row r="3" spans="3:19" ht="43.5" customHeight="1" x14ac:dyDescent="0.3">
      <c r="C3" s="208" t="s">
        <v>112</v>
      </c>
      <c r="D3" s="153" t="s">
        <v>228</v>
      </c>
      <c r="E3" s="153" t="s">
        <v>12</v>
      </c>
      <c r="F3" s="153" t="s">
        <v>259</v>
      </c>
      <c r="G3" s="153" t="s">
        <v>265</v>
      </c>
      <c r="H3" s="153" t="s">
        <v>187</v>
      </c>
      <c r="I3" s="153" t="s">
        <v>229</v>
      </c>
      <c r="J3" s="153" t="s">
        <v>111</v>
      </c>
      <c r="K3" s="153" t="s">
        <v>190</v>
      </c>
      <c r="L3" s="153" t="s">
        <v>191</v>
      </c>
      <c r="M3" s="209" t="s">
        <v>189</v>
      </c>
      <c r="N3" s="210" t="s">
        <v>181</v>
      </c>
      <c r="O3" s="153" t="s">
        <v>230</v>
      </c>
      <c r="P3" s="210" t="s">
        <v>264</v>
      </c>
      <c r="Q3" s="153" t="s">
        <v>198</v>
      </c>
      <c r="R3" s="75"/>
    </row>
    <row r="4" spans="3:19" ht="13.5" x14ac:dyDescent="0.3">
      <c r="C4" s="80" t="s">
        <v>243</v>
      </c>
      <c r="D4" s="81"/>
      <c r="E4" s="81"/>
      <c r="F4" s="81"/>
      <c r="G4" s="81"/>
      <c r="H4" s="81"/>
      <c r="I4" s="182"/>
      <c r="J4" s="191">
        <v>1</v>
      </c>
      <c r="K4" s="81"/>
      <c r="L4" s="81"/>
      <c r="M4" s="82"/>
      <c r="N4" s="83"/>
      <c r="O4" s="81">
        <v>16.8</v>
      </c>
      <c r="P4" s="76" t="s">
        <v>195</v>
      </c>
      <c r="Q4" s="76"/>
      <c r="R4" s="84"/>
    </row>
    <row r="5" spans="3:19" ht="13.5" x14ac:dyDescent="0.3">
      <c r="C5" s="89" t="str">
        <f>IF('NGS Heme'!C2="","",'NGS Heme'!C2)</f>
        <v>C00026B</v>
      </c>
      <c r="D5" s="76" t="str">
        <f ca="1">IF(C5="","",'NGS Heme'!F2)</f>
        <v>5.0</v>
      </c>
      <c r="E5" s="76" t="str">
        <f>IF(C5="","",'NGS Heme'!E2)</f>
        <v>DNA</v>
      </c>
      <c r="F5" s="76">
        <f>IF(C5="","",IF(E5="FFPE",200,40))</f>
        <v>40</v>
      </c>
      <c r="G5" s="76" t="str">
        <f t="shared" ref="G5:G23" si="0">IF(C5="","",TEXT(F5/17.5,"0.0"))</f>
        <v>2.3</v>
      </c>
      <c r="H5" s="76">
        <f ca="1">IF(C5="","",IF(D5*16.8&gt;F5,F5,D5*16.8))</f>
        <v>40</v>
      </c>
      <c r="I5" s="183">
        <f ca="1">IF(C5="","",IF(H5/D5&lt;1,"1:10; then add "&amp;TEXT(H5/D5*10,"0.0")&amp;" µL ",H5/D5))</f>
        <v>8</v>
      </c>
      <c r="J5" s="191">
        <v>2</v>
      </c>
      <c r="K5" s="76" t="str">
        <f ca="1">IF(Table4[[#This Row],[From Stock (µL)]]&gt;1,"",Table4[[#This Row],[From Stock (µL)]]*10)</f>
        <v/>
      </c>
      <c r="L5" s="76" t="str">
        <f ca="1">IF(Table4[[#This Row],[From Stock (µL)]]&gt;1,"",16.8-Table4[[#This Row],[Hide/second dilution]])</f>
        <v/>
      </c>
      <c r="M5" s="90" t="str">
        <f ca="1">IF(I5&lt;1,"Dilute sample 10X first, 1 µL stock + 9 µL H2O; then add ","")</f>
        <v/>
      </c>
      <c r="N5" s="91" t="str">
        <f ca="1">IF(I5&lt;1,"Add "&amp;K5&amp;" ul diluted DNA and "&amp;O5&amp;" ul H2O.","")</f>
        <v/>
      </c>
      <c r="O5" s="85">
        <f ca="1">IF(C5="","",IF(H5/D5&lt;1,(16.8-H5/D5*10),(16.8-H5/D5)))</f>
        <v>8.8000000000000007</v>
      </c>
      <c r="P5" s="76"/>
      <c r="Q5" s="76"/>
      <c r="R5" s="84"/>
    </row>
    <row r="6" spans="3:19" ht="13.5" x14ac:dyDescent="0.3">
      <c r="C6" s="89" t="str">
        <f ca="1">IF('NGS Heme'!C3="","",'NGS Heme'!C3)</f>
        <v>S1</v>
      </c>
      <c r="D6" s="76" t="str">
        <f ca="1">IF(C6="","",'NGS Heme'!F3)</f>
        <v>40</v>
      </c>
      <c r="E6" s="76" t="str">
        <f ca="1">IF(C6="","",'NGS Heme'!E3)</f>
        <v>DNA</v>
      </c>
      <c r="F6" s="76">
        <f t="shared" ref="F6:F23" ca="1" si="1">IF(C6="","",IF(E6="FFPE",200,40))</f>
        <v>40</v>
      </c>
      <c r="G6" s="76" t="str">
        <f t="shared" ca="1" si="0"/>
        <v>2.3</v>
      </c>
      <c r="H6" s="76">
        <f t="shared" ref="H6:H23" ca="1" si="2">IF(C6="","",IF(D6*16.8&gt;F6,F6,D6*16.8))</f>
        <v>40</v>
      </c>
      <c r="I6" s="183">
        <f t="shared" ref="I6:I23" ca="1" si="3">IF(C6="","",IF(H6/D6&lt;1,"1:10; then add "&amp;TEXT(H6/D6*10,"0.0")&amp;" µL ",H6/D6))</f>
        <v>1</v>
      </c>
      <c r="J6" s="191">
        <v>3</v>
      </c>
      <c r="K6" s="76">
        <f ca="1">IF(Table4[[#This Row],[From Stock (µL)]]&gt;1,"",Table4[[#This Row],[From Stock (µL)]]*10)</f>
        <v>10</v>
      </c>
      <c r="L6" s="76">
        <f ca="1">IF(Table4[[#This Row],[From Stock (µL)]]&gt;1,"",16.8-Table4[[#This Row],[Hide/second dilution]])</f>
        <v>6.8000000000000007</v>
      </c>
      <c r="M6" s="90" t="str">
        <f t="shared" ref="M6:M23" ca="1" si="4">IF(I6&lt;1,"Dilute sample 10X first, 1 µL stock + 9 µL H2O; then add ","")</f>
        <v/>
      </c>
      <c r="N6" s="91" t="str">
        <f t="shared" ref="N6:N23" ca="1" si="5">IF(I6&lt;1,"Add "&amp;K6&amp;" ul diluted DNA and "&amp;O6&amp;" ul H2O.","")</f>
        <v/>
      </c>
      <c r="O6" s="85">
        <f t="shared" ref="O6:O23" ca="1" si="6">IF(C6="","",IF(H6/D6&lt;1,(16.8-H6/D6*10),(16.8-H6/D6)))</f>
        <v>15.8</v>
      </c>
      <c r="P6" s="76"/>
      <c r="Q6" s="76"/>
      <c r="R6" s="84"/>
    </row>
    <row r="7" spans="3:19" ht="13.5" x14ac:dyDescent="0.3">
      <c r="C7" s="89" t="str">
        <f ca="1">IF('NGS Heme'!C4="","",'NGS Heme'!C4)</f>
        <v>S2</v>
      </c>
      <c r="D7" s="76" t="str">
        <f ca="1">IF(C7="","",'NGS Heme'!F4)</f>
        <v>50</v>
      </c>
      <c r="E7" s="76" t="str">
        <f ca="1">IF(C7="","",'NGS Heme'!E4)</f>
        <v>FFPE</v>
      </c>
      <c r="F7" s="76">
        <f t="shared" ca="1" si="1"/>
        <v>200</v>
      </c>
      <c r="G7" s="76" t="str">
        <f t="shared" ca="1" si="0"/>
        <v>11.4</v>
      </c>
      <c r="H7" s="76">
        <f t="shared" ca="1" si="2"/>
        <v>200</v>
      </c>
      <c r="I7" s="183">
        <f t="shared" ca="1" si="3"/>
        <v>4</v>
      </c>
      <c r="J7" s="191">
        <v>4</v>
      </c>
      <c r="K7" s="76" t="str">
        <f ca="1">IF(Table4[[#This Row],[From Stock (µL)]]&gt;1,"",Table4[[#This Row],[From Stock (µL)]]*10)</f>
        <v/>
      </c>
      <c r="L7" s="76" t="str">
        <f ca="1">IF(Table4[[#This Row],[From Stock (µL)]]&gt;1,"",16.8-Table4[[#This Row],[Hide/second dilution]])</f>
        <v/>
      </c>
      <c r="M7" s="90" t="str">
        <f t="shared" ca="1" si="4"/>
        <v/>
      </c>
      <c r="N7" s="91" t="str">
        <f t="shared" ca="1" si="5"/>
        <v/>
      </c>
      <c r="O7" s="85">
        <f t="shared" ca="1" si="6"/>
        <v>12.8</v>
      </c>
      <c r="P7" s="76"/>
      <c r="Q7" s="76"/>
      <c r="R7" s="84"/>
    </row>
    <row r="8" spans="3:19" ht="13.5" x14ac:dyDescent="0.3">
      <c r="C8" s="89" t="str">
        <f ca="1">IF('NGS Heme'!C5="","",'NGS Heme'!C5)</f>
        <v>S3</v>
      </c>
      <c r="D8" s="76" t="str">
        <f ca="1">IF(C8="","",'NGS Heme'!F5)</f>
        <v>60</v>
      </c>
      <c r="E8" s="76" t="str">
        <f ca="1">IF(C8="","",'NGS Heme'!E5)</f>
        <v>Bone Marrow</v>
      </c>
      <c r="F8" s="76">
        <f t="shared" ca="1" si="1"/>
        <v>40</v>
      </c>
      <c r="G8" s="76" t="str">
        <f t="shared" ca="1" si="0"/>
        <v>2.3</v>
      </c>
      <c r="H8" s="76">
        <f t="shared" ca="1" si="2"/>
        <v>40</v>
      </c>
      <c r="I8" s="183" t="str">
        <f t="shared" ca="1" si="3"/>
        <v xml:space="preserve">1:10; then add 6.7 µL </v>
      </c>
      <c r="J8" s="191">
        <v>5</v>
      </c>
      <c r="K8" s="76" t="str">
        <f ca="1">IF(Table4[[#This Row],[From Stock (µL)]]&gt;1,"",Table4[[#This Row],[From Stock (µL)]]*10)</f>
        <v/>
      </c>
      <c r="L8" s="76" t="str">
        <f ca="1">IF(Table4[[#This Row],[From Stock (µL)]]&gt;1,"",16.8-Table4[[#This Row],[Hide/second dilution]])</f>
        <v/>
      </c>
      <c r="M8" s="90" t="str">
        <f t="shared" ca="1" si="4"/>
        <v/>
      </c>
      <c r="N8" s="91" t="str">
        <f t="shared" ca="1" si="5"/>
        <v/>
      </c>
      <c r="O8" s="85">
        <f t="shared" ca="1" si="6"/>
        <v>10.133333333333335</v>
      </c>
      <c r="P8" s="76"/>
      <c r="Q8" s="76"/>
      <c r="R8" s="84"/>
    </row>
    <row r="9" spans="3:19" ht="13.5" x14ac:dyDescent="0.3">
      <c r="C9" s="89" t="str">
        <f ca="1">IF('NGS Heme'!C6="","",'NGS Heme'!C6)</f>
        <v>S4</v>
      </c>
      <c r="D9" s="76" t="str">
        <f ca="1">IF(C9="","",'NGS Heme'!F6)</f>
        <v>70</v>
      </c>
      <c r="E9" s="76" t="str">
        <f ca="1">IF(C9="","",'NGS Heme'!E6)</f>
        <v>Bone Marrow</v>
      </c>
      <c r="F9" s="76">
        <f t="shared" ca="1" si="1"/>
        <v>40</v>
      </c>
      <c r="G9" s="76" t="str">
        <f t="shared" ca="1" si="0"/>
        <v>2.3</v>
      </c>
      <c r="H9" s="76">
        <f t="shared" ca="1" si="2"/>
        <v>40</v>
      </c>
      <c r="I9" s="183" t="str">
        <f t="shared" ca="1" si="3"/>
        <v xml:space="preserve">1:10; then add 5.7 µL </v>
      </c>
      <c r="J9" s="191">
        <v>6</v>
      </c>
      <c r="K9" s="76" t="str">
        <f ca="1">IF(Table4[[#This Row],[From Stock (µL)]]&gt;1,"",Table4[[#This Row],[From Stock (µL)]]*10)</f>
        <v/>
      </c>
      <c r="L9" s="76" t="str">
        <f ca="1">IF(Table4[[#This Row],[From Stock (µL)]]&gt;1,"",16.8-Table4[[#This Row],[Hide/second dilution]])</f>
        <v/>
      </c>
      <c r="M9" s="90" t="str">
        <f t="shared" ca="1" si="4"/>
        <v/>
      </c>
      <c r="N9" s="91" t="str">
        <f t="shared" ca="1" si="5"/>
        <v/>
      </c>
      <c r="O9" s="85">
        <f t="shared" ca="1" si="6"/>
        <v>11.085714285714287</v>
      </c>
      <c r="P9" s="76"/>
      <c r="Q9" s="76"/>
      <c r="R9" s="84"/>
    </row>
    <row r="10" spans="3:19" ht="13.5" x14ac:dyDescent="0.3">
      <c r="C10" s="89" t="str">
        <f ca="1">IF('NGS Heme'!C7="","",'NGS Heme'!C7)</f>
        <v>S5</v>
      </c>
      <c r="D10" s="76" t="str">
        <f ca="1">IF(C10="","",'NGS Heme'!F7)</f>
        <v>80</v>
      </c>
      <c r="E10" s="76" t="str">
        <f ca="1">IF(C10="","",'NGS Heme'!E7)</f>
        <v>Bone Marrow</v>
      </c>
      <c r="F10" s="76">
        <f t="shared" ca="1" si="1"/>
        <v>40</v>
      </c>
      <c r="G10" s="76" t="str">
        <f t="shared" ca="1" si="0"/>
        <v>2.3</v>
      </c>
      <c r="H10" s="76">
        <f t="shared" ca="1" si="2"/>
        <v>40</v>
      </c>
      <c r="I10" s="183" t="str">
        <f t="shared" ca="1" si="3"/>
        <v xml:space="preserve">1:10; then add 5.0 µL </v>
      </c>
      <c r="J10" s="191">
        <v>7</v>
      </c>
      <c r="K10" s="76" t="str">
        <f ca="1">IF(Table4[[#This Row],[From Stock (µL)]]&gt;1,"",Table4[[#This Row],[From Stock (µL)]]*10)</f>
        <v/>
      </c>
      <c r="L10" s="76" t="str">
        <f ca="1">IF(Table4[[#This Row],[From Stock (µL)]]&gt;1,"",16.8-Table4[[#This Row],[Hide/second dilution]])</f>
        <v/>
      </c>
      <c r="M10" s="90" t="str">
        <f t="shared" ca="1" si="4"/>
        <v/>
      </c>
      <c r="N10" s="91" t="str">
        <f t="shared" ca="1" si="5"/>
        <v/>
      </c>
      <c r="O10" s="85">
        <f t="shared" ca="1" si="6"/>
        <v>11.8</v>
      </c>
      <c r="P10" s="76"/>
      <c r="Q10" s="76"/>
      <c r="R10" s="84"/>
    </row>
    <row r="11" spans="3:19" ht="13.5" x14ac:dyDescent="0.3">
      <c r="C11" s="89" t="str">
        <f ca="1">IF('NGS Heme'!C8="","",'NGS Heme'!C8)</f>
        <v>S6</v>
      </c>
      <c r="D11" s="76" t="str">
        <f ca="1">IF(C11="","",'NGS Heme'!F8)</f>
        <v>90</v>
      </c>
      <c r="E11" s="76" t="str">
        <f ca="1">IF(C11="","",'NGS Heme'!E8)</f>
        <v>Blood</v>
      </c>
      <c r="F11" s="76">
        <f t="shared" ca="1" si="1"/>
        <v>40</v>
      </c>
      <c r="G11" s="76" t="str">
        <f t="shared" ca="1" si="0"/>
        <v>2.3</v>
      </c>
      <c r="H11" s="76">
        <f t="shared" ca="1" si="2"/>
        <v>40</v>
      </c>
      <c r="I11" s="183" t="str">
        <f t="shared" ca="1" si="3"/>
        <v xml:space="preserve">1:10; then add 4.4 µL </v>
      </c>
      <c r="J11" s="191">
        <v>8</v>
      </c>
      <c r="K11" s="76" t="str">
        <f ca="1">IF(Table4[[#This Row],[From Stock (µL)]]&gt;1,"",Table4[[#This Row],[From Stock (µL)]]*10)</f>
        <v/>
      </c>
      <c r="L11" s="76" t="str">
        <f ca="1">IF(Table4[[#This Row],[From Stock (µL)]]&gt;1,"",16.8-Table4[[#This Row],[Hide/second dilution]])</f>
        <v/>
      </c>
      <c r="M11" s="90" t="str">
        <f t="shared" ca="1" si="4"/>
        <v/>
      </c>
      <c r="N11" s="91" t="str">
        <f t="shared" ca="1" si="5"/>
        <v/>
      </c>
      <c r="O11" s="85">
        <f t="shared" ca="1" si="6"/>
        <v>12.355555555555556</v>
      </c>
      <c r="P11" s="76"/>
      <c r="Q11" s="76"/>
      <c r="R11" s="84"/>
    </row>
    <row r="12" spans="3:19" ht="13.5" x14ac:dyDescent="0.3">
      <c r="C12" s="89" t="str">
        <f ca="1">IF('NGS Heme'!C9="","",'NGS Heme'!C9)</f>
        <v>S7</v>
      </c>
      <c r="D12" s="76" t="str">
        <f ca="1">IF(C12="","",'NGS Heme'!F9)</f>
        <v>100</v>
      </c>
      <c r="E12" s="76" t="str">
        <f ca="1">IF(C12="","",'NGS Heme'!E9)</f>
        <v>Blood</v>
      </c>
      <c r="F12" s="76">
        <f t="shared" ca="1" si="1"/>
        <v>40</v>
      </c>
      <c r="G12" s="76" t="str">
        <f t="shared" ca="1" si="0"/>
        <v>2.3</v>
      </c>
      <c r="H12" s="76">
        <f t="shared" ca="1" si="2"/>
        <v>40</v>
      </c>
      <c r="I12" s="183" t="str">
        <f t="shared" ca="1" si="3"/>
        <v xml:space="preserve">1:10; then add 4.0 µL </v>
      </c>
      <c r="J12" s="191">
        <v>9</v>
      </c>
      <c r="K12" s="76" t="str">
        <f ca="1">IF(Table4[[#This Row],[From Stock (µL)]]&gt;1,"",Table4[[#This Row],[From Stock (µL)]]*10)</f>
        <v/>
      </c>
      <c r="L12" s="76" t="str">
        <f ca="1">IF(Table4[[#This Row],[From Stock (µL)]]&gt;1,"",16.8-Table4[[#This Row],[Hide/second dilution]])</f>
        <v/>
      </c>
      <c r="M12" s="90" t="str">
        <f t="shared" ca="1" si="4"/>
        <v/>
      </c>
      <c r="N12" s="91" t="str">
        <f t="shared" ca="1" si="5"/>
        <v/>
      </c>
      <c r="O12" s="85">
        <f t="shared" ca="1" si="6"/>
        <v>12.8</v>
      </c>
      <c r="P12" s="76"/>
      <c r="Q12" s="76"/>
      <c r="R12" s="84"/>
    </row>
    <row r="13" spans="3:19" ht="13.5" x14ac:dyDescent="0.3">
      <c r="C13" s="89" t="str">
        <f ca="1">IF('NGS Heme'!C10="","",'NGS Heme'!C10)</f>
        <v>S8</v>
      </c>
      <c r="D13" s="76" t="str">
        <f ca="1">IF(C13="","",'NGS Heme'!F10)</f>
        <v>110</v>
      </c>
      <c r="E13" s="76" t="str">
        <f ca="1">IF(C13="","",'NGS Heme'!E10)</f>
        <v>Blood</v>
      </c>
      <c r="F13" s="76">
        <f t="shared" ca="1" si="1"/>
        <v>40</v>
      </c>
      <c r="G13" s="76" t="str">
        <f t="shared" ca="1" si="0"/>
        <v>2.3</v>
      </c>
      <c r="H13" s="76">
        <f t="shared" ca="1" si="2"/>
        <v>40</v>
      </c>
      <c r="I13" s="183" t="str">
        <f t="shared" ca="1" si="3"/>
        <v xml:space="preserve">1:10; then add 3.6 µL </v>
      </c>
      <c r="J13" s="191">
        <v>10</v>
      </c>
      <c r="K13" s="76" t="str">
        <f ca="1">IF(Table4[[#This Row],[From Stock (µL)]]&gt;1,"",Table4[[#This Row],[From Stock (µL)]]*10)</f>
        <v/>
      </c>
      <c r="L13" s="76" t="str">
        <f ca="1">IF(Table4[[#This Row],[From Stock (µL)]]&gt;1,"",16.8-Table4[[#This Row],[Hide/second dilution]])</f>
        <v/>
      </c>
      <c r="M13" s="90" t="str">
        <f t="shared" ca="1" si="4"/>
        <v/>
      </c>
      <c r="N13" s="91" t="str">
        <f t="shared" ca="1" si="5"/>
        <v/>
      </c>
      <c r="O13" s="85">
        <f t="shared" ca="1" si="6"/>
        <v>13.163636363636364</v>
      </c>
      <c r="P13" s="76"/>
      <c r="Q13" s="76"/>
      <c r="R13" s="84"/>
    </row>
    <row r="14" spans="3:19" ht="13.5" x14ac:dyDescent="0.3">
      <c r="C14" s="89" t="str">
        <f ca="1">IF('NGS Heme'!C11="","",'NGS Heme'!C11)</f>
        <v/>
      </c>
      <c r="D14" s="76" t="str">
        <f ca="1">IF(C14="","",'NGS Heme'!F11)</f>
        <v/>
      </c>
      <c r="E14" s="76" t="str">
        <f ca="1">IF(C14="","",'NGS Heme'!E11)</f>
        <v/>
      </c>
      <c r="F14" s="76" t="str">
        <f t="shared" ca="1" si="1"/>
        <v/>
      </c>
      <c r="G14" s="76" t="str">
        <f t="shared" ca="1" si="0"/>
        <v/>
      </c>
      <c r="H14" s="76" t="str">
        <f t="shared" ca="1" si="2"/>
        <v/>
      </c>
      <c r="I14" s="183" t="str">
        <f t="shared" ca="1" si="3"/>
        <v/>
      </c>
      <c r="J14" s="191">
        <v>11</v>
      </c>
      <c r="K14" s="76" t="str">
        <f ca="1">IF(Table4[[#This Row],[From Stock (µL)]]&gt;1,"",Table4[[#This Row],[From Stock (µL)]]*10)</f>
        <v/>
      </c>
      <c r="L14" s="76" t="str">
        <f ca="1">IF(Table4[[#This Row],[From Stock (µL)]]&gt;1,"",16.8-Table4[[#This Row],[Hide/second dilution]])</f>
        <v/>
      </c>
      <c r="M14" s="90" t="str">
        <f t="shared" ca="1" si="4"/>
        <v/>
      </c>
      <c r="N14" s="91" t="str">
        <f t="shared" ca="1" si="5"/>
        <v/>
      </c>
      <c r="O14" s="85" t="str">
        <f t="shared" ca="1" si="6"/>
        <v/>
      </c>
      <c r="P14" s="76"/>
      <c r="Q14" s="76"/>
      <c r="R14" s="84"/>
    </row>
    <row r="15" spans="3:19" ht="13.5" x14ac:dyDescent="0.3">
      <c r="C15" s="89" t="str">
        <f ca="1">IF('NGS Heme'!C12="","",'NGS Heme'!C12)</f>
        <v/>
      </c>
      <c r="D15" s="76" t="str">
        <f ca="1">IF(C15="","",'NGS Heme'!F12)</f>
        <v/>
      </c>
      <c r="E15" s="76" t="str">
        <f ca="1">IF(C15="","",'NGS Heme'!E12)</f>
        <v/>
      </c>
      <c r="F15" s="76" t="str">
        <f t="shared" ca="1" si="1"/>
        <v/>
      </c>
      <c r="G15" s="76" t="str">
        <f t="shared" ca="1" si="0"/>
        <v/>
      </c>
      <c r="H15" s="76" t="str">
        <f t="shared" ca="1" si="2"/>
        <v/>
      </c>
      <c r="I15" s="183" t="str">
        <f t="shared" ca="1" si="3"/>
        <v/>
      </c>
      <c r="J15" s="191">
        <v>12</v>
      </c>
      <c r="K15" s="76" t="str">
        <f ca="1">IF(Table4[[#This Row],[From Stock (µL)]]&gt;1,"",Table4[[#This Row],[From Stock (µL)]]*10)</f>
        <v/>
      </c>
      <c r="L15" s="76" t="str">
        <f ca="1">IF(Table4[[#This Row],[From Stock (µL)]]&gt;1,"",16.8-Table4[[#This Row],[Hide/second dilution]])</f>
        <v/>
      </c>
      <c r="M15" s="90" t="str">
        <f t="shared" ca="1" si="4"/>
        <v/>
      </c>
      <c r="N15" s="91" t="str">
        <f t="shared" ca="1" si="5"/>
        <v/>
      </c>
      <c r="O15" s="85" t="str">
        <f t="shared" ca="1" si="6"/>
        <v/>
      </c>
      <c r="P15" s="76"/>
      <c r="Q15" s="76"/>
      <c r="R15" s="84"/>
    </row>
    <row r="16" spans="3:19" ht="13.5" x14ac:dyDescent="0.3">
      <c r="C16" s="89" t="str">
        <f ca="1">IF('NGS Heme'!C13="","",'NGS Heme'!C13)</f>
        <v/>
      </c>
      <c r="D16" s="76" t="str">
        <f ca="1">IF(C16="","",'NGS Heme'!F13)</f>
        <v/>
      </c>
      <c r="E16" s="76" t="str">
        <f ca="1">IF(C16="","",'NGS Heme'!E13)</f>
        <v/>
      </c>
      <c r="F16" s="76" t="str">
        <f t="shared" ca="1" si="1"/>
        <v/>
      </c>
      <c r="G16" s="76" t="str">
        <f t="shared" ca="1" si="0"/>
        <v/>
      </c>
      <c r="H16" s="76" t="str">
        <f t="shared" ca="1" si="2"/>
        <v/>
      </c>
      <c r="I16" s="183" t="str">
        <f t="shared" ca="1" si="3"/>
        <v/>
      </c>
      <c r="J16" s="191">
        <v>13</v>
      </c>
      <c r="K16" s="76" t="str">
        <f ca="1">IF(Table4[[#This Row],[From Stock (µL)]]&gt;1,"",Table4[[#This Row],[From Stock (µL)]]*10)</f>
        <v/>
      </c>
      <c r="L16" s="76" t="str">
        <f ca="1">IF(Table4[[#This Row],[From Stock (µL)]]&gt;1,"",16.8-Table4[[#This Row],[Hide/second dilution]])</f>
        <v/>
      </c>
      <c r="M16" s="90" t="str">
        <f t="shared" ca="1" si="4"/>
        <v/>
      </c>
      <c r="N16" s="91" t="str">
        <f t="shared" ca="1" si="5"/>
        <v/>
      </c>
      <c r="O16" s="85" t="str">
        <f t="shared" ca="1" si="6"/>
        <v/>
      </c>
      <c r="P16" s="64"/>
      <c r="Q16" s="76"/>
      <c r="R16" s="84"/>
    </row>
    <row r="17" spans="3:50" ht="13.5" x14ac:dyDescent="0.3">
      <c r="C17" s="89" t="str">
        <f ca="1">IF('NGS Heme'!C14="","",'NGS Heme'!C14)</f>
        <v/>
      </c>
      <c r="D17" s="76" t="str">
        <f ca="1">IF(C17="","",'NGS Heme'!F14)</f>
        <v/>
      </c>
      <c r="E17" s="76" t="str">
        <f ca="1">IF(C17="","",'NGS Heme'!E14)</f>
        <v/>
      </c>
      <c r="F17" s="76" t="str">
        <f t="shared" ca="1" si="1"/>
        <v/>
      </c>
      <c r="G17" s="76" t="str">
        <f t="shared" ca="1" si="0"/>
        <v/>
      </c>
      <c r="H17" s="76" t="str">
        <f t="shared" ca="1" si="2"/>
        <v/>
      </c>
      <c r="I17" s="183" t="str">
        <f t="shared" ca="1" si="3"/>
        <v/>
      </c>
      <c r="J17" s="191">
        <v>14</v>
      </c>
      <c r="K17" s="76" t="str">
        <f ca="1">IF(Table4[[#This Row],[From Stock (µL)]]&gt;1,"",Table4[[#This Row],[From Stock (µL)]]*10)</f>
        <v/>
      </c>
      <c r="L17" s="76" t="str">
        <f ca="1">IF(Table4[[#This Row],[From Stock (µL)]]&gt;1,"",16.8-Table4[[#This Row],[Hide/second dilution]])</f>
        <v/>
      </c>
      <c r="M17" s="90" t="str">
        <f t="shared" ca="1" si="4"/>
        <v/>
      </c>
      <c r="N17" s="91" t="str">
        <f t="shared" ca="1" si="5"/>
        <v/>
      </c>
      <c r="O17" s="85" t="str">
        <f t="shared" ca="1" si="6"/>
        <v/>
      </c>
      <c r="P17" s="64"/>
      <c r="Q17" s="76"/>
      <c r="R17" s="84"/>
    </row>
    <row r="18" spans="3:50" ht="13.5" x14ac:dyDescent="0.3">
      <c r="C18" s="89" t="str">
        <f ca="1">IF('NGS Heme'!C15="","",'NGS Heme'!C15)</f>
        <v/>
      </c>
      <c r="D18" s="76" t="str">
        <f ca="1">IF(C18="","",'NGS Heme'!F15)</f>
        <v/>
      </c>
      <c r="E18" s="76" t="str">
        <f ca="1">IF(C18="","",'NGS Heme'!E15)</f>
        <v/>
      </c>
      <c r="F18" s="76" t="str">
        <f t="shared" ca="1" si="1"/>
        <v/>
      </c>
      <c r="G18" s="76" t="str">
        <f t="shared" ca="1" si="0"/>
        <v/>
      </c>
      <c r="H18" s="76" t="str">
        <f t="shared" ca="1" si="2"/>
        <v/>
      </c>
      <c r="I18" s="183" t="str">
        <f t="shared" ca="1" si="3"/>
        <v/>
      </c>
      <c r="J18" s="191">
        <v>15</v>
      </c>
      <c r="K18" s="76" t="str">
        <f ca="1">IF(Table4[[#This Row],[From Stock (µL)]]&gt;1,"",Table4[[#This Row],[From Stock (µL)]]*10)</f>
        <v/>
      </c>
      <c r="L18" s="76" t="str">
        <f ca="1">IF(Table4[[#This Row],[From Stock (µL)]]&gt;1,"",16.8-Table4[[#This Row],[Hide/second dilution]])</f>
        <v/>
      </c>
      <c r="M18" s="90" t="str">
        <f t="shared" ca="1" si="4"/>
        <v/>
      </c>
      <c r="N18" s="91" t="str">
        <f t="shared" ca="1" si="5"/>
        <v/>
      </c>
      <c r="O18" s="85" t="str">
        <f t="shared" ca="1" si="6"/>
        <v/>
      </c>
      <c r="P18" s="64"/>
      <c r="Q18" s="76"/>
      <c r="R18" s="84"/>
    </row>
    <row r="19" spans="3:50" ht="13.5" x14ac:dyDescent="0.3">
      <c r="C19" s="89" t="str">
        <f ca="1">IF('NGS Heme'!C16="","",'NGS Heme'!C16)</f>
        <v/>
      </c>
      <c r="D19" s="76" t="str">
        <f ca="1">IF(C19="","",'NGS Heme'!F16)</f>
        <v/>
      </c>
      <c r="E19" s="76" t="str">
        <f ca="1">IF(C19="","",'NGS Heme'!E16)</f>
        <v/>
      </c>
      <c r="F19" s="76" t="str">
        <f t="shared" ca="1" si="1"/>
        <v/>
      </c>
      <c r="G19" s="76" t="str">
        <f t="shared" ca="1" si="0"/>
        <v/>
      </c>
      <c r="H19" s="76" t="str">
        <f t="shared" ca="1" si="2"/>
        <v/>
      </c>
      <c r="I19" s="183" t="str">
        <f t="shared" ca="1" si="3"/>
        <v/>
      </c>
      <c r="J19" s="191">
        <v>16</v>
      </c>
      <c r="K19" s="76" t="str">
        <f ca="1">IF(Table4[[#This Row],[From Stock (µL)]]&gt;1,"",Table4[[#This Row],[From Stock (µL)]]*10)</f>
        <v/>
      </c>
      <c r="L19" s="76" t="str">
        <f ca="1">IF(Table4[[#This Row],[From Stock (µL)]]&gt;1,"",16.8-Table4[[#This Row],[Hide/second dilution]])</f>
        <v/>
      </c>
      <c r="M19" s="90" t="str">
        <f t="shared" ca="1" si="4"/>
        <v/>
      </c>
      <c r="N19" s="91" t="str">
        <f t="shared" ca="1" si="5"/>
        <v/>
      </c>
      <c r="O19" s="85" t="str">
        <f t="shared" ca="1" si="6"/>
        <v/>
      </c>
      <c r="P19" s="64"/>
      <c r="Q19" s="76"/>
      <c r="R19" s="84"/>
    </row>
    <row r="20" spans="3:50" ht="13.5" x14ac:dyDescent="0.3">
      <c r="C20" s="89" t="str">
        <f ca="1">IF('NGS Heme'!C17="","",'NGS Heme'!C17)</f>
        <v/>
      </c>
      <c r="D20" s="76" t="str">
        <f ca="1">IF(C20="","",'NGS Heme'!F17)</f>
        <v/>
      </c>
      <c r="E20" s="76" t="str">
        <f ca="1">IF(C20="","",'NGS Heme'!E17)</f>
        <v/>
      </c>
      <c r="F20" s="76" t="str">
        <f t="shared" ca="1" si="1"/>
        <v/>
      </c>
      <c r="G20" s="76" t="str">
        <f t="shared" ca="1" si="0"/>
        <v/>
      </c>
      <c r="H20" s="76" t="str">
        <f t="shared" ca="1" si="2"/>
        <v/>
      </c>
      <c r="I20" s="183" t="str">
        <f t="shared" ca="1" si="3"/>
        <v/>
      </c>
      <c r="J20" s="191">
        <v>17</v>
      </c>
      <c r="K20" s="76" t="str">
        <f ca="1">IF(Table4[[#This Row],[From Stock (µL)]]&gt;1,"",Table4[[#This Row],[From Stock (µL)]]*10)</f>
        <v/>
      </c>
      <c r="L20" s="76" t="str">
        <f ca="1">IF(Table4[[#This Row],[From Stock (µL)]]&gt;1,"",16.8-Table4[[#This Row],[Hide/second dilution]])</f>
        <v/>
      </c>
      <c r="M20" s="90" t="str">
        <f t="shared" ca="1" si="4"/>
        <v/>
      </c>
      <c r="N20" s="91" t="str">
        <f t="shared" ca="1" si="5"/>
        <v/>
      </c>
      <c r="O20" s="85" t="str">
        <f t="shared" ca="1" si="6"/>
        <v/>
      </c>
      <c r="P20" s="64"/>
      <c r="Q20" s="76"/>
      <c r="R20" s="84"/>
    </row>
    <row r="21" spans="3:50" ht="13.5" x14ac:dyDescent="0.3">
      <c r="C21" s="89" t="str">
        <f ca="1">IF('NGS Heme'!C18="","",'NGS Heme'!C18)</f>
        <v/>
      </c>
      <c r="D21" s="76" t="str">
        <f ca="1">IF(C21="","",'NGS Heme'!F18)</f>
        <v/>
      </c>
      <c r="E21" s="76" t="str">
        <f ca="1">IF(C21="","",'NGS Heme'!E18)</f>
        <v/>
      </c>
      <c r="F21" s="76" t="str">
        <f t="shared" ca="1" si="1"/>
        <v/>
      </c>
      <c r="G21" s="76" t="str">
        <f t="shared" ca="1" si="0"/>
        <v/>
      </c>
      <c r="H21" s="76" t="str">
        <f t="shared" ca="1" si="2"/>
        <v/>
      </c>
      <c r="I21" s="183" t="str">
        <f t="shared" ca="1" si="3"/>
        <v/>
      </c>
      <c r="J21" s="191">
        <v>18</v>
      </c>
      <c r="K21" s="76" t="str">
        <f ca="1">IF(Table4[[#This Row],[From Stock (µL)]]&gt;1,"",Table4[[#This Row],[From Stock (µL)]]*10)</f>
        <v/>
      </c>
      <c r="L21" s="76" t="str">
        <f ca="1">IF(Table4[[#This Row],[From Stock (µL)]]&gt;1,"",16.8-Table4[[#This Row],[Hide/second dilution]])</f>
        <v/>
      </c>
      <c r="M21" s="90" t="str">
        <f t="shared" ca="1" si="4"/>
        <v/>
      </c>
      <c r="N21" s="91" t="str">
        <f t="shared" ca="1" si="5"/>
        <v/>
      </c>
      <c r="O21" s="85" t="str">
        <f t="shared" ca="1" si="6"/>
        <v/>
      </c>
      <c r="P21" s="64"/>
      <c r="Q21" s="76"/>
      <c r="R21" s="84"/>
    </row>
    <row r="22" spans="3:50" ht="13.5" x14ac:dyDescent="0.3">
      <c r="C22" s="89" t="str">
        <f>IF('NGS Heme'!C19="","",'NGS Heme'!C19)</f>
        <v/>
      </c>
      <c r="D22" s="76" t="str">
        <f>IF(C22="","",'NGS Heme'!F19)</f>
        <v/>
      </c>
      <c r="E22" s="76" t="str">
        <f>IF(C22="","",'NGS Heme'!E19)</f>
        <v/>
      </c>
      <c r="F22" s="76" t="str">
        <f t="shared" si="1"/>
        <v/>
      </c>
      <c r="G22" s="76" t="str">
        <f t="shared" si="0"/>
        <v/>
      </c>
      <c r="H22" s="76" t="str">
        <f t="shared" si="2"/>
        <v/>
      </c>
      <c r="I22" s="183" t="str">
        <f t="shared" si="3"/>
        <v/>
      </c>
      <c r="J22" s="191">
        <v>19</v>
      </c>
      <c r="K22" s="76" t="str">
        <f>IF(Table4[[#This Row],[From Stock (µL)]]&gt;1,"",Table4[[#This Row],[From Stock (µL)]]*10)</f>
        <v/>
      </c>
      <c r="L22" s="76" t="str">
        <f>IF(Table4[[#This Row],[From Stock (µL)]]&gt;1,"",16.8-Table4[[#This Row],[Hide/second dilution]])</f>
        <v/>
      </c>
      <c r="M22" s="90" t="str">
        <f t="shared" si="4"/>
        <v/>
      </c>
      <c r="N22" s="91" t="str">
        <f t="shared" si="5"/>
        <v/>
      </c>
      <c r="O22" s="85" t="str">
        <f t="shared" si="6"/>
        <v/>
      </c>
      <c r="P22" s="64"/>
      <c r="Q22" s="76"/>
      <c r="R22" s="84"/>
    </row>
    <row r="23" spans="3:50" ht="13.5" x14ac:dyDescent="0.3">
      <c r="C23" s="103" t="str">
        <f>IF('NGS Heme'!C20="","",'NGS Heme'!C20)</f>
        <v/>
      </c>
      <c r="D23" s="104" t="str">
        <f>IF(C23="","",'NGS Heme'!F20)</f>
        <v/>
      </c>
      <c r="E23" s="104" t="str">
        <f>IF(C23="","",'NGS Heme'!E20)</f>
        <v/>
      </c>
      <c r="F23" s="76" t="str">
        <f t="shared" si="1"/>
        <v/>
      </c>
      <c r="G23" s="104" t="str">
        <f t="shared" si="0"/>
        <v/>
      </c>
      <c r="H23" s="76" t="str">
        <f t="shared" si="2"/>
        <v/>
      </c>
      <c r="I23" s="183" t="str">
        <f t="shared" si="3"/>
        <v/>
      </c>
      <c r="J23" s="191">
        <v>20</v>
      </c>
      <c r="K23" s="104" t="str">
        <f>IF(Table4[[#This Row],[From Stock (µL)]]&gt;1,"",Table4[[#This Row],[From Stock (µL)]]*10)</f>
        <v/>
      </c>
      <c r="L23" s="76" t="str">
        <f>IF(Table4[[#This Row],[From Stock (µL)]]&gt;1,"",16.8-Table4[[#This Row],[Hide/second dilution]])</f>
        <v/>
      </c>
      <c r="M23" s="90" t="str">
        <f t="shared" si="4"/>
        <v/>
      </c>
      <c r="N23" s="91" t="str">
        <f t="shared" si="5"/>
        <v/>
      </c>
      <c r="O23" s="85" t="str">
        <f t="shared" si="6"/>
        <v/>
      </c>
      <c r="P23" s="65"/>
      <c r="Q23" s="76"/>
      <c r="R23" s="84"/>
    </row>
    <row r="24" spans="3:50" ht="13.5" x14ac:dyDescent="0.3">
      <c r="C24" s="103" t="str">
        <f>IF('NGS Heme'!C21="","",'NGS Heme'!C21)</f>
        <v/>
      </c>
      <c r="D24" s="104" t="str">
        <f>IF(C24="","",'NGS Heme'!F21)</f>
        <v/>
      </c>
      <c r="E24" s="104" t="str">
        <f>IF(C24="","",'NGS Heme'!E21)</f>
        <v/>
      </c>
      <c r="F24" s="76" t="str">
        <f t="shared" ref="F24:F26" si="7">IF(C24="","",IF(E24="FFPE",200,40))</f>
        <v/>
      </c>
      <c r="G24" s="104" t="str">
        <f t="shared" ref="G24:G26" si="8">IF(C24="","",TEXT(F24/17.5,"0.0"))</f>
        <v/>
      </c>
      <c r="H24" s="76" t="str">
        <f t="shared" ref="H24:H26" si="9">IF(C24="","",IF(D24*16.8&gt;F24,F24,D24*16.8))</f>
        <v/>
      </c>
      <c r="I24" s="183" t="str">
        <f t="shared" ref="I24:I26" si="10">IF(C24="","",IF(H24/D24&lt;1,"1:10; then add "&amp;TEXT(H24/D24*10,"0.0")&amp;" µL ",H24/D24))</f>
        <v/>
      </c>
      <c r="J24" s="191">
        <v>21</v>
      </c>
      <c r="K24" s="104" t="str">
        <f>IF(Table4[[#This Row],[From Stock (µL)]]&gt;1,"",Table4[[#This Row],[From Stock (µL)]]*10)</f>
        <v/>
      </c>
      <c r="L24" s="76" t="str">
        <f>IF(Table4[[#This Row],[From Stock (µL)]]&gt;1,"",16.8-Table4[[#This Row],[Hide/second dilution]])</f>
        <v/>
      </c>
      <c r="M24" s="90" t="str">
        <f t="shared" ref="M24:M26" si="11">IF(I24&lt;1,"Dilute sample 10X first, 1 µL stock + 9 µL H2O; then add ","")</f>
        <v/>
      </c>
      <c r="N24" s="91" t="str">
        <f t="shared" ref="N24:N26" si="12">IF(I24&lt;1,"Add "&amp;K24&amp;" ul diluted DNA and "&amp;O24&amp;" ul H2O.","")</f>
        <v/>
      </c>
      <c r="O24" s="85" t="str">
        <f t="shared" ref="O24:O26" si="13">IF(C24="","",IF(H24/D24&lt;1,(16.8-H24/D24*10),(16.8-H24/D24)))</f>
        <v/>
      </c>
      <c r="P24" s="65"/>
      <c r="Q24" s="76"/>
    </row>
    <row r="25" spans="3:50" ht="13.5" x14ac:dyDescent="0.3">
      <c r="C25" s="103" t="str">
        <f>IF('NGS Heme'!C22="","",'NGS Heme'!C22)</f>
        <v/>
      </c>
      <c r="D25" s="104" t="str">
        <f>IF(C25="","",'NGS Heme'!F22)</f>
        <v/>
      </c>
      <c r="E25" s="104" t="str">
        <f>IF(C25="","",'NGS Heme'!E22)</f>
        <v/>
      </c>
      <c r="F25" s="76" t="str">
        <f t="shared" si="7"/>
        <v/>
      </c>
      <c r="G25" s="104" t="str">
        <f t="shared" si="8"/>
        <v/>
      </c>
      <c r="H25" s="76" t="str">
        <f t="shared" si="9"/>
        <v/>
      </c>
      <c r="I25" s="183" t="str">
        <f t="shared" si="10"/>
        <v/>
      </c>
      <c r="J25" s="191">
        <v>22</v>
      </c>
      <c r="K25" s="104" t="str">
        <f>IF(Table4[[#This Row],[From Stock (µL)]]&gt;1,"",Table4[[#This Row],[From Stock (µL)]]*10)</f>
        <v/>
      </c>
      <c r="L25" s="76" t="str">
        <f>IF(Table4[[#This Row],[From Stock (µL)]]&gt;1,"",16.8-Table4[[#This Row],[Hide/second dilution]])</f>
        <v/>
      </c>
      <c r="M25" s="90" t="str">
        <f t="shared" si="11"/>
        <v/>
      </c>
      <c r="N25" s="91" t="str">
        <f t="shared" si="12"/>
        <v/>
      </c>
      <c r="O25" s="85" t="str">
        <f t="shared" si="13"/>
        <v/>
      </c>
      <c r="P25" s="65"/>
      <c r="Q25" s="76"/>
    </row>
    <row r="26" spans="3:50" ht="13.5" x14ac:dyDescent="0.3">
      <c r="C26" s="103" t="str">
        <f>IF('NGS Heme'!C23="","",'NGS Heme'!C23)</f>
        <v/>
      </c>
      <c r="D26" s="104" t="str">
        <f>IF(C26="","",'NGS Heme'!F23)</f>
        <v/>
      </c>
      <c r="E26" s="104" t="str">
        <f>IF(C26="","",'NGS Heme'!E23)</f>
        <v/>
      </c>
      <c r="F26" s="76" t="str">
        <f t="shared" si="7"/>
        <v/>
      </c>
      <c r="G26" s="104" t="str">
        <f t="shared" si="8"/>
        <v/>
      </c>
      <c r="H26" s="76" t="str">
        <f t="shared" si="9"/>
        <v/>
      </c>
      <c r="I26" s="183" t="str">
        <f t="shared" si="10"/>
        <v/>
      </c>
      <c r="J26" s="191">
        <v>23</v>
      </c>
      <c r="K26" s="104" t="str">
        <f>IF(Table4[[#This Row],[From Stock (µL)]]&gt;1,"",Table4[[#This Row],[From Stock (µL)]]*10)</f>
        <v/>
      </c>
      <c r="L26" s="76" t="str">
        <f>IF(Table4[[#This Row],[From Stock (µL)]]&gt;1,"",16.8-Table4[[#This Row],[Hide/second dilution]])</f>
        <v/>
      </c>
      <c r="M26" s="90" t="str">
        <f t="shared" si="11"/>
        <v/>
      </c>
      <c r="N26" s="91" t="str">
        <f t="shared" si="12"/>
        <v/>
      </c>
      <c r="O26" s="85" t="str">
        <f t="shared" si="13"/>
        <v/>
      </c>
      <c r="P26" s="65"/>
      <c r="Q26" s="76"/>
    </row>
    <row r="27" spans="3:50" ht="13.5" x14ac:dyDescent="0.3">
      <c r="C27" s="103" t="str">
        <f>IF('NGS Heme'!C24="","",'NGS Heme'!C24)</f>
        <v/>
      </c>
      <c r="D27" s="104" t="str">
        <f>IF(C27="","",'NGS Heme'!F24)</f>
        <v/>
      </c>
      <c r="E27" s="104" t="str">
        <f>IF(C27="","",'NGS Heme'!E24)</f>
        <v/>
      </c>
      <c r="F27" s="76" t="str">
        <f t="shared" ref="F27" si="14">IF(C27="","",IF(E27="FFPE",200,40))</f>
        <v/>
      </c>
      <c r="G27" s="104" t="str">
        <f t="shared" ref="G27" si="15">IF(C27="","",TEXT(F27/17.5,"0.0"))</f>
        <v/>
      </c>
      <c r="H27" s="76" t="str">
        <f t="shared" ref="H27" si="16">IF(C27="","",IF(D27*16.8&gt;F27,F27,D27*16.8))</f>
        <v/>
      </c>
      <c r="I27" s="183" t="str">
        <f t="shared" ref="I27" si="17">IF(C27="","",IF(H27/D27&lt;1,"1:10; then add "&amp;TEXT(H27/D27*10,"0.0")&amp;" µL ",H27/D27))</f>
        <v/>
      </c>
      <c r="J27" s="191">
        <v>24</v>
      </c>
      <c r="K27" s="104" t="str">
        <f>IF(Table4[[#This Row],[From Stock (µL)]]&gt;1,"",Table4[[#This Row],[From Stock (µL)]]*10)</f>
        <v/>
      </c>
      <c r="L27" s="76" t="str">
        <f>IF(Table4[[#This Row],[From Stock (µL)]]&gt;1,"",16.8-Table4[[#This Row],[Hide/second dilution]])</f>
        <v/>
      </c>
      <c r="M27" s="90" t="str">
        <f t="shared" ref="M27" si="18">IF(I27&lt;1,"Dilute sample 10X first, 1 µL stock + 9 µL H2O; then add ","")</f>
        <v/>
      </c>
      <c r="N27" s="91" t="str">
        <f t="shared" ref="N27" si="19">IF(I27&lt;1,"Add "&amp;K27&amp;" ul diluted DNA and "&amp;O27&amp;" ul H2O.","")</f>
        <v/>
      </c>
      <c r="O27" s="85" t="str">
        <f t="shared" ref="O27" si="20">IF(C27="","",IF(H27/D27&lt;1,(16.8-H27/D27*10),(16.8-H27/D27)))</f>
        <v/>
      </c>
      <c r="P27" s="65"/>
      <c r="Q27" s="76"/>
    </row>
    <row r="28" spans="3:50" ht="19.5" customHeight="1" x14ac:dyDescent="0.3">
      <c r="C28" s="67" t="str">
        <f>IF('NGS Heme'!C22="","",'NGS Heme'!C22)</f>
        <v/>
      </c>
      <c r="D28" s="67" t="str">
        <f>IF(C28="","",'NGS Heme'!F22)</f>
        <v/>
      </c>
      <c r="E28" s="67" t="str">
        <f>IF(C28="","",'NGS Heme'!E22)</f>
        <v/>
      </c>
      <c r="F28" s="67" t="str">
        <f t="shared" ref="F28" si="21">IF(C28="","",IF(E28="FFPE",100,80))</f>
        <v/>
      </c>
      <c r="G28" s="67" t="str">
        <f t="shared" ref="G28:G29" si="22">IF(C28="","",TEXT(F28/17.5,"0.0"))</f>
        <v/>
      </c>
      <c r="H28" s="67" t="str">
        <f t="shared" ref="H28:H30" si="23">IF(C28="","",IF(D28&gt;4.6,80,D28*17.5))</f>
        <v/>
      </c>
      <c r="I28" s="184" t="str">
        <f t="shared" ref="I28:I29" si="24">IF(C28="","",TEXT(H28/D28,"0.0"))</f>
        <v/>
      </c>
      <c r="J28" s="67" t="str">
        <f t="shared" ref="J28:J29" si="25">IF(C28="","",17.5-I28)</f>
        <v/>
      </c>
    </row>
    <row r="29" spans="3:50" ht="13.5" x14ac:dyDescent="0.3">
      <c r="C29" s="67" t="str">
        <f>IF('NGS Heme'!C23="","",'NGS Heme'!C23)</f>
        <v/>
      </c>
      <c r="D29" s="67" t="str">
        <f>IF(C29="","",'NGS Heme'!F23)</f>
        <v/>
      </c>
      <c r="E29" s="67" t="str">
        <f>IF(C29="","",'NGS Heme'!E23)</f>
        <v/>
      </c>
      <c r="G29" s="67" t="str">
        <f t="shared" si="22"/>
        <v/>
      </c>
      <c r="H29" s="67" t="str">
        <f t="shared" si="23"/>
        <v/>
      </c>
      <c r="I29" s="184" t="str">
        <f t="shared" si="24"/>
        <v/>
      </c>
      <c r="J29" s="67" t="str">
        <f t="shared" si="25"/>
        <v/>
      </c>
    </row>
    <row r="30" spans="3:50" ht="13.5" x14ac:dyDescent="0.3">
      <c r="C30" s="67" t="str">
        <f>IF('NGS Heme'!C24="","",'NGS Heme'!C24)</f>
        <v/>
      </c>
      <c r="H30" s="67" t="str">
        <f t="shared" si="23"/>
        <v/>
      </c>
      <c r="I30" s="184"/>
    </row>
    <row r="31" spans="3:50" ht="13.5" x14ac:dyDescent="0.3">
      <c r="C31" s="72" t="s">
        <v>201</v>
      </c>
      <c r="D31" s="74"/>
      <c r="E31" s="74"/>
      <c r="F31" s="74"/>
      <c r="G31" s="74"/>
      <c r="H31" s="74"/>
      <c r="I31" s="155"/>
      <c r="J31" s="74"/>
      <c r="K31" s="74"/>
      <c r="L31" s="74"/>
      <c r="M31" s="74"/>
      <c r="N31" s="74"/>
      <c r="AW31" s="84"/>
      <c r="AX31" s="84"/>
    </row>
    <row r="32" spans="3:50" ht="18" customHeight="1" x14ac:dyDescent="0.3">
      <c r="C32" s="208" t="s">
        <v>112</v>
      </c>
      <c r="D32" s="153" t="s">
        <v>228</v>
      </c>
      <c r="E32" s="153" t="s">
        <v>12</v>
      </c>
      <c r="F32" s="153" t="s">
        <v>179</v>
      </c>
      <c r="G32" s="153" t="s">
        <v>265</v>
      </c>
      <c r="H32" s="153" t="s">
        <v>187</v>
      </c>
      <c r="I32" s="153" t="s">
        <v>229</v>
      </c>
      <c r="J32" s="153" t="s">
        <v>111</v>
      </c>
      <c r="K32" s="153" t="s">
        <v>93</v>
      </c>
      <c r="L32" s="153" t="s">
        <v>33</v>
      </c>
      <c r="M32" s="209" t="s">
        <v>189</v>
      </c>
      <c r="N32" s="210" t="s">
        <v>181</v>
      </c>
      <c r="O32" s="153" t="s">
        <v>230</v>
      </c>
      <c r="P32" s="210" t="s">
        <v>199</v>
      </c>
      <c r="Q32" s="153" t="s">
        <v>198</v>
      </c>
      <c r="AW32" s="84"/>
      <c r="AX32" s="84"/>
    </row>
    <row r="33" spans="3:110" ht="13.5" x14ac:dyDescent="0.3">
      <c r="C33" s="80" t="s">
        <v>272</v>
      </c>
      <c r="D33" s="81"/>
      <c r="E33" s="81"/>
      <c r="F33" s="81"/>
      <c r="G33" s="81"/>
      <c r="H33" s="81"/>
      <c r="I33" s="185"/>
      <c r="J33" s="192">
        <v>1</v>
      </c>
      <c r="K33" s="81"/>
      <c r="L33" s="81"/>
      <c r="M33" s="82"/>
      <c r="N33" s="83"/>
      <c r="O33" s="81">
        <v>16.8</v>
      </c>
      <c r="P33" s="76"/>
      <c r="Q33" s="76"/>
      <c r="AW33" s="84"/>
      <c r="AX33" s="84"/>
    </row>
    <row r="34" spans="3:110" ht="13.5" x14ac:dyDescent="0.3">
      <c r="C34" s="89" t="str">
        <f>IF('NGS Common - B'!C2="","",'NGS Common - B'!C2)</f>
        <v>C00030B</v>
      </c>
      <c r="D34" s="76" t="str">
        <f>IF(C34="","",'NGS Common - B'!F2)</f>
        <v>5.0</v>
      </c>
      <c r="E34" s="76" t="str">
        <f>IF(C34="","",'NGS Common - B'!E2)</f>
        <v>DNA</v>
      </c>
      <c r="F34" s="76">
        <f>IF(C34="","",IF(E34="FFPE",100,40))</f>
        <v>40</v>
      </c>
      <c r="G34" s="76" t="str">
        <f>IF(C34="","",TEXT(F34/17.5,"0.0"))</f>
        <v>2.3</v>
      </c>
      <c r="H34" s="76">
        <f>IF(Table5[[#This Row],[DNA '#]]="","",IF(D34*16.8&gt;F34,F34,D34*16.8))</f>
        <v>40</v>
      </c>
      <c r="I34" s="183">
        <f t="shared" ref="I34:I55" si="26">IF(C34="","",IF(H34/D34&lt;1,"1:10; then add "&amp;TEXT(H34/D34*10,"0.0")&amp;" µL ",H34/D34))</f>
        <v>8</v>
      </c>
      <c r="J34" s="192">
        <v>2</v>
      </c>
      <c r="K34" s="76" t="str">
        <f>IF(I34&gt;1,"",I34*10)</f>
        <v/>
      </c>
      <c r="L34" s="76" t="str">
        <f>IF(I34&gt;1,"",16.8-I34)</f>
        <v/>
      </c>
      <c r="M34" s="90" t="str">
        <f t="shared" ref="M34:M55" si="27">IF(I34&lt;1,"Dilute sample 10X first, 1 µL stock DNA + 9 µL H2O","")</f>
        <v/>
      </c>
      <c r="N34" s="91" t="str">
        <f>IF(I34&lt;1,"Add "&amp;K34&amp;" ul diluted DNA and "&amp;O34&amp;" ul H2O.","")</f>
        <v/>
      </c>
      <c r="O34" s="85">
        <f>IF(C34="","",IF(H34/D34&lt;1,(16.8-H34/D34*10),(16.8-H34/D34)))</f>
        <v>8.8000000000000007</v>
      </c>
      <c r="P34" s="76"/>
      <c r="Q34" s="76"/>
      <c r="AW34" s="84"/>
      <c r="AX34" s="84"/>
      <c r="DF34" s="67" t="s">
        <v>220</v>
      </c>
    </row>
    <row r="35" spans="3:110" ht="13.5" x14ac:dyDescent="0.3">
      <c r="C35" s="89" t="str">
        <f>IF('NGS Common - B'!C3="","",'NGS Common - B'!C3)</f>
        <v>S1</v>
      </c>
      <c r="D35" s="76">
        <f>IF(C35="","",'NGS Common - B'!F3)</f>
        <v>205.8</v>
      </c>
      <c r="E35" s="76" t="str">
        <f>IF(C35="","",'NGS Common - B'!E3)</f>
        <v>Bone Marrow</v>
      </c>
      <c r="F35" s="76">
        <f t="shared" ref="F35:F55" si="28">IF(C35="","",IF(E35="FFPE",100,40))</f>
        <v>40</v>
      </c>
      <c r="G35" s="76" t="str">
        <f t="shared" ref="G35:G52" si="29">IF(C35="","",TEXT(F35/17.5,"0.0"))</f>
        <v>2.3</v>
      </c>
      <c r="H35" s="76">
        <f>IF(Table5[[#This Row],[DNA '#]]="","",IF(D35*16.8&gt;F35,F35,D35*16.8))</f>
        <v>40</v>
      </c>
      <c r="I35" s="183" t="str">
        <f t="shared" si="26"/>
        <v xml:space="preserve">1:10; then add 1.9 µL </v>
      </c>
      <c r="J35" s="192">
        <v>3</v>
      </c>
      <c r="K35" s="76" t="str">
        <f t="shared" ref="K35:K55" si="30">IF(I35&gt;1,"",I35*10)</f>
        <v/>
      </c>
      <c r="L35" s="76" t="str">
        <f t="shared" ref="L35:L55" si="31">IF(I35&gt;1,"",16.8-I35)</f>
        <v/>
      </c>
      <c r="M35" s="90" t="str">
        <f t="shared" si="27"/>
        <v/>
      </c>
      <c r="N35" s="91" t="str">
        <f t="shared" ref="N35:N55" si="32">IF(I35&lt;1,"Add "&amp;K35&amp;" ul diluted DNA and "&amp;O35&amp;" ul H2O.","")</f>
        <v/>
      </c>
      <c r="O35" s="85">
        <f t="shared" ref="O35:O55" si="33">IF(C35="","",IF(H35/D35&lt;1,(16.8-H35/D35*10),(16.8-H35/D35)))</f>
        <v>14.85636540330418</v>
      </c>
      <c r="P35" s="76"/>
      <c r="Q35" s="76"/>
      <c r="AW35" s="84"/>
      <c r="AX35" s="84"/>
      <c r="DF35" s="67" t="str">
        <f>IF('NGS Run Record'!E88&lt;12,"B12","C12")</f>
        <v>B12</v>
      </c>
    </row>
    <row r="36" spans="3:110" ht="13.5" x14ac:dyDescent="0.3">
      <c r="C36" s="89" t="str">
        <f>IF('NGS Common - B'!C4="","",'NGS Common - B'!C4)</f>
        <v>S2</v>
      </c>
      <c r="D36" s="76">
        <f>IF(C36="","",'NGS Common - B'!F4)</f>
        <v>24</v>
      </c>
      <c r="E36" s="76" t="str">
        <f>IF(C36="","",'NGS Common - B'!E4)</f>
        <v>Bone Marrow</v>
      </c>
      <c r="F36" s="76">
        <f t="shared" si="28"/>
        <v>40</v>
      </c>
      <c r="G36" s="76" t="str">
        <f t="shared" si="29"/>
        <v>2.3</v>
      </c>
      <c r="H36" s="76">
        <f>IF(Table5[[#This Row],[DNA '#]]="","",IF(D36*16.8&gt;F36,F36,D36*16.8))</f>
        <v>40</v>
      </c>
      <c r="I36" s="183">
        <f t="shared" si="26"/>
        <v>1.6666666666666667</v>
      </c>
      <c r="J36" s="192">
        <v>4</v>
      </c>
      <c r="K36" s="76" t="str">
        <f t="shared" si="30"/>
        <v/>
      </c>
      <c r="L36" s="76" t="str">
        <f t="shared" si="31"/>
        <v/>
      </c>
      <c r="M36" s="90" t="str">
        <f t="shared" si="27"/>
        <v/>
      </c>
      <c r="N36" s="91" t="str">
        <f t="shared" si="32"/>
        <v/>
      </c>
      <c r="O36" s="85">
        <f t="shared" si="33"/>
        <v>15.133333333333335</v>
      </c>
      <c r="P36" s="76"/>
      <c r="Q36" s="76"/>
      <c r="AW36" s="84"/>
      <c r="AX36" s="84"/>
    </row>
    <row r="37" spans="3:110" ht="13.5" x14ac:dyDescent="0.3">
      <c r="C37" s="89" t="str">
        <f>IF('NGS Common - B'!C5="","",'NGS Common - B'!C5)</f>
        <v>S3</v>
      </c>
      <c r="D37" s="76">
        <f>IF(C37="","",'NGS Common - B'!F5)</f>
        <v>29</v>
      </c>
      <c r="E37" s="76" t="str">
        <f>IF(C37="","",'NGS Common - B'!E5)</f>
        <v>Bone Marrow</v>
      </c>
      <c r="F37" s="76">
        <f t="shared" si="28"/>
        <v>40</v>
      </c>
      <c r="G37" s="76" t="str">
        <f t="shared" si="29"/>
        <v>2.3</v>
      </c>
      <c r="H37" s="76">
        <f>IF(Table5[[#This Row],[DNA '#]]="","",IF(D37*16.8&gt;F37,F37,D37*16.8))</f>
        <v>40</v>
      </c>
      <c r="I37" s="183">
        <f t="shared" si="26"/>
        <v>1.3793103448275863</v>
      </c>
      <c r="J37" s="192">
        <v>5</v>
      </c>
      <c r="K37" s="76" t="str">
        <f t="shared" si="30"/>
        <v/>
      </c>
      <c r="L37" s="76" t="str">
        <f t="shared" si="31"/>
        <v/>
      </c>
      <c r="M37" s="90" t="str">
        <f t="shared" si="27"/>
        <v/>
      </c>
      <c r="N37" s="91" t="str">
        <f t="shared" si="32"/>
        <v/>
      </c>
      <c r="O37" s="85">
        <f t="shared" si="33"/>
        <v>15.420689655172414</v>
      </c>
      <c r="P37" s="76"/>
      <c r="Q37" s="76"/>
      <c r="AW37" s="84"/>
      <c r="AX37" s="84"/>
    </row>
    <row r="38" spans="3:110" ht="13.5" x14ac:dyDescent="0.3">
      <c r="C38" s="89" t="str">
        <f>IF('NGS Common - B'!C6="","",'NGS Common - B'!C6)</f>
        <v/>
      </c>
      <c r="D38" s="76" t="str">
        <f>IF(C38="","",'NGS Common - B'!F6)</f>
        <v/>
      </c>
      <c r="E38" s="76" t="str">
        <f>IF(C38="","",'NGS Common - B'!E6)</f>
        <v/>
      </c>
      <c r="F38" s="76" t="str">
        <f t="shared" si="28"/>
        <v/>
      </c>
      <c r="G38" s="76" t="str">
        <f t="shared" si="29"/>
        <v/>
      </c>
      <c r="H38" s="76" t="str">
        <f>IF(Table5[[#This Row],[DNA '#]]="","",IF(D38*16.8&gt;F38,F38,D38*16.8))</f>
        <v/>
      </c>
      <c r="I38" s="183" t="str">
        <f t="shared" si="26"/>
        <v/>
      </c>
      <c r="J38" s="192">
        <v>6</v>
      </c>
      <c r="K38" s="76" t="str">
        <f t="shared" si="30"/>
        <v/>
      </c>
      <c r="L38" s="76" t="str">
        <f t="shared" si="31"/>
        <v/>
      </c>
      <c r="M38" s="90" t="str">
        <f t="shared" si="27"/>
        <v/>
      </c>
      <c r="N38" s="91" t="str">
        <f t="shared" si="32"/>
        <v/>
      </c>
      <c r="O38" s="85" t="str">
        <f t="shared" si="33"/>
        <v/>
      </c>
      <c r="P38" s="76"/>
      <c r="Q38" s="76"/>
      <c r="AW38" s="84"/>
      <c r="AX38" s="84"/>
    </row>
    <row r="39" spans="3:110" ht="13.5" x14ac:dyDescent="0.3">
      <c r="C39" s="89" t="str">
        <f>IF('NGS Common - B'!C7="","",'NGS Common - B'!C7)</f>
        <v/>
      </c>
      <c r="D39" s="76" t="str">
        <f>IF(C39="","",'NGS Common - B'!F7)</f>
        <v/>
      </c>
      <c r="E39" s="76" t="str">
        <f>IF(C39="","",'NGS Common - B'!E7)</f>
        <v/>
      </c>
      <c r="F39" s="76" t="str">
        <f t="shared" si="28"/>
        <v/>
      </c>
      <c r="G39" s="76" t="str">
        <f t="shared" si="29"/>
        <v/>
      </c>
      <c r="H39" s="76" t="str">
        <f>IF(Table5[[#This Row],[DNA '#]]="","",IF(D39*16.8&gt;F39,F39,D39*16.8))</f>
        <v/>
      </c>
      <c r="I39" s="183" t="str">
        <f t="shared" si="26"/>
        <v/>
      </c>
      <c r="J39" s="192">
        <v>7</v>
      </c>
      <c r="K39" s="76" t="str">
        <f t="shared" si="30"/>
        <v/>
      </c>
      <c r="L39" s="76" t="str">
        <f t="shared" si="31"/>
        <v/>
      </c>
      <c r="M39" s="90" t="str">
        <f t="shared" si="27"/>
        <v/>
      </c>
      <c r="N39" s="91" t="str">
        <f t="shared" si="32"/>
        <v/>
      </c>
      <c r="O39" s="85" t="str">
        <f t="shared" si="33"/>
        <v/>
      </c>
      <c r="P39" s="76"/>
      <c r="Q39" s="76"/>
      <c r="AW39" s="84"/>
      <c r="AX39" s="84"/>
    </row>
    <row r="40" spans="3:110" ht="13.5" x14ac:dyDescent="0.3">
      <c r="C40" s="89" t="str">
        <f>IF('NGS Common - B'!C8="","",'NGS Common - B'!C8)</f>
        <v/>
      </c>
      <c r="D40" s="76" t="str">
        <f>IF(C40="","",'NGS Common - B'!F8)</f>
        <v/>
      </c>
      <c r="E40" s="76" t="str">
        <f>IF(C40="","",'NGS Common - B'!E8)</f>
        <v/>
      </c>
      <c r="F40" s="76" t="str">
        <f t="shared" si="28"/>
        <v/>
      </c>
      <c r="G40" s="76" t="str">
        <f t="shared" si="29"/>
        <v/>
      </c>
      <c r="H40" s="76" t="str">
        <f>IF(Table5[[#This Row],[DNA '#]]="","",IF(D40*16.8&gt;F40,F40,D40*16.8))</f>
        <v/>
      </c>
      <c r="I40" s="183" t="str">
        <f t="shared" si="26"/>
        <v/>
      </c>
      <c r="J40" s="192">
        <v>8</v>
      </c>
      <c r="K40" s="76" t="str">
        <f t="shared" si="30"/>
        <v/>
      </c>
      <c r="L40" s="76" t="str">
        <f t="shared" si="31"/>
        <v/>
      </c>
      <c r="M40" s="90" t="str">
        <f t="shared" si="27"/>
        <v/>
      </c>
      <c r="N40" s="91" t="str">
        <f t="shared" si="32"/>
        <v/>
      </c>
      <c r="O40" s="85" t="str">
        <f t="shared" si="33"/>
        <v/>
      </c>
      <c r="P40" s="76"/>
      <c r="Q40" s="76"/>
    </row>
    <row r="41" spans="3:110" ht="13.5" x14ac:dyDescent="0.3">
      <c r="C41" s="89" t="str">
        <f>IF('NGS Common - B'!C9="","",'NGS Common - B'!C9)</f>
        <v/>
      </c>
      <c r="D41" s="76" t="str">
        <f>IF(C41="","",'NGS Common - B'!F9)</f>
        <v/>
      </c>
      <c r="E41" s="76" t="str">
        <f>IF(C41="","",'NGS Common - B'!E9)</f>
        <v/>
      </c>
      <c r="F41" s="76" t="str">
        <f t="shared" si="28"/>
        <v/>
      </c>
      <c r="G41" s="76" t="str">
        <f t="shared" si="29"/>
        <v/>
      </c>
      <c r="H41" s="76" t="str">
        <f>IF(Table5[[#This Row],[DNA '#]]="","",IF(D41*16.8&gt;F41,F41,D41*16.8))</f>
        <v/>
      </c>
      <c r="I41" s="183" t="str">
        <f t="shared" si="26"/>
        <v/>
      </c>
      <c r="J41" s="192">
        <v>9</v>
      </c>
      <c r="K41" s="76" t="str">
        <f t="shared" si="30"/>
        <v/>
      </c>
      <c r="L41" s="76" t="str">
        <f t="shared" si="31"/>
        <v/>
      </c>
      <c r="M41" s="90" t="str">
        <f t="shared" si="27"/>
        <v/>
      </c>
      <c r="N41" s="91" t="str">
        <f t="shared" si="32"/>
        <v/>
      </c>
      <c r="O41" s="85" t="str">
        <f t="shared" si="33"/>
        <v/>
      </c>
      <c r="P41" s="76"/>
      <c r="Q41" s="76"/>
    </row>
    <row r="42" spans="3:110" ht="13.5" x14ac:dyDescent="0.3">
      <c r="C42" s="89" t="str">
        <f>IF('NGS Common - B'!C10="","",'NGS Common - B'!C10)</f>
        <v/>
      </c>
      <c r="D42" s="76" t="str">
        <f>IF(C42="","",'NGS Common - B'!F10)</f>
        <v/>
      </c>
      <c r="E42" s="76" t="str">
        <f>IF(C42="","",'NGS Common - B'!E10)</f>
        <v/>
      </c>
      <c r="F42" s="76" t="str">
        <f t="shared" si="28"/>
        <v/>
      </c>
      <c r="G42" s="76" t="str">
        <f t="shared" si="29"/>
        <v/>
      </c>
      <c r="H42" s="76" t="str">
        <f>IF(Table5[[#This Row],[DNA '#]]="","",IF(D42*16.8&gt;F42,F42,D42*16.8))</f>
        <v/>
      </c>
      <c r="I42" s="183" t="str">
        <f t="shared" si="26"/>
        <v/>
      </c>
      <c r="J42" s="192">
        <v>10</v>
      </c>
      <c r="K42" s="76" t="str">
        <f t="shared" si="30"/>
        <v/>
      </c>
      <c r="L42" s="76" t="str">
        <f t="shared" si="31"/>
        <v/>
      </c>
      <c r="M42" s="90" t="str">
        <f t="shared" si="27"/>
        <v/>
      </c>
      <c r="N42" s="91" t="str">
        <f t="shared" si="32"/>
        <v/>
      </c>
      <c r="O42" s="85" t="str">
        <f t="shared" si="33"/>
        <v/>
      </c>
      <c r="P42" s="76"/>
      <c r="Q42" s="76"/>
    </row>
    <row r="43" spans="3:110" ht="13.5" x14ac:dyDescent="0.3">
      <c r="C43" s="89" t="str">
        <f>IF('NGS Common - B'!C11="","",'NGS Common - B'!C11)</f>
        <v/>
      </c>
      <c r="D43" s="76" t="str">
        <f>IF(C43="","",'NGS Common - B'!F11)</f>
        <v/>
      </c>
      <c r="E43" s="76" t="str">
        <f>IF(C43="","",'NGS Common - B'!E11)</f>
        <v/>
      </c>
      <c r="F43" s="76" t="str">
        <f t="shared" si="28"/>
        <v/>
      </c>
      <c r="G43" s="76" t="str">
        <f t="shared" si="29"/>
        <v/>
      </c>
      <c r="H43" s="76" t="str">
        <f>IF(Table5[[#This Row],[DNA '#]]="","",IF(D43*16.8&gt;F43,F43,D43*16.8))</f>
        <v/>
      </c>
      <c r="I43" s="183" t="str">
        <f t="shared" si="26"/>
        <v/>
      </c>
      <c r="J43" s="192">
        <v>11</v>
      </c>
      <c r="K43" s="76" t="str">
        <f t="shared" si="30"/>
        <v/>
      </c>
      <c r="L43" s="76" t="str">
        <f t="shared" si="31"/>
        <v/>
      </c>
      <c r="M43" s="90" t="str">
        <f t="shared" si="27"/>
        <v/>
      </c>
      <c r="N43" s="91" t="str">
        <f t="shared" si="32"/>
        <v/>
      </c>
      <c r="O43" s="85" t="str">
        <f t="shared" si="33"/>
        <v/>
      </c>
      <c r="P43" s="76"/>
      <c r="Q43" s="76"/>
    </row>
    <row r="44" spans="3:110" ht="13.5" x14ac:dyDescent="0.3">
      <c r="C44" s="89" t="str">
        <f>IF('NGS Common - B'!C12="","",'NGS Common - B'!C12)</f>
        <v/>
      </c>
      <c r="D44" s="76" t="str">
        <f>IF(C44="","",'NGS Common - B'!F12)</f>
        <v/>
      </c>
      <c r="E44" s="76" t="str">
        <f>IF(C44="","",'NGS Common - B'!E12)</f>
        <v/>
      </c>
      <c r="F44" s="76" t="str">
        <f t="shared" si="28"/>
        <v/>
      </c>
      <c r="G44" s="76" t="str">
        <f t="shared" si="29"/>
        <v/>
      </c>
      <c r="H44" s="76" t="str">
        <f>IF(Table5[[#This Row],[DNA '#]]="","",IF(D44*16.8&gt;F44,F44,D44*16.8))</f>
        <v/>
      </c>
      <c r="I44" s="183" t="str">
        <f t="shared" si="26"/>
        <v/>
      </c>
      <c r="J44" s="192">
        <v>12</v>
      </c>
      <c r="K44" s="76" t="str">
        <f t="shared" si="30"/>
        <v/>
      </c>
      <c r="L44" s="76" t="str">
        <f t="shared" si="31"/>
        <v/>
      </c>
      <c r="M44" s="90" t="str">
        <f t="shared" si="27"/>
        <v/>
      </c>
      <c r="N44" s="91" t="str">
        <f t="shared" si="32"/>
        <v/>
      </c>
      <c r="O44" s="85" t="str">
        <f t="shared" si="33"/>
        <v/>
      </c>
      <c r="P44" s="76"/>
      <c r="Q44" s="76"/>
      <c r="AW44" s="84"/>
      <c r="AX44" s="84"/>
    </row>
    <row r="45" spans="3:110" ht="13.5" x14ac:dyDescent="0.3">
      <c r="C45" s="89" t="str">
        <f>IF('NGS Common - B'!C13="","",'NGS Common - B'!C13)</f>
        <v/>
      </c>
      <c r="D45" s="76" t="str">
        <f>IF(C45="","",'NGS Common - B'!F13)</f>
        <v/>
      </c>
      <c r="E45" s="76" t="str">
        <f>IF(C45="","",'NGS Common - B'!E13)</f>
        <v/>
      </c>
      <c r="F45" s="76" t="str">
        <f t="shared" si="28"/>
        <v/>
      </c>
      <c r="G45" s="76" t="str">
        <f t="shared" si="29"/>
        <v/>
      </c>
      <c r="H45" s="76" t="str">
        <f>IF(Table5[[#This Row],[DNA '#]]="","",IF(D45*16.8&gt;F45,F45,D45*16.8))</f>
        <v/>
      </c>
      <c r="I45" s="183" t="str">
        <f t="shared" si="26"/>
        <v/>
      </c>
      <c r="J45" s="192">
        <v>13</v>
      </c>
      <c r="K45" s="76" t="str">
        <f t="shared" si="30"/>
        <v/>
      </c>
      <c r="L45" s="76" t="str">
        <f t="shared" si="31"/>
        <v/>
      </c>
      <c r="M45" s="90" t="str">
        <f t="shared" si="27"/>
        <v/>
      </c>
      <c r="N45" s="91" t="str">
        <f t="shared" si="32"/>
        <v/>
      </c>
      <c r="O45" s="85" t="str">
        <f t="shared" si="33"/>
        <v/>
      </c>
      <c r="P45" s="106"/>
      <c r="Q45" s="76"/>
      <c r="AW45" s="84"/>
      <c r="AX45" s="84"/>
      <c r="DF45" s="67" t="s">
        <v>220</v>
      </c>
    </row>
    <row r="46" spans="3:110" ht="13.5" x14ac:dyDescent="0.3">
      <c r="C46" s="89" t="str">
        <f>IF('NGS Common - B'!C14="","",'NGS Common - B'!C14)</f>
        <v/>
      </c>
      <c r="D46" s="76" t="str">
        <f>IF(C46="","",'NGS Common - B'!F14)</f>
        <v/>
      </c>
      <c r="E46" s="76" t="str">
        <f>IF(C46="","",'NGS Common - B'!E14)</f>
        <v/>
      </c>
      <c r="F46" s="76" t="str">
        <f t="shared" si="28"/>
        <v/>
      </c>
      <c r="G46" s="76" t="str">
        <f t="shared" si="29"/>
        <v/>
      </c>
      <c r="H46" s="76" t="str">
        <f>IF(Table5[[#This Row],[DNA '#]]="","",IF(D46*16.8&gt;F46,F46,D46*16.8))</f>
        <v/>
      </c>
      <c r="I46" s="183" t="str">
        <f t="shared" si="26"/>
        <v/>
      </c>
      <c r="J46" s="192">
        <v>14</v>
      </c>
      <c r="K46" s="76" t="str">
        <f t="shared" si="30"/>
        <v/>
      </c>
      <c r="L46" s="76" t="str">
        <f t="shared" si="31"/>
        <v/>
      </c>
      <c r="M46" s="90" t="str">
        <f t="shared" si="27"/>
        <v/>
      </c>
      <c r="N46" s="91" t="str">
        <f t="shared" si="32"/>
        <v/>
      </c>
      <c r="O46" s="85" t="str">
        <f t="shared" si="33"/>
        <v/>
      </c>
      <c r="P46" s="106"/>
      <c r="Q46" s="76"/>
      <c r="AW46" s="84"/>
      <c r="AX46" s="84"/>
      <c r="DF46" s="67" t="str">
        <f>IF('NGS Run Record'!E89&lt;12,"B12",IF('NGS Run Record'!E89&lt;24,"C12"))</f>
        <v>B12</v>
      </c>
    </row>
    <row r="47" spans="3:110" ht="13.5" x14ac:dyDescent="0.3">
      <c r="C47" s="89" t="str">
        <f>IF('NGS Common - B'!C15="","",'NGS Common - B'!C15)</f>
        <v/>
      </c>
      <c r="D47" s="76" t="str">
        <f>IF(C47="","",'NGS Common - B'!F15)</f>
        <v/>
      </c>
      <c r="E47" s="76" t="str">
        <f>IF(C47="","",'NGS Common - B'!E15)</f>
        <v/>
      </c>
      <c r="F47" s="76" t="str">
        <f t="shared" si="28"/>
        <v/>
      </c>
      <c r="G47" s="76" t="str">
        <f t="shared" si="29"/>
        <v/>
      </c>
      <c r="H47" s="76" t="str">
        <f>IF(Table5[[#This Row],[DNA '#]]="","",IF(D47*16.8&gt;F47,F47,D47*16.8))</f>
        <v/>
      </c>
      <c r="I47" s="183" t="str">
        <f t="shared" si="26"/>
        <v/>
      </c>
      <c r="J47" s="192">
        <v>15</v>
      </c>
      <c r="K47" s="76" t="str">
        <f t="shared" si="30"/>
        <v/>
      </c>
      <c r="L47" s="76" t="str">
        <f t="shared" si="31"/>
        <v/>
      </c>
      <c r="M47" s="90" t="str">
        <f t="shared" si="27"/>
        <v/>
      </c>
      <c r="N47" s="91" t="str">
        <f t="shared" si="32"/>
        <v/>
      </c>
      <c r="O47" s="85" t="str">
        <f t="shared" si="33"/>
        <v/>
      </c>
      <c r="P47" s="106"/>
      <c r="Q47" s="76"/>
      <c r="AW47" s="84"/>
      <c r="AX47" s="84"/>
    </row>
    <row r="48" spans="3:110" ht="13.5" x14ac:dyDescent="0.3">
      <c r="C48" s="89" t="str">
        <f>IF('NGS Common - B'!C16="","",'NGS Common - B'!C16)</f>
        <v/>
      </c>
      <c r="D48" s="76" t="str">
        <f>IF(C48="","",'NGS Common - B'!F16)</f>
        <v/>
      </c>
      <c r="E48" s="76" t="str">
        <f>IF(C48="","",'NGS Common - B'!E16)</f>
        <v/>
      </c>
      <c r="F48" s="76" t="str">
        <f t="shared" si="28"/>
        <v/>
      </c>
      <c r="G48" s="76" t="str">
        <f t="shared" si="29"/>
        <v/>
      </c>
      <c r="H48" s="76" t="str">
        <f>IF(Table5[[#This Row],[DNA '#]]="","",IF(D48*16.8&gt;F48,F48,D48*16.8))</f>
        <v/>
      </c>
      <c r="I48" s="183" t="str">
        <f t="shared" si="26"/>
        <v/>
      </c>
      <c r="J48" s="192">
        <v>16</v>
      </c>
      <c r="K48" s="76" t="str">
        <f t="shared" si="30"/>
        <v/>
      </c>
      <c r="L48" s="76" t="str">
        <f t="shared" si="31"/>
        <v/>
      </c>
      <c r="M48" s="90" t="str">
        <f t="shared" si="27"/>
        <v/>
      </c>
      <c r="N48" s="91" t="str">
        <f t="shared" si="32"/>
        <v/>
      </c>
      <c r="O48" s="85" t="str">
        <f t="shared" si="33"/>
        <v/>
      </c>
      <c r="P48" s="106"/>
      <c r="Q48" s="76"/>
      <c r="AW48" s="84"/>
      <c r="AX48" s="84"/>
    </row>
    <row r="49" spans="3:110" ht="13.5" x14ac:dyDescent="0.3">
      <c r="C49" s="89" t="str">
        <f>IF('NGS Common - B'!C17="","",'NGS Common - B'!C17)</f>
        <v/>
      </c>
      <c r="D49" s="76" t="str">
        <f>IF(C49="","",'NGS Common - B'!F17)</f>
        <v/>
      </c>
      <c r="E49" s="76" t="str">
        <f>IF(C49="","",'NGS Common - B'!E17)</f>
        <v/>
      </c>
      <c r="F49" s="76" t="str">
        <f t="shared" si="28"/>
        <v/>
      </c>
      <c r="G49" s="76" t="str">
        <f t="shared" si="29"/>
        <v/>
      </c>
      <c r="H49" s="76" t="str">
        <f>IF(Table5[[#This Row],[DNA '#]]="","",IF(D49*16.8&gt;F49,F49,D49*16.8))</f>
        <v/>
      </c>
      <c r="I49" s="183" t="str">
        <f t="shared" si="26"/>
        <v/>
      </c>
      <c r="J49" s="192">
        <v>17</v>
      </c>
      <c r="K49" s="76" t="str">
        <f t="shared" si="30"/>
        <v/>
      </c>
      <c r="L49" s="76" t="str">
        <f t="shared" si="31"/>
        <v/>
      </c>
      <c r="M49" s="90" t="str">
        <f t="shared" si="27"/>
        <v/>
      </c>
      <c r="N49" s="91" t="str">
        <f t="shared" si="32"/>
        <v/>
      </c>
      <c r="O49" s="85" t="str">
        <f t="shared" si="33"/>
        <v/>
      </c>
      <c r="P49" s="106"/>
      <c r="Q49" s="76"/>
      <c r="AW49" s="84"/>
      <c r="AX49" s="84"/>
    </row>
    <row r="50" spans="3:110" ht="13.5" x14ac:dyDescent="0.3">
      <c r="C50" s="89" t="str">
        <f>IF('NGS Common - B'!C18="","",'NGS Common - B'!C18)</f>
        <v/>
      </c>
      <c r="D50" s="76" t="str">
        <f>IF(C50="","",'NGS Common - B'!F18)</f>
        <v/>
      </c>
      <c r="E50" s="76" t="str">
        <f>IF(C50="","",'NGS Common - B'!E18)</f>
        <v/>
      </c>
      <c r="F50" s="76" t="str">
        <f t="shared" si="28"/>
        <v/>
      </c>
      <c r="G50" s="76" t="str">
        <f t="shared" si="29"/>
        <v/>
      </c>
      <c r="H50" s="76" t="str">
        <f>IF(Table5[[#This Row],[DNA '#]]="","",IF(D50*16.8&gt;F50,F50,D50*16.8))</f>
        <v/>
      </c>
      <c r="I50" s="183" t="str">
        <f t="shared" si="26"/>
        <v/>
      </c>
      <c r="J50" s="192">
        <v>18</v>
      </c>
      <c r="K50" s="76" t="str">
        <f t="shared" si="30"/>
        <v/>
      </c>
      <c r="L50" s="76" t="str">
        <f t="shared" si="31"/>
        <v/>
      </c>
      <c r="M50" s="90" t="str">
        <f t="shared" si="27"/>
        <v/>
      </c>
      <c r="N50" s="91" t="str">
        <f t="shared" si="32"/>
        <v/>
      </c>
      <c r="O50" s="85" t="str">
        <f t="shared" si="33"/>
        <v/>
      </c>
      <c r="P50" s="106"/>
      <c r="Q50" s="76"/>
      <c r="AW50" s="84"/>
      <c r="AX50" s="84"/>
    </row>
    <row r="51" spans="3:110" ht="13.5" x14ac:dyDescent="0.3">
      <c r="C51" s="89" t="str">
        <f>IF('NGS Common - B'!C19="","",'NGS Common - B'!C19)</f>
        <v/>
      </c>
      <c r="D51" s="76" t="str">
        <f>IF(C51="","",'NGS Common - B'!F19)</f>
        <v/>
      </c>
      <c r="E51" s="76" t="str">
        <f>IF(C51="","",'NGS Common - B'!E19)</f>
        <v/>
      </c>
      <c r="F51" s="76" t="str">
        <f t="shared" si="28"/>
        <v/>
      </c>
      <c r="G51" s="76" t="str">
        <f t="shared" si="29"/>
        <v/>
      </c>
      <c r="H51" s="76" t="str">
        <f>IF(Table5[[#This Row],[DNA '#]]="","",IF(D51*16.8&gt;F51,F51,D51*16.8))</f>
        <v/>
      </c>
      <c r="I51" s="183" t="str">
        <f t="shared" si="26"/>
        <v/>
      </c>
      <c r="J51" s="192">
        <v>19</v>
      </c>
      <c r="K51" s="76" t="str">
        <f t="shared" si="30"/>
        <v/>
      </c>
      <c r="L51" s="76" t="str">
        <f t="shared" si="31"/>
        <v/>
      </c>
      <c r="M51" s="90" t="str">
        <f t="shared" si="27"/>
        <v/>
      </c>
      <c r="N51" s="91" t="str">
        <f t="shared" si="32"/>
        <v/>
      </c>
      <c r="O51" s="85" t="str">
        <f t="shared" si="33"/>
        <v/>
      </c>
      <c r="P51" s="106"/>
      <c r="Q51" s="76"/>
      <c r="AW51" s="84"/>
      <c r="AX51" s="84"/>
    </row>
    <row r="52" spans="3:110" ht="13.5" x14ac:dyDescent="0.3">
      <c r="C52" s="89" t="str">
        <f>IF('NGS Common - B'!C20="","",'NGS Common - B'!C20)</f>
        <v/>
      </c>
      <c r="D52" s="76" t="str">
        <f>IF(C52="","",'NGS Common - B'!F20)</f>
        <v/>
      </c>
      <c r="E52" s="76" t="str">
        <f>IF(C52="","",'NGS Common - B'!E20)</f>
        <v/>
      </c>
      <c r="F52" s="76" t="str">
        <f t="shared" si="28"/>
        <v/>
      </c>
      <c r="G52" s="76" t="str">
        <f t="shared" si="29"/>
        <v/>
      </c>
      <c r="H52" s="76" t="str">
        <f>IF(Table5[[#This Row],[DNA '#]]="","",IF(D52*16.8&gt;F52,F52,D52*16.8))</f>
        <v/>
      </c>
      <c r="I52" s="183" t="str">
        <f t="shared" si="26"/>
        <v/>
      </c>
      <c r="J52" s="192">
        <v>20</v>
      </c>
      <c r="K52" s="76" t="str">
        <f t="shared" si="30"/>
        <v/>
      </c>
      <c r="L52" s="76" t="str">
        <f t="shared" si="31"/>
        <v/>
      </c>
      <c r="M52" s="90" t="str">
        <f t="shared" si="27"/>
        <v/>
      </c>
      <c r="N52" s="91" t="str">
        <f t="shared" si="32"/>
        <v/>
      </c>
      <c r="O52" s="85" t="str">
        <f t="shared" si="33"/>
        <v/>
      </c>
      <c r="P52" s="106"/>
      <c r="Q52" s="76"/>
      <c r="AW52" s="84"/>
      <c r="AX52" s="84"/>
    </row>
    <row r="53" spans="3:110" ht="13.5" x14ac:dyDescent="0.3">
      <c r="C53" s="89" t="str">
        <f>IF('NGS Common - B'!C21="","",'NGS Common - B'!C21)</f>
        <v/>
      </c>
      <c r="D53" s="76" t="str">
        <f>IF(C53="","",'NGS Common - B'!F21)</f>
        <v/>
      </c>
      <c r="E53" s="76" t="str">
        <f>IF(C53="","",'NGS Common - B'!E21)</f>
        <v/>
      </c>
      <c r="F53" s="76" t="str">
        <f t="shared" si="28"/>
        <v/>
      </c>
      <c r="G53" s="76" t="str">
        <f>IF(C53="","",TEXT(F53/17.5,"0.0"))</f>
        <v/>
      </c>
      <c r="H53" s="76" t="str">
        <f>IF(Table5[[#This Row],[DNA '#]]="","",IF(D53*16.8&gt;F53,F53,D53*16.8))</f>
        <v/>
      </c>
      <c r="I53" s="183" t="str">
        <f t="shared" si="26"/>
        <v/>
      </c>
      <c r="J53" s="192">
        <v>21</v>
      </c>
      <c r="K53" s="76" t="str">
        <f t="shared" si="30"/>
        <v/>
      </c>
      <c r="L53" s="76" t="str">
        <f t="shared" si="31"/>
        <v/>
      </c>
      <c r="M53" s="90" t="str">
        <f t="shared" si="27"/>
        <v/>
      </c>
      <c r="N53" s="91" t="str">
        <f t="shared" si="32"/>
        <v/>
      </c>
      <c r="O53" s="85" t="str">
        <f t="shared" si="33"/>
        <v/>
      </c>
      <c r="P53" s="106"/>
      <c r="Q53" s="76"/>
    </row>
    <row r="54" spans="3:110" ht="13.5" x14ac:dyDescent="0.3">
      <c r="C54" s="89" t="str">
        <f>IF('NGS Common - B'!C22="","",'NGS Common - B'!C22)</f>
        <v/>
      </c>
      <c r="D54" s="76" t="str">
        <f>IF(C54="","",'NGS Common - B'!F22)</f>
        <v/>
      </c>
      <c r="E54" s="76" t="str">
        <f>IF(C54="","",'NGS Common - B'!E22)</f>
        <v/>
      </c>
      <c r="F54" s="76" t="str">
        <f t="shared" si="28"/>
        <v/>
      </c>
      <c r="G54" s="76" t="str">
        <f>IF(C54="","",TEXT(F54/17.5,"0.0"))</f>
        <v/>
      </c>
      <c r="H54" s="76" t="str">
        <f>IF(Table5[[#This Row],[DNA '#]]="","",IF(D54*16.8&gt;F54,F54,D54*16.8))</f>
        <v/>
      </c>
      <c r="I54" s="183" t="str">
        <f t="shared" si="26"/>
        <v/>
      </c>
      <c r="J54" s="192">
        <v>22</v>
      </c>
      <c r="K54" s="76" t="str">
        <f t="shared" si="30"/>
        <v/>
      </c>
      <c r="L54" s="76" t="str">
        <f t="shared" si="31"/>
        <v/>
      </c>
      <c r="M54" s="90" t="str">
        <f t="shared" si="27"/>
        <v/>
      </c>
      <c r="N54" s="91" t="str">
        <f t="shared" si="32"/>
        <v/>
      </c>
      <c r="O54" s="85" t="str">
        <f t="shared" si="33"/>
        <v/>
      </c>
      <c r="P54" s="106"/>
      <c r="Q54" s="76"/>
    </row>
    <row r="55" spans="3:110" ht="13.5" x14ac:dyDescent="0.3">
      <c r="C55" s="103" t="str">
        <f>IF('NGS Common - B'!C23="","",'NGS Common - B'!C23)</f>
        <v/>
      </c>
      <c r="D55" s="104" t="str">
        <f>IF(C55="","",'NGS Common - B'!F23)</f>
        <v/>
      </c>
      <c r="E55" s="104" t="str">
        <f>IF(C55="","",'NGS Common - B'!E23)</f>
        <v/>
      </c>
      <c r="F55" s="76" t="str">
        <f t="shared" si="28"/>
        <v/>
      </c>
      <c r="G55" s="104" t="str">
        <f>IF(C55="","",TEXT(F55/17.5,"0.0"))</f>
        <v/>
      </c>
      <c r="H55" s="76" t="str">
        <f>IF(Table5[[#This Row],[DNA '#]]="","",IF(D55*16.8&gt;F55,F55,D55*16.8))</f>
        <v/>
      </c>
      <c r="I55" s="183" t="str">
        <f t="shared" si="26"/>
        <v/>
      </c>
      <c r="J55" s="192">
        <v>23</v>
      </c>
      <c r="K55" s="76" t="str">
        <f t="shared" si="30"/>
        <v/>
      </c>
      <c r="L55" s="76" t="str">
        <f t="shared" si="31"/>
        <v/>
      </c>
      <c r="M55" s="109" t="str">
        <f t="shared" si="27"/>
        <v/>
      </c>
      <c r="N55" s="91" t="str">
        <f t="shared" si="32"/>
        <v/>
      </c>
      <c r="O55" s="85" t="str">
        <f t="shared" si="33"/>
        <v/>
      </c>
      <c r="P55" s="108"/>
      <c r="Q55" s="76"/>
    </row>
    <row r="56" spans="3:110" ht="13.5" x14ac:dyDescent="0.3">
      <c r="C56" s="246" t="str">
        <f>IF('NGS Common - B'!C24="","",'NGS Common - B'!C24)</f>
        <v/>
      </c>
      <c r="D56" s="247" t="str">
        <f>IF(C56="","",'NGS Common - B'!F24)</f>
        <v/>
      </c>
      <c r="E56" s="247" t="str">
        <f>IF(C56="","",'NGS Common - B'!E24)</f>
        <v/>
      </c>
      <c r="F56" s="247" t="str">
        <f t="shared" ref="F56" si="34">IF(C56="","",IF(E56="FFPE",100,40))</f>
        <v/>
      </c>
      <c r="G56" s="247" t="str">
        <f>IF(C56="","",TEXT(F56/17.5,"0.0"))</f>
        <v/>
      </c>
      <c r="H56" s="247" t="str">
        <f>IF(Table5[[#This Row],[DNA '#]]="","",IF(D56*16.8&gt;F56,F56,D56*16.8))</f>
        <v/>
      </c>
      <c r="I56" s="248" t="str">
        <f t="shared" ref="I56" si="35">IF(C56="","",IF(H56/D56&lt;1,"1:10; then add "&amp;TEXT(H56/D56*10,"0.0")&amp;" µL ",H56/D56))</f>
        <v/>
      </c>
      <c r="J56" s="249">
        <v>24</v>
      </c>
      <c r="K56" s="247" t="str">
        <f t="shared" ref="K56" si="36">IF(I56&gt;1,"",I56*10)</f>
        <v/>
      </c>
      <c r="L56" s="247" t="str">
        <f t="shared" ref="L56" si="37">IF(I56&gt;1,"",16.8-I56)</f>
        <v/>
      </c>
      <c r="M56" s="250" t="str">
        <f t="shared" ref="M56" si="38">IF(I56&lt;1,"Dilute sample 10X first, 1 µL stock DNA + 9 µL H2O","")</f>
        <v/>
      </c>
      <c r="N56" s="251" t="str">
        <f t="shared" ref="N56" si="39">IF(I56&lt;1,"Add "&amp;K56&amp;" ul diluted DNA and "&amp;O56&amp;" ul H2O.","")</f>
        <v/>
      </c>
      <c r="O56" s="252" t="str">
        <f t="shared" ref="O56" si="40">IF(C56="","",IF(H56/D56&lt;1,(16.8-H56/D56*10),(16.8-H56/D56)))</f>
        <v/>
      </c>
      <c r="P56" s="253"/>
      <c r="Q56" s="247"/>
    </row>
    <row r="57" spans="3:110" ht="13.5" x14ac:dyDescent="0.3">
      <c r="I57" s="184"/>
      <c r="AW57" s="84"/>
      <c r="AX57" s="84"/>
    </row>
    <row r="58" spans="3:110" ht="14.25" customHeight="1" x14ac:dyDescent="0.3">
      <c r="I58" s="184"/>
      <c r="AW58" s="84"/>
      <c r="AX58" s="84"/>
      <c r="DF58" s="67" t="s">
        <v>220</v>
      </c>
    </row>
    <row r="59" spans="3:110" ht="13.5" x14ac:dyDescent="0.3">
      <c r="I59" s="184"/>
      <c r="AW59" s="84"/>
      <c r="AX59" s="84"/>
      <c r="DF59" s="67" t="str">
        <f>IF('NGS Run Record'!E90&lt;12,"E12",IF('NGS Run Record'!E90&lt;24,"F12"))</f>
        <v>E12</v>
      </c>
    </row>
    <row r="60" spans="3:110" ht="13.5" x14ac:dyDescent="0.3">
      <c r="C60" s="110" t="s">
        <v>200</v>
      </c>
      <c r="I60" s="184"/>
      <c r="AW60" s="84"/>
      <c r="AX60" s="84"/>
    </row>
    <row r="61" spans="3:110" ht="13.5" x14ac:dyDescent="0.3">
      <c r="I61" s="184"/>
      <c r="AW61" s="84"/>
      <c r="AX61" s="84"/>
    </row>
    <row r="62" spans="3:110" ht="18.75" customHeight="1" x14ac:dyDescent="0.3">
      <c r="C62" s="208" t="s">
        <v>112</v>
      </c>
      <c r="D62" s="153" t="s">
        <v>228</v>
      </c>
      <c r="E62" s="153" t="s">
        <v>12</v>
      </c>
      <c r="F62" s="153" t="s">
        <v>259</v>
      </c>
      <c r="G62" s="153" t="s">
        <v>265</v>
      </c>
      <c r="H62" s="153" t="s">
        <v>187</v>
      </c>
      <c r="I62" s="153" t="s">
        <v>229</v>
      </c>
      <c r="J62" s="153" t="s">
        <v>111</v>
      </c>
      <c r="K62" s="153" t="s">
        <v>93</v>
      </c>
      <c r="L62" s="153" t="s">
        <v>33</v>
      </c>
      <c r="M62" s="209" t="s">
        <v>189</v>
      </c>
      <c r="N62" s="153" t="s">
        <v>181</v>
      </c>
      <c r="O62" s="153" t="s">
        <v>230</v>
      </c>
      <c r="P62" s="210" t="s">
        <v>199</v>
      </c>
      <c r="Q62" s="153" t="s">
        <v>198</v>
      </c>
      <c r="AW62" s="84"/>
      <c r="AX62" s="84"/>
    </row>
    <row r="63" spans="3:110" ht="13.5" x14ac:dyDescent="0.3">
      <c r="C63" s="111" t="s">
        <v>273</v>
      </c>
      <c r="D63" s="76"/>
      <c r="E63" s="76"/>
      <c r="F63" s="76"/>
      <c r="G63" s="76"/>
      <c r="H63" s="76"/>
      <c r="I63" s="186"/>
      <c r="J63" s="192">
        <v>1</v>
      </c>
      <c r="K63" s="76"/>
      <c r="L63" s="76"/>
      <c r="M63" s="90"/>
      <c r="N63" s="90"/>
      <c r="O63" s="76">
        <v>16.8</v>
      </c>
      <c r="P63" s="76"/>
      <c r="Q63" s="76"/>
      <c r="AW63" s="84"/>
      <c r="AX63" s="84"/>
    </row>
    <row r="64" spans="3:110" ht="13.5" x14ac:dyDescent="0.3">
      <c r="C64" s="89" t="str">
        <f>IF('NGS Common - F'!C2="","",'NGS Common - F'!C2)</f>
        <v>C00030F</v>
      </c>
      <c r="D64" s="76" t="str">
        <f>IF(C64="","",'NGS Common - F'!F2)</f>
        <v>5.0</v>
      </c>
      <c r="E64" s="76" t="str">
        <f>IF(C64="","",'NGS Common - F'!E2)</f>
        <v>FFPE</v>
      </c>
      <c r="F64" s="76">
        <f>IF(C64="","",IF(E64="FFPE",150,40))</f>
        <v>150</v>
      </c>
      <c r="G64" s="76" t="str">
        <f>IF(C64="","",TEXT(F64/16.8,"0.0"))</f>
        <v>8.9</v>
      </c>
      <c r="H64" s="76">
        <f>IF(Table18[[#This Row],[DNA '#]]="","",IF(D64*16.8&gt;F64,F64,D64*16.8))</f>
        <v>84</v>
      </c>
      <c r="I64" s="183">
        <f t="shared" ref="I64:I74" si="41">IF(C64="","",IF(H64/D64&lt;1,"1:10; then add "&amp;TEXT(H64/D64*10,"0.0")&amp;" µL ",H64/D64))</f>
        <v>16.8</v>
      </c>
      <c r="J64" s="192">
        <v>2</v>
      </c>
      <c r="K64" s="76" t="str">
        <f t="shared" ref="K64" si="42">IF(I64&gt;1,"",I64*10)</f>
        <v/>
      </c>
      <c r="L64" s="76" t="str">
        <f>IF(I64&gt;1,"",16.8-I64)</f>
        <v/>
      </c>
      <c r="M64" s="90" t="str">
        <f t="shared" ref="M64:M74" si="43">IF(I64&lt;1,"Dilute sample 10X first, 1 µL stock DNA + 9 µL H2O","")</f>
        <v/>
      </c>
      <c r="N64" s="90" t="str">
        <f>IF(I64&lt;1,"Add "&amp;K64&amp;" ul diluted DNA and "&amp;O64&amp;" ul H2O.","")</f>
        <v/>
      </c>
      <c r="O64" s="85">
        <f>IF(C64="","",IF(H64/D64&lt;1,(16.8-H64/D64*10),(16.8-H64/D64)))</f>
        <v>0</v>
      </c>
      <c r="P64" s="76"/>
      <c r="Q64" s="76"/>
      <c r="AW64" s="84"/>
      <c r="AX64" s="84"/>
    </row>
    <row r="65" spans="3:50" ht="13.5" x14ac:dyDescent="0.3">
      <c r="C65" s="89" t="str">
        <f>IF('NGS Common - F'!C3="","",'NGS Common - F'!C3)</f>
        <v/>
      </c>
      <c r="D65" s="76" t="str">
        <f>IF(C65="","",'NGS Common - F'!F3)</f>
        <v/>
      </c>
      <c r="E65" s="76" t="str">
        <f>IF(C65="","",'NGS Common - F'!E3)</f>
        <v/>
      </c>
      <c r="F65" s="76" t="str">
        <f t="shared" ref="F65:F74" si="44">IF(C65="","",IF(E65="FFPE",150,40))</f>
        <v/>
      </c>
      <c r="G65" s="76" t="str">
        <f t="shared" ref="G65:G74" si="45">IF(C65="","",TEXT(F65/16.8,"0.0"))</f>
        <v/>
      </c>
      <c r="H65" s="76" t="str">
        <f>IF(Table18[[#This Row],[DNA '#]]="","",IF(D65*16.8&gt;F65,F65,D65*16.8))</f>
        <v/>
      </c>
      <c r="I65" s="183" t="str">
        <f t="shared" si="41"/>
        <v/>
      </c>
      <c r="J65" s="192">
        <v>3</v>
      </c>
      <c r="K65" s="76" t="str">
        <f>IF(I65&gt;1,"",I65*10)</f>
        <v/>
      </c>
      <c r="L65" s="76" t="str">
        <f t="shared" ref="L65:L74" si="46">IF(I65&gt;1,"",16.8-I65)</f>
        <v/>
      </c>
      <c r="M65" s="90" t="str">
        <f t="shared" si="43"/>
        <v/>
      </c>
      <c r="N65" s="90" t="str">
        <f t="shared" ref="N65:N74" si="47">IF(I65&lt;1,"Add "&amp;K65&amp;" ul diluted DNA and "&amp;O65&amp;" ul H2O.","")</f>
        <v/>
      </c>
      <c r="O65" s="85" t="str">
        <f t="shared" ref="O65:O74" si="48">IF(C65="","",IF(H65/D65&lt;1,(16.8-H65/D65*10),(16.8-H65/D65)))</f>
        <v/>
      </c>
      <c r="P65" s="76"/>
      <c r="Q65" s="76"/>
      <c r="AW65" s="84"/>
      <c r="AX65" s="84"/>
    </row>
    <row r="66" spans="3:50" ht="13.5" x14ac:dyDescent="0.3">
      <c r="C66" s="89" t="str">
        <f>IF('NGS Common - F'!C4="","",'NGS Common - F'!C4)</f>
        <v/>
      </c>
      <c r="D66" s="76" t="str">
        <f>IF(C66="","",'NGS Common - F'!F4)</f>
        <v/>
      </c>
      <c r="E66" s="76" t="str">
        <f>IF(C66="","",'NGS Common - F'!E4)</f>
        <v/>
      </c>
      <c r="F66" s="76" t="str">
        <f t="shared" si="44"/>
        <v/>
      </c>
      <c r="G66" s="76" t="str">
        <f t="shared" si="45"/>
        <v/>
      </c>
      <c r="H66" s="76" t="str">
        <f>IF(Table18[[#This Row],[DNA '#]]="","",IF(D66*16.8&gt;F66,F66,D66*16.8))</f>
        <v/>
      </c>
      <c r="I66" s="183" t="str">
        <f t="shared" si="41"/>
        <v/>
      </c>
      <c r="J66" s="192">
        <v>4</v>
      </c>
      <c r="K66" s="76" t="str">
        <f t="shared" ref="K66:K74" si="49">IF(I66&gt;1,"",I66*10)</f>
        <v/>
      </c>
      <c r="L66" s="76" t="str">
        <f t="shared" si="46"/>
        <v/>
      </c>
      <c r="M66" s="90" t="str">
        <f t="shared" si="43"/>
        <v/>
      </c>
      <c r="N66" s="90" t="str">
        <f t="shared" si="47"/>
        <v/>
      </c>
      <c r="O66" s="85" t="str">
        <f t="shared" si="48"/>
        <v/>
      </c>
      <c r="P66" s="76"/>
      <c r="Q66" s="76"/>
    </row>
    <row r="67" spans="3:50" ht="13.5" x14ac:dyDescent="0.3">
      <c r="C67" s="89" t="str">
        <f>IF('NGS Common - F'!C5="","",'NGS Common - F'!C5)</f>
        <v/>
      </c>
      <c r="D67" s="76" t="str">
        <f>IF(C67="","",'NGS Common - F'!F5)</f>
        <v/>
      </c>
      <c r="E67" s="76" t="str">
        <f>IF(C67="","",'NGS Common - F'!E5)</f>
        <v/>
      </c>
      <c r="F67" s="76" t="str">
        <f t="shared" si="44"/>
        <v/>
      </c>
      <c r="G67" s="76" t="str">
        <f t="shared" si="45"/>
        <v/>
      </c>
      <c r="H67" s="76" t="str">
        <f>IF(Table18[[#This Row],[DNA '#]]="","",IF(D67*16.8&gt;F67,F67,D67*16.8))</f>
        <v/>
      </c>
      <c r="I67" s="183" t="str">
        <f t="shared" si="41"/>
        <v/>
      </c>
      <c r="J67" s="192">
        <v>5</v>
      </c>
      <c r="K67" s="76" t="str">
        <f t="shared" si="49"/>
        <v/>
      </c>
      <c r="L67" s="76" t="str">
        <f t="shared" si="46"/>
        <v/>
      </c>
      <c r="M67" s="90" t="str">
        <f t="shared" si="43"/>
        <v/>
      </c>
      <c r="N67" s="90" t="str">
        <f t="shared" si="47"/>
        <v/>
      </c>
      <c r="O67" s="85" t="str">
        <f t="shared" si="48"/>
        <v/>
      </c>
      <c r="P67" s="76"/>
      <c r="Q67" s="76"/>
    </row>
    <row r="68" spans="3:50" ht="13.5" x14ac:dyDescent="0.3">
      <c r="C68" s="89" t="str">
        <f>IF('NGS Common - F'!C6="","",'NGS Common - F'!C6)</f>
        <v/>
      </c>
      <c r="D68" s="76" t="str">
        <f>IF(C68="","",'NGS Common - F'!F6)</f>
        <v/>
      </c>
      <c r="E68" s="76" t="str">
        <f>IF(C68="","",'NGS Common - F'!E6)</f>
        <v/>
      </c>
      <c r="F68" s="76" t="str">
        <f t="shared" si="44"/>
        <v/>
      </c>
      <c r="G68" s="76" t="str">
        <f t="shared" si="45"/>
        <v/>
      </c>
      <c r="H68" s="76" t="str">
        <f>IF(Table18[[#This Row],[DNA '#]]="","",IF(D68*16.8&gt;F68,F68,D68*16.8))</f>
        <v/>
      </c>
      <c r="I68" s="183" t="str">
        <f t="shared" si="41"/>
        <v/>
      </c>
      <c r="J68" s="192">
        <v>6</v>
      </c>
      <c r="K68" s="76" t="str">
        <f t="shared" si="49"/>
        <v/>
      </c>
      <c r="L68" s="76" t="str">
        <f t="shared" si="46"/>
        <v/>
      </c>
      <c r="M68" s="90" t="str">
        <f t="shared" si="43"/>
        <v/>
      </c>
      <c r="N68" s="90" t="str">
        <f t="shared" si="47"/>
        <v/>
      </c>
      <c r="O68" s="85" t="str">
        <f t="shared" si="48"/>
        <v/>
      </c>
      <c r="P68" s="76"/>
      <c r="Q68" s="76"/>
    </row>
    <row r="69" spans="3:50" ht="13.5" x14ac:dyDescent="0.3">
      <c r="C69" s="89" t="str">
        <f>IF('NGS Common - F'!C7="","",'NGS Common - F'!C7)</f>
        <v/>
      </c>
      <c r="D69" s="76" t="str">
        <f>IF(C69="","",'NGS Common - F'!F7)</f>
        <v/>
      </c>
      <c r="E69" s="76" t="str">
        <f>IF(C69="","",'NGS Common - F'!E7)</f>
        <v/>
      </c>
      <c r="F69" s="76" t="str">
        <f t="shared" si="44"/>
        <v/>
      </c>
      <c r="G69" s="76" t="str">
        <f t="shared" si="45"/>
        <v/>
      </c>
      <c r="H69" s="76" t="str">
        <f>IF(Table18[[#This Row],[DNA '#]]="","",IF(D69*16.8&gt;F69,F69,D69*16.8))</f>
        <v/>
      </c>
      <c r="I69" s="183" t="str">
        <f t="shared" si="41"/>
        <v/>
      </c>
      <c r="J69" s="192">
        <v>7</v>
      </c>
      <c r="K69" s="76" t="str">
        <f t="shared" si="49"/>
        <v/>
      </c>
      <c r="L69" s="76" t="str">
        <f t="shared" si="46"/>
        <v/>
      </c>
      <c r="M69" s="90" t="str">
        <f t="shared" si="43"/>
        <v/>
      </c>
      <c r="N69" s="90" t="str">
        <f t="shared" si="47"/>
        <v/>
      </c>
      <c r="O69" s="85" t="str">
        <f t="shared" si="48"/>
        <v/>
      </c>
      <c r="P69" s="76"/>
      <c r="Q69" s="76"/>
    </row>
    <row r="70" spans="3:50" ht="13.5" x14ac:dyDescent="0.3">
      <c r="C70" s="89" t="str">
        <f>IF('NGS Common - F'!C8="","",'NGS Common - F'!C8)</f>
        <v/>
      </c>
      <c r="D70" s="76" t="str">
        <f>IF(C70="","",'NGS Common - F'!F8)</f>
        <v/>
      </c>
      <c r="E70" s="76" t="str">
        <f>IF(C70="","",'NGS Common - F'!E8)</f>
        <v/>
      </c>
      <c r="F70" s="76" t="str">
        <f t="shared" si="44"/>
        <v/>
      </c>
      <c r="G70" s="76" t="str">
        <f t="shared" si="45"/>
        <v/>
      </c>
      <c r="H70" s="76" t="str">
        <f>IF(Table18[[#This Row],[DNA '#]]="","",IF(D70*16.8&gt;F70,F70,D70*16.8))</f>
        <v/>
      </c>
      <c r="I70" s="183" t="str">
        <f t="shared" si="41"/>
        <v/>
      </c>
      <c r="J70" s="192">
        <v>8</v>
      </c>
      <c r="K70" s="76" t="str">
        <f t="shared" si="49"/>
        <v/>
      </c>
      <c r="L70" s="76" t="str">
        <f t="shared" si="46"/>
        <v/>
      </c>
      <c r="M70" s="90" t="str">
        <f t="shared" si="43"/>
        <v/>
      </c>
      <c r="N70" s="90" t="str">
        <f t="shared" si="47"/>
        <v/>
      </c>
      <c r="O70" s="85" t="str">
        <f t="shared" si="48"/>
        <v/>
      </c>
      <c r="P70" s="76"/>
      <c r="Q70" s="76"/>
    </row>
    <row r="71" spans="3:50" ht="13.5" x14ac:dyDescent="0.3">
      <c r="C71" s="89" t="str">
        <f>IF('NGS Common - F'!C9="","",'NGS Common - F'!C9)</f>
        <v/>
      </c>
      <c r="D71" s="76" t="str">
        <f>IF(C71="","",'NGS Common - F'!F9)</f>
        <v/>
      </c>
      <c r="E71" s="76" t="str">
        <f>IF(C71="","",'NGS Common - F'!E9)</f>
        <v/>
      </c>
      <c r="F71" s="76" t="str">
        <f t="shared" si="44"/>
        <v/>
      </c>
      <c r="G71" s="76" t="str">
        <f t="shared" si="45"/>
        <v/>
      </c>
      <c r="H71" s="76" t="str">
        <f>IF(Table18[[#This Row],[DNA '#]]="","",IF(D71*16.8&gt;F71,F71,D71*16.8))</f>
        <v/>
      </c>
      <c r="I71" s="183" t="str">
        <f t="shared" si="41"/>
        <v/>
      </c>
      <c r="J71" s="192">
        <v>9</v>
      </c>
      <c r="K71" s="76" t="str">
        <f t="shared" si="49"/>
        <v/>
      </c>
      <c r="L71" s="76" t="str">
        <f t="shared" si="46"/>
        <v/>
      </c>
      <c r="M71" s="90" t="str">
        <f t="shared" si="43"/>
        <v/>
      </c>
      <c r="N71" s="90" t="str">
        <f t="shared" si="47"/>
        <v/>
      </c>
      <c r="O71" s="85" t="str">
        <f t="shared" si="48"/>
        <v/>
      </c>
      <c r="P71" s="76"/>
      <c r="Q71" s="76"/>
    </row>
    <row r="72" spans="3:50" ht="13.5" x14ac:dyDescent="0.3">
      <c r="C72" s="89" t="str">
        <f>IF('NGS Common - F'!C10="","",'NGS Common - F'!C10)</f>
        <v/>
      </c>
      <c r="D72" s="76" t="str">
        <f>IF(C72="","",'NGS Common - F'!F10)</f>
        <v/>
      </c>
      <c r="E72" s="76" t="str">
        <f>IF(C72="","",'NGS Common - F'!E10)</f>
        <v/>
      </c>
      <c r="F72" s="76" t="str">
        <f t="shared" si="44"/>
        <v/>
      </c>
      <c r="G72" s="76" t="str">
        <f t="shared" si="45"/>
        <v/>
      </c>
      <c r="H72" s="76" t="str">
        <f>IF(Table18[[#This Row],[DNA '#]]="","",IF(D72*16.8&gt;F72,F72,D72*16.8))</f>
        <v/>
      </c>
      <c r="I72" s="183" t="str">
        <f t="shared" si="41"/>
        <v/>
      </c>
      <c r="J72" s="192">
        <v>10</v>
      </c>
      <c r="K72" s="76" t="str">
        <f t="shared" si="49"/>
        <v/>
      </c>
      <c r="L72" s="76" t="str">
        <f t="shared" si="46"/>
        <v/>
      </c>
      <c r="M72" s="90" t="str">
        <f t="shared" si="43"/>
        <v/>
      </c>
      <c r="N72" s="90" t="str">
        <f t="shared" si="47"/>
        <v/>
      </c>
      <c r="O72" s="85" t="str">
        <f t="shared" si="48"/>
        <v/>
      </c>
      <c r="P72" s="76"/>
      <c r="Q72" s="76"/>
    </row>
    <row r="73" spans="3:50" ht="13.5" x14ac:dyDescent="0.3">
      <c r="C73" s="89" t="str">
        <f>IF('NGS Common - F'!C11="","",'NGS Common - F'!C11)</f>
        <v/>
      </c>
      <c r="D73" s="76" t="str">
        <f>IF(C73="","",'NGS Common - F'!F11)</f>
        <v/>
      </c>
      <c r="E73" s="76" t="str">
        <f>IF(C73="","",'NGS Common - F'!E11)</f>
        <v/>
      </c>
      <c r="F73" s="76" t="str">
        <f t="shared" si="44"/>
        <v/>
      </c>
      <c r="G73" s="76" t="str">
        <f t="shared" si="45"/>
        <v/>
      </c>
      <c r="H73" s="76" t="str">
        <f>IF(Table18[[#This Row],[DNA '#]]="","",IF(D73*16.8&gt;F73,F73,D73*16.8))</f>
        <v/>
      </c>
      <c r="I73" s="183" t="str">
        <f t="shared" si="41"/>
        <v/>
      </c>
      <c r="J73" s="192">
        <v>11</v>
      </c>
      <c r="K73" s="76" t="str">
        <f t="shared" si="49"/>
        <v/>
      </c>
      <c r="L73" s="76" t="str">
        <f t="shared" si="46"/>
        <v/>
      </c>
      <c r="M73" s="90" t="str">
        <f t="shared" si="43"/>
        <v/>
      </c>
      <c r="N73" s="90" t="str">
        <f t="shared" si="47"/>
        <v/>
      </c>
      <c r="O73" s="85" t="str">
        <f t="shared" si="48"/>
        <v/>
      </c>
      <c r="P73" s="76"/>
      <c r="Q73" s="76"/>
    </row>
    <row r="74" spans="3:50" ht="13.5" x14ac:dyDescent="0.3">
      <c r="C74" s="89" t="str">
        <f>IF('NGS Common - F'!C12="","",'NGS Common - F'!C12)</f>
        <v/>
      </c>
      <c r="D74" s="76" t="str">
        <f>IF(C74="","",'NGS Common - F'!F12)</f>
        <v/>
      </c>
      <c r="E74" s="76" t="str">
        <f>IF(C74="","",'NGS Common - F'!E12)</f>
        <v/>
      </c>
      <c r="F74" s="76" t="str">
        <f t="shared" si="44"/>
        <v/>
      </c>
      <c r="G74" s="76" t="str">
        <f t="shared" si="45"/>
        <v/>
      </c>
      <c r="H74" s="76" t="str">
        <f>IF(Table18[[#This Row],[DNA '#]]="","",IF(D74*16.8&gt;F74,F74,D74*16.8))</f>
        <v/>
      </c>
      <c r="I74" s="183" t="str">
        <f t="shared" si="41"/>
        <v/>
      </c>
      <c r="J74" s="192">
        <v>12</v>
      </c>
      <c r="K74" s="76" t="str">
        <f t="shared" si="49"/>
        <v/>
      </c>
      <c r="L74" s="76" t="str">
        <f t="shared" si="46"/>
        <v/>
      </c>
      <c r="M74" s="90" t="str">
        <f t="shared" si="43"/>
        <v/>
      </c>
      <c r="N74" s="90" t="str">
        <f t="shared" si="47"/>
        <v/>
      </c>
      <c r="O74" s="85" t="str">
        <f t="shared" si="48"/>
        <v/>
      </c>
      <c r="P74" s="76"/>
      <c r="Q74" s="76"/>
    </row>
    <row r="75" spans="3:50" ht="13.5" x14ac:dyDescent="0.3">
      <c r="C75" s="89"/>
      <c r="D75" s="76"/>
      <c r="E75" s="76"/>
      <c r="F75" s="76"/>
      <c r="G75" s="76"/>
      <c r="H75" s="76"/>
      <c r="I75" s="183"/>
      <c r="J75" s="192">
        <v>13</v>
      </c>
      <c r="K75" s="76"/>
      <c r="L75" s="76"/>
      <c r="M75" s="90"/>
      <c r="N75" s="90"/>
      <c r="O75" s="85"/>
      <c r="P75" s="106"/>
      <c r="Q75" s="76"/>
    </row>
    <row r="76" spans="3:50" ht="13.5" x14ac:dyDescent="0.3">
      <c r="C76" s="89"/>
      <c r="D76" s="76"/>
      <c r="E76" s="76"/>
      <c r="F76" s="76"/>
      <c r="G76" s="76"/>
      <c r="H76" s="76"/>
      <c r="I76" s="183"/>
      <c r="J76" s="192">
        <v>14</v>
      </c>
      <c r="K76" s="76"/>
      <c r="L76" s="76"/>
      <c r="M76" s="90"/>
      <c r="N76" s="90"/>
      <c r="O76" s="85"/>
      <c r="P76" s="106"/>
      <c r="Q76" s="76"/>
    </row>
    <row r="77" spans="3:50" ht="13.5" x14ac:dyDescent="0.3">
      <c r="C77" s="89"/>
      <c r="D77" s="76"/>
      <c r="E77" s="76"/>
      <c r="F77" s="76"/>
      <c r="G77" s="76"/>
      <c r="H77" s="76"/>
      <c r="I77" s="183"/>
      <c r="J77" s="192">
        <v>15</v>
      </c>
      <c r="K77" s="76"/>
      <c r="L77" s="76"/>
      <c r="M77" s="90"/>
      <c r="N77" s="90"/>
      <c r="O77" s="85"/>
      <c r="P77" s="106"/>
      <c r="Q77" s="76"/>
    </row>
    <row r="78" spans="3:50" ht="13.5" x14ac:dyDescent="0.3">
      <c r="C78" s="89"/>
      <c r="D78" s="76"/>
      <c r="E78" s="76"/>
      <c r="F78" s="76"/>
      <c r="G78" s="76"/>
      <c r="H78" s="76"/>
      <c r="I78" s="183"/>
      <c r="J78" s="192">
        <v>16</v>
      </c>
      <c r="K78" s="76"/>
      <c r="L78" s="76"/>
      <c r="M78" s="90"/>
      <c r="N78" s="90"/>
      <c r="O78" s="85"/>
      <c r="P78" s="106"/>
      <c r="Q78" s="76"/>
    </row>
    <row r="79" spans="3:50" ht="13.5" x14ac:dyDescent="0.3">
      <c r="C79" s="89"/>
      <c r="D79" s="76"/>
      <c r="E79" s="76"/>
      <c r="F79" s="76"/>
      <c r="G79" s="76"/>
      <c r="H79" s="76"/>
      <c r="I79" s="183"/>
      <c r="J79" s="192">
        <v>17</v>
      </c>
      <c r="K79" s="76"/>
      <c r="L79" s="76"/>
      <c r="M79" s="90"/>
      <c r="N79" s="90"/>
      <c r="O79" s="85"/>
      <c r="P79" s="106"/>
      <c r="Q79" s="76"/>
    </row>
    <row r="80" spans="3:50" ht="13.5" x14ac:dyDescent="0.3">
      <c r="C80" s="89"/>
      <c r="D80" s="76"/>
      <c r="E80" s="76"/>
      <c r="F80" s="76"/>
      <c r="G80" s="76"/>
      <c r="H80" s="76"/>
      <c r="I80" s="183"/>
      <c r="J80" s="192">
        <v>18</v>
      </c>
      <c r="K80" s="76"/>
      <c r="L80" s="76"/>
      <c r="M80" s="90"/>
      <c r="N80" s="90"/>
      <c r="O80" s="85"/>
      <c r="P80" s="106"/>
      <c r="Q80" s="76"/>
    </row>
    <row r="81" spans="3:31" ht="13.5" x14ac:dyDescent="0.3">
      <c r="C81" s="89"/>
      <c r="D81" s="76"/>
      <c r="E81" s="76"/>
      <c r="F81" s="76"/>
      <c r="G81" s="76"/>
      <c r="H81" s="76"/>
      <c r="I81" s="183"/>
      <c r="J81" s="192">
        <v>19</v>
      </c>
      <c r="K81" s="76"/>
      <c r="L81" s="76"/>
      <c r="M81" s="90"/>
      <c r="N81" s="90"/>
      <c r="O81" s="76"/>
      <c r="P81" s="106"/>
      <c r="Q81" s="76"/>
    </row>
    <row r="82" spans="3:31" ht="13.5" x14ac:dyDescent="0.3">
      <c r="C82" s="103"/>
      <c r="D82" s="104"/>
      <c r="E82" s="104"/>
      <c r="F82" s="76"/>
      <c r="G82" s="76"/>
      <c r="H82" s="76"/>
      <c r="I82" s="183"/>
      <c r="J82" s="192">
        <v>20</v>
      </c>
      <c r="K82" s="76"/>
      <c r="L82" s="76"/>
      <c r="M82" s="109"/>
      <c r="N82" s="90"/>
      <c r="O82" s="76"/>
      <c r="P82" s="108"/>
      <c r="Q82" s="76"/>
    </row>
    <row r="83" spans="3:31" ht="13.5" x14ac:dyDescent="0.3">
      <c r="C83" s="103"/>
      <c r="D83" s="104"/>
      <c r="E83" s="104"/>
      <c r="F83" s="76"/>
      <c r="G83" s="76"/>
      <c r="H83" s="76"/>
      <c r="I83" s="183"/>
      <c r="J83" s="192">
        <v>21</v>
      </c>
      <c r="K83" s="76"/>
      <c r="L83" s="76"/>
      <c r="M83" s="109"/>
      <c r="N83" s="90"/>
      <c r="O83" s="76"/>
      <c r="P83" s="108"/>
      <c r="Q83" s="76"/>
    </row>
    <row r="84" spans="3:31" ht="13.5" x14ac:dyDescent="0.3">
      <c r="C84" s="103"/>
      <c r="D84" s="104"/>
      <c r="E84" s="104"/>
      <c r="F84" s="76"/>
      <c r="G84" s="76"/>
      <c r="H84" s="76"/>
      <c r="I84" s="183"/>
      <c r="J84" s="192">
        <v>22</v>
      </c>
      <c r="K84" s="76"/>
      <c r="L84" s="76"/>
      <c r="M84" s="109"/>
      <c r="N84" s="90"/>
      <c r="O84" s="76"/>
      <c r="P84" s="108"/>
      <c r="Q84" s="76"/>
    </row>
    <row r="85" spans="3:31" ht="13.5" x14ac:dyDescent="0.3">
      <c r="C85" s="103"/>
      <c r="D85" s="104"/>
      <c r="E85" s="104"/>
      <c r="F85" s="76"/>
      <c r="G85" s="76"/>
      <c r="H85" s="76"/>
      <c r="I85" s="183"/>
      <c r="J85" s="192">
        <v>23</v>
      </c>
      <c r="K85" s="76"/>
      <c r="L85" s="76"/>
      <c r="M85" s="109"/>
      <c r="N85" s="90"/>
      <c r="O85" s="76"/>
      <c r="P85" s="108"/>
      <c r="Q85" s="76"/>
    </row>
    <row r="86" spans="3:31" ht="13.5" x14ac:dyDescent="0.3">
      <c r="C86" s="103"/>
      <c r="D86" s="104"/>
      <c r="E86" s="104"/>
      <c r="F86" s="76"/>
      <c r="G86" s="76"/>
      <c r="H86" s="76"/>
      <c r="I86" s="183"/>
      <c r="J86" s="192">
        <v>24</v>
      </c>
      <c r="K86" s="76"/>
      <c r="L86" s="76"/>
      <c r="M86" s="109"/>
      <c r="N86" s="90"/>
      <c r="O86" s="76"/>
      <c r="P86" s="108"/>
      <c r="Q86" s="76"/>
      <c r="S86" s="94" t="s">
        <v>203</v>
      </c>
    </row>
    <row r="87" spans="3:31" ht="13.5" x14ac:dyDescent="0.3">
      <c r="C87" s="103"/>
      <c r="D87" s="104"/>
      <c r="E87" s="104"/>
      <c r="F87" s="76"/>
      <c r="G87" s="76"/>
      <c r="H87" s="76"/>
      <c r="I87" s="183"/>
      <c r="J87" s="192"/>
      <c r="K87" s="76"/>
      <c r="L87" s="76"/>
      <c r="M87" s="109"/>
      <c r="N87" s="90"/>
      <c r="O87" s="76"/>
      <c r="P87" s="108"/>
      <c r="Q87" s="76"/>
      <c r="S87" s="107" t="s">
        <v>33</v>
      </c>
      <c r="T87" s="76" t="s">
        <v>144</v>
      </c>
      <c r="U87" s="76" t="s">
        <v>145</v>
      </c>
      <c r="V87" s="76" t="s">
        <v>146</v>
      </c>
      <c r="W87" s="76" t="s">
        <v>147</v>
      </c>
      <c r="X87" s="76" t="s">
        <v>148</v>
      </c>
      <c r="Y87" s="76" t="s">
        <v>149</v>
      </c>
      <c r="Z87" s="76" t="s">
        <v>142</v>
      </c>
      <c r="AA87" s="76" t="s">
        <v>150</v>
      </c>
      <c r="AB87" s="76" t="s">
        <v>151</v>
      </c>
      <c r="AC87" s="76" t="s">
        <v>152</v>
      </c>
      <c r="AD87" s="76" t="s">
        <v>153</v>
      </c>
      <c r="AE87" s="106" t="s">
        <v>154</v>
      </c>
    </row>
    <row r="88" spans="3:31" ht="13.5" x14ac:dyDescent="0.3">
      <c r="C88" s="103"/>
      <c r="D88" s="104"/>
      <c r="E88" s="104"/>
      <c r="F88" s="76"/>
      <c r="G88" s="76"/>
      <c r="H88" s="76"/>
      <c r="I88" s="183"/>
      <c r="J88" s="85"/>
      <c r="K88" s="76"/>
      <c r="L88" s="76"/>
      <c r="M88" s="109"/>
      <c r="N88" s="90"/>
      <c r="O88" s="76"/>
      <c r="P88" s="108"/>
      <c r="Q88" s="76"/>
      <c r="S88" s="76" t="s">
        <v>135</v>
      </c>
      <c r="T88" s="187"/>
      <c r="U88" s="187"/>
      <c r="V88" s="187"/>
      <c r="W88" s="187"/>
      <c r="X88" s="187"/>
      <c r="Y88" s="187"/>
      <c r="Z88" s="187"/>
      <c r="AA88" s="187"/>
      <c r="AB88" s="187"/>
      <c r="AC88" s="187"/>
      <c r="AD88" s="187"/>
      <c r="AE88" s="188"/>
    </row>
    <row r="89" spans="3:31" ht="13.5" x14ac:dyDescent="0.3">
      <c r="C89" s="103"/>
      <c r="D89" s="104"/>
      <c r="E89" s="104"/>
      <c r="F89" s="76"/>
      <c r="G89" s="76"/>
      <c r="H89" s="76"/>
      <c r="I89" s="183"/>
      <c r="J89" s="85"/>
      <c r="K89" s="76"/>
      <c r="L89" s="76"/>
      <c r="M89" s="109"/>
      <c r="N89" s="90"/>
      <c r="O89" s="76"/>
      <c r="P89" s="108"/>
      <c r="Q89" s="76"/>
      <c r="S89" s="76" t="s">
        <v>136</v>
      </c>
      <c r="T89" s="187" t="str">
        <f>C4</f>
        <v>NTC</v>
      </c>
      <c r="U89" s="187" t="str">
        <f>C5</f>
        <v>C00026B</v>
      </c>
      <c r="V89" s="187" t="str">
        <f ca="1">C6</f>
        <v>S1</v>
      </c>
      <c r="W89" s="187" t="str">
        <f ca="1">C7</f>
        <v>S2</v>
      </c>
      <c r="X89" s="187" t="str">
        <f ca="1">C8</f>
        <v>S3</v>
      </c>
      <c r="Y89" s="187" t="str">
        <f ca="1">C9</f>
        <v>S4</v>
      </c>
      <c r="Z89" s="187" t="str">
        <f ca="1">C10</f>
        <v>S5</v>
      </c>
      <c r="AA89" s="187" t="str">
        <f ca="1">C11</f>
        <v>S6</v>
      </c>
      <c r="AB89" s="187" t="str">
        <f ca="1">C12</f>
        <v>S7</v>
      </c>
      <c r="AC89" s="187" t="str">
        <f ca="1">C13</f>
        <v>S8</v>
      </c>
      <c r="AD89" s="187" t="str">
        <f ca="1">C14</f>
        <v/>
      </c>
      <c r="AE89" s="188" t="str">
        <f ca="1">C15</f>
        <v/>
      </c>
    </row>
    <row r="90" spans="3:31" ht="13.5" x14ac:dyDescent="0.3">
      <c r="C90" s="103"/>
      <c r="D90" s="104"/>
      <c r="E90" s="104"/>
      <c r="F90" s="76"/>
      <c r="G90" s="76"/>
      <c r="H90" s="76"/>
      <c r="I90" s="183"/>
      <c r="J90" s="85"/>
      <c r="K90" s="76"/>
      <c r="L90" s="76"/>
      <c r="M90" s="109"/>
      <c r="N90" s="90"/>
      <c r="O90" s="76"/>
      <c r="P90" s="108"/>
      <c r="Q90" s="76"/>
      <c r="S90" s="76" t="s">
        <v>137</v>
      </c>
      <c r="T90" s="187" t="str">
        <f ca="1">C16</f>
        <v/>
      </c>
      <c r="U90" s="187" t="str">
        <f ca="1">C17</f>
        <v/>
      </c>
      <c r="V90" s="187" t="str">
        <f ca="1">C18</f>
        <v/>
      </c>
      <c r="W90" s="187" t="str">
        <f ca="1">C19</f>
        <v/>
      </c>
      <c r="X90" s="187" t="str">
        <f ca="1">C20</f>
        <v/>
      </c>
      <c r="Y90" s="188" t="str">
        <f ca="1">C21</f>
        <v/>
      </c>
      <c r="Z90" s="187" t="str">
        <f>C22</f>
        <v/>
      </c>
      <c r="AA90" s="187" t="str">
        <f>C23</f>
        <v/>
      </c>
      <c r="AB90" s="187" t="str">
        <f>C24</f>
        <v/>
      </c>
      <c r="AC90" s="187" t="str">
        <f>C25</f>
        <v/>
      </c>
      <c r="AD90" s="187" t="str">
        <f>C26</f>
        <v/>
      </c>
      <c r="AE90" s="187" t="str">
        <f>C27</f>
        <v/>
      </c>
    </row>
    <row r="91" spans="3:31" ht="10.5" customHeight="1" x14ac:dyDescent="0.3">
      <c r="C91" s="103"/>
      <c r="D91" s="104"/>
      <c r="E91" s="104"/>
      <c r="F91" s="76"/>
      <c r="G91" s="76"/>
      <c r="H91" s="76"/>
      <c r="I91" s="183"/>
      <c r="J91" s="85"/>
      <c r="K91" s="76"/>
      <c r="L91" s="76"/>
      <c r="M91" s="109"/>
      <c r="N91" s="90"/>
      <c r="O91" s="76"/>
      <c r="P91" s="108"/>
      <c r="Q91" s="76"/>
      <c r="S91" s="76" t="s">
        <v>138</v>
      </c>
      <c r="T91" s="187"/>
      <c r="U91" s="187"/>
      <c r="V91" s="187"/>
      <c r="W91" s="187"/>
      <c r="X91" s="187"/>
      <c r="Y91" s="187"/>
      <c r="Z91" s="187"/>
      <c r="AA91" s="187"/>
      <c r="AB91" s="187"/>
      <c r="AC91" s="187"/>
      <c r="AD91" s="187"/>
      <c r="AE91" s="188"/>
    </row>
    <row r="92" spans="3:31" ht="9" customHeight="1" x14ac:dyDescent="0.3">
      <c r="S92" s="76" t="s">
        <v>139</v>
      </c>
      <c r="T92" s="187"/>
      <c r="U92" s="187"/>
      <c r="V92" s="187"/>
      <c r="W92" s="187"/>
      <c r="X92" s="187"/>
      <c r="Y92" s="187"/>
      <c r="Z92" s="187"/>
      <c r="AA92" s="187"/>
      <c r="AB92" s="187"/>
      <c r="AC92" s="187"/>
      <c r="AD92" s="187"/>
      <c r="AE92" s="188"/>
    </row>
    <row r="93" spans="3:31" ht="9" customHeight="1" x14ac:dyDescent="0.3">
      <c r="S93" s="76" t="s">
        <v>131</v>
      </c>
      <c r="T93" s="187"/>
      <c r="U93" s="187"/>
      <c r="V93" s="187"/>
      <c r="W93" s="187"/>
      <c r="X93" s="187"/>
      <c r="Y93" s="187"/>
      <c r="Z93" s="187"/>
      <c r="AA93" s="187"/>
      <c r="AB93" s="187"/>
      <c r="AC93" s="187"/>
      <c r="AD93" s="187"/>
      <c r="AE93" s="188"/>
    </row>
    <row r="94" spans="3:31" ht="9" customHeight="1" x14ac:dyDescent="0.3">
      <c r="C94" s="94" t="s">
        <v>331</v>
      </c>
      <c r="S94" s="76" t="s">
        <v>140</v>
      </c>
      <c r="T94" s="187"/>
      <c r="U94" s="187"/>
      <c r="V94" s="187"/>
      <c r="W94" s="187"/>
      <c r="X94" s="187"/>
      <c r="Y94" s="187"/>
      <c r="Z94" s="187"/>
      <c r="AA94" s="187"/>
      <c r="AB94" s="187"/>
      <c r="AC94" s="187"/>
      <c r="AD94" s="187"/>
      <c r="AE94" s="188"/>
    </row>
    <row r="95" spans="3:31" ht="9" customHeight="1" x14ac:dyDescent="0.3">
      <c r="S95" s="104" t="s">
        <v>141</v>
      </c>
      <c r="T95" s="189"/>
      <c r="U95" s="189"/>
      <c r="V95" s="189"/>
      <c r="W95" s="189"/>
      <c r="X95" s="189"/>
      <c r="Y95" s="189"/>
      <c r="Z95" s="189"/>
      <c r="AA95" s="189"/>
      <c r="AB95" s="189"/>
      <c r="AC95" s="189"/>
      <c r="AD95" s="189"/>
      <c r="AE95" s="190"/>
    </row>
    <row r="96" spans="3:31" ht="22.5" customHeight="1" x14ac:dyDescent="0.3">
      <c r="C96" s="254" t="s">
        <v>111</v>
      </c>
      <c r="D96" s="254" t="s">
        <v>320</v>
      </c>
      <c r="E96" s="254" t="s">
        <v>321</v>
      </c>
      <c r="F96" s="254" t="s">
        <v>2</v>
      </c>
      <c r="G96" s="254" t="s">
        <v>87</v>
      </c>
      <c r="H96" s="254" t="s">
        <v>323</v>
      </c>
      <c r="I96" s="254" t="s">
        <v>322</v>
      </c>
      <c r="J96" s="76" t="s">
        <v>25</v>
      </c>
    </row>
    <row r="97" spans="3:31" ht="13.5" x14ac:dyDescent="0.3">
      <c r="C97" s="255">
        <v>1</v>
      </c>
      <c r="D97" s="256" t="str">
        <f>'Patient List'!I2</f>
        <v>C00026B</v>
      </c>
      <c r="E97" s="257" t="s">
        <v>324</v>
      </c>
      <c r="F97" s="257"/>
      <c r="G97" s="256"/>
      <c r="H97" s="256"/>
      <c r="I97" s="255"/>
      <c r="J97" s="76"/>
    </row>
    <row r="98" spans="3:31" ht="13.5" x14ac:dyDescent="0.3">
      <c r="C98" s="258">
        <v>2</v>
      </c>
      <c r="D98" s="256" t="str">
        <f>'Patient List'!I3</f>
        <v>S1</v>
      </c>
      <c r="E98" s="257" t="s">
        <v>324</v>
      </c>
      <c r="F98" s="260"/>
      <c r="G98" s="259"/>
      <c r="H98" s="259"/>
      <c r="I98" s="258"/>
      <c r="J98" s="76"/>
      <c r="S98" s="67" t="s">
        <v>227</v>
      </c>
    </row>
    <row r="99" spans="3:31" ht="13.5" x14ac:dyDescent="0.3">
      <c r="C99" s="255">
        <v>3</v>
      </c>
      <c r="D99" s="256" t="str">
        <f>'Patient List'!I4</f>
        <v>S2</v>
      </c>
      <c r="E99" s="257" t="s">
        <v>324</v>
      </c>
      <c r="F99" s="257"/>
      <c r="G99" s="256"/>
      <c r="H99" s="256"/>
      <c r="I99" s="255"/>
      <c r="J99" s="76"/>
      <c r="S99" s="94" t="s">
        <v>223</v>
      </c>
    </row>
    <row r="100" spans="3:31" ht="13.5" x14ac:dyDescent="0.3">
      <c r="C100" s="258">
        <v>4</v>
      </c>
      <c r="D100" s="256" t="str">
        <f>'Patient List'!I5</f>
        <v>S3</v>
      </c>
      <c r="E100" s="257" t="s">
        <v>324</v>
      </c>
      <c r="F100" s="260"/>
      <c r="G100" s="259"/>
      <c r="H100" s="259"/>
      <c r="I100" s="258"/>
      <c r="J100" s="76"/>
      <c r="S100" s="107" t="s">
        <v>33</v>
      </c>
      <c r="T100" s="76" t="s">
        <v>144</v>
      </c>
      <c r="U100" s="76" t="s">
        <v>145</v>
      </c>
      <c r="V100" s="76" t="s">
        <v>146</v>
      </c>
      <c r="W100" s="76" t="s">
        <v>147</v>
      </c>
      <c r="X100" s="76" t="s">
        <v>148</v>
      </c>
      <c r="Y100" s="76" t="s">
        <v>149</v>
      </c>
      <c r="Z100" s="76" t="s">
        <v>142</v>
      </c>
      <c r="AA100" s="76" t="s">
        <v>150</v>
      </c>
      <c r="AB100" s="76" t="s">
        <v>151</v>
      </c>
      <c r="AC100" s="76" t="s">
        <v>152</v>
      </c>
      <c r="AD100" s="76" t="s">
        <v>153</v>
      </c>
      <c r="AE100" s="106" t="s">
        <v>154</v>
      </c>
    </row>
    <row r="101" spans="3:31" ht="13.5" x14ac:dyDescent="0.3">
      <c r="C101" s="255">
        <v>5</v>
      </c>
      <c r="D101" s="256" t="str">
        <f>'Patient List'!I6</f>
        <v>S4</v>
      </c>
      <c r="E101" s="257" t="s">
        <v>324</v>
      </c>
      <c r="F101" s="257"/>
      <c r="G101" s="256"/>
      <c r="H101" s="256"/>
      <c r="I101" s="255"/>
      <c r="J101" s="76"/>
      <c r="S101" s="76" t="s">
        <v>135</v>
      </c>
      <c r="T101" s="187"/>
      <c r="U101" s="187"/>
      <c r="V101" s="187"/>
      <c r="W101" s="187"/>
      <c r="X101" s="187"/>
      <c r="Y101" s="187"/>
      <c r="Z101" s="187"/>
      <c r="AA101" s="187"/>
      <c r="AB101" s="187"/>
      <c r="AC101" s="187"/>
      <c r="AD101" s="187"/>
      <c r="AE101" s="188" t="str">
        <f t="shared" ref="AE101" si="50">C55</f>
        <v/>
      </c>
    </row>
    <row r="102" spans="3:31" ht="13.5" x14ac:dyDescent="0.3">
      <c r="C102" s="258">
        <v>6</v>
      </c>
      <c r="D102" s="256" t="str">
        <f>'Patient List'!I7</f>
        <v>S5</v>
      </c>
      <c r="E102" s="257" t="s">
        <v>324</v>
      </c>
      <c r="F102" s="260"/>
      <c r="G102" s="259"/>
      <c r="H102" s="259"/>
      <c r="I102" s="258"/>
      <c r="J102" s="76"/>
      <c r="S102" s="76" t="s">
        <v>136</v>
      </c>
      <c r="T102" s="187" t="str">
        <f>C33</f>
        <v>NTC- B</v>
      </c>
      <c r="U102" s="187" t="str">
        <f>C34</f>
        <v>C00030B</v>
      </c>
      <c r="V102" s="187" t="str">
        <f>C35</f>
        <v>S1</v>
      </c>
      <c r="W102" s="187" t="str">
        <f>C36</f>
        <v>S2</v>
      </c>
      <c r="X102" s="187" t="str">
        <f>C37</f>
        <v>S3</v>
      </c>
      <c r="Y102" s="187" t="str">
        <f>C38</f>
        <v/>
      </c>
      <c r="Z102" s="187" t="str">
        <f>C39</f>
        <v/>
      </c>
      <c r="AA102" s="187" t="str">
        <f>C40</f>
        <v/>
      </c>
      <c r="AB102" s="187" t="str">
        <f>C41</f>
        <v/>
      </c>
      <c r="AC102" s="187" t="str">
        <f>C42</f>
        <v/>
      </c>
      <c r="AD102" s="187" t="str">
        <f>C43</f>
        <v/>
      </c>
      <c r="AE102" s="188" t="str">
        <f>C44</f>
        <v/>
      </c>
    </row>
    <row r="103" spans="3:31" ht="13.5" x14ac:dyDescent="0.3">
      <c r="C103" s="255">
        <v>7</v>
      </c>
      <c r="D103" s="256" t="str">
        <f>'Patient List'!I8</f>
        <v>S6</v>
      </c>
      <c r="E103" s="257" t="s">
        <v>324</v>
      </c>
      <c r="F103" s="257"/>
      <c r="G103" s="256"/>
      <c r="H103" s="256"/>
      <c r="I103" s="255"/>
      <c r="J103" s="76"/>
      <c r="S103" s="76" t="s">
        <v>137</v>
      </c>
      <c r="T103" s="187" t="str">
        <f>C45</f>
        <v/>
      </c>
      <c r="U103" s="187" t="str">
        <f>C46</f>
        <v/>
      </c>
      <c r="V103" s="187" t="str">
        <f>C47</f>
        <v/>
      </c>
      <c r="W103" s="187" t="str">
        <f>C48</f>
        <v/>
      </c>
      <c r="X103" s="187" t="str">
        <f>C49</f>
        <v/>
      </c>
      <c r="Y103" s="187" t="str">
        <f>C50</f>
        <v/>
      </c>
      <c r="Z103" s="187" t="str">
        <f>C51</f>
        <v/>
      </c>
      <c r="AA103" s="187" t="str">
        <f>C52</f>
        <v/>
      </c>
      <c r="AB103" s="187" t="str">
        <f>C53</f>
        <v/>
      </c>
      <c r="AC103" s="187" t="str">
        <f>C54</f>
        <v/>
      </c>
      <c r="AD103" s="187" t="str">
        <f>C55</f>
        <v/>
      </c>
      <c r="AE103" s="188" t="str">
        <f>C56</f>
        <v/>
      </c>
    </row>
    <row r="104" spans="3:31" ht="13.5" x14ac:dyDescent="0.3">
      <c r="C104" s="258">
        <v>8</v>
      </c>
      <c r="D104" s="256" t="str">
        <f>'Patient List'!I9</f>
        <v>S7</v>
      </c>
      <c r="E104" s="257" t="s">
        <v>324</v>
      </c>
      <c r="F104" s="260"/>
      <c r="G104" s="259"/>
      <c r="H104" s="259"/>
      <c r="I104" s="258"/>
      <c r="J104" s="76"/>
      <c r="S104" s="76" t="s">
        <v>138</v>
      </c>
      <c r="T104" s="187"/>
      <c r="U104" s="187"/>
      <c r="V104" s="187"/>
      <c r="W104" s="187"/>
      <c r="X104" s="187"/>
      <c r="Y104" s="187"/>
      <c r="Z104" s="187"/>
      <c r="AA104" s="187"/>
      <c r="AB104" s="187"/>
      <c r="AC104" s="187"/>
      <c r="AD104" s="187"/>
      <c r="AE104" s="188"/>
    </row>
    <row r="105" spans="3:31" ht="13.5" x14ac:dyDescent="0.3">
      <c r="C105" s="255">
        <v>9</v>
      </c>
      <c r="D105" s="256" t="str">
        <f>'Patient List'!I10</f>
        <v>S8</v>
      </c>
      <c r="E105" s="257" t="s">
        <v>324</v>
      </c>
      <c r="F105" s="257"/>
      <c r="G105" s="256"/>
      <c r="H105" s="256"/>
      <c r="I105" s="255"/>
      <c r="J105" s="76"/>
      <c r="S105" s="76" t="s">
        <v>139</v>
      </c>
      <c r="T105" s="187"/>
      <c r="U105" s="187"/>
      <c r="V105" s="187"/>
      <c r="W105" s="187"/>
      <c r="X105" s="187"/>
      <c r="Y105" s="187"/>
      <c r="Z105" s="187"/>
      <c r="AA105" s="187"/>
      <c r="AB105" s="187"/>
      <c r="AC105" s="187"/>
      <c r="AD105" s="187"/>
      <c r="AE105" s="188"/>
    </row>
    <row r="106" spans="3:31" ht="13.5" x14ac:dyDescent="0.3">
      <c r="C106" s="258">
        <v>10</v>
      </c>
      <c r="D106" s="256">
        <f>'Patient List'!I11</f>
        <v>0</v>
      </c>
      <c r="E106" s="257" t="s">
        <v>324</v>
      </c>
      <c r="F106" s="260"/>
      <c r="G106" s="259"/>
      <c r="H106" s="259"/>
      <c r="I106" s="258"/>
      <c r="J106" s="76"/>
      <c r="S106" s="76" t="s">
        <v>131</v>
      </c>
      <c r="T106" s="187"/>
      <c r="U106" s="187"/>
      <c r="V106" s="187"/>
      <c r="W106" s="187"/>
      <c r="X106" s="187"/>
      <c r="Y106" s="187"/>
      <c r="Z106" s="187"/>
      <c r="AA106" s="187"/>
      <c r="AB106" s="187"/>
      <c r="AC106" s="187"/>
      <c r="AD106" s="187"/>
      <c r="AE106" s="188"/>
    </row>
    <row r="107" spans="3:31" ht="13.5" x14ac:dyDescent="0.3">
      <c r="C107" s="255">
        <v>11</v>
      </c>
      <c r="D107" s="256">
        <f>'Patient List'!I12</f>
        <v>0</v>
      </c>
      <c r="E107" s="257" t="s">
        <v>324</v>
      </c>
      <c r="F107" s="257"/>
      <c r="G107" s="256"/>
      <c r="H107" s="256"/>
      <c r="I107" s="255"/>
      <c r="J107" s="76"/>
      <c r="S107" s="76" t="s">
        <v>140</v>
      </c>
      <c r="T107" s="187"/>
      <c r="U107" s="187"/>
      <c r="V107" s="187"/>
      <c r="W107" s="187"/>
      <c r="X107" s="187"/>
      <c r="Y107" s="187"/>
      <c r="Z107" s="187"/>
      <c r="AA107" s="187"/>
      <c r="AB107" s="187"/>
      <c r="AC107" s="187"/>
      <c r="AD107" s="187"/>
      <c r="AE107" s="188"/>
    </row>
    <row r="108" spans="3:31" ht="13.5" x14ac:dyDescent="0.3">
      <c r="C108" s="258">
        <v>12</v>
      </c>
      <c r="D108" s="256">
        <f>'Patient List'!I13</f>
        <v>0</v>
      </c>
      <c r="E108" s="257" t="s">
        <v>324</v>
      </c>
      <c r="F108" s="260"/>
      <c r="G108" s="259"/>
      <c r="H108" s="259"/>
      <c r="I108" s="258"/>
      <c r="J108" s="76"/>
      <c r="S108" s="104" t="s">
        <v>141</v>
      </c>
      <c r="T108" s="189"/>
      <c r="U108" s="189"/>
      <c r="V108" s="189"/>
      <c r="W108" s="189"/>
      <c r="X108" s="189"/>
      <c r="Y108" s="189"/>
      <c r="Z108" s="189"/>
      <c r="AA108" s="189"/>
      <c r="AB108" s="189"/>
      <c r="AC108" s="189"/>
      <c r="AD108" s="189"/>
      <c r="AE108" s="190"/>
    </row>
    <row r="109" spans="3:31" ht="13.5" x14ac:dyDescent="0.3">
      <c r="C109" s="255">
        <v>13</v>
      </c>
      <c r="D109" s="256">
        <f>'Patient List'!I14</f>
        <v>0</v>
      </c>
      <c r="E109" s="257" t="s">
        <v>324</v>
      </c>
      <c r="F109" s="257"/>
      <c r="G109" s="256"/>
      <c r="H109" s="256"/>
      <c r="I109" s="255"/>
      <c r="J109" s="76"/>
    </row>
    <row r="110" spans="3:31" ht="13.5" x14ac:dyDescent="0.3">
      <c r="C110" s="258">
        <v>14</v>
      </c>
      <c r="D110" s="256">
        <f>'Patient List'!I15</f>
        <v>0</v>
      </c>
      <c r="E110" s="257" t="s">
        <v>324</v>
      </c>
      <c r="F110" s="260"/>
      <c r="G110" s="259"/>
      <c r="H110" s="259"/>
      <c r="I110" s="258"/>
      <c r="J110" s="76"/>
    </row>
    <row r="111" spans="3:31" ht="13.5" x14ac:dyDescent="0.3">
      <c r="C111" s="255">
        <v>15</v>
      </c>
      <c r="D111" s="256">
        <f>'Patient List'!I16</f>
        <v>0</v>
      </c>
      <c r="E111" s="257" t="s">
        <v>324</v>
      </c>
      <c r="F111" s="257"/>
      <c r="G111" s="256"/>
      <c r="H111" s="256"/>
      <c r="I111" s="255"/>
      <c r="J111" s="76"/>
      <c r="S111" s="94" t="s">
        <v>224</v>
      </c>
    </row>
    <row r="112" spans="3:31" ht="13.5" x14ac:dyDescent="0.3">
      <c r="C112" s="258">
        <v>16</v>
      </c>
      <c r="D112" s="256">
        <f>'Patient List'!I17</f>
        <v>0</v>
      </c>
      <c r="E112" s="257" t="s">
        <v>324</v>
      </c>
      <c r="F112" s="260"/>
      <c r="G112" s="259"/>
      <c r="H112" s="259"/>
      <c r="I112" s="258"/>
      <c r="J112" s="76"/>
    </row>
    <row r="113" spans="3:31" ht="13.5" x14ac:dyDescent="0.3">
      <c r="C113" s="255">
        <v>17</v>
      </c>
      <c r="D113" s="256">
        <f>'Patient List'!I18</f>
        <v>0</v>
      </c>
      <c r="E113" s="257" t="s">
        <v>324</v>
      </c>
      <c r="F113" s="257"/>
      <c r="G113" s="256"/>
      <c r="H113" s="256"/>
      <c r="I113" s="255"/>
      <c r="J113" s="76"/>
      <c r="S113" s="107" t="s">
        <v>33</v>
      </c>
      <c r="T113" s="76" t="s">
        <v>144</v>
      </c>
      <c r="U113" s="76" t="s">
        <v>145</v>
      </c>
      <c r="V113" s="76" t="s">
        <v>146</v>
      </c>
      <c r="W113" s="76" t="s">
        <v>147</v>
      </c>
      <c r="X113" s="76" t="s">
        <v>148</v>
      </c>
      <c r="Y113" s="76" t="s">
        <v>149</v>
      </c>
      <c r="Z113" s="76" t="s">
        <v>142</v>
      </c>
      <c r="AA113" s="76" t="s">
        <v>150</v>
      </c>
      <c r="AB113" s="76" t="s">
        <v>151</v>
      </c>
      <c r="AC113" s="76" t="s">
        <v>152</v>
      </c>
      <c r="AD113" s="76" t="s">
        <v>153</v>
      </c>
      <c r="AE113" s="106" t="s">
        <v>154</v>
      </c>
    </row>
    <row r="114" spans="3:31" ht="13.5" x14ac:dyDescent="0.3">
      <c r="C114" s="258">
        <v>18</v>
      </c>
      <c r="D114" s="256">
        <f>'Patient List'!I19</f>
        <v>0</v>
      </c>
      <c r="E114" s="257" t="s">
        <v>324</v>
      </c>
      <c r="F114" s="260"/>
      <c r="G114" s="259"/>
      <c r="H114" s="259"/>
      <c r="I114" s="258"/>
      <c r="J114" s="76"/>
      <c r="S114" s="76" t="s">
        <v>135</v>
      </c>
      <c r="T114" s="187"/>
      <c r="U114" s="187"/>
      <c r="V114" s="187"/>
      <c r="W114" s="187"/>
      <c r="X114" s="187"/>
      <c r="Y114" s="187"/>
      <c r="Z114" s="187"/>
      <c r="AA114" s="187"/>
      <c r="AB114" s="187"/>
      <c r="AC114" s="187"/>
      <c r="AD114" s="187"/>
      <c r="AE114" s="188"/>
    </row>
    <row r="115" spans="3:31" ht="13.5" x14ac:dyDescent="0.3">
      <c r="C115" s="255">
        <v>19</v>
      </c>
      <c r="D115" s="256">
        <f>'Patient List'!I20</f>
        <v>0</v>
      </c>
      <c r="E115" s="257" t="s">
        <v>324</v>
      </c>
      <c r="F115" s="257"/>
      <c r="G115" s="256"/>
      <c r="H115" s="256"/>
      <c r="I115" s="255"/>
      <c r="J115" s="76"/>
      <c r="S115" s="76" t="s">
        <v>136</v>
      </c>
      <c r="T115" s="187" t="str">
        <f>C63</f>
        <v>NTC- F</v>
      </c>
      <c r="U115" s="187" t="str">
        <f>C64</f>
        <v>C00030F</v>
      </c>
      <c r="V115" s="187" t="str">
        <f>C65</f>
        <v/>
      </c>
      <c r="W115" s="187" t="str">
        <f>C66</f>
        <v/>
      </c>
      <c r="X115" s="187" t="str">
        <f>C67</f>
        <v/>
      </c>
      <c r="Y115" s="187" t="str">
        <f>C68</f>
        <v/>
      </c>
      <c r="Z115" s="187" t="str">
        <f>C69</f>
        <v/>
      </c>
      <c r="AA115" s="187" t="str">
        <f>C70</f>
        <v/>
      </c>
      <c r="AB115" s="187" t="str">
        <f>C71</f>
        <v/>
      </c>
      <c r="AC115" s="187" t="str">
        <f>C72</f>
        <v/>
      </c>
      <c r="AD115" s="187" t="str">
        <f>C73</f>
        <v/>
      </c>
      <c r="AE115" s="188" t="str">
        <f>C74</f>
        <v/>
      </c>
    </row>
    <row r="116" spans="3:31" ht="13.5" x14ac:dyDescent="0.3">
      <c r="C116" s="258">
        <v>20</v>
      </c>
      <c r="D116" s="256">
        <f>'Patient List'!I21</f>
        <v>0</v>
      </c>
      <c r="E116" s="257" t="s">
        <v>324</v>
      </c>
      <c r="F116" s="260"/>
      <c r="G116" s="259"/>
      <c r="H116" s="259"/>
      <c r="I116" s="258"/>
      <c r="J116" s="76"/>
      <c r="S116" s="76" t="s">
        <v>137</v>
      </c>
      <c r="T116" s="187">
        <f>C75</f>
        <v>0</v>
      </c>
      <c r="U116" s="187">
        <f>C76</f>
        <v>0</v>
      </c>
      <c r="V116" s="187">
        <f>C77</f>
        <v>0</v>
      </c>
      <c r="W116" s="187">
        <f>C78</f>
        <v>0</v>
      </c>
      <c r="X116" s="187">
        <f>C79</f>
        <v>0</v>
      </c>
      <c r="Y116" s="187">
        <f>C80</f>
        <v>0</v>
      </c>
      <c r="Z116" s="187">
        <f>C81</f>
        <v>0</v>
      </c>
      <c r="AA116" s="187">
        <f>C82</f>
        <v>0</v>
      </c>
      <c r="AB116" s="187">
        <f>C83</f>
        <v>0</v>
      </c>
      <c r="AC116" s="187">
        <f>C84</f>
        <v>0</v>
      </c>
      <c r="AD116" s="187">
        <f>C85</f>
        <v>0</v>
      </c>
      <c r="AE116" s="188">
        <f>C86</f>
        <v>0</v>
      </c>
    </row>
    <row r="117" spans="3:31" ht="13.5" x14ac:dyDescent="0.3">
      <c r="C117" s="255">
        <v>21</v>
      </c>
      <c r="D117" s="256">
        <f>'Patient List'!I22</f>
        <v>0</v>
      </c>
      <c r="E117" s="257" t="s">
        <v>324</v>
      </c>
      <c r="F117" s="257"/>
      <c r="G117" s="256"/>
      <c r="H117" s="256"/>
      <c r="I117" s="255"/>
      <c r="J117" s="76"/>
      <c r="S117" s="76" t="s">
        <v>138</v>
      </c>
      <c r="T117" s="187"/>
      <c r="U117" s="187"/>
      <c r="V117" s="187"/>
      <c r="W117" s="187"/>
      <c r="X117" s="187"/>
      <c r="Y117" s="187"/>
      <c r="Z117" s="187"/>
      <c r="AA117" s="187"/>
      <c r="AB117" s="187"/>
      <c r="AC117" s="187"/>
      <c r="AD117" s="187"/>
      <c r="AE117" s="188"/>
    </row>
    <row r="118" spans="3:31" ht="10.5" customHeight="1" x14ac:dyDescent="0.3">
      <c r="C118" s="258">
        <v>22</v>
      </c>
      <c r="D118" s="256">
        <f>'Patient List'!I23</f>
        <v>0</v>
      </c>
      <c r="E118" s="257" t="s">
        <v>324</v>
      </c>
      <c r="F118" s="260"/>
      <c r="G118" s="259"/>
      <c r="H118" s="259"/>
      <c r="I118" s="258"/>
      <c r="J118" s="76"/>
      <c r="S118" s="76" t="s">
        <v>139</v>
      </c>
      <c r="T118" s="187"/>
      <c r="U118" s="187"/>
      <c r="V118" s="187"/>
      <c r="W118" s="187"/>
      <c r="X118" s="187"/>
      <c r="Y118" s="187"/>
      <c r="Z118" s="187"/>
      <c r="AA118" s="187"/>
      <c r="AB118" s="187"/>
      <c r="AC118" s="187"/>
      <c r="AD118" s="187"/>
      <c r="AE118" s="188"/>
    </row>
    <row r="119" spans="3:31" ht="10.5" customHeight="1" x14ac:dyDescent="0.3">
      <c r="C119" s="255">
        <v>23</v>
      </c>
      <c r="D119" s="256">
        <f>'Patient List'!I24</f>
        <v>0</v>
      </c>
      <c r="E119" s="257" t="s">
        <v>324</v>
      </c>
      <c r="F119" s="257"/>
      <c r="G119" s="256"/>
      <c r="H119" s="256"/>
      <c r="I119" s="255"/>
      <c r="J119" s="76"/>
      <c r="S119" s="76" t="s">
        <v>131</v>
      </c>
      <c r="T119" s="187"/>
      <c r="U119" s="187"/>
      <c r="V119" s="187"/>
      <c r="W119" s="187"/>
      <c r="X119" s="187"/>
      <c r="Y119" s="187"/>
      <c r="Z119" s="187"/>
      <c r="AA119" s="187"/>
      <c r="AB119" s="187"/>
      <c r="AC119" s="187"/>
      <c r="AD119" s="187"/>
      <c r="AE119" s="188"/>
    </row>
    <row r="120" spans="3:31" ht="10.5" customHeight="1" x14ac:dyDescent="0.3">
      <c r="C120" s="258">
        <v>24</v>
      </c>
      <c r="D120" s="256">
        <f>'Patient List'!I25</f>
        <v>0</v>
      </c>
      <c r="E120" s="257" t="s">
        <v>324</v>
      </c>
      <c r="F120" s="260"/>
      <c r="G120" s="259"/>
      <c r="H120" s="259"/>
      <c r="I120" s="258"/>
      <c r="J120" s="76"/>
      <c r="S120" s="76" t="s">
        <v>140</v>
      </c>
      <c r="T120" s="187"/>
      <c r="U120" s="187"/>
      <c r="V120" s="187"/>
      <c r="W120" s="187"/>
      <c r="X120" s="187"/>
      <c r="Y120" s="187"/>
      <c r="Z120" s="187"/>
      <c r="AA120" s="187"/>
      <c r="AB120" s="187"/>
      <c r="AC120" s="187"/>
      <c r="AD120" s="187"/>
      <c r="AE120" s="188"/>
    </row>
    <row r="121" spans="3:31" ht="10.5" customHeight="1" x14ac:dyDescent="0.3">
      <c r="S121" s="104" t="s">
        <v>141</v>
      </c>
      <c r="T121" s="189"/>
      <c r="U121" s="189"/>
      <c r="V121" s="189"/>
      <c r="W121" s="189"/>
      <c r="X121" s="189"/>
      <c r="Y121" s="189"/>
      <c r="Z121" s="189"/>
      <c r="AA121" s="189"/>
      <c r="AB121" s="189"/>
      <c r="AC121" s="189"/>
      <c r="AD121" s="189"/>
      <c r="AE121" s="190"/>
    </row>
    <row r="123" spans="3:31" x14ac:dyDescent="0.3">
      <c r="C123" s="94" t="s">
        <v>325</v>
      </c>
    </row>
    <row r="125" spans="3:31" ht="24.75" customHeight="1" x14ac:dyDescent="0.3">
      <c r="C125" s="90" t="s">
        <v>111</v>
      </c>
      <c r="D125" s="90" t="s">
        <v>320</v>
      </c>
      <c r="E125" s="90" t="s">
        <v>326</v>
      </c>
      <c r="F125" s="90" t="s">
        <v>2</v>
      </c>
      <c r="G125" s="90" t="s">
        <v>87</v>
      </c>
      <c r="H125" s="90" t="s">
        <v>25</v>
      </c>
    </row>
    <row r="126" spans="3:31" x14ac:dyDescent="0.3">
      <c r="C126" s="76">
        <v>1</v>
      </c>
      <c r="D126" s="76" t="str">
        <f>'Patient List'!I2</f>
        <v>C00026B</v>
      </c>
      <c r="E126" s="76" t="s">
        <v>324</v>
      </c>
      <c r="F126" s="76"/>
      <c r="G126" s="76"/>
      <c r="H126" s="76"/>
      <c r="Q126" s="84"/>
    </row>
    <row r="127" spans="3:31" x14ac:dyDescent="0.3">
      <c r="C127" s="76">
        <v>2</v>
      </c>
      <c r="D127" s="76" t="str">
        <f>'Patient List'!I3</f>
        <v>S1</v>
      </c>
      <c r="E127" s="76" t="s">
        <v>324</v>
      </c>
      <c r="F127" s="76"/>
      <c r="G127" s="76"/>
      <c r="H127" s="76"/>
      <c r="Q127" s="84"/>
    </row>
    <row r="128" spans="3:31" x14ac:dyDescent="0.3">
      <c r="C128" s="76">
        <v>3</v>
      </c>
      <c r="D128" s="76" t="str">
        <f>'Patient List'!I4</f>
        <v>S2</v>
      </c>
      <c r="E128" s="76" t="s">
        <v>324</v>
      </c>
      <c r="F128" s="76"/>
      <c r="G128" s="76"/>
      <c r="H128" s="76"/>
      <c r="Q128" s="84"/>
    </row>
    <row r="129" spans="3:31" x14ac:dyDescent="0.3">
      <c r="C129" s="76">
        <v>4</v>
      </c>
      <c r="D129" s="76" t="str">
        <f>'Patient List'!I5</f>
        <v>S3</v>
      </c>
      <c r="E129" s="76" t="s">
        <v>324</v>
      </c>
      <c r="F129" s="76"/>
      <c r="G129" s="76"/>
      <c r="H129" s="76"/>
      <c r="Q129" s="84"/>
    </row>
    <row r="130" spans="3:31" x14ac:dyDescent="0.3">
      <c r="C130" s="76">
        <v>5</v>
      </c>
      <c r="D130" s="76" t="str">
        <f>'Patient List'!I6</f>
        <v>S4</v>
      </c>
      <c r="E130" s="76" t="s">
        <v>324</v>
      </c>
      <c r="F130" s="76"/>
      <c r="G130" s="76"/>
      <c r="H130" s="76"/>
      <c r="S130" s="94" t="s">
        <v>327</v>
      </c>
    </row>
    <row r="131" spans="3:31" ht="10.5" customHeight="1" x14ac:dyDescent="0.3">
      <c r="C131" s="76">
        <v>6</v>
      </c>
      <c r="D131" s="76" t="str">
        <f>'Patient List'!I7</f>
        <v>S5</v>
      </c>
      <c r="E131" s="76" t="s">
        <v>324</v>
      </c>
      <c r="F131" s="76"/>
      <c r="G131" s="76"/>
      <c r="H131" s="76"/>
    </row>
    <row r="132" spans="3:31" ht="10.5" customHeight="1" x14ac:dyDescent="0.3">
      <c r="C132" s="76">
        <v>7</v>
      </c>
      <c r="D132" s="76" t="str">
        <f>'Patient List'!I8</f>
        <v>S6</v>
      </c>
      <c r="E132" s="76" t="s">
        <v>324</v>
      </c>
      <c r="F132" s="76"/>
      <c r="G132" s="76"/>
      <c r="H132" s="76"/>
      <c r="S132" s="107" t="s">
        <v>33</v>
      </c>
      <c r="T132" s="76" t="s">
        <v>144</v>
      </c>
      <c r="U132" s="76" t="s">
        <v>145</v>
      </c>
      <c r="V132" s="76" t="s">
        <v>146</v>
      </c>
      <c r="W132" s="76" t="s">
        <v>147</v>
      </c>
      <c r="X132" s="76" t="s">
        <v>148</v>
      </c>
      <c r="Y132" s="76" t="s">
        <v>149</v>
      </c>
      <c r="Z132" s="76" t="s">
        <v>142</v>
      </c>
      <c r="AA132" s="76" t="s">
        <v>150</v>
      </c>
      <c r="AB132" s="76" t="s">
        <v>151</v>
      </c>
      <c r="AC132" s="76" t="s">
        <v>152</v>
      </c>
      <c r="AD132" s="76" t="s">
        <v>153</v>
      </c>
      <c r="AE132" s="106" t="s">
        <v>154</v>
      </c>
    </row>
    <row r="133" spans="3:31" ht="10.5" customHeight="1" x14ac:dyDescent="0.3">
      <c r="C133" s="76">
        <v>8</v>
      </c>
      <c r="D133" s="76" t="str">
        <f>'Patient List'!I9</f>
        <v>S7</v>
      </c>
      <c r="E133" s="76" t="s">
        <v>324</v>
      </c>
      <c r="F133" s="76"/>
      <c r="G133" s="76"/>
      <c r="H133" s="76"/>
      <c r="S133" s="76" t="s">
        <v>135</v>
      </c>
      <c r="T133" s="187"/>
      <c r="U133" s="187"/>
      <c r="V133" s="187"/>
      <c r="W133" s="187"/>
      <c r="X133" s="187"/>
      <c r="Y133" s="187"/>
      <c r="Z133" s="187">
        <f t="shared" ref="Z133:Z135" si="51">Z88</f>
        <v>0</v>
      </c>
      <c r="AA133" s="187">
        <f t="shared" ref="AA133:AA135" si="52">AA88</f>
        <v>0</v>
      </c>
      <c r="AB133" s="187">
        <f t="shared" ref="AB133:AB135" si="53">AB88</f>
        <v>0</v>
      </c>
      <c r="AC133" s="187">
        <f t="shared" ref="AC133:AC135" si="54">AC88</f>
        <v>0</v>
      </c>
      <c r="AD133" s="187">
        <f t="shared" ref="AD133:AD135" si="55">AD88</f>
        <v>0</v>
      </c>
      <c r="AE133" s="188">
        <f t="shared" ref="AE133:AE135" si="56">AE88</f>
        <v>0</v>
      </c>
    </row>
    <row r="134" spans="3:31" ht="10.5" customHeight="1" x14ac:dyDescent="0.3">
      <c r="C134" s="76">
        <v>9</v>
      </c>
      <c r="D134" s="76" t="str">
        <f>'Patient List'!I10</f>
        <v>S8</v>
      </c>
      <c r="E134" s="76" t="s">
        <v>324</v>
      </c>
      <c r="F134" s="76"/>
      <c r="G134" s="76"/>
      <c r="H134" s="76"/>
      <c r="S134" s="76" t="s">
        <v>136</v>
      </c>
      <c r="T134" s="187" t="str">
        <f>T89</f>
        <v>NTC</v>
      </c>
      <c r="U134" s="187" t="str">
        <f t="shared" ref="U134:Y135" si="57">U89</f>
        <v>C00026B</v>
      </c>
      <c r="V134" s="187" t="str">
        <f t="shared" ca="1" si="57"/>
        <v>S1</v>
      </c>
      <c r="W134" s="187" t="str">
        <f t="shared" ca="1" si="57"/>
        <v>S2</v>
      </c>
      <c r="X134" s="187" t="str">
        <f t="shared" ca="1" si="57"/>
        <v>S3</v>
      </c>
      <c r="Y134" s="187" t="str">
        <f t="shared" ca="1" si="57"/>
        <v>S4</v>
      </c>
      <c r="Z134" s="187" t="str">
        <f t="shared" ca="1" si="51"/>
        <v>S5</v>
      </c>
      <c r="AA134" s="187" t="str">
        <f t="shared" ca="1" si="52"/>
        <v>S6</v>
      </c>
      <c r="AB134" s="187" t="str">
        <f t="shared" ca="1" si="53"/>
        <v>S7</v>
      </c>
      <c r="AC134" s="187" t="str">
        <f t="shared" ca="1" si="54"/>
        <v>S8</v>
      </c>
      <c r="AD134" s="187" t="str">
        <f t="shared" ca="1" si="55"/>
        <v/>
      </c>
      <c r="AE134" s="187" t="str">
        <f t="shared" ca="1" si="56"/>
        <v/>
      </c>
    </row>
    <row r="135" spans="3:31" ht="13.5" x14ac:dyDescent="0.3">
      <c r="C135" s="76">
        <v>10</v>
      </c>
      <c r="D135" s="76">
        <f>'Patient List'!I11</f>
        <v>0</v>
      </c>
      <c r="E135" s="76" t="s">
        <v>324</v>
      </c>
      <c r="F135" s="76"/>
      <c r="G135" s="76"/>
      <c r="H135" s="76"/>
      <c r="S135" s="76" t="s">
        <v>137</v>
      </c>
      <c r="T135" s="187" t="str">
        <f ca="1">T90</f>
        <v/>
      </c>
      <c r="U135" s="187" t="str">
        <f t="shared" ca="1" si="57"/>
        <v/>
      </c>
      <c r="V135" s="187" t="str">
        <f t="shared" ca="1" si="57"/>
        <v/>
      </c>
      <c r="W135" s="187" t="str">
        <f t="shared" ca="1" si="57"/>
        <v/>
      </c>
      <c r="X135" s="187" t="str">
        <f t="shared" ca="1" si="57"/>
        <v/>
      </c>
      <c r="Y135" s="187" t="str">
        <f t="shared" ca="1" si="57"/>
        <v/>
      </c>
      <c r="Z135" s="187" t="str">
        <f t="shared" si="51"/>
        <v/>
      </c>
      <c r="AA135" s="187" t="str">
        <f t="shared" si="52"/>
        <v/>
      </c>
      <c r="AB135" s="187" t="str">
        <f t="shared" si="53"/>
        <v/>
      </c>
      <c r="AC135" s="187" t="str">
        <f t="shared" si="54"/>
        <v/>
      </c>
      <c r="AD135" s="187" t="str">
        <f t="shared" si="55"/>
        <v/>
      </c>
      <c r="AE135" s="187" t="str">
        <f t="shared" si="56"/>
        <v/>
      </c>
    </row>
    <row r="136" spans="3:31" ht="13.5" x14ac:dyDescent="0.3">
      <c r="C136" s="76">
        <v>11</v>
      </c>
      <c r="D136" s="76">
        <f>'Patient List'!I12</f>
        <v>0</v>
      </c>
      <c r="E136" s="76" t="s">
        <v>324</v>
      </c>
      <c r="F136" s="76"/>
      <c r="G136" s="76"/>
      <c r="H136" s="76"/>
      <c r="S136" s="76" t="s">
        <v>138</v>
      </c>
      <c r="T136" s="187"/>
      <c r="U136" s="187"/>
      <c r="V136" s="187"/>
      <c r="W136" s="187"/>
      <c r="X136" s="187"/>
      <c r="Y136" s="187"/>
      <c r="Z136" s="187"/>
      <c r="AA136" s="187"/>
      <c r="AB136" s="187"/>
      <c r="AC136" s="187"/>
      <c r="AD136" s="187"/>
      <c r="AE136" s="187"/>
    </row>
    <row r="137" spans="3:31" ht="13.5" x14ac:dyDescent="0.3">
      <c r="C137" s="76">
        <v>12</v>
      </c>
      <c r="D137" s="76">
        <f>'Patient List'!I13</f>
        <v>0</v>
      </c>
      <c r="E137" s="76" t="s">
        <v>324</v>
      </c>
      <c r="F137" s="76"/>
      <c r="G137" s="76"/>
      <c r="H137" s="76"/>
      <c r="S137" s="76" t="s">
        <v>139</v>
      </c>
      <c r="T137" s="187"/>
      <c r="U137" s="187"/>
      <c r="V137" s="187"/>
      <c r="W137" s="187"/>
      <c r="X137" s="187"/>
      <c r="Y137" s="187"/>
      <c r="Z137" s="187"/>
      <c r="AA137" s="187"/>
      <c r="AB137" s="187"/>
      <c r="AC137" s="187"/>
      <c r="AD137" s="187"/>
      <c r="AE137" s="187"/>
    </row>
    <row r="138" spans="3:31" ht="13.5" x14ac:dyDescent="0.3">
      <c r="C138" s="76">
        <v>13</v>
      </c>
      <c r="D138" s="76">
        <f>'Patient List'!I14</f>
        <v>0</v>
      </c>
      <c r="E138" s="76" t="s">
        <v>324</v>
      </c>
      <c r="F138" s="76"/>
      <c r="G138" s="76"/>
      <c r="H138" s="76"/>
      <c r="S138" s="76" t="s">
        <v>131</v>
      </c>
      <c r="T138" s="187"/>
      <c r="U138" s="187"/>
      <c r="V138" s="187"/>
      <c r="W138" s="187"/>
      <c r="X138" s="187"/>
      <c r="Y138" s="187"/>
      <c r="Z138" s="187"/>
      <c r="AA138" s="187"/>
      <c r="AB138" s="187"/>
      <c r="AC138" s="187"/>
      <c r="AD138" s="187"/>
      <c r="AE138" s="188"/>
    </row>
    <row r="139" spans="3:31" ht="13.5" x14ac:dyDescent="0.3">
      <c r="C139" s="76">
        <v>14</v>
      </c>
      <c r="D139" s="76">
        <f>'Patient List'!I15</f>
        <v>0</v>
      </c>
      <c r="E139" s="76" t="s">
        <v>324</v>
      </c>
      <c r="F139" s="76"/>
      <c r="G139" s="76"/>
      <c r="H139" s="76"/>
      <c r="S139" s="76" t="s">
        <v>140</v>
      </c>
      <c r="T139" s="187"/>
      <c r="U139" s="187"/>
      <c r="V139" s="187"/>
      <c r="W139" s="187"/>
      <c r="X139" s="187"/>
      <c r="Y139" s="187"/>
      <c r="Z139" s="187"/>
      <c r="AA139" s="187"/>
      <c r="AB139" s="187"/>
      <c r="AC139" s="187"/>
      <c r="AD139" s="187"/>
      <c r="AE139" s="188"/>
    </row>
    <row r="140" spans="3:31" ht="13.5" x14ac:dyDescent="0.3">
      <c r="C140" s="76">
        <v>15</v>
      </c>
      <c r="D140" s="76">
        <f>'Patient List'!I16</f>
        <v>0</v>
      </c>
      <c r="E140" s="76" t="s">
        <v>324</v>
      </c>
      <c r="F140" s="76"/>
      <c r="G140" s="76"/>
      <c r="H140" s="76"/>
      <c r="S140" s="104" t="s">
        <v>141</v>
      </c>
      <c r="T140" s="189"/>
      <c r="U140" s="189"/>
      <c r="V140" s="189"/>
      <c r="W140" s="189"/>
      <c r="X140" s="189"/>
      <c r="Y140" s="189"/>
      <c r="Z140" s="189"/>
      <c r="AA140" s="189"/>
      <c r="AB140" s="189"/>
      <c r="AC140" s="189"/>
      <c r="AD140" s="189"/>
      <c r="AE140" s="190"/>
    </row>
    <row r="141" spans="3:31" x14ac:dyDescent="0.3">
      <c r="C141" s="76">
        <v>16</v>
      </c>
      <c r="D141" s="76">
        <f>'Patient List'!I17</f>
        <v>0</v>
      </c>
      <c r="E141" s="76" t="s">
        <v>324</v>
      </c>
      <c r="F141" s="76"/>
      <c r="G141" s="76"/>
      <c r="H141" s="76"/>
    </row>
    <row r="142" spans="3:31" x14ac:dyDescent="0.3">
      <c r="C142" s="76">
        <v>17</v>
      </c>
      <c r="D142" s="76">
        <f>'Patient List'!I18</f>
        <v>0</v>
      </c>
      <c r="E142" s="76" t="s">
        <v>324</v>
      </c>
      <c r="F142" s="76"/>
      <c r="G142" s="76"/>
      <c r="H142" s="76"/>
      <c r="S142" s="67" t="s">
        <v>319</v>
      </c>
    </row>
    <row r="143" spans="3:31" ht="10.5" customHeight="1" x14ac:dyDescent="0.3">
      <c r="C143" s="76">
        <v>18</v>
      </c>
      <c r="D143" s="76">
        <f>'Patient List'!I19</f>
        <v>0</v>
      </c>
      <c r="E143" s="76" t="s">
        <v>324</v>
      </c>
      <c r="F143" s="76"/>
      <c r="G143" s="76"/>
      <c r="H143" s="76"/>
    </row>
    <row r="144" spans="3:31" x14ac:dyDescent="0.3">
      <c r="C144" s="76">
        <v>19</v>
      </c>
      <c r="D144" s="76">
        <f>'Patient List'!I20</f>
        <v>0</v>
      </c>
      <c r="E144" s="76" t="s">
        <v>324</v>
      </c>
      <c r="F144" s="76"/>
      <c r="G144" s="76"/>
      <c r="H144" s="76"/>
      <c r="S144" s="107" t="s">
        <v>33</v>
      </c>
      <c r="T144" s="76" t="s">
        <v>144</v>
      </c>
      <c r="U144" s="76" t="s">
        <v>145</v>
      </c>
      <c r="V144" s="76" t="s">
        <v>146</v>
      </c>
      <c r="W144" s="76" t="s">
        <v>147</v>
      </c>
      <c r="X144" s="76" t="s">
        <v>148</v>
      </c>
      <c r="Y144" s="76" t="s">
        <v>149</v>
      </c>
      <c r="Z144" s="76" t="s">
        <v>142</v>
      </c>
      <c r="AA144" s="76" t="s">
        <v>150</v>
      </c>
      <c r="AB144" s="76" t="s">
        <v>151</v>
      </c>
      <c r="AC144" s="76" t="s">
        <v>152</v>
      </c>
      <c r="AD144" s="76" t="s">
        <v>153</v>
      </c>
      <c r="AE144" s="106" t="s">
        <v>154</v>
      </c>
    </row>
    <row r="145" spans="3:32" ht="13.5" x14ac:dyDescent="0.3">
      <c r="C145" s="76">
        <v>20</v>
      </c>
      <c r="D145" s="76">
        <f>'Patient List'!I21</f>
        <v>0</v>
      </c>
      <c r="E145" s="76" t="s">
        <v>324</v>
      </c>
      <c r="F145" s="76"/>
      <c r="G145" s="76"/>
      <c r="H145" s="76"/>
      <c r="S145" s="76" t="s">
        <v>135</v>
      </c>
      <c r="T145" s="187"/>
      <c r="U145" s="187"/>
      <c r="V145" s="187"/>
      <c r="W145" s="187"/>
      <c r="X145" s="187"/>
      <c r="Y145" s="187"/>
      <c r="Z145" s="187"/>
      <c r="AA145" s="187"/>
      <c r="AB145" s="187"/>
      <c r="AC145" s="187"/>
      <c r="AD145" s="187"/>
      <c r="AE145" s="188" t="str">
        <f t="shared" ref="AE145:AE147" si="58">AE101</f>
        <v/>
      </c>
    </row>
    <row r="146" spans="3:32" ht="13.5" x14ac:dyDescent="0.3">
      <c r="C146" s="76">
        <v>21</v>
      </c>
      <c r="D146" s="76">
        <f>'Patient List'!I22</f>
        <v>0</v>
      </c>
      <c r="E146" s="76" t="s">
        <v>324</v>
      </c>
      <c r="F146" s="76"/>
      <c r="G146" s="76"/>
      <c r="H146" s="76"/>
      <c r="S146" s="76" t="s">
        <v>136</v>
      </c>
      <c r="T146" s="187" t="str">
        <f>T102</f>
        <v>NTC- B</v>
      </c>
      <c r="U146" s="187" t="str">
        <f t="shared" ref="U146:AD146" si="59">U102</f>
        <v>C00030B</v>
      </c>
      <c r="V146" s="187" t="str">
        <f t="shared" si="59"/>
        <v>S1</v>
      </c>
      <c r="W146" s="187" t="str">
        <f t="shared" si="59"/>
        <v>S2</v>
      </c>
      <c r="X146" s="187" t="str">
        <f t="shared" si="59"/>
        <v>S3</v>
      </c>
      <c r="Y146" s="187" t="str">
        <f t="shared" si="59"/>
        <v/>
      </c>
      <c r="Z146" s="187" t="str">
        <f t="shared" si="59"/>
        <v/>
      </c>
      <c r="AA146" s="187" t="str">
        <f t="shared" si="59"/>
        <v/>
      </c>
      <c r="AB146" s="187" t="str">
        <f t="shared" si="59"/>
        <v/>
      </c>
      <c r="AC146" s="187" t="str">
        <f t="shared" si="59"/>
        <v/>
      </c>
      <c r="AD146" s="187" t="str">
        <f t="shared" si="59"/>
        <v/>
      </c>
      <c r="AE146" s="187" t="str">
        <f t="shared" si="58"/>
        <v/>
      </c>
    </row>
    <row r="147" spans="3:32" ht="13.5" x14ac:dyDescent="0.3">
      <c r="C147" s="76">
        <v>22</v>
      </c>
      <c r="D147" s="76">
        <f>'Patient List'!I23</f>
        <v>0</v>
      </c>
      <c r="E147" s="76" t="s">
        <v>324</v>
      </c>
      <c r="F147" s="76"/>
      <c r="G147" s="76"/>
      <c r="H147" s="76"/>
      <c r="S147" s="76" t="s">
        <v>137</v>
      </c>
      <c r="T147" s="187" t="str">
        <f>T103</f>
        <v/>
      </c>
      <c r="U147" s="187" t="str">
        <f t="shared" ref="U147:AD147" si="60">U103</f>
        <v/>
      </c>
      <c r="V147" s="187" t="str">
        <f t="shared" si="60"/>
        <v/>
      </c>
      <c r="W147" s="187" t="str">
        <f t="shared" si="60"/>
        <v/>
      </c>
      <c r="X147" s="187" t="str">
        <f t="shared" si="60"/>
        <v/>
      </c>
      <c r="Y147" s="187" t="str">
        <f t="shared" si="60"/>
        <v/>
      </c>
      <c r="Z147" s="187" t="str">
        <f t="shared" si="60"/>
        <v/>
      </c>
      <c r="AA147" s="187" t="str">
        <f t="shared" si="60"/>
        <v/>
      </c>
      <c r="AB147" s="187" t="str">
        <f t="shared" si="60"/>
        <v/>
      </c>
      <c r="AC147" s="187" t="str">
        <f t="shared" si="60"/>
        <v/>
      </c>
      <c r="AD147" s="187" t="str">
        <f t="shared" si="60"/>
        <v/>
      </c>
      <c r="AE147" s="187" t="str">
        <f t="shared" si="58"/>
        <v/>
      </c>
    </row>
    <row r="148" spans="3:32" ht="13.5" x14ac:dyDescent="0.3">
      <c r="C148" s="76">
        <v>23</v>
      </c>
      <c r="D148" s="76">
        <f>'Patient List'!I24</f>
        <v>0</v>
      </c>
      <c r="E148" s="76" t="s">
        <v>324</v>
      </c>
      <c r="F148" s="76"/>
      <c r="G148" s="76"/>
      <c r="H148" s="76"/>
      <c r="S148" s="76" t="s">
        <v>138</v>
      </c>
      <c r="T148" s="187"/>
      <c r="U148" s="187"/>
      <c r="V148" s="187"/>
      <c r="W148" s="187"/>
      <c r="X148" s="187"/>
      <c r="Y148" s="187"/>
      <c r="Z148" s="187"/>
      <c r="AA148" s="187"/>
      <c r="AB148" s="187"/>
      <c r="AC148" s="187"/>
      <c r="AD148" s="187"/>
      <c r="AE148" s="188"/>
    </row>
    <row r="149" spans="3:32" ht="13.5" x14ac:dyDescent="0.3">
      <c r="C149" s="76">
        <v>24</v>
      </c>
      <c r="D149" s="76">
        <f>'Patient List'!I25</f>
        <v>0</v>
      </c>
      <c r="E149" s="76" t="s">
        <v>324</v>
      </c>
      <c r="F149" s="76"/>
      <c r="G149" s="76"/>
      <c r="H149" s="76"/>
      <c r="S149" s="76" t="s">
        <v>139</v>
      </c>
      <c r="T149" s="187" t="str">
        <f>T115</f>
        <v>NTC- F</v>
      </c>
      <c r="U149" s="187" t="str">
        <f t="shared" ref="U149:AE150" si="61">U115</f>
        <v>C00030F</v>
      </c>
      <c r="V149" s="187" t="str">
        <f t="shared" si="61"/>
        <v/>
      </c>
      <c r="W149" s="187" t="str">
        <f t="shared" si="61"/>
        <v/>
      </c>
      <c r="X149" s="187" t="str">
        <f t="shared" si="61"/>
        <v/>
      </c>
      <c r="Y149" s="187" t="str">
        <f t="shared" si="61"/>
        <v/>
      </c>
      <c r="Z149" s="187" t="str">
        <f t="shared" si="61"/>
        <v/>
      </c>
      <c r="AA149" s="187" t="str">
        <f t="shared" si="61"/>
        <v/>
      </c>
      <c r="AB149" s="187" t="str">
        <f t="shared" si="61"/>
        <v/>
      </c>
      <c r="AC149" s="187" t="str">
        <f t="shared" si="61"/>
        <v/>
      </c>
      <c r="AD149" s="187" t="str">
        <f t="shared" si="61"/>
        <v/>
      </c>
      <c r="AE149" s="187" t="str">
        <f t="shared" si="61"/>
        <v/>
      </c>
    </row>
    <row r="150" spans="3:32" ht="13.5" x14ac:dyDescent="0.3">
      <c r="S150" s="76" t="s">
        <v>131</v>
      </c>
      <c r="T150" s="187">
        <f>T116</f>
        <v>0</v>
      </c>
      <c r="U150" s="187">
        <f t="shared" si="61"/>
        <v>0</v>
      </c>
      <c r="V150" s="187">
        <f t="shared" si="61"/>
        <v>0</v>
      </c>
      <c r="W150" s="187">
        <f t="shared" si="61"/>
        <v>0</v>
      </c>
      <c r="X150" s="187">
        <f t="shared" si="61"/>
        <v>0</v>
      </c>
      <c r="Y150" s="187">
        <f t="shared" si="61"/>
        <v>0</v>
      </c>
      <c r="Z150" s="187">
        <f t="shared" si="61"/>
        <v>0</v>
      </c>
      <c r="AA150" s="187">
        <f t="shared" si="61"/>
        <v>0</v>
      </c>
      <c r="AB150" s="187">
        <f t="shared" si="61"/>
        <v>0</v>
      </c>
      <c r="AC150" s="187">
        <f t="shared" si="61"/>
        <v>0</v>
      </c>
      <c r="AD150" s="187">
        <f t="shared" si="61"/>
        <v>0</v>
      </c>
      <c r="AE150" s="187">
        <f t="shared" si="61"/>
        <v>0</v>
      </c>
    </row>
    <row r="151" spans="3:32" ht="13.5" x14ac:dyDescent="0.3">
      <c r="S151" s="76" t="s">
        <v>140</v>
      </c>
      <c r="T151" s="187"/>
      <c r="U151" s="187"/>
      <c r="V151" s="187"/>
      <c r="W151" s="187"/>
      <c r="X151" s="187"/>
      <c r="Y151" s="187"/>
      <c r="Z151" s="187"/>
      <c r="AA151" s="187"/>
      <c r="AB151" s="187"/>
      <c r="AC151" s="187"/>
      <c r="AD151" s="187"/>
      <c r="AE151" s="188"/>
    </row>
    <row r="152" spans="3:32" ht="10.5" customHeight="1" x14ac:dyDescent="0.3">
      <c r="S152" s="104" t="s">
        <v>141</v>
      </c>
      <c r="T152" s="189"/>
      <c r="U152" s="189"/>
      <c r="V152" s="189"/>
      <c r="W152" s="189"/>
      <c r="X152" s="189"/>
      <c r="Y152" s="189"/>
      <c r="Z152" s="189"/>
      <c r="AA152" s="189"/>
      <c r="AB152" s="189"/>
      <c r="AC152" s="189"/>
      <c r="AD152" s="189"/>
      <c r="AE152" s="190"/>
    </row>
    <row r="154" spans="3:32" ht="10.5" customHeight="1" x14ac:dyDescent="0.3"/>
    <row r="155" spans="3:32" ht="10.5" customHeight="1" x14ac:dyDescent="0.3"/>
    <row r="156" spans="3:32" ht="10.5" customHeight="1" x14ac:dyDescent="0.3"/>
    <row r="158" spans="3:32" x14ac:dyDescent="0.3">
      <c r="S158" s="107"/>
      <c r="T158" s="76"/>
      <c r="U158" s="76"/>
      <c r="V158" s="76"/>
      <c r="W158" s="76"/>
      <c r="X158" s="76"/>
      <c r="Y158" s="76"/>
      <c r="Z158" s="76"/>
      <c r="AA158" s="76"/>
      <c r="AB158" s="76"/>
      <c r="AC158" s="76"/>
      <c r="AD158" s="76"/>
      <c r="AE158" s="106"/>
      <c r="AF158" s="84"/>
    </row>
    <row r="159" spans="3:32" ht="13.5" x14ac:dyDescent="0.3">
      <c r="S159" s="76"/>
      <c r="T159" s="187"/>
      <c r="U159" s="187"/>
      <c r="V159" s="187"/>
      <c r="W159" s="187"/>
      <c r="X159" s="187"/>
      <c r="Y159" s="187"/>
      <c r="Z159" s="187"/>
      <c r="AA159" s="187"/>
      <c r="AB159" s="187"/>
      <c r="AC159" s="187"/>
      <c r="AD159" s="187"/>
      <c r="AE159" s="188"/>
      <c r="AF159" s="84"/>
    </row>
    <row r="160" spans="3:32" ht="13.5" x14ac:dyDescent="0.3">
      <c r="S160" s="76"/>
      <c r="T160" s="187"/>
      <c r="U160" s="187"/>
      <c r="V160" s="187"/>
      <c r="W160" s="187"/>
      <c r="X160" s="187"/>
      <c r="Y160" s="187"/>
      <c r="Z160" s="187"/>
      <c r="AA160" s="187"/>
      <c r="AB160" s="187"/>
      <c r="AC160" s="187"/>
      <c r="AD160" s="187"/>
      <c r="AE160" s="188"/>
      <c r="AF160" s="84"/>
    </row>
    <row r="161" spans="19:52" ht="13.5" x14ac:dyDescent="0.3">
      <c r="S161" s="76"/>
      <c r="T161" s="187"/>
      <c r="U161" s="187"/>
      <c r="V161" s="187"/>
      <c r="W161" s="187"/>
      <c r="X161" s="187"/>
      <c r="Y161" s="188"/>
      <c r="Z161" s="187"/>
      <c r="AA161" s="187"/>
      <c r="AB161" s="187"/>
      <c r="AC161" s="187"/>
      <c r="AD161" s="187"/>
      <c r="AE161" s="188"/>
      <c r="AF161" s="84"/>
    </row>
    <row r="162" spans="19:52" ht="10.5" customHeight="1" x14ac:dyDescent="0.3">
      <c r="S162" s="76"/>
      <c r="T162" s="187"/>
      <c r="U162" s="187"/>
      <c r="V162" s="187"/>
      <c r="W162" s="187"/>
      <c r="X162" s="187"/>
      <c r="Y162" s="187"/>
      <c r="Z162" s="187"/>
      <c r="AA162" s="187"/>
      <c r="AB162" s="187"/>
      <c r="AC162" s="187"/>
      <c r="AD162" s="187"/>
      <c r="AE162" s="187"/>
      <c r="AF162" s="84"/>
    </row>
    <row r="163" spans="19:52" ht="13.5" x14ac:dyDescent="0.3">
      <c r="S163" s="76"/>
      <c r="T163" s="187"/>
      <c r="U163" s="187"/>
      <c r="V163" s="187"/>
      <c r="W163" s="187"/>
      <c r="X163" s="187"/>
      <c r="Y163" s="187"/>
      <c r="Z163" s="187"/>
      <c r="AA163" s="187"/>
      <c r="AB163" s="187"/>
      <c r="AC163" s="187"/>
      <c r="AD163" s="187"/>
      <c r="AE163" s="187"/>
      <c r="AF163" s="84"/>
    </row>
    <row r="164" spans="19:52" ht="13.5" x14ac:dyDescent="0.3">
      <c r="S164" s="76"/>
      <c r="T164" s="187"/>
      <c r="U164" s="187"/>
      <c r="V164" s="187"/>
      <c r="W164" s="187"/>
      <c r="X164" s="187"/>
      <c r="Y164" s="187"/>
      <c r="Z164" s="187"/>
      <c r="AA164" s="187"/>
      <c r="AB164" s="187"/>
      <c r="AC164" s="187"/>
      <c r="AD164" s="187"/>
      <c r="AE164" s="188"/>
      <c r="AF164" s="84"/>
    </row>
    <row r="165" spans="19:52" ht="13.5" x14ac:dyDescent="0.3">
      <c r="S165" s="76"/>
      <c r="T165" s="187"/>
      <c r="U165" s="187"/>
      <c r="V165" s="187"/>
      <c r="W165" s="187"/>
      <c r="X165" s="187"/>
      <c r="Y165" s="187"/>
      <c r="Z165" s="187"/>
      <c r="AA165" s="187"/>
      <c r="AB165" s="187"/>
      <c r="AC165" s="187"/>
      <c r="AD165" s="187"/>
      <c r="AE165" s="188"/>
      <c r="AF165" s="84"/>
    </row>
    <row r="166" spans="19:52" ht="10.5" customHeight="1" x14ac:dyDescent="0.3">
      <c r="S166" s="104"/>
      <c r="T166" s="189"/>
      <c r="U166" s="189"/>
      <c r="V166" s="189"/>
      <c r="W166" s="189"/>
      <c r="X166" s="189"/>
      <c r="Y166" s="189"/>
      <c r="Z166" s="189"/>
      <c r="AA166" s="189"/>
      <c r="AB166" s="189"/>
      <c r="AC166" s="189"/>
      <c r="AD166" s="189"/>
      <c r="AE166" s="190"/>
      <c r="AF166" s="84"/>
    </row>
    <row r="167" spans="19:52" ht="10.5" customHeight="1" x14ac:dyDescent="0.3"/>
    <row r="168" spans="19:52" ht="10.5" customHeight="1" x14ac:dyDescent="0.3"/>
    <row r="169" spans="19:52" ht="10.5" customHeight="1" x14ac:dyDescent="0.3"/>
    <row r="171" spans="19:52" x14ac:dyDescent="0.3">
      <c r="S171" s="107"/>
      <c r="T171" s="76"/>
      <c r="U171" s="76"/>
      <c r="V171" s="76"/>
      <c r="W171" s="76"/>
      <c r="X171" s="76"/>
      <c r="Y171" s="76"/>
      <c r="Z171" s="76"/>
      <c r="AA171" s="76"/>
      <c r="AB171" s="76"/>
      <c r="AC171" s="76"/>
      <c r="AD171" s="76"/>
      <c r="AE171" s="106"/>
      <c r="AF171" s="84"/>
    </row>
    <row r="172" spans="19:52" ht="13.5" x14ac:dyDescent="0.3">
      <c r="S172" s="76"/>
      <c r="T172" s="187"/>
      <c r="U172" s="187"/>
      <c r="V172" s="187"/>
      <c r="W172" s="187"/>
      <c r="X172" s="187"/>
      <c r="Y172" s="187"/>
      <c r="Z172" s="187"/>
      <c r="AA172" s="187"/>
      <c r="AB172" s="187"/>
      <c r="AC172" s="187"/>
      <c r="AD172" s="187"/>
      <c r="AE172" s="188"/>
      <c r="AF172" s="84"/>
    </row>
    <row r="173" spans="19:52" ht="13.5" x14ac:dyDescent="0.3">
      <c r="S173" s="76"/>
      <c r="T173" s="187"/>
      <c r="U173" s="187"/>
      <c r="V173" s="187"/>
      <c r="W173" s="187"/>
      <c r="X173" s="187"/>
      <c r="Y173" s="187"/>
      <c r="Z173" s="187"/>
      <c r="AA173" s="187"/>
      <c r="AB173" s="187"/>
      <c r="AC173" s="187"/>
      <c r="AD173" s="187"/>
      <c r="AE173" s="188"/>
      <c r="AF173" s="84"/>
    </row>
    <row r="174" spans="19:52" ht="13.5" x14ac:dyDescent="0.3">
      <c r="S174" s="76"/>
      <c r="T174" s="187"/>
      <c r="U174" s="187"/>
      <c r="V174" s="187"/>
      <c r="W174" s="187"/>
      <c r="X174" s="187"/>
      <c r="Y174" s="187"/>
      <c r="Z174" s="187"/>
      <c r="AA174" s="187"/>
      <c r="AB174" s="187"/>
      <c r="AC174" s="187"/>
      <c r="AD174" s="187"/>
      <c r="AE174" s="188"/>
      <c r="AF174" s="84"/>
    </row>
    <row r="175" spans="19:52" ht="13.5" x14ac:dyDescent="0.3">
      <c r="S175" s="76"/>
      <c r="T175" s="187"/>
      <c r="U175" s="187"/>
      <c r="V175" s="187"/>
      <c r="W175" s="187"/>
      <c r="X175" s="187"/>
      <c r="Y175" s="187"/>
      <c r="Z175" s="187"/>
      <c r="AA175" s="187"/>
      <c r="AB175" s="187"/>
      <c r="AC175" s="187"/>
      <c r="AD175" s="187"/>
      <c r="AE175" s="188"/>
      <c r="AF175" s="84"/>
      <c r="AH175" s="67" t="s">
        <v>172</v>
      </c>
      <c r="AI175" s="67" t="s">
        <v>175</v>
      </c>
    </row>
    <row r="176" spans="19:52" ht="51.75" thickBot="1" x14ac:dyDescent="0.35">
      <c r="S176" s="76"/>
      <c r="T176" s="187"/>
      <c r="U176" s="187"/>
      <c r="V176" s="187"/>
      <c r="W176" s="187"/>
      <c r="X176" s="187"/>
      <c r="Y176" s="187"/>
      <c r="Z176" s="187"/>
      <c r="AA176" s="187"/>
      <c r="AB176" s="187"/>
      <c r="AC176" s="187"/>
      <c r="AD176" s="187"/>
      <c r="AE176" s="187"/>
      <c r="AF176" s="84"/>
      <c r="AI176" s="76" t="s">
        <v>143</v>
      </c>
      <c r="AJ176" s="76" t="s">
        <v>231</v>
      </c>
      <c r="AK176" s="76" t="str">
        <f>"Volume per "&amp;('NGS Run Record'!F79)&amp;" sample (µL)"</f>
        <v>Volume per 11 sample (µL)</v>
      </c>
      <c r="AL176" s="76" t="s">
        <v>232</v>
      </c>
      <c r="AV176" s="77" t="s">
        <v>33</v>
      </c>
      <c r="AW176" s="78" t="s">
        <v>143</v>
      </c>
      <c r="AX176" s="78" t="s">
        <v>208</v>
      </c>
      <c r="AY176" s="112" t="s">
        <v>225</v>
      </c>
      <c r="AZ176" s="79" t="s">
        <v>209</v>
      </c>
    </row>
    <row r="177" spans="19:58" ht="14.25" thickBot="1" x14ac:dyDescent="0.35">
      <c r="S177" s="76"/>
      <c r="T177" s="187"/>
      <c r="U177" s="187"/>
      <c r="V177" s="187"/>
      <c r="W177" s="187"/>
      <c r="X177" s="187"/>
      <c r="Y177" s="187"/>
      <c r="Z177" s="187"/>
      <c r="AA177" s="187"/>
      <c r="AB177" s="187"/>
      <c r="AC177" s="187"/>
      <c r="AD177" s="187"/>
      <c r="AE177" s="187"/>
      <c r="AF177" s="84"/>
      <c r="AI177" s="76" t="s">
        <v>173</v>
      </c>
      <c r="AJ177" s="76">
        <v>2.5</v>
      </c>
      <c r="AK177" s="76" t="str">
        <f>"2.5 x "&amp;('NGS Run Record'!F79)</f>
        <v>2.5 x 11</v>
      </c>
      <c r="AL177" s="85">
        <f>AJ177*('NGS Run Record'!F79)</f>
        <v>27.5</v>
      </c>
      <c r="AV177" s="86" t="s">
        <v>206</v>
      </c>
      <c r="AW177" s="87" t="s">
        <v>210</v>
      </c>
      <c r="AX177" s="87">
        <v>9.4</v>
      </c>
      <c r="AY177" s="87"/>
      <c r="AZ177" s="88"/>
    </row>
    <row r="178" spans="19:58" ht="14.25" thickBot="1" x14ac:dyDescent="0.35">
      <c r="S178" s="76"/>
      <c r="T178" s="187"/>
      <c r="U178" s="187"/>
      <c r="V178" s="187"/>
      <c r="W178" s="187"/>
      <c r="X178" s="187"/>
      <c r="Y178" s="187"/>
      <c r="Z178" s="187"/>
      <c r="AA178" s="187"/>
      <c r="AB178" s="187"/>
      <c r="AC178" s="187"/>
      <c r="AD178" s="187"/>
      <c r="AE178" s="188"/>
      <c r="AF178" s="84"/>
      <c r="AI178" s="76" t="s">
        <v>205</v>
      </c>
      <c r="AJ178" s="76">
        <v>5</v>
      </c>
      <c r="AK178" s="76" t="str">
        <f>"5 x "&amp;('NGS Run Record'!F79)</f>
        <v>5 x 11</v>
      </c>
      <c r="AL178" s="85">
        <f>AJ178*('NGS Run Record'!F79)</f>
        <v>55</v>
      </c>
      <c r="AV178" s="86" t="s">
        <v>207</v>
      </c>
      <c r="AW178" s="87" t="s">
        <v>211</v>
      </c>
      <c r="AX178" s="87">
        <v>4</v>
      </c>
      <c r="AY178" s="87" t="str">
        <f>AX178&amp;" x "&amp;'NGS Run Record'!F79</f>
        <v>4 x 11</v>
      </c>
      <c r="AZ178" s="88">
        <f>AX178*'NGS Run Record'!F79</f>
        <v>44</v>
      </c>
    </row>
    <row r="179" spans="19:58" ht="17.25" thickBot="1" x14ac:dyDescent="0.35">
      <c r="S179" s="104"/>
      <c r="T179" s="189"/>
      <c r="U179" s="189"/>
      <c r="V179" s="189"/>
      <c r="W179" s="189"/>
      <c r="X179" s="189"/>
      <c r="Y179" s="189"/>
      <c r="Z179" s="189"/>
      <c r="AA179" s="189"/>
      <c r="AB179" s="189"/>
      <c r="AC179" s="189"/>
      <c r="AD179" s="189"/>
      <c r="AE179" s="190"/>
      <c r="AF179" s="84"/>
      <c r="AI179" s="76" t="s">
        <v>204</v>
      </c>
      <c r="AJ179" s="67">
        <v>0.75</v>
      </c>
      <c r="AK179" s="67" t="str">
        <f>"0.75 x "&amp;('NGS Run Record'!F79)</f>
        <v>0.75 x 11</v>
      </c>
      <c r="AL179" s="85" t="str">
        <f>TEXT(AJ179*('NGS Run Record'!F79),"0.0")</f>
        <v>8.3</v>
      </c>
      <c r="AV179" s="92"/>
      <c r="AW179" s="93" t="s">
        <v>212</v>
      </c>
      <c r="AX179" s="87">
        <v>5</v>
      </c>
      <c r="AY179" s="87" t="str">
        <f>AX179&amp;" x "&amp;'NGS Run Record'!F79</f>
        <v>5 x 11</v>
      </c>
      <c r="AZ179" s="88">
        <f>AX179*'NGS Run Record'!F79</f>
        <v>55</v>
      </c>
    </row>
    <row r="180" spans="19:58" ht="17.25" thickBot="1" x14ac:dyDescent="0.35">
      <c r="AI180" s="76" t="s">
        <v>174</v>
      </c>
      <c r="AJ180" s="76">
        <f>AJ177+AJ178+AJ179</f>
        <v>8.25</v>
      </c>
      <c r="AK180" s="76" t="str">
        <f>"8.25 x "&amp;('NGS Run Record'!F79)</f>
        <v>8.25 x 11</v>
      </c>
      <c r="AL180" s="85" t="str">
        <f>TEXT(AJ180*('NGS Run Record'!F79),"0.0")</f>
        <v>90.8</v>
      </c>
      <c r="AV180" s="92"/>
      <c r="AW180" s="87" t="s">
        <v>213</v>
      </c>
      <c r="AX180" s="87">
        <v>0.8</v>
      </c>
      <c r="AY180" s="87" t="str">
        <f>AX180&amp;" x "&amp;'NGS Run Record'!F79</f>
        <v>0.8 x 11</v>
      </c>
      <c r="AZ180" s="88">
        <f>AX180*'NGS Run Record'!F79</f>
        <v>8.8000000000000007</v>
      </c>
    </row>
    <row r="181" spans="19:58" ht="17.25" thickBot="1" x14ac:dyDescent="0.35">
      <c r="AI181" s="94" t="str">
        <f>"Add "&amp;insert5&amp;" µL "&amp;AI177&amp;" to tube ER."</f>
        <v>Add 27.5 µL Fragmentation Buffer 10 x to tube ER.</v>
      </c>
      <c r="AV181" s="92"/>
      <c r="AW181" s="87" t="s">
        <v>214</v>
      </c>
      <c r="AX181" s="87">
        <v>0.8</v>
      </c>
      <c r="AY181" s="87" t="str">
        <f>AX181&amp;" x "&amp;'NGS Run Record'!F79</f>
        <v>0.8 x 11</v>
      </c>
      <c r="AZ181" s="88">
        <f>AX181*'NGS Run Record'!F79</f>
        <v>8.8000000000000007</v>
      </c>
    </row>
    <row r="182" spans="19:58" ht="16.5" x14ac:dyDescent="0.3">
      <c r="AI182" s="94" t="str">
        <f>"Add "&amp;insert6&amp;" µL "&amp;AI178&amp;" to tube ER."</f>
        <v>Add 55 µL Fragmentation Enzyme mix to tube ER.</v>
      </c>
      <c r="AV182" s="92"/>
      <c r="AW182" s="95" t="s">
        <v>174</v>
      </c>
      <c r="AX182" s="95">
        <v>10.6</v>
      </c>
      <c r="AY182" s="96" t="str">
        <f>AX182&amp;" x "&amp;'NGS Run Record'!F79</f>
        <v>10.6 x 11</v>
      </c>
      <c r="AZ182" s="97">
        <f>AX182*'NGS Run Record'!F79</f>
        <v>116.6</v>
      </c>
    </row>
    <row r="183" spans="19:58" x14ac:dyDescent="0.3">
      <c r="AI183" s="94" t="str">
        <f>"Add "&amp;insert41&amp;" µL "&amp;AI179&amp;" to tube ER."</f>
        <v>Add 8.3 µL FERA Solution to tube ER.</v>
      </c>
    </row>
    <row r="184" spans="19:58" x14ac:dyDescent="0.3">
      <c r="S184" s="107"/>
      <c r="T184" s="76"/>
      <c r="U184" s="76"/>
      <c r="V184" s="76"/>
      <c r="W184" s="76"/>
      <c r="X184" s="76"/>
      <c r="Y184" s="76"/>
      <c r="Z184" s="76"/>
      <c r="AA184" s="76"/>
      <c r="AB184" s="76"/>
      <c r="AC184" s="76"/>
      <c r="AD184" s="76"/>
      <c r="AE184" s="106"/>
      <c r="AF184" s="84"/>
      <c r="AV184" s="94" t="str">
        <f>"Dispense "&amp;insert54&amp;" µL of "&amp;AW178&amp;" to tube TE."</f>
        <v>Dispense 44 µL of TEPCR buffer, 5x to tube TE.</v>
      </c>
    </row>
    <row r="185" spans="19:58" ht="13.5" x14ac:dyDescent="0.3">
      <c r="S185" s="76"/>
      <c r="T185" s="187"/>
      <c r="U185" s="187"/>
      <c r="V185" s="187"/>
      <c r="W185" s="187"/>
      <c r="X185" s="187"/>
      <c r="Y185" s="187"/>
      <c r="Z185" s="187"/>
      <c r="AA185" s="187"/>
      <c r="AB185" s="187"/>
      <c r="AC185" s="187"/>
      <c r="AD185" s="187"/>
      <c r="AE185" s="188"/>
      <c r="AF185" s="84"/>
      <c r="AH185" s="67" t="s">
        <v>172</v>
      </c>
      <c r="AI185" s="67" t="s">
        <v>192</v>
      </c>
      <c r="AV185" s="94" t="str">
        <f>"Dispense "&amp;insert55&amp;" µL of "&amp;AW179&amp;" to tube TE."</f>
        <v>Dispense 55 µL of QIAseq Targeted DNA Panel  to tube TE.</v>
      </c>
    </row>
    <row r="186" spans="19:58" ht="13.5" x14ac:dyDescent="0.3">
      <c r="S186" s="76"/>
      <c r="T186" s="187"/>
      <c r="U186" s="187"/>
      <c r="V186" s="187"/>
      <c r="W186" s="187"/>
      <c r="X186" s="187"/>
      <c r="Y186" s="187"/>
      <c r="Z186" s="187"/>
      <c r="AA186" s="187"/>
      <c r="AB186" s="187"/>
      <c r="AC186" s="187"/>
      <c r="AD186" s="187"/>
      <c r="AE186" s="188"/>
      <c r="AF186" s="84"/>
      <c r="AI186" s="76" t="s">
        <v>143</v>
      </c>
      <c r="AJ186" s="76" t="s">
        <v>231</v>
      </c>
      <c r="AK186" s="76" t="str">
        <f>insert1</f>
        <v>Volume per 11 sample (µL)</v>
      </c>
      <c r="AL186" s="76" t="s">
        <v>233</v>
      </c>
      <c r="AV186" s="94" t="str">
        <f>"Dispense "&amp;insert56&amp;" µL of "&amp;AW180&amp;" to tube TE."</f>
        <v>Dispense 8.8 µL of IL-Forward Primer to tube TE.</v>
      </c>
    </row>
    <row r="187" spans="19:58" ht="13.5" x14ac:dyDescent="0.3">
      <c r="S187" s="76"/>
      <c r="T187" s="187"/>
      <c r="U187" s="187"/>
      <c r="V187" s="187"/>
      <c r="W187" s="187"/>
      <c r="X187" s="187"/>
      <c r="Y187" s="187"/>
      <c r="Z187" s="187"/>
      <c r="AA187" s="187"/>
      <c r="AB187" s="187"/>
      <c r="AC187" s="187"/>
      <c r="AD187" s="187"/>
      <c r="AE187" s="188"/>
      <c r="AF187" s="84"/>
      <c r="AI187" s="76" t="s">
        <v>193</v>
      </c>
      <c r="AJ187" s="76">
        <v>10</v>
      </c>
      <c r="AK187" s="76" t="str">
        <f>"10 x "&amp;('NGS Run Record'!F79)</f>
        <v>10 x 11</v>
      </c>
      <c r="AL187" s="76">
        <f>AJ187*('NGS Run Record'!F79)</f>
        <v>110</v>
      </c>
      <c r="AV187" s="94" t="str">
        <f>"Dispense "&amp;insert57&amp;" µL of "&amp;AW181&amp;" to tube TE."</f>
        <v>Dispense 8.8 µL of HotStar Taq DNA Polymerase to tube TE.</v>
      </c>
    </row>
    <row r="188" spans="19:58" ht="13.5" x14ac:dyDescent="0.3">
      <c r="S188" s="76"/>
      <c r="T188" s="187"/>
      <c r="U188" s="187"/>
      <c r="V188" s="187"/>
      <c r="W188" s="187"/>
      <c r="X188" s="187"/>
      <c r="Y188" s="187"/>
      <c r="Z188" s="187"/>
      <c r="AA188" s="187"/>
      <c r="AB188" s="187"/>
      <c r="AC188" s="187"/>
      <c r="AD188" s="187"/>
      <c r="AE188" s="188"/>
      <c r="AF188" s="84"/>
      <c r="AI188" s="76" t="s">
        <v>194</v>
      </c>
      <c r="AJ188" s="76">
        <v>5</v>
      </c>
      <c r="AK188" s="76" t="str">
        <f>"5 x "&amp;('NGS Run Record'!F79)</f>
        <v>5 x 11</v>
      </c>
      <c r="AL188" s="76">
        <f>AJ188*('NGS Run Record'!F79)</f>
        <v>55</v>
      </c>
    </row>
    <row r="189" spans="19:58" ht="51" x14ac:dyDescent="0.3">
      <c r="S189" s="76"/>
      <c r="T189" s="187"/>
      <c r="U189" s="187"/>
      <c r="V189" s="187"/>
      <c r="W189" s="187"/>
      <c r="X189" s="187"/>
      <c r="Y189" s="187"/>
      <c r="Z189" s="187"/>
      <c r="AA189" s="187"/>
      <c r="AB189" s="187"/>
      <c r="AC189" s="187"/>
      <c r="AD189" s="187"/>
      <c r="AE189" s="187"/>
      <c r="AF189" s="84"/>
      <c r="AI189" s="76" t="s">
        <v>226</v>
      </c>
      <c r="AJ189" s="76">
        <v>7.2</v>
      </c>
      <c r="AK189" s="76" t="str">
        <f>"7.2 x "&amp;('NGS Run Record'!F79)</f>
        <v>7.2 x 11</v>
      </c>
      <c r="AL189" s="76">
        <f>AJ189*('NGS Run Record'!F79)</f>
        <v>79.2</v>
      </c>
      <c r="AV189" s="98"/>
      <c r="AW189" s="99" t="s">
        <v>143</v>
      </c>
      <c r="AX189" s="99" t="s">
        <v>208</v>
      </c>
      <c r="AY189" s="100" t="str">
        <f>"Per "&amp;'NGS Run Record'!F79&amp;" Samples (µL)"</f>
        <v>Per 11 Samples (µL)</v>
      </c>
      <c r="AZ189" s="100" t="s">
        <v>219</v>
      </c>
    </row>
    <row r="190" spans="19:58" ht="13.5" x14ac:dyDescent="0.3">
      <c r="S190" s="76"/>
      <c r="T190" s="187"/>
      <c r="U190" s="187"/>
      <c r="V190" s="187"/>
      <c r="W190" s="187"/>
      <c r="X190" s="187"/>
      <c r="Y190" s="187"/>
      <c r="Z190" s="187"/>
      <c r="AA190" s="187"/>
      <c r="AB190" s="187"/>
      <c r="AC190" s="187"/>
      <c r="AD190" s="187"/>
      <c r="AE190" s="187"/>
      <c r="AF190" s="84"/>
      <c r="AJ190" s="67">
        <f>SUM(AJ187:AJ189)</f>
        <v>22.2</v>
      </c>
      <c r="AV190" s="76" t="s">
        <v>215</v>
      </c>
      <c r="AW190" s="101" t="s">
        <v>210</v>
      </c>
      <c r="AX190" s="101">
        <v>13.4</v>
      </c>
      <c r="AY190" s="101"/>
      <c r="AZ190" s="76"/>
    </row>
    <row r="191" spans="19:58" ht="13.5" x14ac:dyDescent="0.3">
      <c r="S191" s="76"/>
      <c r="T191" s="187"/>
      <c r="U191" s="187"/>
      <c r="V191" s="187"/>
      <c r="W191" s="187"/>
      <c r="X191" s="187"/>
      <c r="Y191" s="187"/>
      <c r="Z191" s="187"/>
      <c r="AA191" s="187"/>
      <c r="AB191" s="187"/>
      <c r="AC191" s="187"/>
      <c r="AD191" s="187"/>
      <c r="AE191" s="187"/>
      <c r="AF191" s="84"/>
      <c r="AI191" s="94" t="str">
        <f>"Add "&amp;AL187&amp;" µL "&amp;AI187&amp;"  to tube AL."</f>
        <v>Add 110 µL Ligation Buffer, 5x  to tube AL.</v>
      </c>
      <c r="AV191" s="76" t="s">
        <v>216</v>
      </c>
      <c r="AW191" s="101" t="s">
        <v>217</v>
      </c>
      <c r="AX191" s="101">
        <v>4</v>
      </c>
      <c r="AY191" s="101" t="str">
        <f>AX191&amp;" x "&amp;insert100</f>
        <v>4 x 11</v>
      </c>
      <c r="AZ191" s="76">
        <f>AX191*insert100</f>
        <v>44</v>
      </c>
    </row>
    <row r="192" spans="19:58" ht="16.5" x14ac:dyDescent="0.3">
      <c r="S192" s="104"/>
      <c r="T192" s="189"/>
      <c r="U192" s="189"/>
      <c r="V192" s="189"/>
      <c r="W192" s="189"/>
      <c r="X192" s="189"/>
      <c r="Y192" s="189"/>
      <c r="Z192" s="189"/>
      <c r="AA192" s="189"/>
      <c r="AB192" s="189"/>
      <c r="AC192" s="189"/>
      <c r="AD192" s="189"/>
      <c r="AE192" s="190"/>
      <c r="AF192" s="84"/>
      <c r="AI192" s="94" t="str">
        <f>"Add "&amp;AL188&amp;" µL "&amp;AI188&amp;"  to tube AL."</f>
        <v>Add 55 µL DNA ligase  to tube AL.</v>
      </c>
      <c r="AV192" s="102"/>
      <c r="AW192" s="101" t="s">
        <v>218</v>
      </c>
      <c r="AX192" s="101">
        <v>0.8</v>
      </c>
      <c r="AY192" s="101" t="str">
        <f>AX192&amp;" x "&amp;insert100</f>
        <v>0.8 x 11</v>
      </c>
      <c r="AZ192" s="76">
        <f>AX192*insert100</f>
        <v>8.8000000000000007</v>
      </c>
      <c r="BB192" s="67" t="s">
        <v>241</v>
      </c>
      <c r="BC192" s="67">
        <v>1.6</v>
      </c>
      <c r="BD192" s="67" t="str">
        <f>BC192&amp;" x "&amp;insert100</f>
        <v>1.6 x 11</v>
      </c>
      <c r="BE192" s="67">
        <f>1.6*insert100</f>
        <v>17.600000000000001</v>
      </c>
      <c r="BF192" s="67">
        <f>water2</f>
        <v>17.600000000000001</v>
      </c>
    </row>
    <row r="193" spans="35:52" ht="16.5" x14ac:dyDescent="0.3">
      <c r="AI193" s="94" t="str">
        <f>"Add "&amp;insert21&amp;" µL "&amp;AI189&amp;"  to tube AL."</f>
        <v>Add 79.2 µL Ligation solution  to tube AL.</v>
      </c>
      <c r="AV193" s="102"/>
      <c r="AW193" s="101" t="s">
        <v>240</v>
      </c>
      <c r="AX193" s="101">
        <v>0.8</v>
      </c>
      <c r="AY193" s="101" t="str">
        <f>AX193&amp;" x "&amp;insert100</f>
        <v>0.8 x 11</v>
      </c>
      <c r="AZ193" s="76">
        <f>AX193*insert100</f>
        <v>8.8000000000000007</v>
      </c>
    </row>
    <row r="194" spans="35:52" ht="16.5" x14ac:dyDescent="0.3">
      <c r="AV194" s="102"/>
      <c r="AW194" s="101" t="s">
        <v>214</v>
      </c>
      <c r="AX194" s="101">
        <v>1</v>
      </c>
      <c r="AY194" s="101" t="str">
        <f>AX194&amp;" x "&amp;insert100</f>
        <v>1 x 11</v>
      </c>
      <c r="AZ194" s="76">
        <f>AX194*insert100</f>
        <v>11</v>
      </c>
    </row>
    <row r="195" spans="35:52" ht="16.5" x14ac:dyDescent="0.3">
      <c r="AV195" s="102"/>
      <c r="AW195" s="100" t="s">
        <v>174</v>
      </c>
      <c r="AX195" s="100">
        <v>20</v>
      </c>
      <c r="AY195" s="100"/>
      <c r="AZ195" s="76"/>
    </row>
    <row r="196" spans="35:52" x14ac:dyDescent="0.3">
      <c r="AI196" s="105"/>
    </row>
    <row r="197" spans="35:52" x14ac:dyDescent="0.3">
      <c r="AI197" s="105"/>
      <c r="AV197" s="94" t="str">
        <f>"Dispense "&amp;insert67&amp;" µL of "&amp;AW192&amp;" to tube UCPR."</f>
        <v>Dispense 8.8 µL of IL-Universal Primer to tube UCPR.</v>
      </c>
    </row>
    <row r="198" spans="35:52" x14ac:dyDescent="0.3">
      <c r="AI198" s="105"/>
      <c r="AV198" s="94" t="str">
        <f>"Dispense "&amp;insert68&amp;" µL of "&amp;AW193&amp;" to tube UCPR."</f>
        <v>Dispense 8.8 µL of IL-S5xx Index Primer to tube UCPR.</v>
      </c>
    </row>
    <row r="199" spans="35:52" x14ac:dyDescent="0.3">
      <c r="AV199" s="94" t="str">
        <f>"Dispense "&amp;insert69&amp;" µL of "&amp;AW194&amp;" to tube UCPR."</f>
        <v>Dispense 11 µL of HotStar Taq DNA Polymerase to tube UCPR.</v>
      </c>
    </row>
    <row r="200" spans="35:52" x14ac:dyDescent="0.3">
      <c r="AV200" s="94" t="str">
        <f>"Dispense "&amp;insert66&amp;" µL of "&amp;AW191&amp;" to tube UCPR."</f>
        <v>Dispense 44 µL of UPCR buffer, 5x to tube UCPR.</v>
      </c>
    </row>
    <row r="206" spans="35:52" ht="9" customHeight="1" x14ac:dyDescent="0.3"/>
    <row r="207" spans="35:52" ht="9" customHeight="1" x14ac:dyDescent="0.3"/>
    <row r="208" spans="35:52" ht="9" customHeight="1" x14ac:dyDescent="0.3"/>
    <row r="209" spans="19:31" ht="9" customHeight="1" x14ac:dyDescent="0.3">
      <c r="S209" s="94" t="s">
        <v>351</v>
      </c>
    </row>
    <row r="210" spans="19:31" ht="9" customHeight="1" x14ac:dyDescent="0.3"/>
    <row r="211" spans="19:31" x14ac:dyDescent="0.3">
      <c r="S211" s="225" t="s">
        <v>33</v>
      </c>
      <c r="T211" s="226" t="s">
        <v>93</v>
      </c>
      <c r="U211" s="227" t="s">
        <v>94</v>
      </c>
      <c r="V211" s="225" t="s">
        <v>317</v>
      </c>
      <c r="W211" s="226" t="s">
        <v>318</v>
      </c>
      <c r="X211" s="227" t="s">
        <v>97</v>
      </c>
      <c r="Y211" s="225" t="s">
        <v>98</v>
      </c>
      <c r="Z211" s="226" t="s">
        <v>99</v>
      </c>
      <c r="AA211" s="227" t="s">
        <v>100</v>
      </c>
      <c r="AB211" s="228" t="s">
        <v>101</v>
      </c>
      <c r="AC211" s="226" t="s">
        <v>102</v>
      </c>
      <c r="AD211" s="227" t="s">
        <v>103</v>
      </c>
      <c r="AE211" s="227" t="s">
        <v>104</v>
      </c>
    </row>
    <row r="212" spans="19:31" ht="13.5" thickBot="1" x14ac:dyDescent="0.35">
      <c r="S212" s="229"/>
      <c r="T212" s="230">
        <v>1</v>
      </c>
      <c r="U212" s="231">
        <v>2</v>
      </c>
      <c r="V212" s="232">
        <v>3</v>
      </c>
      <c r="W212" s="231">
        <v>4</v>
      </c>
      <c r="X212" s="232">
        <v>5</v>
      </c>
      <c r="Y212" s="231">
        <v>6</v>
      </c>
      <c r="Z212" s="232">
        <v>7</v>
      </c>
      <c r="AA212" s="231">
        <v>8</v>
      </c>
      <c r="AB212" s="233">
        <v>9</v>
      </c>
      <c r="AC212" s="233">
        <v>10</v>
      </c>
      <c r="AD212" s="232">
        <v>11</v>
      </c>
      <c r="AE212" s="231">
        <v>12</v>
      </c>
    </row>
    <row r="213" spans="19:31" x14ac:dyDescent="0.25">
      <c r="S213" s="229" t="s">
        <v>135</v>
      </c>
      <c r="T213" s="234" t="s">
        <v>309</v>
      </c>
      <c r="U213" s="235" t="s">
        <v>309</v>
      </c>
      <c r="V213" s="236" t="str">
        <f>C4</f>
        <v>NTC</v>
      </c>
      <c r="W213" s="236" t="str">
        <f>C4</f>
        <v>NTC</v>
      </c>
      <c r="X213" s="238" t="str">
        <f ca="1">C12</f>
        <v>S7</v>
      </c>
      <c r="Y213" s="237" t="str">
        <f ca="1">C12</f>
        <v>S7</v>
      </c>
      <c r="Z213" s="238" t="str">
        <f ca="1">C20</f>
        <v/>
      </c>
      <c r="AA213" s="237" t="str">
        <f ca="1">C20</f>
        <v/>
      </c>
      <c r="AB213" s="239" t="str">
        <f>C28</f>
        <v/>
      </c>
      <c r="AC213" s="240" t="str">
        <f>C28</f>
        <v/>
      </c>
      <c r="AD213" s="238" t="str">
        <f>C29</f>
        <v/>
      </c>
      <c r="AE213" s="237" t="str">
        <f>Table434[[#This Row],[Column12]]</f>
        <v/>
      </c>
    </row>
    <row r="214" spans="19:31" ht="9" customHeight="1" x14ac:dyDescent="0.25">
      <c r="S214" s="229" t="s">
        <v>136</v>
      </c>
      <c r="T214" s="241" t="s">
        <v>310</v>
      </c>
      <c r="U214" s="242" t="s">
        <v>310</v>
      </c>
      <c r="V214" s="236" t="str">
        <f t="shared" ref="V214:V220" si="62">C5</f>
        <v>C00026B</v>
      </c>
      <c r="W214" s="236" t="str">
        <f t="shared" ref="W214:W220" si="63">C5</f>
        <v>C00026B</v>
      </c>
      <c r="X214" s="238" t="str">
        <f t="shared" ref="X214:X220" ca="1" si="64">C13</f>
        <v>S8</v>
      </c>
      <c r="Y214" s="237" t="str">
        <f t="shared" ref="Y214:Y220" ca="1" si="65">C13</f>
        <v>S8</v>
      </c>
      <c r="Z214" s="238" t="str">
        <f t="shared" ref="Z214:Z220" ca="1" si="66">C21</f>
        <v/>
      </c>
      <c r="AA214" s="237" t="str">
        <f t="shared" ref="AA214:AA220" ca="1" si="67">C21</f>
        <v/>
      </c>
      <c r="AB214" s="239" t="str">
        <f t="shared" ref="AB214:AB215" si="68">C29</f>
        <v/>
      </c>
      <c r="AC214" s="240" t="str">
        <f t="shared" ref="AC214:AC215" si="69">C29</f>
        <v/>
      </c>
      <c r="AD214" s="238" t="str">
        <f t="shared" ref="AD214" si="70">C30</f>
        <v/>
      </c>
      <c r="AE214" s="237" t="str">
        <f>Table434[[#This Row],[Column12]]</f>
        <v/>
      </c>
    </row>
    <row r="215" spans="19:31" x14ac:dyDescent="0.25">
      <c r="S215" s="229" t="s">
        <v>137</v>
      </c>
      <c r="T215" s="241" t="s">
        <v>311</v>
      </c>
      <c r="U215" s="242" t="s">
        <v>311</v>
      </c>
      <c r="V215" s="236" t="str">
        <f t="shared" ca="1" si="62"/>
        <v>S1</v>
      </c>
      <c r="W215" s="236" t="str">
        <f t="shared" ca="1" si="63"/>
        <v>S1</v>
      </c>
      <c r="X215" s="238" t="str">
        <f t="shared" ca="1" si="64"/>
        <v/>
      </c>
      <c r="Y215" s="237" t="str">
        <f t="shared" ca="1" si="65"/>
        <v/>
      </c>
      <c r="Z215" s="238" t="str">
        <f t="shared" si="66"/>
        <v/>
      </c>
      <c r="AA215" s="237" t="str">
        <f t="shared" si="67"/>
        <v/>
      </c>
      <c r="AB215" s="239" t="str">
        <f t="shared" si="68"/>
        <v/>
      </c>
      <c r="AC215" s="240" t="str">
        <f t="shared" si="69"/>
        <v/>
      </c>
      <c r="AD215" s="238"/>
      <c r="AE215" s="237"/>
    </row>
    <row r="216" spans="19:31" x14ac:dyDescent="0.25">
      <c r="S216" s="229" t="s">
        <v>138</v>
      </c>
      <c r="T216" s="241" t="s">
        <v>312</v>
      </c>
      <c r="U216" s="242" t="s">
        <v>312</v>
      </c>
      <c r="V216" s="236" t="str">
        <f t="shared" ca="1" si="62"/>
        <v>S2</v>
      </c>
      <c r="W216" s="236" t="str">
        <f t="shared" ca="1" si="63"/>
        <v>S2</v>
      </c>
      <c r="X216" s="238" t="str">
        <f t="shared" ca="1" si="64"/>
        <v/>
      </c>
      <c r="Y216" s="237" t="str">
        <f t="shared" ca="1" si="65"/>
        <v/>
      </c>
      <c r="Z216" s="238" t="str">
        <f t="shared" si="66"/>
        <v/>
      </c>
      <c r="AA216" s="237" t="str">
        <f t="shared" si="67"/>
        <v/>
      </c>
      <c r="AB216" s="239"/>
      <c r="AC216" s="240"/>
      <c r="AD216" s="238"/>
      <c r="AE216" s="237"/>
    </row>
    <row r="217" spans="19:31" x14ac:dyDescent="0.25">
      <c r="S217" s="229" t="s">
        <v>139</v>
      </c>
      <c r="T217" s="241" t="s">
        <v>313</v>
      </c>
      <c r="U217" s="242" t="s">
        <v>313</v>
      </c>
      <c r="V217" s="236" t="str">
        <f t="shared" ca="1" si="62"/>
        <v>S3</v>
      </c>
      <c r="W217" s="236" t="str">
        <f t="shared" ca="1" si="63"/>
        <v>S3</v>
      </c>
      <c r="X217" s="238" t="str">
        <f t="shared" ca="1" si="64"/>
        <v/>
      </c>
      <c r="Y217" s="237" t="str">
        <f t="shared" ca="1" si="65"/>
        <v/>
      </c>
      <c r="Z217" s="238" t="str">
        <f t="shared" si="66"/>
        <v/>
      </c>
      <c r="AA217" s="237" t="str">
        <f t="shared" si="67"/>
        <v/>
      </c>
      <c r="AB217" s="239"/>
      <c r="AC217" s="240"/>
      <c r="AD217" s="238"/>
      <c r="AE217" s="237"/>
    </row>
    <row r="218" spans="19:31" x14ac:dyDescent="0.25">
      <c r="S218" s="229" t="s">
        <v>131</v>
      </c>
      <c r="T218" s="241" t="s">
        <v>314</v>
      </c>
      <c r="U218" s="242" t="s">
        <v>314</v>
      </c>
      <c r="V218" s="236" t="str">
        <f t="shared" ca="1" si="62"/>
        <v>S4</v>
      </c>
      <c r="W218" s="236" t="str">
        <f t="shared" ca="1" si="63"/>
        <v>S4</v>
      </c>
      <c r="X218" s="238" t="str">
        <f t="shared" ca="1" si="64"/>
        <v/>
      </c>
      <c r="Y218" s="237" t="str">
        <f t="shared" ca="1" si="65"/>
        <v/>
      </c>
      <c r="Z218" s="238" t="str">
        <f t="shared" si="66"/>
        <v/>
      </c>
      <c r="AA218" s="237" t="str">
        <f t="shared" si="67"/>
        <v/>
      </c>
      <c r="AB218" s="239"/>
      <c r="AC218" s="240"/>
      <c r="AD218" s="238"/>
      <c r="AE218" s="237"/>
    </row>
    <row r="219" spans="19:31" x14ac:dyDescent="0.25">
      <c r="S219" s="229" t="s">
        <v>140</v>
      </c>
      <c r="T219" s="241" t="s">
        <v>315</v>
      </c>
      <c r="U219" s="242" t="s">
        <v>315</v>
      </c>
      <c r="V219" s="236" t="str">
        <f t="shared" ca="1" si="62"/>
        <v>S5</v>
      </c>
      <c r="W219" s="236" t="str">
        <f t="shared" ca="1" si="63"/>
        <v>S5</v>
      </c>
      <c r="X219" s="238" t="str">
        <f t="shared" ca="1" si="64"/>
        <v/>
      </c>
      <c r="Y219" s="237" t="str">
        <f t="shared" ca="1" si="65"/>
        <v/>
      </c>
      <c r="Z219" s="238" t="str">
        <f t="shared" si="66"/>
        <v/>
      </c>
      <c r="AA219" s="237" t="str">
        <f t="shared" si="67"/>
        <v/>
      </c>
      <c r="AB219" s="239"/>
      <c r="AC219" s="240"/>
      <c r="AD219" s="238"/>
      <c r="AE219" s="237"/>
    </row>
    <row r="220" spans="19:31" x14ac:dyDescent="0.25">
      <c r="S220" s="243" t="s">
        <v>141</v>
      </c>
      <c r="T220" s="244" t="s">
        <v>316</v>
      </c>
      <c r="U220" s="245" t="s">
        <v>316</v>
      </c>
      <c r="V220" s="236" t="str">
        <f t="shared" ca="1" si="62"/>
        <v>S6</v>
      </c>
      <c r="W220" s="236" t="str">
        <f t="shared" ca="1" si="63"/>
        <v>S6</v>
      </c>
      <c r="X220" s="238" t="str">
        <f t="shared" ca="1" si="64"/>
        <v/>
      </c>
      <c r="Y220" s="237" t="str">
        <f t="shared" ca="1" si="65"/>
        <v/>
      </c>
      <c r="Z220" s="238" t="str">
        <f t="shared" si="66"/>
        <v/>
      </c>
      <c r="AA220" s="237" t="str">
        <f t="shared" si="67"/>
        <v/>
      </c>
      <c r="AB220" s="239"/>
      <c r="AC220" s="240"/>
      <c r="AD220" s="238"/>
      <c r="AE220" s="237"/>
    </row>
    <row r="221" spans="19:31" ht="16.5" x14ac:dyDescent="0.3">
      <c r="S221"/>
      <c r="T221"/>
      <c r="U221"/>
      <c r="V221"/>
      <c r="W221"/>
      <c r="X221"/>
      <c r="Y221"/>
      <c r="Z221"/>
      <c r="AA221"/>
      <c r="AB221"/>
      <c r="AC221"/>
      <c r="AD221"/>
      <c r="AE221"/>
    </row>
    <row r="222" spans="19:31" ht="9" customHeight="1" x14ac:dyDescent="0.3">
      <c r="S222"/>
      <c r="T222"/>
      <c r="U222"/>
      <c r="V222"/>
      <c r="W222"/>
      <c r="X222"/>
      <c r="Y222"/>
      <c r="Z222"/>
      <c r="AA222"/>
      <c r="AB222"/>
      <c r="AC222"/>
      <c r="AD222"/>
      <c r="AE222"/>
    </row>
    <row r="223" spans="19:31" ht="16.5" x14ac:dyDescent="0.3">
      <c r="S223"/>
      <c r="T223"/>
      <c r="U223"/>
      <c r="V223"/>
      <c r="W223"/>
      <c r="X223"/>
      <c r="Y223"/>
      <c r="Z223"/>
      <c r="AA223"/>
      <c r="AB223"/>
      <c r="AC223"/>
      <c r="AD223"/>
      <c r="AE223"/>
    </row>
    <row r="224" spans="19:31" ht="16.5" x14ac:dyDescent="0.3">
      <c r="S224"/>
      <c r="T224"/>
      <c r="U224"/>
      <c r="V224"/>
      <c r="W224"/>
      <c r="X224"/>
      <c r="Y224"/>
      <c r="Z224"/>
      <c r="AA224"/>
      <c r="AB224"/>
      <c r="AC224"/>
      <c r="AD224"/>
      <c r="AE224"/>
    </row>
    <row r="225" spans="19:31" ht="16.5" x14ac:dyDescent="0.3">
      <c r="S225"/>
      <c r="T225" t="str">
        <f>TEXT(200*('[4]NGS Run Record'!W449*2+16)*1.1/1000,"0")</f>
        <v>4</v>
      </c>
      <c r="U225"/>
      <c r="V225"/>
      <c r="W225"/>
      <c r="X225"/>
      <c r="Y225"/>
      <c r="Z225"/>
      <c r="AA225"/>
      <c r="AB225"/>
      <c r="AC225"/>
      <c r="AD225"/>
      <c r="AE225"/>
    </row>
    <row r="226" spans="19:31" ht="9" customHeight="1" x14ac:dyDescent="0.3"/>
    <row r="227" spans="19:31" ht="9" customHeight="1" x14ac:dyDescent="0.3"/>
    <row r="228" spans="19:31" ht="9" customHeight="1" x14ac:dyDescent="0.3"/>
    <row r="229" spans="19:31" ht="9" customHeight="1" x14ac:dyDescent="0.3"/>
    <row r="234" spans="19:31" ht="9" customHeight="1" x14ac:dyDescent="0.3"/>
    <row r="238" spans="19:31" ht="9" customHeight="1" x14ac:dyDescent="0.3"/>
    <row r="239" spans="19:31" ht="9" customHeight="1" x14ac:dyDescent="0.3"/>
    <row r="240" spans="19:31" ht="9" customHeight="1" x14ac:dyDescent="0.3"/>
    <row r="241" ht="9" customHeight="1" x14ac:dyDescent="0.3"/>
    <row r="247" ht="9" customHeight="1" x14ac:dyDescent="0.3"/>
    <row r="248" ht="9" customHeight="1" x14ac:dyDescent="0.3"/>
    <row r="249" ht="9" customHeight="1" x14ac:dyDescent="0.3"/>
    <row r="250" ht="9" customHeight="1" x14ac:dyDescent="0.3"/>
    <row r="254" ht="9" customHeight="1" x14ac:dyDescent="0.3"/>
  </sheetData>
  <sheetProtection selectLockedCells="1"/>
  <phoneticPr fontId="56" type="noConversion"/>
  <conditionalFormatting sqref="P4:P15">
    <cfRule type="duplicateValues" dxfId="293" priority="11"/>
  </conditionalFormatting>
  <conditionalFormatting sqref="P33:P44">
    <cfRule type="duplicateValues" dxfId="292" priority="10"/>
  </conditionalFormatting>
  <conditionalFormatting sqref="P63:P74">
    <cfRule type="duplicateValues" dxfId="291" priority="9"/>
  </conditionalFormatting>
  <conditionalFormatting sqref="C97:C120">
    <cfRule type="expression" dxfId="290" priority="1">
      <formula>$G97="Brown"</formula>
    </cfRule>
    <cfRule type="expression" dxfId="289" priority="2">
      <formula>$G97="Orange"</formula>
    </cfRule>
    <cfRule type="expression" dxfId="288" priority="3">
      <formula>$G97="Yellow"</formula>
    </cfRule>
    <cfRule type="expression" dxfId="287" priority="4">
      <formula>$G97="Purple"</formula>
    </cfRule>
    <cfRule type="expression" dxfId="286" priority="5">
      <formula>$G97="Black"</formula>
    </cfRule>
    <cfRule type="expression" dxfId="285" priority="6">
      <formula>$G97="Green"</formula>
    </cfRule>
    <cfRule type="expression" dxfId="284" priority="7">
      <formula>$G97="Blue"</formula>
    </cfRule>
    <cfRule type="expression" dxfId="283" priority="8">
      <formula>$G97="Red"</formula>
    </cfRule>
  </conditionalFormatting>
  <dataValidations count="3">
    <dataValidation type="list" allowBlank="1" showInputMessage="1" showErrorMessage="1" sqref="P33:P44 P4:P15 P63:P74" xr:uid="{00000000-0002-0000-0300-000000000000}">
      <formula1>"N701,N702,N703,N704,N705,N706,N707,N710,N711,N712,N714,A35:N715N702,N703,N704,N705,N706,N707,N710,N711,N712,N714,N715"</formula1>
    </dataValidation>
    <dataValidation type="list" allowBlank="1" showInputMessage="1" showErrorMessage="1" sqref="P16:P27 P45 Q5:R23 Q24:Q27" xr:uid="{00000000-0002-0000-0300-000001000000}">
      <formula1>"S502,S503,S505,S506,S507,S508,S510,S511"</formula1>
    </dataValidation>
    <dataValidation type="list" allowBlank="1" showInputMessage="1" showErrorMessage="1" sqref="P46:P56 P75:P91" xr:uid="{00000000-0002-0000-0300-000002000000}">
      <formula1>"S502,S503,S505,S507,S508,S510,S511"</formula1>
    </dataValidation>
  </dataValidations>
  <pageMargins left="0.7" right="0.7" top="0.75" bottom="0.75" header="0.3" footer="0.3"/>
  <pageSetup orientation="portrait" r:id="rId1"/>
  <tableParts count="10">
    <tablePart r:id="rId2"/>
    <tablePart r:id="rId3"/>
    <tablePart r:id="rId4"/>
    <tablePart r:id="rId5"/>
    <tablePart r:id="rId6"/>
    <tablePart r:id="rId7"/>
    <tablePart r:id="rId8"/>
    <tablePart r:id="rId9"/>
    <tablePart r:id="rId10"/>
    <tablePart r:id="rId1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AA93"/>
  <sheetViews>
    <sheetView workbookViewId="0">
      <selection activeCell="G7" sqref="G7"/>
    </sheetView>
  </sheetViews>
  <sheetFormatPr defaultRowHeight="16.5" x14ac:dyDescent="0.3"/>
  <cols>
    <col min="1" max="1" width="9" customWidth="1"/>
    <col min="2" max="2" width="14.5703125" customWidth="1"/>
    <col min="3" max="3" width="11.140625" customWidth="1"/>
    <col min="4" max="4" width="0.28515625" hidden="1" customWidth="1"/>
    <col min="5" max="5" width="0.140625" customWidth="1"/>
    <col min="6" max="6" width="8.7109375" customWidth="1"/>
    <col min="7" max="7" width="24.140625" customWidth="1"/>
    <col min="8" max="8" width="3.85546875" customWidth="1"/>
    <col min="9" max="12" width="9.140625" hidden="1" customWidth="1"/>
    <col min="14" max="14" width="8.42578125" customWidth="1"/>
    <col min="15" max="15" width="8.28515625" customWidth="1"/>
    <col min="16" max="27" width="7.42578125" customWidth="1"/>
  </cols>
  <sheetData>
    <row r="1" spans="1:15" ht="21.75" customHeight="1" x14ac:dyDescent="0.3">
      <c r="A1" s="208" t="s">
        <v>112</v>
      </c>
      <c r="B1" s="153" t="s">
        <v>228</v>
      </c>
      <c r="C1" s="153" t="s">
        <v>12</v>
      </c>
      <c r="D1" s="153" t="s">
        <v>259</v>
      </c>
      <c r="E1" s="153" t="s">
        <v>176</v>
      </c>
      <c r="F1" s="153" t="s">
        <v>187</v>
      </c>
      <c r="G1" s="153" t="s">
        <v>229</v>
      </c>
      <c r="H1" s="153" t="s">
        <v>111</v>
      </c>
      <c r="I1" s="153" t="s">
        <v>190</v>
      </c>
      <c r="J1" s="153" t="s">
        <v>191</v>
      </c>
      <c r="K1" s="209" t="s">
        <v>189</v>
      </c>
      <c r="L1" s="210" t="s">
        <v>181</v>
      </c>
      <c r="M1" s="153" t="s">
        <v>230</v>
      </c>
      <c r="N1" s="153" t="s">
        <v>199</v>
      </c>
      <c r="O1" s="210" t="s">
        <v>198</v>
      </c>
    </row>
    <row r="2" spans="1:15" x14ac:dyDescent="0.3">
      <c r="A2" s="211" t="s">
        <v>242</v>
      </c>
      <c r="B2" s="212"/>
      <c r="C2" s="212"/>
      <c r="D2" s="212"/>
      <c r="E2" s="212"/>
      <c r="F2" s="212"/>
      <c r="G2" s="213"/>
      <c r="H2" s="214">
        <v>1</v>
      </c>
      <c r="I2" s="212"/>
      <c r="J2" s="212"/>
      <c r="K2" s="36"/>
      <c r="L2" s="215"/>
      <c r="M2" s="212">
        <v>16.8</v>
      </c>
      <c r="N2" s="216" t="s">
        <v>195</v>
      </c>
      <c r="O2" s="177"/>
    </row>
    <row r="3" spans="1:15" ht="16.5" customHeight="1" x14ac:dyDescent="0.3">
      <c r="A3" s="162" t="str">
        <f>IF('NGS-Comp'!C2="","",'NGS-Comp'!C2)</f>
        <v>C00026B</v>
      </c>
      <c r="B3" s="177" t="str">
        <f ca="1">'NGS-Comp'!F2</f>
        <v>5.0</v>
      </c>
      <c r="C3" s="177" t="str">
        <f>IF(A3="","",'NGS-Comp'!E2)</f>
        <v>DNA</v>
      </c>
      <c r="D3" s="177">
        <f>IF(A3="","",IF(C3="FFPE",200,40))</f>
        <v>40</v>
      </c>
      <c r="E3" s="177" t="str">
        <f>IF(A3="","",TEXT(D3/16.8,"0.0"))</f>
        <v>2.4</v>
      </c>
      <c r="F3" s="177">
        <v>40</v>
      </c>
      <c r="G3" s="217">
        <f ca="1">IF(A3="","",IF(F3/B3&lt;1,"1:10; then add "&amp;TEXT(F3/B3*10,"0.0")&amp;" µL",F3/B3))</f>
        <v>8</v>
      </c>
      <c r="H3" s="218">
        <v>2</v>
      </c>
      <c r="I3" s="177" t="str">
        <f ca="1">IF(Table426[[#This Row],[From Stock (µL)]]&gt;1,"",Table426[[#This Row],[From Stock (µL)]]*10)</f>
        <v/>
      </c>
      <c r="J3" s="177" t="str">
        <f ca="1">IF(Table426[[#This Row],[From Stock (µL)]]&gt;1,"",16.8-Table426[[#This Row],[Hide/second dilution]])</f>
        <v/>
      </c>
      <c r="K3" s="219" t="str">
        <f t="shared" ref="K3:K21" ca="1" si="0">IF(G3&lt;1,"Dilute sample 10X first, 1 µL stock + 9 µL H2O; then add ","")</f>
        <v/>
      </c>
      <c r="L3" s="220" t="str">
        <f ca="1">IF(G3&lt;1,"Add "&amp;I3&amp;" ul diluted DNA and "&amp;M3&amp;" ul H2O.","")</f>
        <v/>
      </c>
      <c r="M3" s="221">
        <f ca="1">IF(A3="","",IF(F3/B3&lt;1,(16.75-F3/B3*10),(16.75-F3/B3)))</f>
        <v>8.75</v>
      </c>
      <c r="N3" s="222" t="s">
        <v>168</v>
      </c>
      <c r="O3" s="177"/>
    </row>
    <row r="4" spans="1:15" ht="16.5" customHeight="1" x14ac:dyDescent="0.3">
      <c r="A4" s="162" t="str">
        <f>IF('NGS-Comp'!C3="","",'NGS-Comp'!C3)</f>
        <v/>
      </c>
      <c r="B4" s="177">
        <f>'NGS-Comp'!F3</f>
        <v>0</v>
      </c>
      <c r="C4" s="177" t="str">
        <f>IF(A4="","",'NGS-Comp'!E3)</f>
        <v/>
      </c>
      <c r="D4" s="177" t="str">
        <f t="shared" ref="D4:D21" si="1">IF(A4="","",IF(C4="FFPE",200,40))</f>
        <v/>
      </c>
      <c r="E4" s="177" t="str">
        <f t="shared" ref="E4:E21" si="2">IF(A4="","",TEXT(D4/16.8,"0.0"))</f>
        <v/>
      </c>
      <c r="F4" s="177" t="str">
        <f t="shared" ref="F4:F21" si="3">IF(A4="","",IF(B4*16.8&gt;D4,D4,B4*16.8))</f>
        <v/>
      </c>
      <c r="G4" s="217" t="str">
        <f t="shared" ref="G4:G21" si="4">IF(A4="","",IF(F4/B4&lt;1,"1:10; then add "&amp;TEXT(F4/B4*10,"0.0")&amp;" µL",F4/B4))</f>
        <v/>
      </c>
      <c r="H4" s="218">
        <v>3</v>
      </c>
      <c r="I4" s="177" t="str">
        <f>IF(Table426[[#This Row],[From Stock (µL)]]&gt;1,"",Table426[[#This Row],[From Stock (µL)]]*10)</f>
        <v/>
      </c>
      <c r="J4" s="177" t="str">
        <f>IF(Table426[[#This Row],[From Stock (µL)]]&gt;1,"",16.8-Table426[[#This Row],[Hide/second dilution]])</f>
        <v/>
      </c>
      <c r="K4" s="219" t="str">
        <f t="shared" si="0"/>
        <v/>
      </c>
      <c r="L4" s="220" t="str">
        <f t="shared" ref="L4:L21" si="5">IF(G4&lt;1,"Add "&amp;I4&amp;" ul diluted DNA and "&amp;M4&amp;" ul H2O.","")</f>
        <v/>
      </c>
      <c r="M4" s="221" t="str">
        <f t="shared" ref="M4:M21" si="6">IF(A4="","",IF(F4/B4&lt;1,(16.75-F4/B4*10),(16.75-F4/B4)))</f>
        <v/>
      </c>
      <c r="N4" s="222" t="s">
        <v>169</v>
      </c>
      <c r="O4" s="177"/>
    </row>
    <row r="5" spans="1:15" ht="16.5" customHeight="1" x14ac:dyDescent="0.3">
      <c r="A5" s="162" t="str">
        <f>IF('NGS-Comp'!C4="","",'NGS-Comp'!C4)</f>
        <v/>
      </c>
      <c r="B5" s="177">
        <f>'NGS-Comp'!F4</f>
        <v>0</v>
      </c>
      <c r="C5" s="177" t="str">
        <f>IF(A5="","",'NGS-Comp'!E4)</f>
        <v/>
      </c>
      <c r="D5" s="177" t="str">
        <f t="shared" si="1"/>
        <v/>
      </c>
      <c r="E5" s="177" t="str">
        <f t="shared" si="2"/>
        <v/>
      </c>
      <c r="F5" s="177" t="str">
        <f t="shared" si="3"/>
        <v/>
      </c>
      <c r="G5" s="217" t="str">
        <f t="shared" si="4"/>
        <v/>
      </c>
      <c r="H5" s="218">
        <v>4</v>
      </c>
      <c r="I5" s="177" t="str">
        <f>IF(Table426[[#This Row],[From Stock (µL)]]&gt;1,"",Table426[[#This Row],[From Stock (µL)]]*10)</f>
        <v/>
      </c>
      <c r="J5" s="177" t="str">
        <f>IF(Table426[[#This Row],[From Stock (µL)]]&gt;1,"",16.8-Table426[[#This Row],[Hide/second dilution]])</f>
        <v/>
      </c>
      <c r="K5" s="219" t="str">
        <f t="shared" si="0"/>
        <v/>
      </c>
      <c r="L5" s="220" t="str">
        <f t="shared" si="5"/>
        <v/>
      </c>
      <c r="M5" s="221" t="str">
        <f t="shared" si="6"/>
        <v/>
      </c>
      <c r="N5" s="222" t="s">
        <v>170</v>
      </c>
      <c r="O5" s="177"/>
    </row>
    <row r="6" spans="1:15" ht="16.5" customHeight="1" x14ac:dyDescent="0.3">
      <c r="A6" s="162" t="str">
        <f>IF('NGS-Comp'!C5="","",'NGS-Comp'!C5)</f>
        <v/>
      </c>
      <c r="B6" s="177">
        <f>'NGS-Comp'!F5</f>
        <v>0</v>
      </c>
      <c r="C6" s="177" t="str">
        <f>IF(A6="","",'NGS-Comp'!E5)</f>
        <v/>
      </c>
      <c r="D6" s="177" t="str">
        <f t="shared" si="1"/>
        <v/>
      </c>
      <c r="E6" s="177" t="str">
        <f t="shared" si="2"/>
        <v/>
      </c>
      <c r="F6" s="177" t="str">
        <f t="shared" si="3"/>
        <v/>
      </c>
      <c r="G6" s="217" t="str">
        <f t="shared" si="4"/>
        <v/>
      </c>
      <c r="H6" s="218">
        <v>5</v>
      </c>
      <c r="I6" s="177" t="str">
        <f>IF(Table426[[#This Row],[From Stock (µL)]]&gt;1,"",Table426[[#This Row],[From Stock (µL)]]*10)</f>
        <v/>
      </c>
      <c r="J6" s="177" t="str">
        <f>IF(Table426[[#This Row],[From Stock (µL)]]&gt;1,"",16.8-Table426[[#This Row],[Hide/second dilution]])</f>
        <v/>
      </c>
      <c r="K6" s="219" t="str">
        <f t="shared" si="0"/>
        <v/>
      </c>
      <c r="L6" s="220" t="str">
        <f t="shared" si="5"/>
        <v/>
      </c>
      <c r="M6" s="221" t="str">
        <f t="shared" si="6"/>
        <v/>
      </c>
      <c r="N6" s="222" t="s">
        <v>171</v>
      </c>
      <c r="O6" s="177"/>
    </row>
    <row r="7" spans="1:15" ht="16.5" customHeight="1" x14ac:dyDescent="0.3">
      <c r="A7" s="162" t="str">
        <f>IF('NGS-Comp'!C6="","",'NGS-Comp'!C6)</f>
        <v/>
      </c>
      <c r="B7" s="177">
        <f>'NGS-Comp'!F6</f>
        <v>0</v>
      </c>
      <c r="C7" s="177" t="str">
        <f>IF(A7="","",'NGS-Comp'!E6)</f>
        <v/>
      </c>
      <c r="D7" s="177" t="str">
        <f t="shared" si="1"/>
        <v/>
      </c>
      <c r="E7" s="177" t="str">
        <f t="shared" si="2"/>
        <v/>
      </c>
      <c r="F7" s="177" t="str">
        <f t="shared" si="3"/>
        <v/>
      </c>
      <c r="G7" s="217" t="str">
        <f t="shared" si="4"/>
        <v/>
      </c>
      <c r="H7" s="218">
        <v>6</v>
      </c>
      <c r="I7" s="177" t="str">
        <f>IF(Table426[[#This Row],[From Stock (µL)]]&gt;1,"",Table426[[#This Row],[From Stock (µL)]]*10)</f>
        <v/>
      </c>
      <c r="J7" s="177" t="str">
        <f>IF(Table426[[#This Row],[From Stock (µL)]]&gt;1,"",16.8-Table426[[#This Row],[Hide/second dilution]])</f>
        <v/>
      </c>
      <c r="K7" s="219" t="str">
        <f t="shared" si="0"/>
        <v/>
      </c>
      <c r="L7" s="220" t="str">
        <f t="shared" si="5"/>
        <v/>
      </c>
      <c r="M7" s="221" t="str">
        <f t="shared" si="6"/>
        <v/>
      </c>
      <c r="N7" s="222" t="s">
        <v>182</v>
      </c>
      <c r="O7" s="177"/>
    </row>
    <row r="8" spans="1:15" ht="16.5" customHeight="1" x14ac:dyDescent="0.3">
      <c r="A8" s="162" t="str">
        <f>IF('NGS-Comp'!C7="","",'NGS-Comp'!C7)</f>
        <v/>
      </c>
      <c r="B8" s="177">
        <f>'NGS-Comp'!F7</f>
        <v>0</v>
      </c>
      <c r="C8" s="177" t="str">
        <f>IF(A8="","",'NGS-Comp'!E7)</f>
        <v/>
      </c>
      <c r="D8" s="177" t="str">
        <f t="shared" si="1"/>
        <v/>
      </c>
      <c r="E8" s="177" t="str">
        <f t="shared" si="2"/>
        <v/>
      </c>
      <c r="F8" s="177" t="str">
        <f t="shared" si="3"/>
        <v/>
      </c>
      <c r="G8" s="217" t="str">
        <f t="shared" si="4"/>
        <v/>
      </c>
      <c r="H8" s="218">
        <v>7</v>
      </c>
      <c r="I8" s="177" t="str">
        <f>IF(Table426[[#This Row],[From Stock (µL)]]&gt;1,"",Table426[[#This Row],[From Stock (µL)]]*10)</f>
        <v/>
      </c>
      <c r="J8" s="177" t="str">
        <f>IF(Table426[[#This Row],[From Stock (µL)]]&gt;1,"",16.8-Table426[[#This Row],[Hide/second dilution]])</f>
        <v/>
      </c>
      <c r="K8" s="219" t="str">
        <f t="shared" si="0"/>
        <v/>
      </c>
      <c r="L8" s="220" t="str">
        <f t="shared" si="5"/>
        <v/>
      </c>
      <c r="M8" s="221" t="str">
        <f t="shared" si="6"/>
        <v/>
      </c>
      <c r="N8" s="222" t="s">
        <v>183</v>
      </c>
      <c r="O8" s="177"/>
    </row>
    <row r="9" spans="1:15" ht="16.5" customHeight="1" x14ac:dyDescent="0.3">
      <c r="A9" s="162" t="str">
        <f>IF('NGS-Comp'!C8="","",'NGS-Comp'!C8)</f>
        <v/>
      </c>
      <c r="B9" s="177">
        <f>'NGS-Comp'!F8</f>
        <v>0</v>
      </c>
      <c r="C9" s="177" t="str">
        <f>IF(A9="","",'NGS-Comp'!E8)</f>
        <v/>
      </c>
      <c r="D9" s="177" t="str">
        <f t="shared" si="1"/>
        <v/>
      </c>
      <c r="E9" s="177" t="str">
        <f t="shared" si="2"/>
        <v/>
      </c>
      <c r="F9" s="177" t="str">
        <f t="shared" si="3"/>
        <v/>
      </c>
      <c r="G9" s="217" t="str">
        <f t="shared" si="4"/>
        <v/>
      </c>
      <c r="H9" s="218">
        <v>8</v>
      </c>
      <c r="I9" s="177" t="str">
        <f>IF(Table426[[#This Row],[From Stock (µL)]]&gt;1,"",Table426[[#This Row],[From Stock (µL)]]*10)</f>
        <v/>
      </c>
      <c r="J9" s="177" t="str">
        <f>IF(Table426[[#This Row],[From Stock (µL)]]&gt;1,"",16.8-Table426[[#This Row],[Hide/second dilution]])</f>
        <v/>
      </c>
      <c r="K9" s="219" t="str">
        <f t="shared" si="0"/>
        <v/>
      </c>
      <c r="L9" s="220" t="str">
        <f t="shared" si="5"/>
        <v/>
      </c>
      <c r="M9" s="221" t="str">
        <f t="shared" si="6"/>
        <v/>
      </c>
      <c r="N9" s="222" t="s">
        <v>184</v>
      </c>
      <c r="O9" s="177"/>
    </row>
    <row r="10" spans="1:15" ht="16.5" customHeight="1" x14ac:dyDescent="0.3">
      <c r="A10" s="162" t="str">
        <f>IF('NGS-Comp'!C9="","",'NGS-Comp'!C9)</f>
        <v/>
      </c>
      <c r="B10" s="177">
        <f>'NGS-Comp'!F9</f>
        <v>0</v>
      </c>
      <c r="C10" s="177" t="str">
        <f>IF(A10="","",'NGS-Comp'!E9)</f>
        <v/>
      </c>
      <c r="D10" s="177" t="str">
        <f t="shared" si="1"/>
        <v/>
      </c>
      <c r="E10" s="177" t="str">
        <f t="shared" si="2"/>
        <v/>
      </c>
      <c r="F10" s="177" t="str">
        <f t="shared" si="3"/>
        <v/>
      </c>
      <c r="G10" s="217" t="str">
        <f t="shared" si="4"/>
        <v/>
      </c>
      <c r="H10" s="218">
        <v>9</v>
      </c>
      <c r="I10" s="177" t="str">
        <f>IF(Table426[[#This Row],[From Stock (µL)]]&gt;1,"",Table426[[#This Row],[From Stock (µL)]]*10)</f>
        <v/>
      </c>
      <c r="J10" s="177" t="str">
        <f>IF(Table426[[#This Row],[From Stock (µL)]]&gt;1,"",16.8-Table426[[#This Row],[Hide/second dilution]])</f>
        <v/>
      </c>
      <c r="K10" s="219" t="str">
        <f t="shared" si="0"/>
        <v/>
      </c>
      <c r="L10" s="220" t="str">
        <f t="shared" si="5"/>
        <v/>
      </c>
      <c r="M10" s="221" t="str">
        <f t="shared" si="6"/>
        <v/>
      </c>
      <c r="N10" s="222" t="s">
        <v>234</v>
      </c>
      <c r="O10" s="177"/>
    </row>
    <row r="11" spans="1:15" ht="16.5" customHeight="1" x14ac:dyDescent="0.3">
      <c r="A11" s="162" t="str">
        <f>IF('NGS-Comp'!C10="","",'NGS-Comp'!C10)</f>
        <v/>
      </c>
      <c r="B11" s="177">
        <f>'NGS-Comp'!F10</f>
        <v>0</v>
      </c>
      <c r="C11" s="177" t="str">
        <f>IF(A11="","",'NGS-Comp'!E10)</f>
        <v/>
      </c>
      <c r="D11" s="177" t="str">
        <f t="shared" si="1"/>
        <v/>
      </c>
      <c r="E11" s="177" t="str">
        <f t="shared" si="2"/>
        <v/>
      </c>
      <c r="F11" s="177" t="str">
        <f t="shared" si="3"/>
        <v/>
      </c>
      <c r="G11" s="217" t="str">
        <f t="shared" si="4"/>
        <v/>
      </c>
      <c r="H11" s="218">
        <v>10</v>
      </c>
      <c r="I11" s="177" t="str">
        <f>IF(Table426[[#This Row],[From Stock (µL)]]&gt;1,"",Table426[[#This Row],[From Stock (µL)]]*10)</f>
        <v/>
      </c>
      <c r="J11" s="177" t="str">
        <f>IF(Table426[[#This Row],[From Stock (µL)]]&gt;1,"",16.8-Table426[[#This Row],[Hide/second dilution]])</f>
        <v/>
      </c>
      <c r="K11" s="219" t="str">
        <f t="shared" si="0"/>
        <v/>
      </c>
      <c r="L11" s="220" t="str">
        <f t="shared" si="5"/>
        <v/>
      </c>
      <c r="M11" s="221" t="str">
        <f t="shared" si="6"/>
        <v/>
      </c>
      <c r="N11" s="222" t="s">
        <v>235</v>
      </c>
      <c r="O11" s="177"/>
    </row>
    <row r="12" spans="1:15" ht="16.5" customHeight="1" x14ac:dyDescent="0.3">
      <c r="A12" s="162" t="str">
        <f>IF('NGS-Comp'!C11="","",'NGS-Comp'!C11)</f>
        <v/>
      </c>
      <c r="B12" s="177">
        <f>'NGS-Comp'!F11</f>
        <v>0</v>
      </c>
      <c r="C12" s="177" t="str">
        <f>IF(A12="","",'NGS-Comp'!E11)</f>
        <v/>
      </c>
      <c r="D12" s="177" t="str">
        <f t="shared" si="1"/>
        <v/>
      </c>
      <c r="E12" s="177" t="str">
        <f t="shared" si="2"/>
        <v/>
      </c>
      <c r="F12" s="177" t="str">
        <f t="shared" si="3"/>
        <v/>
      </c>
      <c r="G12" s="217" t="str">
        <f t="shared" si="4"/>
        <v/>
      </c>
      <c r="H12" s="218">
        <v>11</v>
      </c>
      <c r="I12" s="177" t="str">
        <f>IF(Table426[[#This Row],[From Stock (µL)]]&gt;1,"",Table426[[#This Row],[From Stock (µL)]]*10)</f>
        <v/>
      </c>
      <c r="J12" s="177" t="str">
        <f>IF(Table426[[#This Row],[From Stock (µL)]]&gt;1,"",16.8-Table426[[#This Row],[Hide/second dilution]])</f>
        <v/>
      </c>
      <c r="K12" s="219" t="str">
        <f t="shared" si="0"/>
        <v/>
      </c>
      <c r="L12" s="220" t="str">
        <f t="shared" si="5"/>
        <v/>
      </c>
      <c r="M12" s="221" t="str">
        <f t="shared" si="6"/>
        <v/>
      </c>
      <c r="N12" s="222" t="s">
        <v>236</v>
      </c>
      <c r="O12" s="177"/>
    </row>
    <row r="13" spans="1:15" ht="16.5" customHeight="1" x14ac:dyDescent="0.3">
      <c r="A13" s="162" t="str">
        <f>IF('NGS-Comp'!C12="","",'NGS-Comp'!C12)</f>
        <v/>
      </c>
      <c r="B13" s="177">
        <f>'NGS-Comp'!F12</f>
        <v>0</v>
      </c>
      <c r="C13" s="177" t="str">
        <f>IF(A13="","",'NGS-Comp'!E12)</f>
        <v/>
      </c>
      <c r="D13" s="177" t="str">
        <f t="shared" si="1"/>
        <v/>
      </c>
      <c r="E13" s="177" t="str">
        <f t="shared" si="2"/>
        <v/>
      </c>
      <c r="F13" s="177" t="str">
        <f t="shared" si="3"/>
        <v/>
      </c>
      <c r="G13" s="217" t="str">
        <f t="shared" si="4"/>
        <v/>
      </c>
      <c r="H13" s="218">
        <v>12</v>
      </c>
      <c r="I13" s="177" t="str">
        <f>IF(Table426[[#This Row],[From Stock (µL)]]&gt;1,"",Table426[[#This Row],[From Stock (µL)]]*10)</f>
        <v/>
      </c>
      <c r="J13" s="177" t="str">
        <f>IF(Table426[[#This Row],[From Stock (µL)]]&gt;1,"",16.8-Table426[[#This Row],[Hide/second dilution]])</f>
        <v/>
      </c>
      <c r="K13" s="219" t="str">
        <f t="shared" si="0"/>
        <v/>
      </c>
      <c r="L13" s="220" t="str">
        <f t="shared" si="5"/>
        <v/>
      </c>
      <c r="M13" s="221" t="str">
        <f t="shared" si="6"/>
        <v/>
      </c>
      <c r="N13" s="222" t="s">
        <v>237</v>
      </c>
      <c r="O13" s="177"/>
    </row>
    <row r="14" spans="1:15" ht="16.5" customHeight="1" x14ac:dyDescent="0.3">
      <c r="A14" s="162" t="str">
        <f>IF('NGS-Comp'!C13="","",'NGS-Comp'!C13)</f>
        <v/>
      </c>
      <c r="B14" s="177">
        <f>'NGS-Comp'!F13</f>
        <v>0</v>
      </c>
      <c r="C14" s="177" t="str">
        <f>IF(A14="","",'NGS-Comp'!E13)</f>
        <v/>
      </c>
      <c r="D14" s="177" t="str">
        <f t="shared" si="1"/>
        <v/>
      </c>
      <c r="E14" s="177" t="str">
        <f t="shared" si="2"/>
        <v/>
      </c>
      <c r="F14" s="177" t="str">
        <f t="shared" si="3"/>
        <v/>
      </c>
      <c r="G14" s="217" t="str">
        <f t="shared" si="4"/>
        <v/>
      </c>
      <c r="H14" s="218">
        <v>13</v>
      </c>
      <c r="I14" s="177" t="str">
        <f>IF(Table426[[#This Row],[From Stock (µL)]]&gt;1,"",Table426[[#This Row],[From Stock (µL)]]*10)</f>
        <v/>
      </c>
      <c r="J14" s="177" t="str">
        <f>IF(Table426[[#This Row],[From Stock (µL)]]&gt;1,"",16.8-Table426[[#This Row],[Hide/second dilution]])</f>
        <v/>
      </c>
      <c r="K14" s="219" t="str">
        <f t="shared" si="0"/>
        <v/>
      </c>
      <c r="L14" s="220" t="str">
        <f t="shared" si="5"/>
        <v/>
      </c>
      <c r="M14" s="221" t="str">
        <f t="shared" si="6"/>
        <v/>
      </c>
      <c r="N14" s="223"/>
      <c r="O14" s="177"/>
    </row>
    <row r="15" spans="1:15" ht="16.5" customHeight="1" x14ac:dyDescent="0.3">
      <c r="A15" s="162" t="str">
        <f>IF('NGS-Comp'!C14="","",'NGS-Comp'!C14)</f>
        <v/>
      </c>
      <c r="B15" s="177">
        <f>'NGS-Comp'!F14</f>
        <v>0</v>
      </c>
      <c r="C15" s="177" t="str">
        <f>IF(A15="","",'NGS-Comp'!E14)</f>
        <v/>
      </c>
      <c r="D15" s="177" t="str">
        <f t="shared" si="1"/>
        <v/>
      </c>
      <c r="E15" s="177" t="str">
        <f t="shared" si="2"/>
        <v/>
      </c>
      <c r="F15" s="177" t="str">
        <f t="shared" si="3"/>
        <v/>
      </c>
      <c r="G15" s="217" t="str">
        <f t="shared" si="4"/>
        <v/>
      </c>
      <c r="H15" s="218">
        <v>14</v>
      </c>
      <c r="I15" s="177" t="str">
        <f>IF(Table426[[#This Row],[From Stock (µL)]]&gt;1,"",Table426[[#This Row],[From Stock (µL)]]*10)</f>
        <v/>
      </c>
      <c r="J15" s="177" t="str">
        <f>IF(Table426[[#This Row],[From Stock (µL)]]&gt;1,"",16.8-Table426[[#This Row],[Hide/second dilution]])</f>
        <v/>
      </c>
      <c r="K15" s="219" t="str">
        <f t="shared" si="0"/>
        <v/>
      </c>
      <c r="L15" s="220" t="str">
        <f t="shared" si="5"/>
        <v/>
      </c>
      <c r="M15" s="221" t="str">
        <f t="shared" si="6"/>
        <v/>
      </c>
      <c r="N15" s="223"/>
      <c r="O15" s="177"/>
    </row>
    <row r="16" spans="1:15" ht="16.5" customHeight="1" x14ac:dyDescent="0.3">
      <c r="A16" s="162" t="str">
        <f>IF('NGS-Comp'!C15="","",'NGS-Comp'!C15)</f>
        <v/>
      </c>
      <c r="B16" s="177">
        <f>'NGS-Comp'!F15</f>
        <v>0</v>
      </c>
      <c r="C16" s="177" t="str">
        <f>IF(A16="","",'NGS-Comp'!E15)</f>
        <v/>
      </c>
      <c r="D16" s="177" t="str">
        <f t="shared" si="1"/>
        <v/>
      </c>
      <c r="E16" s="177" t="str">
        <f t="shared" si="2"/>
        <v/>
      </c>
      <c r="F16" s="177" t="str">
        <f t="shared" si="3"/>
        <v/>
      </c>
      <c r="G16" s="217" t="str">
        <f t="shared" si="4"/>
        <v/>
      </c>
      <c r="H16" s="218">
        <v>15</v>
      </c>
      <c r="I16" s="177" t="str">
        <f>IF(Table426[[#This Row],[From Stock (µL)]]&gt;1,"",Table426[[#This Row],[From Stock (µL)]]*10)</f>
        <v/>
      </c>
      <c r="J16" s="177" t="str">
        <f>IF(Table426[[#This Row],[From Stock (µL)]]&gt;1,"",16.8-Table426[[#This Row],[Hide/second dilution]])</f>
        <v/>
      </c>
      <c r="K16" s="219" t="str">
        <f t="shared" si="0"/>
        <v/>
      </c>
      <c r="L16" s="220" t="str">
        <f t="shared" si="5"/>
        <v/>
      </c>
      <c r="M16" s="221" t="str">
        <f t="shared" si="6"/>
        <v/>
      </c>
      <c r="N16" s="223"/>
      <c r="O16" s="177"/>
    </row>
    <row r="17" spans="1:27" ht="16.5" customHeight="1" x14ac:dyDescent="0.3">
      <c r="A17" s="162" t="str">
        <f>IF('NGS-Comp'!C16="","",'NGS-Comp'!C16)</f>
        <v/>
      </c>
      <c r="B17" s="177">
        <f>'NGS-Comp'!F16</f>
        <v>0</v>
      </c>
      <c r="C17" s="177" t="str">
        <f>IF(A17="","",'NGS-Comp'!E16)</f>
        <v/>
      </c>
      <c r="D17" s="177" t="str">
        <f t="shared" si="1"/>
        <v/>
      </c>
      <c r="E17" s="177" t="str">
        <f t="shared" si="2"/>
        <v/>
      </c>
      <c r="F17" s="177" t="str">
        <f t="shared" si="3"/>
        <v/>
      </c>
      <c r="G17" s="217" t="str">
        <f t="shared" si="4"/>
        <v/>
      </c>
      <c r="H17" s="218">
        <v>16</v>
      </c>
      <c r="I17" s="177" t="str">
        <f>IF(Table426[[#This Row],[From Stock (µL)]]&gt;1,"",Table426[[#This Row],[From Stock (µL)]]*10)</f>
        <v/>
      </c>
      <c r="J17" s="177" t="str">
        <f>IF(Table426[[#This Row],[From Stock (µL)]]&gt;1,"",16.8-Table426[[#This Row],[Hide/second dilution]])</f>
        <v/>
      </c>
      <c r="K17" s="219" t="str">
        <f t="shared" si="0"/>
        <v/>
      </c>
      <c r="L17" s="220" t="str">
        <f t="shared" si="5"/>
        <v/>
      </c>
      <c r="M17" s="221" t="str">
        <f t="shared" si="6"/>
        <v/>
      </c>
      <c r="N17" s="223"/>
      <c r="O17" s="177"/>
    </row>
    <row r="18" spans="1:27" ht="16.5" customHeight="1" x14ac:dyDescent="0.3">
      <c r="A18" s="162" t="str">
        <f>IF('NGS-Comp'!C17="","",'NGS-Comp'!C17)</f>
        <v/>
      </c>
      <c r="B18" s="177">
        <f>'NGS-Comp'!F17</f>
        <v>0</v>
      </c>
      <c r="C18" s="177" t="str">
        <f>IF(A18="","",'NGS-Comp'!E17)</f>
        <v/>
      </c>
      <c r="D18" s="177" t="str">
        <f t="shared" si="1"/>
        <v/>
      </c>
      <c r="E18" s="177" t="str">
        <f t="shared" si="2"/>
        <v/>
      </c>
      <c r="F18" s="177" t="str">
        <f t="shared" si="3"/>
        <v/>
      </c>
      <c r="G18" s="217" t="str">
        <f t="shared" si="4"/>
        <v/>
      </c>
      <c r="H18" s="218">
        <v>17</v>
      </c>
      <c r="I18" s="177" t="str">
        <f>IF(Table426[[#This Row],[From Stock (µL)]]&gt;1,"",Table426[[#This Row],[From Stock (µL)]]*10)</f>
        <v/>
      </c>
      <c r="J18" s="177" t="str">
        <f>IF(Table426[[#This Row],[From Stock (µL)]]&gt;1,"",16.8-Table426[[#This Row],[Hide/second dilution]])</f>
        <v/>
      </c>
      <c r="K18" s="219" t="str">
        <f t="shared" si="0"/>
        <v/>
      </c>
      <c r="L18" s="220" t="str">
        <f t="shared" si="5"/>
        <v/>
      </c>
      <c r="M18" s="221" t="str">
        <f t="shared" si="6"/>
        <v/>
      </c>
      <c r="N18" s="223"/>
      <c r="O18" s="177"/>
    </row>
    <row r="19" spans="1:27" ht="16.5" customHeight="1" x14ac:dyDescent="0.3">
      <c r="A19" s="162" t="str">
        <f>IF('NGS-Comp'!C18="","",'NGS-Comp'!C18)</f>
        <v/>
      </c>
      <c r="B19" s="177">
        <f>'NGS-Comp'!F18</f>
        <v>0</v>
      </c>
      <c r="C19" s="177" t="str">
        <f>IF(A19="","",'NGS-Comp'!E18)</f>
        <v/>
      </c>
      <c r="D19" s="177" t="str">
        <f t="shared" si="1"/>
        <v/>
      </c>
      <c r="E19" s="177" t="str">
        <f t="shared" si="2"/>
        <v/>
      </c>
      <c r="F19" s="177" t="str">
        <f t="shared" si="3"/>
        <v/>
      </c>
      <c r="G19" s="217" t="str">
        <f t="shared" si="4"/>
        <v/>
      </c>
      <c r="H19" s="218">
        <v>18</v>
      </c>
      <c r="I19" s="177" t="str">
        <f>IF(Table426[[#This Row],[From Stock (µL)]]&gt;1,"",Table426[[#This Row],[From Stock (µL)]]*10)</f>
        <v/>
      </c>
      <c r="J19" s="177" t="str">
        <f>IF(Table426[[#This Row],[From Stock (µL)]]&gt;1,"",16.8-Table426[[#This Row],[Hide/second dilution]])</f>
        <v/>
      </c>
      <c r="K19" s="219" t="str">
        <f t="shared" si="0"/>
        <v/>
      </c>
      <c r="L19" s="220" t="str">
        <f t="shared" si="5"/>
        <v/>
      </c>
      <c r="M19" s="221" t="str">
        <f t="shared" si="6"/>
        <v/>
      </c>
      <c r="N19" s="223"/>
      <c r="O19" s="177"/>
    </row>
    <row r="20" spans="1:27" ht="16.5" customHeight="1" x14ac:dyDescent="0.3">
      <c r="A20" s="162" t="str">
        <f>IF('NGS-Comp'!C19="","",'NGS-Comp'!C19)</f>
        <v/>
      </c>
      <c r="B20" s="177">
        <f>'NGS-Comp'!F19</f>
        <v>0</v>
      </c>
      <c r="C20" s="177" t="str">
        <f>IF(A20="","",'NGS-Comp'!E19)</f>
        <v/>
      </c>
      <c r="D20" s="177" t="str">
        <f t="shared" si="1"/>
        <v/>
      </c>
      <c r="E20" s="177" t="str">
        <f t="shared" si="2"/>
        <v/>
      </c>
      <c r="F20" s="177" t="str">
        <f t="shared" si="3"/>
        <v/>
      </c>
      <c r="G20" s="217" t="str">
        <f t="shared" si="4"/>
        <v/>
      </c>
      <c r="H20" s="218">
        <v>19</v>
      </c>
      <c r="I20" s="177" t="str">
        <f>IF(Table426[[#This Row],[From Stock (µL)]]&gt;1,"",Table426[[#This Row],[From Stock (µL)]]*10)</f>
        <v/>
      </c>
      <c r="J20" s="177" t="str">
        <f>IF(Table426[[#This Row],[From Stock (µL)]]&gt;1,"",16.8-Table426[[#This Row],[Hide/second dilution]])</f>
        <v/>
      </c>
      <c r="K20" s="219" t="str">
        <f t="shared" si="0"/>
        <v/>
      </c>
      <c r="L20" s="220" t="str">
        <f t="shared" si="5"/>
        <v/>
      </c>
      <c r="M20" s="221" t="str">
        <f t="shared" si="6"/>
        <v/>
      </c>
      <c r="N20" s="223"/>
      <c r="O20" s="177"/>
    </row>
    <row r="21" spans="1:27" ht="16.5" customHeight="1" x14ac:dyDescent="0.3">
      <c r="A21" s="162" t="str">
        <f>IF('NGS-Comp'!C20="","",'NGS-Comp'!C20)</f>
        <v/>
      </c>
      <c r="B21" s="177">
        <f>'NGS-Comp'!F20</f>
        <v>0</v>
      </c>
      <c r="C21" s="177" t="str">
        <f>IF(A21="","",'NGS-Comp'!E20)</f>
        <v/>
      </c>
      <c r="D21" s="177" t="str">
        <f t="shared" si="1"/>
        <v/>
      </c>
      <c r="E21" s="177" t="str">
        <f t="shared" si="2"/>
        <v/>
      </c>
      <c r="F21" s="177" t="str">
        <f t="shared" si="3"/>
        <v/>
      </c>
      <c r="G21" s="217" t="str">
        <f t="shared" si="4"/>
        <v/>
      </c>
      <c r="H21" s="218">
        <v>20</v>
      </c>
      <c r="I21" s="194" t="str">
        <f>IF(Table426[[#This Row],[From Stock (µL)]]&gt;1,"",Table426[[#This Row],[From Stock (µL)]]*10)</f>
        <v/>
      </c>
      <c r="J21" s="177" t="str">
        <f>IF(Table426[[#This Row],[From Stock (µL)]]&gt;1,"",16.8-Table426[[#This Row],[Hide/second dilution]])</f>
        <v/>
      </c>
      <c r="K21" s="219" t="str">
        <f t="shared" si="0"/>
        <v/>
      </c>
      <c r="L21" s="220" t="str">
        <f t="shared" si="5"/>
        <v/>
      </c>
      <c r="M21" s="221" t="str">
        <f t="shared" si="6"/>
        <v/>
      </c>
      <c r="N21" s="224"/>
      <c r="O21" s="177"/>
    </row>
    <row r="25" spans="1:27" x14ac:dyDescent="0.3">
      <c r="O25" s="67" t="s">
        <v>244</v>
      </c>
      <c r="P25" s="67" t="s">
        <v>245</v>
      </c>
      <c r="Q25" s="67"/>
      <c r="R25" s="67"/>
      <c r="S25" s="67"/>
      <c r="T25" s="67"/>
      <c r="U25" s="67"/>
      <c r="V25" s="67"/>
      <c r="W25" s="67"/>
      <c r="X25" s="67"/>
      <c r="Y25" s="67"/>
      <c r="Z25" s="67"/>
      <c r="AA25" s="67"/>
    </row>
    <row r="26" spans="1:27" x14ac:dyDescent="0.3">
      <c r="O26" s="107" t="s">
        <v>33</v>
      </c>
      <c r="P26" s="76" t="s">
        <v>144</v>
      </c>
      <c r="Q26" s="76" t="s">
        <v>145</v>
      </c>
      <c r="R26" s="76" t="s">
        <v>146</v>
      </c>
      <c r="S26" s="76" t="s">
        <v>147</v>
      </c>
      <c r="T26" s="76" t="s">
        <v>148</v>
      </c>
      <c r="U26" s="76" t="s">
        <v>149</v>
      </c>
      <c r="V26" s="76" t="s">
        <v>142</v>
      </c>
      <c r="W26" s="76" t="s">
        <v>150</v>
      </c>
      <c r="X26" s="76" t="s">
        <v>151</v>
      </c>
      <c r="Y26" s="76" t="s">
        <v>152</v>
      </c>
      <c r="Z26" s="76" t="s">
        <v>153</v>
      </c>
      <c r="AA26" s="106" t="s">
        <v>154</v>
      </c>
    </row>
    <row r="27" spans="1:27" ht="13.5" customHeight="1" x14ac:dyDescent="0.3">
      <c r="O27" s="76" t="s">
        <v>135</v>
      </c>
      <c r="P27" s="187"/>
      <c r="Q27" s="187"/>
      <c r="R27" s="187"/>
      <c r="S27" s="187"/>
      <c r="T27" s="187"/>
      <c r="U27" s="187"/>
      <c r="V27" s="187"/>
      <c r="W27" s="187"/>
      <c r="X27" s="187"/>
      <c r="Y27" s="187"/>
      <c r="Z27" s="187"/>
      <c r="AA27" s="188"/>
    </row>
    <row r="28" spans="1:27" ht="13.5" customHeight="1" x14ac:dyDescent="0.3">
      <c r="O28" s="76" t="s">
        <v>136</v>
      </c>
      <c r="P28" s="187" t="s">
        <v>243</v>
      </c>
      <c r="Q28" s="187" t="str">
        <f>IF('NGS Run Record'!C41="","",'NGS Run Record'!C41)</f>
        <v>C00026B</v>
      </c>
      <c r="R28" s="187" t="str">
        <f ca="1">IF('NGS Run Record'!C42="","",'NGS Run Record'!C42)</f>
        <v>S1</v>
      </c>
      <c r="S28" s="187" t="str">
        <f ca="1">IF('NGS Run Record'!C43="","",'NGS Run Record'!C43)</f>
        <v>S2</v>
      </c>
      <c r="T28" s="187" t="str">
        <f ca="1">IF('NGS Run Record'!C44="","",'NGS Run Record'!C44)</f>
        <v>S3</v>
      </c>
      <c r="U28" s="187" t="str">
        <f ca="1">IF('NGS Run Record'!C45="","",'NGS Run Record'!C45)</f>
        <v>S4</v>
      </c>
      <c r="V28" s="187" t="str">
        <f ca="1">IF('NGS Run Record'!C46="","",'NGS Run Record'!C46)</f>
        <v>S5</v>
      </c>
      <c r="W28" s="187" t="str">
        <f ca="1">IF('NGS Run Record'!C47="","",'NGS Run Record'!C47)</f>
        <v>S6</v>
      </c>
      <c r="X28" s="187" t="str">
        <f ca="1">IF('NGS Run Record'!C48="","",'NGS Run Record'!C48)</f>
        <v>S7</v>
      </c>
      <c r="Y28" s="187" t="str">
        <f ca="1">IF('NGS Run Record'!C49="","",'NGS Run Record'!C49)</f>
        <v>S8</v>
      </c>
      <c r="Z28" s="187" t="str">
        <f ca="1">IF('NGS Run Record'!C50="","",'NGS Run Record'!C50)</f>
        <v/>
      </c>
      <c r="AA28" s="188" t="str">
        <f ca="1">IF('NGS Run Record'!C51="","",'NGS Run Record'!C51)</f>
        <v/>
      </c>
    </row>
    <row r="29" spans="1:27" ht="13.5" customHeight="1" x14ac:dyDescent="0.3">
      <c r="O29" s="76" t="s">
        <v>137</v>
      </c>
      <c r="P29" s="187"/>
      <c r="Q29" s="187"/>
      <c r="R29" s="187"/>
      <c r="S29" s="187"/>
      <c r="T29" s="187"/>
      <c r="U29" s="187"/>
      <c r="V29" s="187"/>
      <c r="W29" s="187"/>
      <c r="X29" s="187"/>
      <c r="Y29" s="187"/>
      <c r="Z29" s="187"/>
      <c r="AA29" s="188"/>
    </row>
    <row r="30" spans="1:27" ht="13.5" customHeight="1" x14ac:dyDescent="0.3">
      <c r="O30" s="76" t="s">
        <v>138</v>
      </c>
      <c r="P30" s="177"/>
      <c r="Q30" s="177"/>
      <c r="R30" s="177"/>
      <c r="S30" s="177"/>
      <c r="T30" s="177"/>
      <c r="U30" s="177"/>
      <c r="V30" s="177"/>
      <c r="W30" s="177"/>
      <c r="X30" s="177"/>
      <c r="Y30" s="177"/>
      <c r="Z30" s="177"/>
      <c r="AA30" s="193"/>
    </row>
    <row r="31" spans="1:27" ht="13.5" customHeight="1" x14ac:dyDescent="0.3">
      <c r="O31" s="76" t="s">
        <v>139</v>
      </c>
      <c r="P31" s="177"/>
      <c r="Q31" s="177"/>
      <c r="R31" s="177"/>
      <c r="S31" s="177"/>
      <c r="T31" s="177"/>
      <c r="U31" s="177"/>
      <c r="V31" s="177"/>
      <c r="W31" s="177"/>
      <c r="X31" s="177"/>
      <c r="Y31" s="177"/>
      <c r="Z31" s="177"/>
      <c r="AA31" s="193"/>
    </row>
    <row r="32" spans="1:27" ht="13.5" customHeight="1" x14ac:dyDescent="0.3">
      <c r="O32" s="76" t="s">
        <v>131</v>
      </c>
      <c r="P32" s="177"/>
      <c r="Q32" s="177"/>
      <c r="R32" s="177"/>
      <c r="S32" s="177"/>
      <c r="T32" s="177"/>
      <c r="U32" s="177"/>
      <c r="V32" s="177"/>
      <c r="W32" s="177"/>
      <c r="X32" s="177"/>
      <c r="Y32" s="177"/>
      <c r="Z32" s="177"/>
      <c r="AA32" s="193"/>
    </row>
    <row r="33" spans="15:27" ht="13.5" customHeight="1" x14ac:dyDescent="0.3">
      <c r="O33" s="76" t="s">
        <v>140</v>
      </c>
      <c r="P33" s="177"/>
      <c r="Q33" s="177"/>
      <c r="R33" s="177"/>
      <c r="S33" s="177"/>
      <c r="T33" s="177"/>
      <c r="U33" s="177"/>
      <c r="V33" s="177"/>
      <c r="W33" s="177"/>
      <c r="X33" s="177"/>
      <c r="Y33" s="177"/>
      <c r="Z33" s="177"/>
      <c r="AA33" s="193"/>
    </row>
    <row r="34" spans="15:27" ht="13.5" customHeight="1" x14ac:dyDescent="0.3">
      <c r="O34" s="104" t="s">
        <v>141</v>
      </c>
      <c r="P34" s="194"/>
      <c r="Q34" s="194"/>
      <c r="R34" s="194"/>
      <c r="S34" s="194"/>
      <c r="T34" s="194"/>
      <c r="U34" s="194"/>
      <c r="V34" s="194"/>
      <c r="W34" s="194"/>
      <c r="X34" s="194"/>
      <c r="Y34" s="194"/>
      <c r="Z34" s="194"/>
      <c r="AA34" s="195"/>
    </row>
    <row r="36" spans="15:27" x14ac:dyDescent="0.3">
      <c r="P36" t="s">
        <v>246</v>
      </c>
      <c r="Q36" t="s">
        <v>247</v>
      </c>
    </row>
    <row r="37" spans="15:27" x14ac:dyDescent="0.3">
      <c r="O37" s="107" t="s">
        <v>33</v>
      </c>
      <c r="P37" s="76" t="s">
        <v>144</v>
      </c>
      <c r="Q37" s="76" t="s">
        <v>145</v>
      </c>
      <c r="R37" s="76" t="s">
        <v>146</v>
      </c>
      <c r="S37" s="76" t="s">
        <v>147</v>
      </c>
      <c r="T37" s="76" t="s">
        <v>148</v>
      </c>
      <c r="U37" s="76" t="s">
        <v>149</v>
      </c>
      <c r="V37" s="76" t="s">
        <v>142</v>
      </c>
      <c r="W37" s="76" t="s">
        <v>150</v>
      </c>
      <c r="X37" s="76" t="s">
        <v>151</v>
      </c>
      <c r="Y37" s="76" t="s">
        <v>152</v>
      </c>
      <c r="Z37" s="76" t="s">
        <v>153</v>
      </c>
      <c r="AA37" s="106" t="s">
        <v>154</v>
      </c>
    </row>
    <row r="38" spans="15:27" ht="13.5" customHeight="1" x14ac:dyDescent="0.3">
      <c r="O38" s="76" t="s">
        <v>135</v>
      </c>
      <c r="P38" s="76"/>
      <c r="Q38" s="76"/>
      <c r="R38" s="76"/>
      <c r="S38" s="76"/>
      <c r="T38" s="76"/>
      <c r="U38" s="76"/>
      <c r="V38" s="76"/>
      <c r="W38" s="76"/>
      <c r="X38" s="76"/>
      <c r="Y38" s="76"/>
      <c r="Z38" s="76"/>
      <c r="AA38" s="106"/>
    </row>
    <row r="39" spans="15:27" ht="13.5" customHeight="1" x14ac:dyDescent="0.3">
      <c r="O39" s="76" t="s">
        <v>136</v>
      </c>
      <c r="P39" s="76"/>
      <c r="Q39" s="76"/>
      <c r="R39" s="76"/>
      <c r="S39" s="76"/>
      <c r="T39" s="76"/>
      <c r="U39" s="76"/>
      <c r="V39" s="76"/>
      <c r="W39" s="76"/>
      <c r="X39" s="76"/>
      <c r="Y39" s="76"/>
      <c r="Z39" s="76"/>
      <c r="AA39" s="106"/>
    </row>
    <row r="40" spans="15:27" ht="13.5" customHeight="1" x14ac:dyDescent="0.3">
      <c r="O40" s="76" t="s">
        <v>137</v>
      </c>
      <c r="P40" s="76"/>
      <c r="Q40" s="76"/>
      <c r="R40" s="76"/>
      <c r="S40" s="76"/>
      <c r="T40" s="76"/>
      <c r="U40" s="76"/>
      <c r="V40" s="76"/>
      <c r="W40" s="76"/>
      <c r="X40" s="76"/>
      <c r="Y40" s="76"/>
      <c r="Z40" s="76"/>
      <c r="AA40" s="106"/>
    </row>
    <row r="41" spans="15:27" ht="13.5" customHeight="1" x14ac:dyDescent="0.3">
      <c r="O41" s="76" t="s">
        <v>138</v>
      </c>
      <c r="P41" s="76" t="str">
        <f t="shared" ref="P41:AA41" si="7">P28</f>
        <v>NTC</v>
      </c>
      <c r="Q41" s="76" t="str">
        <f t="shared" si="7"/>
        <v>C00026B</v>
      </c>
      <c r="R41" s="76" t="str">
        <f t="shared" ca="1" si="7"/>
        <v>S1</v>
      </c>
      <c r="S41" s="76" t="str">
        <f t="shared" ca="1" si="7"/>
        <v>S2</v>
      </c>
      <c r="T41" s="76" t="str">
        <f t="shared" ca="1" si="7"/>
        <v>S3</v>
      </c>
      <c r="U41" s="76" t="str">
        <f t="shared" ca="1" si="7"/>
        <v>S4</v>
      </c>
      <c r="V41" s="76" t="str">
        <f t="shared" ca="1" si="7"/>
        <v>S5</v>
      </c>
      <c r="W41" s="76" t="str">
        <f t="shared" ca="1" si="7"/>
        <v>S6</v>
      </c>
      <c r="X41" s="76" t="str">
        <f t="shared" ca="1" si="7"/>
        <v>S7</v>
      </c>
      <c r="Y41" s="76" t="str">
        <f t="shared" ca="1" si="7"/>
        <v>S8</v>
      </c>
      <c r="Z41" s="76" t="str">
        <f t="shared" ca="1" si="7"/>
        <v/>
      </c>
      <c r="AA41" s="76" t="str">
        <f t="shared" ca="1" si="7"/>
        <v/>
      </c>
    </row>
    <row r="42" spans="15:27" ht="13.5" customHeight="1" x14ac:dyDescent="0.3">
      <c r="O42" s="76" t="s">
        <v>139</v>
      </c>
      <c r="P42" s="76"/>
      <c r="Q42" s="76"/>
      <c r="R42" s="76"/>
      <c r="S42" s="76"/>
      <c r="T42" s="76"/>
      <c r="U42" s="76"/>
      <c r="V42" s="76"/>
      <c r="W42" s="76"/>
      <c r="X42" s="76"/>
      <c r="Y42" s="76"/>
      <c r="Z42" s="76"/>
      <c r="AA42" s="106"/>
    </row>
    <row r="43" spans="15:27" ht="13.5" customHeight="1" x14ac:dyDescent="0.3">
      <c r="O43" s="76" t="s">
        <v>131</v>
      </c>
      <c r="P43" s="76"/>
      <c r="Q43" s="76"/>
      <c r="R43" s="76"/>
      <c r="S43" s="76"/>
      <c r="T43" s="76"/>
      <c r="U43" s="76"/>
      <c r="V43" s="76"/>
      <c r="W43" s="76"/>
      <c r="X43" s="76"/>
      <c r="Y43" s="76"/>
      <c r="Z43" s="76"/>
      <c r="AA43" s="106"/>
    </row>
    <row r="44" spans="15:27" ht="13.5" customHeight="1" x14ac:dyDescent="0.3">
      <c r="O44" s="76" t="s">
        <v>140</v>
      </c>
      <c r="P44" s="76"/>
      <c r="Q44" s="76"/>
      <c r="R44" s="76"/>
      <c r="S44" s="76"/>
      <c r="T44" s="76"/>
      <c r="U44" s="76"/>
      <c r="V44" s="76"/>
      <c r="W44" s="76"/>
      <c r="X44" s="76"/>
      <c r="Y44" s="76"/>
      <c r="Z44" s="76"/>
      <c r="AA44" s="106"/>
    </row>
    <row r="45" spans="15:27" ht="13.5" customHeight="1" x14ac:dyDescent="0.3">
      <c r="O45" s="104" t="s">
        <v>141</v>
      </c>
      <c r="P45" s="104"/>
      <c r="Q45" s="104"/>
      <c r="R45" s="104"/>
      <c r="S45" s="104"/>
      <c r="T45" s="104"/>
      <c r="U45" s="104"/>
      <c r="V45" s="104"/>
      <c r="W45" s="104"/>
      <c r="X45" s="104"/>
      <c r="Y45" s="104"/>
      <c r="Z45" s="104"/>
      <c r="AA45" s="108"/>
    </row>
    <row r="47" spans="15:27" x14ac:dyDescent="0.3">
      <c r="P47" t="s">
        <v>248</v>
      </c>
    </row>
    <row r="49" spans="15:27" x14ac:dyDescent="0.3">
      <c r="O49" s="107" t="s">
        <v>33</v>
      </c>
      <c r="P49" s="76" t="s">
        <v>144</v>
      </c>
      <c r="Q49" s="76" t="s">
        <v>145</v>
      </c>
      <c r="R49" s="76" t="s">
        <v>146</v>
      </c>
      <c r="S49" s="76" t="s">
        <v>147</v>
      </c>
      <c r="T49" s="76" t="s">
        <v>148</v>
      </c>
      <c r="U49" s="76" t="s">
        <v>149</v>
      </c>
      <c r="V49" s="76" t="s">
        <v>142</v>
      </c>
      <c r="W49" s="76" t="s">
        <v>150</v>
      </c>
      <c r="X49" s="76" t="s">
        <v>151</v>
      </c>
      <c r="Y49" s="76" t="s">
        <v>152</v>
      </c>
      <c r="Z49" s="76" t="s">
        <v>153</v>
      </c>
      <c r="AA49" s="106" t="s">
        <v>154</v>
      </c>
    </row>
    <row r="50" spans="15:27" ht="13.5" customHeight="1" x14ac:dyDescent="0.3">
      <c r="O50" s="76" t="s">
        <v>135</v>
      </c>
      <c r="P50" s="76"/>
      <c r="Q50" s="76"/>
      <c r="R50" s="76"/>
      <c r="S50" s="76"/>
      <c r="T50" s="76"/>
      <c r="U50" s="76"/>
      <c r="V50" s="76"/>
      <c r="W50" s="76"/>
      <c r="X50" s="76"/>
      <c r="Y50" s="76"/>
      <c r="Z50" s="76"/>
      <c r="AA50" s="106"/>
    </row>
    <row r="51" spans="15:27" ht="13.5" customHeight="1" x14ac:dyDescent="0.3">
      <c r="O51" s="76" t="s">
        <v>136</v>
      </c>
      <c r="P51" s="76" t="str">
        <f t="shared" ref="P51:AA51" si="8">P28</f>
        <v>NTC</v>
      </c>
      <c r="Q51" s="76" t="str">
        <f t="shared" si="8"/>
        <v>C00026B</v>
      </c>
      <c r="R51" s="76" t="str">
        <f t="shared" ca="1" si="8"/>
        <v>S1</v>
      </c>
      <c r="S51" s="76" t="str">
        <f t="shared" ca="1" si="8"/>
        <v>S2</v>
      </c>
      <c r="T51" s="76" t="str">
        <f t="shared" ca="1" si="8"/>
        <v>S3</v>
      </c>
      <c r="U51" s="76" t="str">
        <f t="shared" ca="1" si="8"/>
        <v>S4</v>
      </c>
      <c r="V51" s="76" t="str">
        <f t="shared" ca="1" si="8"/>
        <v>S5</v>
      </c>
      <c r="W51" s="76" t="str">
        <f t="shared" ca="1" si="8"/>
        <v>S6</v>
      </c>
      <c r="X51" s="76" t="str">
        <f t="shared" ca="1" si="8"/>
        <v>S7</v>
      </c>
      <c r="Y51" s="76" t="str">
        <f t="shared" ca="1" si="8"/>
        <v>S8</v>
      </c>
      <c r="Z51" s="76" t="str">
        <f t="shared" ca="1" si="8"/>
        <v/>
      </c>
      <c r="AA51" s="76" t="str">
        <f t="shared" ca="1" si="8"/>
        <v/>
      </c>
    </row>
    <row r="52" spans="15:27" ht="13.5" customHeight="1" x14ac:dyDescent="0.3">
      <c r="O52" s="76" t="s">
        <v>137</v>
      </c>
      <c r="P52" s="76"/>
      <c r="Q52" s="76"/>
      <c r="R52" s="76"/>
      <c r="S52" s="76"/>
      <c r="T52" s="76"/>
      <c r="U52" s="76"/>
      <c r="V52" s="76"/>
      <c r="W52" s="76"/>
      <c r="X52" s="76"/>
      <c r="Y52" s="76"/>
      <c r="Z52" s="76"/>
      <c r="AA52" s="106"/>
    </row>
    <row r="53" spans="15:27" ht="13.5" customHeight="1" x14ac:dyDescent="0.3">
      <c r="O53" s="76" t="s">
        <v>138</v>
      </c>
      <c r="P53" s="76"/>
      <c r="Q53" s="76"/>
      <c r="R53" s="76"/>
      <c r="S53" s="76"/>
      <c r="T53" s="76"/>
      <c r="U53" s="76"/>
      <c r="V53" s="76"/>
      <c r="W53" s="76"/>
      <c r="X53" s="76"/>
      <c r="Y53" s="76"/>
      <c r="Z53" s="76"/>
      <c r="AA53" s="106"/>
    </row>
    <row r="54" spans="15:27" ht="13.5" customHeight="1" x14ac:dyDescent="0.3">
      <c r="O54" s="76" t="s">
        <v>139</v>
      </c>
      <c r="P54" s="76"/>
      <c r="Q54" s="76"/>
      <c r="R54" s="76"/>
      <c r="S54" s="76"/>
      <c r="T54" s="76"/>
      <c r="U54" s="76"/>
      <c r="V54" s="76"/>
      <c r="W54" s="76"/>
      <c r="X54" s="76"/>
      <c r="Y54" s="76"/>
      <c r="Z54" s="76"/>
      <c r="AA54" s="106"/>
    </row>
    <row r="55" spans="15:27" ht="13.5" customHeight="1" x14ac:dyDescent="0.3">
      <c r="O55" s="76" t="s">
        <v>131</v>
      </c>
      <c r="P55" s="76"/>
      <c r="Q55" s="76"/>
      <c r="R55" s="76"/>
      <c r="S55" s="76"/>
      <c r="T55" s="76"/>
      <c r="U55" s="76"/>
      <c r="V55" s="76"/>
      <c r="W55" s="76"/>
      <c r="X55" s="76"/>
      <c r="Y55" s="76"/>
      <c r="Z55" s="76"/>
      <c r="AA55" s="106"/>
    </row>
    <row r="56" spans="15:27" ht="13.5" customHeight="1" x14ac:dyDescent="0.3">
      <c r="O56" s="76" t="s">
        <v>140</v>
      </c>
      <c r="P56" s="76"/>
      <c r="Q56" s="76"/>
      <c r="R56" s="76"/>
      <c r="S56" s="76"/>
      <c r="T56" s="76"/>
      <c r="U56" s="76"/>
      <c r="V56" s="76"/>
      <c r="W56" s="76"/>
      <c r="X56" s="76"/>
      <c r="Y56" s="76"/>
      <c r="Z56" s="76"/>
      <c r="AA56" s="106"/>
    </row>
    <row r="57" spans="15:27" ht="13.5" customHeight="1" x14ac:dyDescent="0.3">
      <c r="O57" s="104" t="s">
        <v>141</v>
      </c>
      <c r="P57" s="104"/>
      <c r="Q57" s="104"/>
      <c r="R57" s="104"/>
      <c r="S57" s="104"/>
      <c r="T57" s="104"/>
      <c r="U57" s="104"/>
      <c r="V57" s="104"/>
      <c r="W57" s="104"/>
      <c r="X57" s="104"/>
      <c r="Y57" s="104"/>
      <c r="Z57" s="104"/>
      <c r="AA57" s="108"/>
    </row>
    <row r="59" spans="15:27" x14ac:dyDescent="0.3">
      <c r="O59" t="s">
        <v>248</v>
      </c>
      <c r="P59" t="s">
        <v>249</v>
      </c>
    </row>
    <row r="61" spans="15:27" x14ac:dyDescent="0.3">
      <c r="O61" s="107" t="s">
        <v>33</v>
      </c>
      <c r="P61" s="76" t="s">
        <v>144</v>
      </c>
      <c r="Q61" s="76" t="s">
        <v>145</v>
      </c>
      <c r="R61" s="76" t="s">
        <v>146</v>
      </c>
      <c r="S61" s="76" t="s">
        <v>147</v>
      </c>
      <c r="T61" s="76" t="s">
        <v>148</v>
      </c>
      <c r="U61" s="76" t="s">
        <v>149</v>
      </c>
      <c r="V61" s="76" t="s">
        <v>142</v>
      </c>
      <c r="W61" s="76" t="s">
        <v>150</v>
      </c>
      <c r="X61" s="76" t="s">
        <v>151</v>
      </c>
      <c r="Y61" s="76" t="s">
        <v>152</v>
      </c>
      <c r="Z61" s="76" t="s">
        <v>153</v>
      </c>
      <c r="AA61" s="106" t="s">
        <v>154</v>
      </c>
    </row>
    <row r="62" spans="15:27" ht="13.5" customHeight="1" x14ac:dyDescent="0.3">
      <c r="O62" s="76" t="s">
        <v>135</v>
      </c>
      <c r="P62" s="76"/>
      <c r="Q62" s="76"/>
      <c r="R62" s="76"/>
      <c r="S62" s="76"/>
      <c r="T62" s="76"/>
      <c r="U62" s="76"/>
      <c r="V62" s="76"/>
      <c r="W62" s="76"/>
      <c r="X62" s="76"/>
      <c r="Y62" s="76"/>
      <c r="Z62" s="76"/>
      <c r="AA62" s="106"/>
    </row>
    <row r="63" spans="15:27" ht="13.5" customHeight="1" x14ac:dyDescent="0.3">
      <c r="O63" s="76" t="s">
        <v>136</v>
      </c>
      <c r="P63" s="76"/>
      <c r="Q63" s="76"/>
      <c r="R63" s="76"/>
      <c r="S63" s="76"/>
      <c r="T63" s="76"/>
      <c r="U63" s="76"/>
      <c r="V63" s="76"/>
      <c r="W63" s="76"/>
      <c r="X63" s="76"/>
      <c r="Y63" s="76"/>
      <c r="Z63" s="76"/>
      <c r="AA63" s="76"/>
    </row>
    <row r="64" spans="15:27" ht="13.5" customHeight="1" x14ac:dyDescent="0.3">
      <c r="O64" s="76" t="s">
        <v>137</v>
      </c>
      <c r="P64" s="76"/>
      <c r="Q64" s="76"/>
      <c r="R64" s="76"/>
      <c r="S64" s="76"/>
      <c r="T64" s="76"/>
      <c r="U64" s="76"/>
      <c r="V64" s="76"/>
      <c r="W64" s="76"/>
      <c r="X64" s="76"/>
      <c r="Y64" s="76"/>
      <c r="Z64" s="76"/>
      <c r="AA64" s="106"/>
    </row>
    <row r="65" spans="15:27" ht="13.5" customHeight="1" x14ac:dyDescent="0.3">
      <c r="O65" s="76" t="s">
        <v>138</v>
      </c>
      <c r="P65" s="76" t="str">
        <f t="shared" ref="P65:AA65" si="9">P51</f>
        <v>NTC</v>
      </c>
      <c r="Q65" s="76" t="str">
        <f t="shared" si="9"/>
        <v>C00026B</v>
      </c>
      <c r="R65" s="76" t="str">
        <f t="shared" ca="1" si="9"/>
        <v>S1</v>
      </c>
      <c r="S65" s="76" t="str">
        <f t="shared" ca="1" si="9"/>
        <v>S2</v>
      </c>
      <c r="T65" s="76" t="str">
        <f t="shared" ca="1" si="9"/>
        <v>S3</v>
      </c>
      <c r="U65" s="76" t="str">
        <f t="shared" ca="1" si="9"/>
        <v>S4</v>
      </c>
      <c r="V65" s="76" t="str">
        <f t="shared" ca="1" si="9"/>
        <v>S5</v>
      </c>
      <c r="W65" s="76" t="str">
        <f t="shared" ca="1" si="9"/>
        <v>S6</v>
      </c>
      <c r="X65" s="76" t="str">
        <f t="shared" ca="1" si="9"/>
        <v>S7</v>
      </c>
      <c r="Y65" s="76" t="str">
        <f t="shared" ca="1" si="9"/>
        <v>S8</v>
      </c>
      <c r="Z65" s="76" t="str">
        <f t="shared" ca="1" si="9"/>
        <v/>
      </c>
      <c r="AA65" s="76" t="str">
        <f t="shared" ca="1" si="9"/>
        <v/>
      </c>
    </row>
    <row r="66" spans="15:27" ht="13.5" customHeight="1" x14ac:dyDescent="0.3">
      <c r="O66" s="76" t="s">
        <v>139</v>
      </c>
      <c r="P66" s="76"/>
      <c r="Q66" s="76"/>
      <c r="R66" s="76"/>
      <c r="S66" s="76"/>
      <c r="T66" s="76"/>
      <c r="U66" s="76"/>
      <c r="V66" s="76"/>
      <c r="W66" s="76"/>
      <c r="X66" s="76"/>
      <c r="Y66" s="76"/>
      <c r="Z66" s="76"/>
      <c r="AA66" s="106"/>
    </row>
    <row r="67" spans="15:27" ht="13.5" customHeight="1" x14ac:dyDescent="0.3">
      <c r="O67" s="76" t="s">
        <v>131</v>
      </c>
      <c r="P67" s="76"/>
      <c r="Q67" s="76"/>
      <c r="R67" s="76"/>
      <c r="S67" s="76"/>
      <c r="T67" s="76"/>
      <c r="U67" s="76"/>
      <c r="V67" s="76"/>
      <c r="W67" s="76"/>
      <c r="X67" s="76"/>
      <c r="Y67" s="76"/>
      <c r="Z67" s="76"/>
      <c r="AA67" s="106"/>
    </row>
    <row r="68" spans="15:27" ht="13.5" customHeight="1" x14ac:dyDescent="0.3">
      <c r="O68" s="76" t="s">
        <v>140</v>
      </c>
      <c r="P68" s="76"/>
      <c r="Q68" s="76"/>
      <c r="R68" s="76"/>
      <c r="S68" s="76"/>
      <c r="T68" s="76"/>
      <c r="U68" s="76"/>
      <c r="V68" s="76"/>
      <c r="W68" s="76"/>
      <c r="X68" s="76"/>
      <c r="Y68" s="76"/>
      <c r="Z68" s="76"/>
      <c r="AA68" s="106"/>
    </row>
    <row r="69" spans="15:27" ht="13.5" customHeight="1" x14ac:dyDescent="0.3">
      <c r="O69" s="104" t="s">
        <v>141</v>
      </c>
      <c r="P69" s="104"/>
      <c r="Q69" s="104"/>
      <c r="R69" s="104"/>
      <c r="S69" s="104"/>
      <c r="T69" s="104"/>
      <c r="U69" s="104"/>
      <c r="V69" s="104"/>
      <c r="W69" s="104"/>
      <c r="X69" s="104"/>
      <c r="Y69" s="104"/>
      <c r="Z69" s="104"/>
      <c r="AA69" s="108"/>
    </row>
    <row r="72" spans="15:27" x14ac:dyDescent="0.3">
      <c r="O72" t="s">
        <v>250</v>
      </c>
    </row>
    <row r="73" spans="15:27" x14ac:dyDescent="0.3">
      <c r="O73" s="107" t="s">
        <v>33</v>
      </c>
      <c r="P73" s="76" t="s">
        <v>144</v>
      </c>
      <c r="Q73" s="76" t="s">
        <v>145</v>
      </c>
      <c r="R73" s="76" t="s">
        <v>146</v>
      </c>
      <c r="S73" s="76" t="s">
        <v>147</v>
      </c>
      <c r="T73" s="76" t="s">
        <v>148</v>
      </c>
      <c r="U73" s="76" t="s">
        <v>149</v>
      </c>
      <c r="V73" s="76" t="s">
        <v>142</v>
      </c>
      <c r="W73" s="76" t="s">
        <v>150</v>
      </c>
      <c r="X73" s="76" t="s">
        <v>151</v>
      </c>
      <c r="Y73" s="76" t="s">
        <v>152</v>
      </c>
      <c r="Z73" s="76" t="s">
        <v>153</v>
      </c>
      <c r="AA73" s="106" t="s">
        <v>154</v>
      </c>
    </row>
    <row r="74" spans="15:27" ht="13.5" customHeight="1" x14ac:dyDescent="0.3">
      <c r="O74" s="76" t="s">
        <v>135</v>
      </c>
      <c r="P74" s="76"/>
      <c r="Q74" s="76"/>
      <c r="R74" s="76"/>
      <c r="S74" s="76"/>
      <c r="T74" s="76"/>
      <c r="U74" s="76"/>
      <c r="V74" s="76"/>
      <c r="W74" s="76"/>
      <c r="X74" s="76"/>
      <c r="Y74" s="76"/>
      <c r="Z74" s="76"/>
      <c r="AA74" s="106"/>
    </row>
    <row r="75" spans="15:27" ht="13.5" customHeight="1" x14ac:dyDescent="0.3">
      <c r="O75" s="76" t="s">
        <v>136</v>
      </c>
      <c r="P75" s="76" t="str">
        <f t="shared" ref="P75:AA75" si="10">P65</f>
        <v>NTC</v>
      </c>
      <c r="Q75" s="76" t="str">
        <f t="shared" si="10"/>
        <v>C00026B</v>
      </c>
      <c r="R75" s="76" t="str">
        <f t="shared" ca="1" si="10"/>
        <v>S1</v>
      </c>
      <c r="S75" s="76" t="str">
        <f t="shared" ca="1" si="10"/>
        <v>S2</v>
      </c>
      <c r="T75" s="76" t="str">
        <f t="shared" ca="1" si="10"/>
        <v>S3</v>
      </c>
      <c r="U75" s="76" t="str">
        <f t="shared" ca="1" si="10"/>
        <v>S4</v>
      </c>
      <c r="V75" s="76" t="str">
        <f t="shared" ca="1" si="10"/>
        <v>S5</v>
      </c>
      <c r="W75" s="76" t="str">
        <f t="shared" ca="1" si="10"/>
        <v>S6</v>
      </c>
      <c r="X75" s="76" t="str">
        <f t="shared" ca="1" si="10"/>
        <v>S7</v>
      </c>
      <c r="Y75" s="76" t="str">
        <f t="shared" ca="1" si="10"/>
        <v>S8</v>
      </c>
      <c r="Z75" s="76" t="str">
        <f t="shared" ca="1" si="10"/>
        <v/>
      </c>
      <c r="AA75" s="76" t="str">
        <f t="shared" ca="1" si="10"/>
        <v/>
      </c>
    </row>
    <row r="76" spans="15:27" ht="13.5" customHeight="1" x14ac:dyDescent="0.3">
      <c r="O76" s="76" t="s">
        <v>137</v>
      </c>
      <c r="P76" s="76"/>
      <c r="Q76" s="76"/>
      <c r="R76" s="76"/>
      <c r="S76" s="76"/>
      <c r="T76" s="76"/>
      <c r="U76" s="76"/>
      <c r="V76" s="76"/>
      <c r="W76" s="76"/>
      <c r="X76" s="76"/>
      <c r="Y76" s="76"/>
      <c r="Z76" s="76"/>
      <c r="AA76" s="106"/>
    </row>
    <row r="77" spans="15:27" ht="13.5" customHeight="1" x14ac:dyDescent="0.3">
      <c r="O77" s="76" t="s">
        <v>138</v>
      </c>
      <c r="P77" s="76"/>
      <c r="Q77" s="76"/>
      <c r="R77" s="76"/>
      <c r="S77" s="76"/>
      <c r="T77" s="76"/>
      <c r="U77" s="76"/>
      <c r="V77" s="76"/>
      <c r="W77" s="76"/>
      <c r="X77" s="76"/>
      <c r="Y77" s="76"/>
      <c r="Z77" s="76"/>
      <c r="AA77" s="76"/>
    </row>
    <row r="78" spans="15:27" ht="13.5" customHeight="1" x14ac:dyDescent="0.3">
      <c r="O78" s="76" t="s">
        <v>139</v>
      </c>
      <c r="P78" s="76"/>
      <c r="Q78" s="76"/>
      <c r="R78" s="76"/>
      <c r="S78" s="76"/>
      <c r="T78" s="76"/>
      <c r="U78" s="76"/>
      <c r="V78" s="76"/>
      <c r="W78" s="76"/>
      <c r="X78" s="76"/>
      <c r="Y78" s="76"/>
      <c r="Z78" s="76"/>
      <c r="AA78" s="106"/>
    </row>
    <row r="79" spans="15:27" ht="13.5" customHeight="1" x14ac:dyDescent="0.3">
      <c r="O79" s="76" t="s">
        <v>131</v>
      </c>
      <c r="P79" s="76"/>
      <c r="Q79" s="76"/>
      <c r="R79" s="76"/>
      <c r="S79" s="76"/>
      <c r="T79" s="76"/>
      <c r="U79" s="76"/>
      <c r="V79" s="76"/>
      <c r="W79" s="76"/>
      <c r="X79" s="76"/>
      <c r="Y79" s="76"/>
      <c r="Z79" s="76"/>
      <c r="AA79" s="106"/>
    </row>
    <row r="80" spans="15:27" ht="13.5" customHeight="1" x14ac:dyDescent="0.3">
      <c r="O80" s="76" t="s">
        <v>140</v>
      </c>
      <c r="P80" s="76"/>
      <c r="Q80" s="76"/>
      <c r="R80" s="76"/>
      <c r="S80" s="76"/>
      <c r="T80" s="76"/>
      <c r="U80" s="76"/>
      <c r="V80" s="76"/>
      <c r="W80" s="76"/>
      <c r="X80" s="76"/>
      <c r="Y80" s="76"/>
      <c r="Z80" s="76"/>
      <c r="AA80" s="106"/>
    </row>
    <row r="81" spans="15:27" ht="13.5" customHeight="1" x14ac:dyDescent="0.3">
      <c r="O81" s="104" t="s">
        <v>141</v>
      </c>
      <c r="P81" s="104"/>
      <c r="Q81" s="104"/>
      <c r="R81" s="104"/>
      <c r="S81" s="104"/>
      <c r="T81" s="104"/>
      <c r="U81" s="104"/>
      <c r="V81" s="104"/>
      <c r="W81" s="104"/>
      <c r="X81" s="104"/>
      <c r="Y81" s="104"/>
      <c r="Z81" s="104"/>
      <c r="AA81" s="108"/>
    </row>
    <row r="84" spans="15:27" x14ac:dyDescent="0.3">
      <c r="O84" t="s">
        <v>251</v>
      </c>
    </row>
    <row r="85" spans="15:27" x14ac:dyDescent="0.3">
      <c r="O85" s="107" t="s">
        <v>33</v>
      </c>
      <c r="P85" s="76" t="s">
        <v>144</v>
      </c>
      <c r="Q85" s="76" t="s">
        <v>145</v>
      </c>
      <c r="R85" s="76" t="s">
        <v>146</v>
      </c>
      <c r="S85" s="76" t="s">
        <v>147</v>
      </c>
      <c r="T85" s="76" t="s">
        <v>148</v>
      </c>
      <c r="U85" s="76" t="s">
        <v>149</v>
      </c>
      <c r="V85" s="76" t="s">
        <v>142</v>
      </c>
      <c r="W85" s="76" t="s">
        <v>150</v>
      </c>
      <c r="X85" s="76" t="s">
        <v>151</v>
      </c>
      <c r="Y85" s="76" t="s">
        <v>152</v>
      </c>
      <c r="Z85" s="76" t="s">
        <v>153</v>
      </c>
      <c r="AA85" s="106" t="s">
        <v>154</v>
      </c>
    </row>
    <row r="86" spans="15:27" ht="13.5" customHeight="1" x14ac:dyDescent="0.3">
      <c r="O86" s="76" t="s">
        <v>135</v>
      </c>
      <c r="P86" s="76"/>
      <c r="Q86" s="76"/>
      <c r="R86" s="76"/>
      <c r="S86" s="76"/>
      <c r="T86" s="76"/>
      <c r="U86" s="76"/>
      <c r="V86" s="76"/>
      <c r="W86" s="76"/>
      <c r="X86" s="76"/>
      <c r="Y86" s="76"/>
      <c r="Z86" s="76"/>
      <c r="AA86" s="106"/>
    </row>
    <row r="87" spans="15:27" ht="13.5" customHeight="1" x14ac:dyDescent="0.3">
      <c r="O87" s="76" t="s">
        <v>136</v>
      </c>
      <c r="P87" s="76" t="str">
        <f t="shared" ref="P87:AA87" si="11">P75</f>
        <v>NTC</v>
      </c>
      <c r="Q87" s="76" t="str">
        <f t="shared" si="11"/>
        <v>C00026B</v>
      </c>
      <c r="R87" s="76" t="str">
        <f t="shared" ca="1" si="11"/>
        <v>S1</v>
      </c>
      <c r="S87" s="76" t="str">
        <f t="shared" ca="1" si="11"/>
        <v>S2</v>
      </c>
      <c r="T87" s="76" t="str">
        <f t="shared" ca="1" si="11"/>
        <v>S3</v>
      </c>
      <c r="U87" s="76" t="str">
        <f t="shared" ca="1" si="11"/>
        <v>S4</v>
      </c>
      <c r="V87" s="76" t="str">
        <f t="shared" ca="1" si="11"/>
        <v>S5</v>
      </c>
      <c r="W87" s="76" t="str">
        <f t="shared" ca="1" si="11"/>
        <v>S6</v>
      </c>
      <c r="X87" s="76" t="str">
        <f t="shared" ca="1" si="11"/>
        <v>S7</v>
      </c>
      <c r="Y87" s="76" t="str">
        <f t="shared" ca="1" si="11"/>
        <v>S8</v>
      </c>
      <c r="Z87" s="76" t="str">
        <f t="shared" ca="1" si="11"/>
        <v/>
      </c>
      <c r="AA87" s="76" t="str">
        <f t="shared" ca="1" si="11"/>
        <v/>
      </c>
    </row>
    <row r="88" spans="15:27" ht="13.5" customHeight="1" x14ac:dyDescent="0.3">
      <c r="O88" s="76" t="s">
        <v>137</v>
      </c>
      <c r="P88" s="76"/>
      <c r="Q88" s="76"/>
      <c r="R88" s="76"/>
      <c r="S88" s="76"/>
      <c r="T88" s="76"/>
      <c r="U88" s="76"/>
      <c r="V88" s="76"/>
      <c r="W88" s="76"/>
      <c r="X88" s="76"/>
      <c r="Y88" s="76"/>
      <c r="Z88" s="76"/>
      <c r="AA88" s="106"/>
    </row>
    <row r="89" spans="15:27" ht="13.5" customHeight="1" x14ac:dyDescent="0.3">
      <c r="O89" s="76" t="s">
        <v>138</v>
      </c>
      <c r="P89" s="76"/>
      <c r="Q89" s="76"/>
      <c r="R89" s="76"/>
      <c r="S89" s="76"/>
      <c r="T89" s="76"/>
      <c r="U89" s="76"/>
      <c r="V89" s="76"/>
      <c r="W89" s="76"/>
      <c r="X89" s="76"/>
      <c r="Y89" s="76"/>
      <c r="Z89" s="76"/>
      <c r="AA89" s="76"/>
    </row>
    <row r="90" spans="15:27" ht="13.5" customHeight="1" x14ac:dyDescent="0.3">
      <c r="O90" s="76" t="s">
        <v>139</v>
      </c>
      <c r="P90" s="76"/>
      <c r="Q90" s="76"/>
      <c r="R90" s="76"/>
      <c r="S90" s="76"/>
      <c r="T90" s="76"/>
      <c r="U90" s="76"/>
      <c r="V90" s="76"/>
      <c r="W90" s="76"/>
      <c r="X90" s="76"/>
      <c r="Y90" s="76"/>
      <c r="Z90" s="76"/>
      <c r="AA90" s="106"/>
    </row>
    <row r="91" spans="15:27" ht="13.5" customHeight="1" x14ac:dyDescent="0.3">
      <c r="O91" s="76" t="s">
        <v>131</v>
      </c>
      <c r="P91" s="76"/>
      <c r="Q91" s="76"/>
      <c r="R91" s="76"/>
      <c r="S91" s="76"/>
      <c r="T91" s="76"/>
      <c r="U91" s="76"/>
      <c r="V91" s="76"/>
      <c r="W91" s="76"/>
      <c r="X91" s="76"/>
      <c r="Y91" s="76"/>
      <c r="Z91" s="76"/>
      <c r="AA91" s="106"/>
    </row>
    <row r="92" spans="15:27" ht="13.5" customHeight="1" x14ac:dyDescent="0.3">
      <c r="O92" s="76" t="s">
        <v>140</v>
      </c>
      <c r="P92" s="76"/>
      <c r="Q92" s="76"/>
      <c r="R92" s="76"/>
      <c r="S92" s="76"/>
      <c r="T92" s="76"/>
      <c r="U92" s="76"/>
      <c r="V92" s="76"/>
      <c r="W92" s="76"/>
      <c r="X92" s="76"/>
      <c r="Y92" s="76"/>
      <c r="Z92" s="76"/>
      <c r="AA92" s="106"/>
    </row>
    <row r="93" spans="15:27" ht="13.5" customHeight="1" x14ac:dyDescent="0.3">
      <c r="O93" s="104" t="s">
        <v>141</v>
      </c>
      <c r="P93" s="104"/>
      <c r="Q93" s="104"/>
      <c r="R93" s="104"/>
      <c r="S93" s="104"/>
      <c r="T93" s="104"/>
      <c r="U93" s="104"/>
      <c r="V93" s="104"/>
      <c r="W93" s="104"/>
      <c r="X93" s="104"/>
      <c r="Y93" s="104"/>
      <c r="Z93" s="104"/>
      <c r="AA93" s="108"/>
    </row>
  </sheetData>
  <phoneticPr fontId="56" type="noConversion"/>
  <conditionalFormatting sqref="N2:N13">
    <cfRule type="duplicateValues" dxfId="116" priority="1"/>
  </conditionalFormatting>
  <dataValidations count="2">
    <dataValidation type="list" allowBlank="1" showInputMessage="1" showErrorMessage="1" sqref="N2:N13" xr:uid="{00000000-0002-0000-0400-000000000000}">
      <formula1>"N701,N702,N703,N704,N705,N706,N707,N710,N711,N712,N714,N715"</formula1>
    </dataValidation>
    <dataValidation type="list" allowBlank="1" showInputMessage="1" showErrorMessage="1" sqref="N14:N21" xr:uid="{00000000-0002-0000-0400-000001000000}">
      <formula1>"S502,S503,S505,S506,S507,S508,S510,S511"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12.HideRows3">
                <anchor moveWithCells="1" sizeWithCells="1">
                  <from>
                    <xdr:col>18</xdr:col>
                    <xdr:colOff>171450</xdr:colOff>
                    <xdr:row>2</xdr:row>
                    <xdr:rowOff>76200</xdr:rowOff>
                  </from>
                  <to>
                    <xdr:col>21</xdr:col>
                    <xdr:colOff>457200</xdr:colOff>
                    <xdr:row>5</xdr:row>
                    <xdr:rowOff>47625</xdr:rowOff>
                  </to>
                </anchor>
              </controlPr>
            </control>
          </mc:Choice>
        </mc:AlternateContent>
        <mc:AlternateContent xmlns:mc="http://schemas.openxmlformats.org/markup-compatibility/2006">
          <mc:Choice Requires="x14">
            <control shapeId="13314" r:id="rId4" name="Button 2">
              <controlPr defaultSize="0" print="0" autoFill="0" autoPict="0" macro="[0]!Sheet12.UnhideRows3">
                <anchor moveWithCells="1" sizeWithCells="1">
                  <from>
                    <xdr:col>18</xdr:col>
                    <xdr:colOff>276225</xdr:colOff>
                    <xdr:row>7</xdr:row>
                    <xdr:rowOff>104775</xdr:rowOff>
                  </from>
                  <to>
                    <xdr:col>21</xdr:col>
                    <xdr:colOff>438150</xdr:colOff>
                    <xdr:row>10</xdr:row>
                    <xdr:rowOff>152400</xdr:rowOff>
                  </to>
                </anchor>
              </controlPr>
            </control>
          </mc:Choice>
        </mc:AlternateContent>
      </controls>
    </mc:Choice>
  </mc:AlternateContent>
  <tableParts count="7">
    <tablePart r:id="rId5"/>
    <tablePart r:id="rId6"/>
    <tablePart r:id="rId7"/>
    <tablePart r:id="rId8"/>
    <tablePart r:id="rId9"/>
    <tablePart r:id="rId10"/>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dimension ref="A1:I37"/>
  <sheetViews>
    <sheetView workbookViewId="0">
      <selection activeCell="K32" sqref="K32"/>
    </sheetView>
  </sheetViews>
  <sheetFormatPr defaultRowHeight="16.5" x14ac:dyDescent="0.3"/>
  <cols>
    <col min="2" max="2" width="18.28515625" customWidth="1"/>
  </cols>
  <sheetData>
    <row r="1" spans="1:9" x14ac:dyDescent="0.3">
      <c r="A1" t="str">
        <f>Samples[[#Headers],['#]]</f>
        <v>#</v>
      </c>
      <c r="B1" t="str">
        <f>Samples[[#Headers],[Name]]</f>
        <v>Name</v>
      </c>
      <c r="C1" t="str">
        <f>Samples[[#Headers],[DNA '#]]</f>
        <v>DNA #</v>
      </c>
      <c r="D1" t="str">
        <f>Samples[[#Headers],[Storage Location]]</f>
        <v>Storage Location</v>
      </c>
      <c r="E1" t="str">
        <f>Samples[[#Headers],[Sample type]]</f>
        <v>Sample type</v>
      </c>
      <c r="F1" t="str">
        <f>Samples[[#Headers],[DNA Conc. (ng/µl )]]</f>
        <v>DNA Conc. (ng/µl )</v>
      </c>
      <c r="G1" t="str">
        <f>Samples[[#Headers],[A260/280]]</f>
        <v>A260/280</v>
      </c>
      <c r="H1" t="str">
        <f>Samples[[#Headers],[Index Combination]]</f>
        <v>Index Combination</v>
      </c>
      <c r="I1" t="str">
        <f>Samples[[#Headers],[Panel]]</f>
        <v>Panel</v>
      </c>
    </row>
    <row r="2" spans="1:9" x14ac:dyDescent="0.3">
      <c r="A2">
        <f>'NGS Run Record'!A41</f>
        <v>1</v>
      </c>
      <c r="B2" t="str">
        <f>'NGS Run Record'!B41</f>
        <v xml:space="preserve">, </v>
      </c>
      <c r="C2" t="str">
        <f>'NGS Run Record'!C41</f>
        <v>C00026B</v>
      </c>
      <c r="D2">
        <f>'NGS Run Record'!D41</f>
        <v>0</v>
      </c>
      <c r="E2" t="str">
        <f>'NGS Run Record'!E41</f>
        <v>DNA</v>
      </c>
      <c r="F2" t="str">
        <f ca="1">'NGS Run Record'!F41</f>
        <v>5.0</v>
      </c>
      <c r="G2">
        <f>'NGS Run Record'!G41</f>
        <v>0</v>
      </c>
      <c r="H2" t="str">
        <f>'NGS Run Record'!H41</f>
        <v>/</v>
      </c>
      <c r="I2" t="str">
        <f>'NGS Run Record'!I41</f>
        <v>NGS Heme</v>
      </c>
    </row>
    <row r="3" spans="1:9" x14ac:dyDescent="0.3">
      <c r="A3">
        <f>'NGS Run Record'!A42</f>
        <v>2</v>
      </c>
      <c r="B3" t="str">
        <f ca="1">'NGS Run Record'!B42</f>
        <v xml:space="preserve">, </v>
      </c>
      <c r="C3" t="str">
        <f ca="1">'NGS Run Record'!C42</f>
        <v>S1</v>
      </c>
      <c r="D3">
        <f>'NGS Run Record'!D42</f>
        <v>0</v>
      </c>
      <c r="E3" t="str">
        <f ca="1">'NGS Run Record'!E42</f>
        <v>DNA</v>
      </c>
      <c r="F3" t="str">
        <f ca="1">'NGS Run Record'!F42</f>
        <v>40</v>
      </c>
      <c r="G3" t="str">
        <f ca="1">'NGS Run Record'!G42</f>
        <v>1.8</v>
      </c>
      <c r="H3" t="str">
        <f ca="1">'NGS Run Record'!H42</f>
        <v>/</v>
      </c>
      <c r="I3" t="str">
        <f>'NGS Run Record'!I42</f>
        <v>NGS Heme</v>
      </c>
    </row>
    <row r="4" spans="1:9" x14ac:dyDescent="0.3">
      <c r="A4">
        <f>'NGS Run Record'!A43</f>
        <v>3</v>
      </c>
      <c r="B4" t="str">
        <f ca="1">'NGS Run Record'!B43</f>
        <v xml:space="preserve">, </v>
      </c>
      <c r="C4" t="str">
        <f ca="1">'NGS Run Record'!C43</f>
        <v>S2</v>
      </c>
      <c r="D4">
        <f>'NGS Run Record'!D43</f>
        <v>0</v>
      </c>
      <c r="E4" t="str">
        <f ca="1">'NGS Run Record'!E43</f>
        <v>FFPE</v>
      </c>
      <c r="F4" t="str">
        <f ca="1">'NGS Run Record'!F43</f>
        <v>50</v>
      </c>
      <c r="G4" t="str">
        <f ca="1">'NGS Run Record'!G43</f>
        <v>1.8</v>
      </c>
      <c r="H4" t="str">
        <f ca="1">'NGS Run Record'!H43</f>
        <v>/</v>
      </c>
      <c r="I4" t="str">
        <f>'NGS Run Record'!I43</f>
        <v>NGS Heme</v>
      </c>
    </row>
    <row r="5" spans="1:9" x14ac:dyDescent="0.3">
      <c r="A5">
        <f>'NGS Run Record'!A44</f>
        <v>4</v>
      </c>
      <c r="B5" t="str">
        <f ca="1">'NGS Run Record'!B44</f>
        <v xml:space="preserve">, </v>
      </c>
      <c r="C5" t="str">
        <f ca="1">'NGS Run Record'!C44</f>
        <v>S3</v>
      </c>
      <c r="D5">
        <f>'NGS Run Record'!D44</f>
        <v>0</v>
      </c>
      <c r="E5" t="str">
        <f ca="1">'NGS Run Record'!E44</f>
        <v>Bone Marrow</v>
      </c>
      <c r="F5" t="str">
        <f ca="1">'NGS Run Record'!F44</f>
        <v>60</v>
      </c>
      <c r="G5">
        <f ca="1">'NGS Run Record'!G44</f>
        <v>2</v>
      </c>
      <c r="H5" t="str">
        <f ca="1">'NGS Run Record'!H44</f>
        <v>/</v>
      </c>
      <c r="I5" t="str">
        <f>'NGS Run Record'!I44</f>
        <v>NGS Heme</v>
      </c>
    </row>
    <row r="6" spans="1:9" x14ac:dyDescent="0.3">
      <c r="A6">
        <f>'NGS Run Record'!A45</f>
        <v>5</v>
      </c>
      <c r="B6" t="str">
        <f ca="1">'NGS Run Record'!B45</f>
        <v xml:space="preserve">, </v>
      </c>
      <c r="C6" t="str">
        <f ca="1">'NGS Run Record'!C45</f>
        <v>S4</v>
      </c>
      <c r="D6">
        <f>'NGS Run Record'!D45</f>
        <v>0</v>
      </c>
      <c r="E6" t="str">
        <f ca="1">'NGS Run Record'!E45</f>
        <v>Bone Marrow</v>
      </c>
      <c r="F6" t="str">
        <f ca="1">'NGS Run Record'!F45</f>
        <v>70</v>
      </c>
      <c r="G6">
        <f ca="1">'NGS Run Record'!G45</f>
        <v>1.8</v>
      </c>
      <c r="H6" t="str">
        <f ca="1">'NGS Run Record'!H45</f>
        <v>/</v>
      </c>
      <c r="I6" t="str">
        <f>'NGS Run Record'!I45</f>
        <v>NGS Heme</v>
      </c>
    </row>
    <row r="7" spans="1:9" x14ac:dyDescent="0.3">
      <c r="A7">
        <f>'NGS Run Record'!A46</f>
        <v>6</v>
      </c>
      <c r="B7" t="str">
        <f ca="1">'NGS Run Record'!B46</f>
        <v xml:space="preserve">, </v>
      </c>
      <c r="C7" t="str">
        <f ca="1">'NGS Run Record'!C46</f>
        <v>S5</v>
      </c>
      <c r="D7">
        <f>'NGS Run Record'!D46</f>
        <v>0</v>
      </c>
      <c r="E7" t="str">
        <f ca="1">'NGS Run Record'!E46</f>
        <v>Bone Marrow</v>
      </c>
      <c r="F7" t="str">
        <f ca="1">'NGS Run Record'!F46</f>
        <v>80</v>
      </c>
      <c r="G7">
        <f ca="1">'NGS Run Record'!G46</f>
        <v>1.9</v>
      </c>
      <c r="H7" t="str">
        <f ca="1">'NGS Run Record'!H46</f>
        <v>/</v>
      </c>
      <c r="I7" t="str">
        <f>'NGS Run Record'!I46</f>
        <v>NGS Heme</v>
      </c>
    </row>
    <row r="8" spans="1:9" x14ac:dyDescent="0.3">
      <c r="A8">
        <f>'NGS Run Record'!A47</f>
        <v>7</v>
      </c>
      <c r="B8" t="str">
        <f ca="1">'NGS Run Record'!B47</f>
        <v xml:space="preserve">, </v>
      </c>
      <c r="C8" t="str">
        <f ca="1">'NGS Run Record'!C47</f>
        <v>S6</v>
      </c>
      <c r="D8">
        <f>'NGS Run Record'!D47</f>
        <v>0</v>
      </c>
      <c r="E8" t="str">
        <f ca="1">'NGS Run Record'!E47</f>
        <v>Blood</v>
      </c>
      <c r="F8" t="str">
        <f ca="1">'NGS Run Record'!F47</f>
        <v>90</v>
      </c>
      <c r="G8" t="str">
        <f ca="1">'NGS Run Record'!G47</f>
        <v>1.8</v>
      </c>
      <c r="H8" t="str">
        <f ca="1">'NGS Run Record'!H47</f>
        <v>/</v>
      </c>
      <c r="I8" t="str">
        <f>'NGS Run Record'!I47</f>
        <v>NGS Heme</v>
      </c>
    </row>
    <row r="9" spans="1:9" x14ac:dyDescent="0.3">
      <c r="A9">
        <f>'NGS Run Record'!A48</f>
        <v>8</v>
      </c>
      <c r="B9" t="str">
        <f ca="1">'NGS Run Record'!B48</f>
        <v xml:space="preserve">, </v>
      </c>
      <c r="C9" t="str">
        <f ca="1">'NGS Run Record'!C48</f>
        <v>S7</v>
      </c>
      <c r="D9">
        <f>'NGS Run Record'!D48</f>
        <v>0</v>
      </c>
      <c r="E9" t="str">
        <f ca="1">'NGS Run Record'!E48</f>
        <v>Blood</v>
      </c>
      <c r="F9" t="str">
        <f ca="1">'NGS Run Record'!F48</f>
        <v>100</v>
      </c>
      <c r="G9" t="str">
        <f ca="1">'NGS Run Record'!G48</f>
        <v>1.9</v>
      </c>
      <c r="H9" t="str">
        <f ca="1">'NGS Run Record'!H48</f>
        <v>/</v>
      </c>
      <c r="I9" t="str">
        <f>'NGS Run Record'!I48</f>
        <v>NGS Heme</v>
      </c>
    </row>
    <row r="10" spans="1:9" x14ac:dyDescent="0.3">
      <c r="A10">
        <f>'NGS Run Record'!A49</f>
        <v>9</v>
      </c>
      <c r="B10" t="str">
        <f ca="1">'NGS Run Record'!B49</f>
        <v xml:space="preserve">, </v>
      </c>
      <c r="C10" t="str">
        <f ca="1">'NGS Run Record'!C49</f>
        <v>S8</v>
      </c>
      <c r="D10">
        <f>'NGS Run Record'!D49</f>
        <v>0</v>
      </c>
      <c r="E10" t="str">
        <f ca="1">'NGS Run Record'!E49</f>
        <v>Blood</v>
      </c>
      <c r="F10" t="str">
        <f ca="1">'NGS Run Record'!F49</f>
        <v>110</v>
      </c>
      <c r="G10" t="str">
        <f ca="1">'NGS Run Record'!G49</f>
        <v>1.9</v>
      </c>
      <c r="H10" t="str">
        <f ca="1">'NGS Run Record'!H49</f>
        <v>/</v>
      </c>
      <c r="I10" t="str">
        <f>'NGS Run Record'!I49</f>
        <v>NGS Heme</v>
      </c>
    </row>
    <row r="11" spans="1:9" x14ac:dyDescent="0.3">
      <c r="A11">
        <f>'NGS Run Record'!A50</f>
        <v>10</v>
      </c>
      <c r="B11" t="str">
        <f ca="1">'NGS Run Record'!B50</f>
        <v/>
      </c>
      <c r="C11" t="str">
        <f ca="1">'NGS Run Record'!C50</f>
        <v/>
      </c>
      <c r="D11">
        <f>'NGS Run Record'!D50</f>
        <v>0</v>
      </c>
      <c r="E11" t="str">
        <f ca="1">'NGS Run Record'!E50</f>
        <v/>
      </c>
      <c r="F11" t="str">
        <f ca="1">'NGS Run Record'!F50</f>
        <v/>
      </c>
      <c r="G11" t="str">
        <f ca="1">'NGS Run Record'!G50</f>
        <v/>
      </c>
      <c r="H11" t="str">
        <f ca="1">'NGS Run Record'!H50</f>
        <v/>
      </c>
      <c r="I11">
        <f>'NGS Run Record'!I50</f>
        <v>0</v>
      </c>
    </row>
    <row r="12" spans="1:9" x14ac:dyDescent="0.3">
      <c r="A12">
        <f>'NGS Run Record'!A51</f>
        <v>11</v>
      </c>
      <c r="B12" t="str">
        <f ca="1">'NGS Run Record'!B51</f>
        <v/>
      </c>
      <c r="C12" t="str">
        <f ca="1">'NGS Run Record'!C51</f>
        <v/>
      </c>
      <c r="D12">
        <f>'NGS Run Record'!D51</f>
        <v>0</v>
      </c>
      <c r="E12" t="str">
        <f ca="1">'NGS Run Record'!E51</f>
        <v/>
      </c>
      <c r="F12" t="str">
        <f ca="1">'NGS Run Record'!F51</f>
        <v/>
      </c>
      <c r="G12" t="str">
        <f ca="1">'NGS Run Record'!G51</f>
        <v/>
      </c>
      <c r="H12" t="str">
        <f ca="1">'NGS Run Record'!H51</f>
        <v/>
      </c>
      <c r="I12">
        <f>'NGS Run Record'!I51</f>
        <v>0</v>
      </c>
    </row>
    <row r="13" spans="1:9" x14ac:dyDescent="0.3">
      <c r="A13">
        <f>'NGS Run Record'!A52</f>
        <v>12</v>
      </c>
      <c r="B13" t="str">
        <f ca="1">'NGS Run Record'!B52</f>
        <v/>
      </c>
      <c r="C13" t="str">
        <f ca="1">'NGS Run Record'!C52</f>
        <v/>
      </c>
      <c r="D13">
        <f>'NGS Run Record'!D52</f>
        <v>0</v>
      </c>
      <c r="E13" t="str">
        <f ca="1">'NGS Run Record'!E52</f>
        <v/>
      </c>
      <c r="F13" t="str">
        <f ca="1">'NGS Run Record'!F52</f>
        <v/>
      </c>
      <c r="G13" t="str">
        <f ca="1">'NGS Run Record'!G52</f>
        <v/>
      </c>
      <c r="H13" t="str">
        <f ca="1">'NGS Run Record'!H52</f>
        <v/>
      </c>
      <c r="I13">
        <f>'NGS Run Record'!I52</f>
        <v>0</v>
      </c>
    </row>
    <row r="14" spans="1:9" x14ac:dyDescent="0.3">
      <c r="A14">
        <f>'NGS Run Record'!A53</f>
        <v>13</v>
      </c>
      <c r="B14" t="str">
        <f ca="1">'NGS Run Record'!B53</f>
        <v/>
      </c>
      <c r="C14" t="str">
        <f ca="1">'NGS Run Record'!C53</f>
        <v/>
      </c>
      <c r="D14">
        <f>'NGS Run Record'!D53</f>
        <v>0</v>
      </c>
      <c r="E14" t="str">
        <f ca="1">'NGS Run Record'!E53</f>
        <v/>
      </c>
      <c r="F14" t="str">
        <f ca="1">'NGS Run Record'!F53</f>
        <v/>
      </c>
      <c r="G14" t="str">
        <f ca="1">'NGS Run Record'!G53</f>
        <v/>
      </c>
      <c r="H14" t="str">
        <f ca="1">'NGS Run Record'!H53</f>
        <v/>
      </c>
      <c r="I14">
        <f>'NGS Run Record'!I53</f>
        <v>0</v>
      </c>
    </row>
    <row r="15" spans="1:9" x14ac:dyDescent="0.3">
      <c r="A15">
        <f>'NGS Run Record'!A54</f>
        <v>14</v>
      </c>
      <c r="B15" t="str">
        <f ca="1">'NGS Run Record'!B54</f>
        <v/>
      </c>
      <c r="C15" t="str">
        <f ca="1">'NGS Run Record'!C54</f>
        <v/>
      </c>
      <c r="D15">
        <f>'NGS Run Record'!D54</f>
        <v>0</v>
      </c>
      <c r="E15" t="str">
        <f ca="1">'NGS Run Record'!E54</f>
        <v/>
      </c>
      <c r="F15" t="str">
        <f ca="1">'NGS Run Record'!F54</f>
        <v/>
      </c>
      <c r="G15" t="str">
        <f ca="1">'NGS Run Record'!G54</f>
        <v/>
      </c>
      <c r="H15" t="str">
        <f ca="1">'NGS Run Record'!H54</f>
        <v/>
      </c>
      <c r="I15">
        <f>'NGS Run Record'!I54</f>
        <v>0</v>
      </c>
    </row>
    <row r="16" spans="1:9" x14ac:dyDescent="0.3">
      <c r="A16">
        <f>'NGS Run Record'!A55</f>
        <v>15</v>
      </c>
      <c r="B16" t="str">
        <f ca="1">'NGS Run Record'!B55</f>
        <v/>
      </c>
      <c r="C16" t="str">
        <f ca="1">'NGS Run Record'!C55</f>
        <v/>
      </c>
      <c r="D16">
        <f>'NGS Run Record'!D55</f>
        <v>0</v>
      </c>
      <c r="E16" t="str">
        <f ca="1">'NGS Run Record'!E55</f>
        <v/>
      </c>
      <c r="F16" t="str">
        <f ca="1">'NGS Run Record'!F55</f>
        <v/>
      </c>
      <c r="G16" t="str">
        <f ca="1">'NGS Run Record'!G55</f>
        <v/>
      </c>
      <c r="H16" t="str">
        <f ca="1">'NGS Run Record'!H55</f>
        <v/>
      </c>
      <c r="I16">
        <f>'NGS Run Record'!I55</f>
        <v>0</v>
      </c>
    </row>
    <row r="17" spans="1:9" x14ac:dyDescent="0.3">
      <c r="A17">
        <f>'NGS Run Record'!A56</f>
        <v>16</v>
      </c>
      <c r="B17" t="str">
        <f ca="1">'NGS Run Record'!B56</f>
        <v/>
      </c>
      <c r="C17" t="str">
        <f ca="1">'NGS Run Record'!C56</f>
        <v/>
      </c>
      <c r="D17">
        <f>'NGS Run Record'!D56</f>
        <v>0</v>
      </c>
      <c r="E17" t="str">
        <f ca="1">'NGS Run Record'!E56</f>
        <v/>
      </c>
      <c r="F17" t="str">
        <f ca="1">'NGS Run Record'!F56</f>
        <v/>
      </c>
      <c r="G17" t="str">
        <f ca="1">'NGS Run Record'!G56</f>
        <v/>
      </c>
      <c r="H17" t="str">
        <f ca="1">'NGS Run Record'!H56</f>
        <v/>
      </c>
      <c r="I17">
        <f>'NGS Run Record'!I56</f>
        <v>0</v>
      </c>
    </row>
    <row r="18" spans="1:9" x14ac:dyDescent="0.3">
      <c r="A18">
        <f>'NGS Run Record'!A57</f>
        <v>17</v>
      </c>
      <c r="B18" t="str">
        <f ca="1">'NGS Run Record'!B57</f>
        <v/>
      </c>
      <c r="C18" t="str">
        <f ca="1">'NGS Run Record'!C57</f>
        <v/>
      </c>
      <c r="D18">
        <f>'NGS Run Record'!D57</f>
        <v>0</v>
      </c>
      <c r="E18" t="str">
        <f ca="1">'NGS Run Record'!E57</f>
        <v/>
      </c>
      <c r="F18" t="str">
        <f ca="1">'NGS Run Record'!F57</f>
        <v/>
      </c>
      <c r="G18" t="str">
        <f ca="1">'NGS Run Record'!G57</f>
        <v/>
      </c>
      <c r="H18" t="str">
        <f ca="1">'NGS Run Record'!H57</f>
        <v/>
      </c>
      <c r="I18">
        <f>'NGS Run Record'!I57</f>
        <v>0</v>
      </c>
    </row>
    <row r="19" spans="1:9" x14ac:dyDescent="0.3">
      <c r="A19">
        <f>'NGS Run Record'!A58</f>
        <v>18</v>
      </c>
      <c r="B19" t="str">
        <f ca="1">'NGS Run Record'!B58</f>
        <v/>
      </c>
      <c r="C19" t="str">
        <f ca="1">'NGS Run Record'!C58</f>
        <v/>
      </c>
      <c r="D19">
        <f>'NGS Run Record'!D58</f>
        <v>0</v>
      </c>
      <c r="E19" t="str">
        <f ca="1">'NGS Run Record'!E58</f>
        <v/>
      </c>
      <c r="F19" t="str">
        <f ca="1">'NGS Run Record'!F58</f>
        <v/>
      </c>
      <c r="G19" t="str">
        <f ca="1">'NGS Run Record'!G58</f>
        <v/>
      </c>
      <c r="H19" t="str">
        <f ca="1">'NGS Run Record'!H58</f>
        <v/>
      </c>
      <c r="I19">
        <f>'NGS Run Record'!I58</f>
        <v>0</v>
      </c>
    </row>
    <row r="20" spans="1:9" x14ac:dyDescent="0.3">
      <c r="A20">
        <f>'NGS Run Record'!A59</f>
        <v>19</v>
      </c>
      <c r="B20" t="str">
        <f ca="1">'NGS Run Record'!B59</f>
        <v/>
      </c>
      <c r="C20" t="str">
        <f ca="1">'NGS Run Record'!C59</f>
        <v/>
      </c>
      <c r="D20">
        <f>'NGS Run Record'!D59</f>
        <v>0</v>
      </c>
      <c r="E20" t="str">
        <f ca="1">'NGS Run Record'!E59</f>
        <v/>
      </c>
      <c r="F20" t="str">
        <f ca="1">'NGS Run Record'!F59</f>
        <v/>
      </c>
      <c r="G20" t="str">
        <f ca="1">'NGS Run Record'!G59</f>
        <v/>
      </c>
      <c r="H20" t="str">
        <f ca="1">'NGS Run Record'!H59</f>
        <v/>
      </c>
      <c r="I20">
        <f>'NGS Run Record'!I59</f>
        <v>0</v>
      </c>
    </row>
    <row r="21" spans="1:9" x14ac:dyDescent="0.3">
      <c r="A21">
        <f>'NGS Run Record'!A60</f>
        <v>20</v>
      </c>
      <c r="B21" t="str">
        <f ca="1">'NGS Run Record'!B60</f>
        <v/>
      </c>
      <c r="C21" t="str">
        <f ca="1">'NGS Run Record'!C60</f>
        <v/>
      </c>
      <c r="D21">
        <f>'NGS Run Record'!D60</f>
        <v>0</v>
      </c>
      <c r="E21" t="str">
        <f ca="1">'NGS Run Record'!E60</f>
        <v/>
      </c>
      <c r="F21" t="str">
        <f ca="1">'NGS Run Record'!F60</f>
        <v/>
      </c>
      <c r="G21" t="str">
        <f ca="1">'NGS Run Record'!G60</f>
        <v/>
      </c>
      <c r="H21" t="str">
        <f ca="1">'NGS Run Record'!H60</f>
        <v/>
      </c>
      <c r="I21">
        <f>'NGS Run Record'!I60</f>
        <v>0</v>
      </c>
    </row>
    <row r="22" spans="1:9" x14ac:dyDescent="0.3">
      <c r="A22">
        <f>'NGS Run Record'!A61</f>
        <v>21</v>
      </c>
      <c r="B22" t="str">
        <f ca="1">'NGS Run Record'!B61</f>
        <v/>
      </c>
      <c r="C22" t="str">
        <f ca="1">'NGS Run Record'!C61</f>
        <v/>
      </c>
      <c r="D22">
        <f>'NGS Run Record'!D61</f>
        <v>0</v>
      </c>
      <c r="E22" t="str">
        <f ca="1">'NGS Run Record'!E61</f>
        <v/>
      </c>
      <c r="F22" t="str">
        <f ca="1">'NGS Run Record'!F61</f>
        <v/>
      </c>
      <c r="G22" t="str">
        <f ca="1">'NGS Run Record'!G61</f>
        <v/>
      </c>
      <c r="H22" t="str">
        <f ca="1">'NGS Run Record'!H61</f>
        <v/>
      </c>
      <c r="I22">
        <f>'NGS Run Record'!I61</f>
        <v>0</v>
      </c>
    </row>
    <row r="23" spans="1:9" x14ac:dyDescent="0.3">
      <c r="A23">
        <f>'NGS Run Record'!A62</f>
        <v>22</v>
      </c>
      <c r="B23" t="str">
        <f ca="1">'NGS Run Record'!B62</f>
        <v/>
      </c>
      <c r="C23" t="str">
        <f ca="1">'NGS Run Record'!C62</f>
        <v/>
      </c>
      <c r="D23">
        <f>'NGS Run Record'!D62</f>
        <v>0</v>
      </c>
      <c r="E23" t="str">
        <f ca="1">'NGS Run Record'!E62</f>
        <v/>
      </c>
      <c r="F23" t="str">
        <f ca="1">'NGS Run Record'!F62</f>
        <v/>
      </c>
      <c r="G23" t="str">
        <f ca="1">'NGS Run Record'!G62</f>
        <v/>
      </c>
      <c r="H23" t="str">
        <f ca="1">'NGS Run Record'!H62</f>
        <v/>
      </c>
      <c r="I23">
        <f>'NGS Run Record'!I62</f>
        <v>0</v>
      </c>
    </row>
    <row r="24" spans="1:9" x14ac:dyDescent="0.3">
      <c r="A24">
        <f>'NGS Run Record'!A63</f>
        <v>23</v>
      </c>
      <c r="B24" t="str">
        <f ca="1">'NGS Run Record'!B63</f>
        <v/>
      </c>
      <c r="C24" t="str">
        <f ca="1">'NGS Run Record'!C63</f>
        <v/>
      </c>
      <c r="D24">
        <f>'NGS Run Record'!D63</f>
        <v>0</v>
      </c>
      <c r="E24" t="str">
        <f ca="1">'NGS Run Record'!E63</f>
        <v/>
      </c>
      <c r="F24" t="str">
        <f ca="1">'NGS Run Record'!F63</f>
        <v/>
      </c>
      <c r="G24" t="str">
        <f ca="1">'NGS Run Record'!G63</f>
        <v/>
      </c>
      <c r="H24" t="str">
        <f ca="1">'NGS Run Record'!H63</f>
        <v/>
      </c>
      <c r="I24">
        <f>'NGS Run Record'!I63</f>
        <v>0</v>
      </c>
    </row>
    <row r="25" spans="1:9" x14ac:dyDescent="0.3">
      <c r="A25">
        <f>'NGS Run Record'!A64</f>
        <v>24</v>
      </c>
      <c r="B25" t="str">
        <f ca="1">'NGS Run Record'!B64</f>
        <v/>
      </c>
      <c r="C25" t="str">
        <f ca="1">'NGS Run Record'!C64</f>
        <v/>
      </c>
      <c r="D25">
        <f>'NGS Run Record'!D64</f>
        <v>0</v>
      </c>
      <c r="E25" t="str">
        <f ca="1">'NGS Run Record'!E64</f>
        <v/>
      </c>
      <c r="F25" t="str">
        <f ca="1">'NGS Run Record'!F64</f>
        <v/>
      </c>
      <c r="G25" t="str">
        <f ca="1">'NGS Run Record'!G64</f>
        <v/>
      </c>
      <c r="H25" t="str">
        <f ca="1">'NGS Run Record'!H64</f>
        <v/>
      </c>
      <c r="I25">
        <f>'NGS Run Record'!I64</f>
        <v>0</v>
      </c>
    </row>
    <row r="26" spans="1:9" x14ac:dyDescent="0.3">
      <c r="A26">
        <f>'NGS Run Record'!A65</f>
        <v>25</v>
      </c>
      <c r="B26" t="str">
        <f ca="1">'NGS Run Record'!B65</f>
        <v/>
      </c>
      <c r="C26" t="str">
        <f ca="1">'NGS Run Record'!C65</f>
        <v/>
      </c>
      <c r="D26">
        <f>'NGS Run Record'!D65</f>
        <v>0</v>
      </c>
      <c r="E26" t="str">
        <f ca="1">'NGS Run Record'!E65</f>
        <v/>
      </c>
      <c r="F26" t="str">
        <f ca="1">'NGS Run Record'!F65</f>
        <v/>
      </c>
      <c r="G26" t="str">
        <f ca="1">'NGS Run Record'!G65</f>
        <v/>
      </c>
      <c r="H26" t="str">
        <f ca="1">'NGS Run Record'!H65</f>
        <v/>
      </c>
      <c r="I26">
        <f>'NGS Run Record'!I65</f>
        <v>0</v>
      </c>
    </row>
    <row r="27" spans="1:9" x14ac:dyDescent="0.3">
      <c r="A27">
        <f>'NGS Run Record'!A66</f>
        <v>26</v>
      </c>
      <c r="B27" t="str">
        <f ca="1">'NGS Run Record'!B66</f>
        <v/>
      </c>
      <c r="C27" t="str">
        <f ca="1">'NGS Run Record'!C66</f>
        <v/>
      </c>
      <c r="D27">
        <f>'NGS Run Record'!D66</f>
        <v>0</v>
      </c>
      <c r="E27" t="str">
        <f ca="1">'NGS Run Record'!E66</f>
        <v/>
      </c>
      <c r="F27" t="str">
        <f ca="1">'NGS Run Record'!F66</f>
        <v/>
      </c>
      <c r="G27" t="str">
        <f ca="1">'NGS Run Record'!G66</f>
        <v/>
      </c>
      <c r="H27" t="str">
        <f ca="1">'NGS Run Record'!H66</f>
        <v/>
      </c>
      <c r="I27">
        <f>'NGS Run Record'!I66</f>
        <v>0</v>
      </c>
    </row>
    <row r="28" spans="1:9" x14ac:dyDescent="0.3">
      <c r="A28">
        <f>'NGS Run Record'!A67</f>
        <v>27</v>
      </c>
      <c r="B28" t="str">
        <f ca="1">'NGS Run Record'!B67</f>
        <v/>
      </c>
      <c r="C28" t="str">
        <f ca="1">'NGS Run Record'!C67</f>
        <v/>
      </c>
      <c r="D28">
        <f>'NGS Run Record'!D67</f>
        <v>0</v>
      </c>
      <c r="E28" t="str">
        <f ca="1">'NGS Run Record'!E67</f>
        <v/>
      </c>
      <c r="F28" t="str">
        <f ca="1">'NGS Run Record'!F67</f>
        <v/>
      </c>
      <c r="G28" t="str">
        <f ca="1">'NGS Run Record'!G67</f>
        <v/>
      </c>
      <c r="H28" t="str">
        <f ca="1">'NGS Run Record'!H67</f>
        <v/>
      </c>
      <c r="I28">
        <f>'NGS Run Record'!I67</f>
        <v>0</v>
      </c>
    </row>
    <row r="29" spans="1:9" x14ac:dyDescent="0.3">
      <c r="A29">
        <f>'NGS Run Record'!A68</f>
        <v>28</v>
      </c>
      <c r="B29" t="str">
        <f ca="1">'NGS Run Record'!B68</f>
        <v/>
      </c>
      <c r="C29" t="str">
        <f ca="1">'NGS Run Record'!C68</f>
        <v/>
      </c>
      <c r="D29">
        <f>'NGS Run Record'!D68</f>
        <v>0</v>
      </c>
      <c r="E29" t="str">
        <f ca="1">'NGS Run Record'!E68</f>
        <v/>
      </c>
      <c r="F29" t="str">
        <f ca="1">'NGS Run Record'!F68</f>
        <v/>
      </c>
      <c r="G29" t="str">
        <f ca="1">'NGS Run Record'!G68</f>
        <v/>
      </c>
      <c r="H29" t="str">
        <f ca="1">'NGS Run Record'!H68</f>
        <v/>
      </c>
      <c r="I29">
        <f>'NGS Run Record'!I68</f>
        <v>0</v>
      </c>
    </row>
    <row r="30" spans="1:9" x14ac:dyDescent="0.3">
      <c r="A30">
        <f>'NGS Run Record'!A69</f>
        <v>29</v>
      </c>
      <c r="B30" t="str">
        <f ca="1">'NGS Run Record'!B69</f>
        <v/>
      </c>
      <c r="C30" t="str">
        <f ca="1">'NGS Run Record'!C69</f>
        <v/>
      </c>
      <c r="D30">
        <f>'NGS Run Record'!D69</f>
        <v>0</v>
      </c>
      <c r="E30" t="str">
        <f ca="1">'NGS Run Record'!E69</f>
        <v/>
      </c>
      <c r="F30" t="str">
        <f ca="1">'NGS Run Record'!F69</f>
        <v/>
      </c>
      <c r="G30" t="str">
        <f ca="1">'NGS Run Record'!G69</f>
        <v/>
      </c>
      <c r="H30" t="str">
        <f ca="1">'NGS Run Record'!H69</f>
        <v/>
      </c>
      <c r="I30">
        <f>'NGS Run Record'!I69</f>
        <v>0</v>
      </c>
    </row>
    <row r="31" spans="1:9" x14ac:dyDescent="0.3">
      <c r="A31">
        <f>'NGS Run Record'!A70</f>
        <v>30</v>
      </c>
      <c r="B31" t="str">
        <f ca="1">'NGS Run Record'!B70</f>
        <v/>
      </c>
      <c r="C31" t="str">
        <f ca="1">'NGS Run Record'!C70</f>
        <v/>
      </c>
      <c r="D31">
        <f>'NGS Run Record'!D70</f>
        <v>0</v>
      </c>
      <c r="E31" t="str">
        <f ca="1">'NGS Run Record'!E70</f>
        <v/>
      </c>
      <c r="F31" t="str">
        <f ca="1">'NGS Run Record'!F70</f>
        <v/>
      </c>
      <c r="G31" t="str">
        <f ca="1">'NGS Run Record'!G70</f>
        <v/>
      </c>
      <c r="H31" t="str">
        <f ca="1">'NGS Run Record'!H70</f>
        <v/>
      </c>
      <c r="I31">
        <f>'NGS Run Record'!I70</f>
        <v>0</v>
      </c>
    </row>
    <row r="32" spans="1:9" x14ac:dyDescent="0.3">
      <c r="A32">
        <f>'NGS Run Record'!A71</f>
        <v>31</v>
      </c>
      <c r="B32" t="str">
        <f ca="1">'NGS Run Record'!B71</f>
        <v/>
      </c>
      <c r="C32" t="str">
        <f ca="1">'NGS Run Record'!C71</f>
        <v/>
      </c>
      <c r="D32">
        <f>'NGS Run Record'!D71</f>
        <v>0</v>
      </c>
      <c r="E32" t="str">
        <f ca="1">'NGS Run Record'!E71</f>
        <v/>
      </c>
      <c r="F32" t="str">
        <f ca="1">'NGS Run Record'!F71</f>
        <v/>
      </c>
      <c r="G32" t="str">
        <f ca="1">'NGS Run Record'!G71</f>
        <v/>
      </c>
      <c r="H32" t="str">
        <f ca="1">'NGS Run Record'!H71</f>
        <v/>
      </c>
      <c r="I32">
        <f>'NGS Run Record'!I71</f>
        <v>0</v>
      </c>
    </row>
    <row r="33" spans="1:9" x14ac:dyDescent="0.3">
      <c r="A33">
        <f>'NGS Run Record'!A72</f>
        <v>32</v>
      </c>
      <c r="B33" t="str">
        <f ca="1">'NGS Run Record'!B72</f>
        <v/>
      </c>
      <c r="C33" t="str">
        <f ca="1">'NGS Run Record'!C72</f>
        <v/>
      </c>
      <c r="D33">
        <f>'NGS Run Record'!D72</f>
        <v>0</v>
      </c>
      <c r="E33" t="str">
        <f ca="1">'NGS Run Record'!E72</f>
        <v/>
      </c>
      <c r="F33" t="str">
        <f ca="1">'NGS Run Record'!F72</f>
        <v/>
      </c>
      <c r="G33" t="str">
        <f ca="1">'NGS Run Record'!G72</f>
        <v/>
      </c>
      <c r="H33" t="str">
        <f ca="1">'NGS Run Record'!H72</f>
        <v/>
      </c>
      <c r="I33">
        <f>'NGS Run Record'!I72</f>
        <v>0</v>
      </c>
    </row>
    <row r="34" spans="1:9" x14ac:dyDescent="0.3">
      <c r="A34">
        <f>'NGS Run Record'!A73</f>
        <v>33</v>
      </c>
      <c r="B34" t="str">
        <f ca="1">'NGS Run Record'!B73</f>
        <v/>
      </c>
      <c r="C34" t="str">
        <f ca="1">'NGS Run Record'!C73</f>
        <v/>
      </c>
      <c r="D34">
        <f>'NGS Run Record'!D73</f>
        <v>0</v>
      </c>
      <c r="E34" t="str">
        <f ca="1">'NGS Run Record'!E73</f>
        <v/>
      </c>
      <c r="F34" t="str">
        <f ca="1">'NGS Run Record'!F73</f>
        <v/>
      </c>
      <c r="G34" t="str">
        <f ca="1">'NGS Run Record'!G73</f>
        <v/>
      </c>
      <c r="H34" t="str">
        <f ca="1">'NGS Run Record'!H73</f>
        <v/>
      </c>
      <c r="I34">
        <f>'NGS Run Record'!I73</f>
        <v>0</v>
      </c>
    </row>
    <row r="35" spans="1:9" x14ac:dyDescent="0.3">
      <c r="A35">
        <f>'NGS Run Record'!A74</f>
        <v>34</v>
      </c>
      <c r="B35" t="str">
        <f ca="1">'NGS Run Record'!B74</f>
        <v/>
      </c>
      <c r="C35" t="str">
        <f ca="1">'NGS Run Record'!C74</f>
        <v/>
      </c>
      <c r="D35">
        <f>'NGS Run Record'!D74</f>
        <v>0</v>
      </c>
      <c r="E35" t="str">
        <f ca="1">'NGS Run Record'!E74</f>
        <v/>
      </c>
      <c r="F35" t="str">
        <f ca="1">'NGS Run Record'!F74</f>
        <v/>
      </c>
      <c r="G35" t="str">
        <f ca="1">'NGS Run Record'!G74</f>
        <v/>
      </c>
      <c r="H35" t="str">
        <f ca="1">'NGS Run Record'!H74</f>
        <v/>
      </c>
      <c r="I35">
        <f>'NGS Run Record'!I74</f>
        <v>0</v>
      </c>
    </row>
    <row r="36" spans="1:9" x14ac:dyDescent="0.3">
      <c r="A36">
        <f>'NGS Run Record'!A75</f>
        <v>35</v>
      </c>
      <c r="B36" t="str">
        <f ca="1">'NGS Run Record'!B75</f>
        <v/>
      </c>
      <c r="C36" t="str">
        <f ca="1">'NGS Run Record'!C75</f>
        <v/>
      </c>
      <c r="D36">
        <f>'NGS Run Record'!D75</f>
        <v>0</v>
      </c>
      <c r="E36" t="str">
        <f ca="1">'NGS Run Record'!E75</f>
        <v/>
      </c>
      <c r="F36" t="str">
        <f ca="1">'NGS Run Record'!F75</f>
        <v/>
      </c>
      <c r="G36" t="str">
        <f ca="1">'NGS Run Record'!G75</f>
        <v/>
      </c>
      <c r="H36" t="str">
        <f ca="1">'NGS Run Record'!H75</f>
        <v/>
      </c>
      <c r="I36">
        <f>'NGS Run Record'!I75</f>
        <v>0</v>
      </c>
    </row>
    <row r="37" spans="1:9" x14ac:dyDescent="0.3">
      <c r="A37">
        <f>'NGS Run Record'!A76</f>
        <v>36</v>
      </c>
      <c r="B37" t="str">
        <f ca="1">'NGS Run Record'!B76</f>
        <v/>
      </c>
      <c r="C37" t="str">
        <f ca="1">'NGS Run Record'!C76</f>
        <v/>
      </c>
      <c r="D37">
        <f>'NGS Run Record'!D76</f>
        <v>0</v>
      </c>
      <c r="E37" t="str">
        <f ca="1">'NGS Run Record'!E76</f>
        <v/>
      </c>
      <c r="F37" t="str">
        <f ca="1">'NGS Run Record'!F76</f>
        <v/>
      </c>
      <c r="G37" t="str">
        <f ca="1">'NGS Run Record'!G76</f>
        <v/>
      </c>
      <c r="H37" t="str">
        <f ca="1">'NGS Run Record'!H76</f>
        <v/>
      </c>
      <c r="I37">
        <f>'NGS Run Record'!I76</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2"/>
  <sheetViews>
    <sheetView workbookViewId="0">
      <selection activeCell="I10" sqref="I10"/>
    </sheetView>
  </sheetViews>
  <sheetFormatPr defaultRowHeight="16.5" x14ac:dyDescent="0.3"/>
  <cols>
    <col min="1" max="1" width="13.7109375" bestFit="1" customWidth="1"/>
    <col min="2" max="2" width="20.85546875" bestFit="1" customWidth="1"/>
  </cols>
  <sheetData>
    <row r="1" spans="1:1" x14ac:dyDescent="0.3">
      <c r="A1">
        <v>5</v>
      </c>
    </row>
    <row r="2" spans="1:1" x14ac:dyDescent="0.3">
      <c r="A2" t="s">
        <v>116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E12"/>
  <sheetViews>
    <sheetView workbookViewId="0">
      <selection activeCell="G27" sqref="G27"/>
    </sheetView>
  </sheetViews>
  <sheetFormatPr defaultRowHeight="16.5" x14ac:dyDescent="0.3"/>
  <cols>
    <col min="1" max="1" width="14.5703125" bestFit="1" customWidth="1"/>
    <col min="2" max="2" width="21.7109375" bestFit="1" customWidth="1"/>
    <col min="4" max="4" width="17.7109375" bestFit="1" customWidth="1"/>
  </cols>
  <sheetData>
    <row r="1" spans="1:5" s="4" customFormat="1" x14ac:dyDescent="0.3">
      <c r="A1" s="4" t="s">
        <v>71</v>
      </c>
      <c r="B1" s="4" t="s">
        <v>84</v>
      </c>
      <c r="D1" s="4" t="s">
        <v>80</v>
      </c>
      <c r="E1" s="4" t="s">
        <v>109</v>
      </c>
    </row>
    <row r="2" spans="1:5" x14ac:dyDescent="0.3">
      <c r="A2" t="s">
        <v>72</v>
      </c>
      <c r="B2" t="s">
        <v>81</v>
      </c>
      <c r="D2" t="s">
        <v>78</v>
      </c>
    </row>
    <row r="3" spans="1:5" x14ac:dyDescent="0.3">
      <c r="A3" t="s">
        <v>74</v>
      </c>
      <c r="B3" t="s">
        <v>81</v>
      </c>
      <c r="D3" t="s">
        <v>76</v>
      </c>
    </row>
    <row r="4" spans="1:5" x14ac:dyDescent="0.3">
      <c r="A4" t="s">
        <v>34</v>
      </c>
      <c r="B4" t="s">
        <v>81</v>
      </c>
      <c r="D4" t="s">
        <v>73</v>
      </c>
    </row>
    <row r="5" spans="1:5" x14ac:dyDescent="0.3">
      <c r="A5" t="s">
        <v>75</v>
      </c>
      <c r="B5" t="s">
        <v>81</v>
      </c>
      <c r="D5" t="s">
        <v>34</v>
      </c>
    </row>
    <row r="6" spans="1:5" x14ac:dyDescent="0.3">
      <c r="A6" t="s">
        <v>76</v>
      </c>
      <c r="B6" t="s">
        <v>81</v>
      </c>
      <c r="D6" t="s">
        <v>82</v>
      </c>
    </row>
    <row r="7" spans="1:5" x14ac:dyDescent="0.3">
      <c r="A7" t="s">
        <v>77</v>
      </c>
      <c r="B7" t="s">
        <v>81</v>
      </c>
      <c r="D7" t="s">
        <v>83</v>
      </c>
    </row>
    <row r="8" spans="1:5" x14ac:dyDescent="0.3">
      <c r="A8" t="s">
        <v>78</v>
      </c>
      <c r="B8" t="s">
        <v>81</v>
      </c>
      <c r="D8" t="s">
        <v>110</v>
      </c>
    </row>
    <row r="9" spans="1:5" x14ac:dyDescent="0.3">
      <c r="A9" t="s">
        <v>79</v>
      </c>
      <c r="B9" t="s">
        <v>81</v>
      </c>
    </row>
    <row r="10" spans="1:5" x14ac:dyDescent="0.3">
      <c r="A10" t="s">
        <v>108</v>
      </c>
      <c r="B10" t="s">
        <v>85</v>
      </c>
    </row>
    <row r="11" spans="1:5" x14ac:dyDescent="0.3">
      <c r="A11" t="s">
        <v>73</v>
      </c>
      <c r="B11" t="s">
        <v>85</v>
      </c>
    </row>
    <row r="12" spans="1:5" x14ac:dyDescent="0.3">
      <c r="A12" t="s">
        <v>82</v>
      </c>
      <c r="B12" t="s">
        <v>85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PrintBookmarks">
                <anchor moveWithCells="1" sizeWithCells="1">
                  <from>
                    <xdr:col>5</xdr:col>
                    <xdr:colOff>342900</xdr:colOff>
                    <xdr:row>2</xdr:row>
                    <xdr:rowOff>0</xdr:rowOff>
                  </from>
                  <to>
                    <xdr:col>9</xdr:col>
                    <xdr:colOff>333375</xdr:colOff>
                    <xdr:row>3</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1"/>
  <sheetViews>
    <sheetView workbookViewId="0">
      <selection sqref="A1:J1"/>
    </sheetView>
  </sheetViews>
  <sheetFormatPr defaultRowHeight="16.5" x14ac:dyDescent="0.3"/>
  <sheetData>
    <row r="1" spans="1:10" x14ac:dyDescent="0.3">
      <c r="A1" t="s">
        <v>28</v>
      </c>
      <c r="B1" t="s">
        <v>29</v>
      </c>
      <c r="C1" t="s">
        <v>7</v>
      </c>
      <c r="D1" t="s">
        <v>86</v>
      </c>
      <c r="E1" t="s">
        <v>87</v>
      </c>
      <c r="F1" t="s">
        <v>88</v>
      </c>
      <c r="G1" t="s">
        <v>89</v>
      </c>
      <c r="H1" t="s">
        <v>90</v>
      </c>
      <c r="I1" t="s">
        <v>91</v>
      </c>
      <c r="J1" t="s">
        <v>92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H25"/>
  <sheetViews>
    <sheetView workbookViewId="0">
      <selection activeCell="K10" sqref="K10"/>
    </sheetView>
  </sheetViews>
  <sheetFormatPr defaultColWidth="9.140625" defaultRowHeight="12.75" x14ac:dyDescent="0.2"/>
  <cols>
    <col min="1" max="1" width="19.7109375" style="10" bestFit="1" customWidth="1"/>
    <col min="2" max="2" width="9.140625" style="10"/>
    <col min="3" max="3" width="13.28515625" style="10" bestFit="1" customWidth="1"/>
    <col min="4" max="16384" width="9.140625" style="10"/>
  </cols>
  <sheetData>
    <row r="1" spans="1:8" ht="27" x14ac:dyDescent="0.2">
      <c r="A1" s="13" t="s">
        <v>29</v>
      </c>
      <c r="B1" s="13" t="s">
        <v>112</v>
      </c>
      <c r="C1" s="14" t="s">
        <v>119</v>
      </c>
      <c r="D1" s="14" t="s">
        <v>87</v>
      </c>
      <c r="E1" s="14" t="s">
        <v>88</v>
      </c>
      <c r="F1" s="14" t="s">
        <v>89</v>
      </c>
      <c r="G1" s="13" t="s">
        <v>8</v>
      </c>
      <c r="H1" s="13" t="s">
        <v>20</v>
      </c>
    </row>
    <row r="2" spans="1:8" x14ac:dyDescent="0.2">
      <c r="A2" s="12" t="str">
        <f>'NGS Run Record'!B41</f>
        <v xml:space="preserve">, </v>
      </c>
      <c r="B2" s="12" t="str">
        <f>'NGS Run Record'!C41</f>
        <v>C00026B</v>
      </c>
      <c r="C2" s="12">
        <f>'NGS Run Record'!D41</f>
        <v>0</v>
      </c>
      <c r="D2" s="12" t="str">
        <f>'NGS Run Record'!E41</f>
        <v>DNA</v>
      </c>
      <c r="E2" s="12" t="str">
        <f ca="1">'NGS Run Record'!F41</f>
        <v>5.0</v>
      </c>
      <c r="F2" s="12">
        <f>'NGS Run Record'!G41</f>
        <v>0</v>
      </c>
      <c r="G2" s="12" t="e">
        <f>'NGS Run Record'!#REF!</f>
        <v>#REF!</v>
      </c>
      <c r="H2" s="12" t="str">
        <f t="shared" ref="H2:H25" si="0">IF(A2=0, "", AssayID)</f>
        <v>NGS-T4__CL</v>
      </c>
    </row>
    <row r="3" spans="1:8" x14ac:dyDescent="0.2">
      <c r="A3" s="12" t="str">
        <f ca="1">'NGS Run Record'!B42</f>
        <v xml:space="preserve">, </v>
      </c>
      <c r="B3" s="12" t="str">
        <f ca="1">'NGS Run Record'!C42</f>
        <v>S1</v>
      </c>
      <c r="C3" s="12">
        <f>'NGS Run Record'!D42</f>
        <v>0</v>
      </c>
      <c r="D3" s="12" t="str">
        <f ca="1">'NGS Run Record'!E42</f>
        <v>DNA</v>
      </c>
      <c r="E3" s="12" t="str">
        <f ca="1">'NGS Run Record'!F42</f>
        <v>40</v>
      </c>
      <c r="F3" s="12" t="str">
        <f ca="1">'NGS Run Record'!G42</f>
        <v>1.8</v>
      </c>
      <c r="G3" s="12" t="e">
        <f>'NGS Run Record'!#REF!</f>
        <v>#REF!</v>
      </c>
      <c r="H3" s="12" t="str">
        <f t="shared" ca="1" si="0"/>
        <v>NGS-T4__CL</v>
      </c>
    </row>
    <row r="4" spans="1:8" x14ac:dyDescent="0.2">
      <c r="A4" s="12" t="str">
        <f ca="1">'NGS Run Record'!B43</f>
        <v xml:space="preserve">, </v>
      </c>
      <c r="B4" s="12" t="str">
        <f ca="1">'NGS Run Record'!C43</f>
        <v>S2</v>
      </c>
      <c r="C4" s="12">
        <f>'NGS Run Record'!D43</f>
        <v>0</v>
      </c>
      <c r="D4" s="12" t="str">
        <f ca="1">'NGS Run Record'!E43</f>
        <v>FFPE</v>
      </c>
      <c r="E4" s="12" t="str">
        <f ca="1">'NGS Run Record'!F43</f>
        <v>50</v>
      </c>
      <c r="F4" s="12" t="str">
        <f ca="1">'NGS Run Record'!G43</f>
        <v>1.8</v>
      </c>
      <c r="G4" s="12" t="e">
        <f>'NGS Run Record'!#REF!</f>
        <v>#REF!</v>
      </c>
      <c r="H4" s="12" t="str">
        <f t="shared" ca="1" si="0"/>
        <v>NGS-T4__CL</v>
      </c>
    </row>
    <row r="5" spans="1:8" x14ac:dyDescent="0.2">
      <c r="A5" s="12" t="str">
        <f ca="1">'NGS Run Record'!B44</f>
        <v xml:space="preserve">, </v>
      </c>
      <c r="B5" s="12" t="str">
        <f ca="1">'NGS Run Record'!C44</f>
        <v>S3</v>
      </c>
      <c r="C5" s="12">
        <f>'NGS Run Record'!D44</f>
        <v>0</v>
      </c>
      <c r="D5" s="12" t="str">
        <f ca="1">'NGS Run Record'!E44</f>
        <v>Bone Marrow</v>
      </c>
      <c r="E5" s="12" t="str">
        <f ca="1">'NGS Run Record'!F44</f>
        <v>60</v>
      </c>
      <c r="F5" s="12">
        <f ca="1">'NGS Run Record'!G44</f>
        <v>2</v>
      </c>
      <c r="G5" s="12" t="e">
        <f>'NGS Run Record'!#REF!</f>
        <v>#REF!</v>
      </c>
      <c r="H5" s="12" t="str">
        <f t="shared" ca="1" si="0"/>
        <v>NGS-T4__CL</v>
      </c>
    </row>
    <row r="6" spans="1:8" x14ac:dyDescent="0.2">
      <c r="A6" s="12" t="str">
        <f ca="1">'NGS Run Record'!B45</f>
        <v xml:space="preserve">, </v>
      </c>
      <c r="B6" s="12" t="str">
        <f ca="1">'NGS Run Record'!C45</f>
        <v>S4</v>
      </c>
      <c r="C6" s="12">
        <f>'NGS Run Record'!D45</f>
        <v>0</v>
      </c>
      <c r="D6" s="12" t="str">
        <f ca="1">'NGS Run Record'!E45</f>
        <v>Bone Marrow</v>
      </c>
      <c r="E6" s="12" t="str">
        <f ca="1">'NGS Run Record'!F45</f>
        <v>70</v>
      </c>
      <c r="F6" s="12">
        <f ca="1">'NGS Run Record'!G45</f>
        <v>1.8</v>
      </c>
      <c r="G6" s="12" t="e">
        <f>'NGS Run Record'!#REF!</f>
        <v>#REF!</v>
      </c>
      <c r="H6" s="12" t="str">
        <f t="shared" ca="1" si="0"/>
        <v>NGS-T4__CL</v>
      </c>
    </row>
    <row r="7" spans="1:8" x14ac:dyDescent="0.2">
      <c r="A7" s="12" t="str">
        <f ca="1">'NGS Run Record'!B46</f>
        <v xml:space="preserve">, </v>
      </c>
      <c r="B7" s="12" t="str">
        <f ca="1">'NGS Run Record'!C46</f>
        <v>S5</v>
      </c>
      <c r="C7" s="12">
        <f>'NGS Run Record'!D46</f>
        <v>0</v>
      </c>
      <c r="D7" s="12" t="str">
        <f ca="1">'NGS Run Record'!E46</f>
        <v>Bone Marrow</v>
      </c>
      <c r="E7" s="12" t="str">
        <f ca="1">'NGS Run Record'!F46</f>
        <v>80</v>
      </c>
      <c r="F7" s="12">
        <f ca="1">'NGS Run Record'!G46</f>
        <v>1.9</v>
      </c>
      <c r="G7" s="12" t="e">
        <f>'NGS Run Record'!#REF!</f>
        <v>#REF!</v>
      </c>
      <c r="H7" s="12" t="str">
        <f t="shared" ca="1" si="0"/>
        <v>NGS-T4__CL</v>
      </c>
    </row>
    <row r="8" spans="1:8" x14ac:dyDescent="0.2">
      <c r="A8" s="12" t="str">
        <f ca="1">'NGS Run Record'!B47</f>
        <v xml:space="preserve">, </v>
      </c>
      <c r="B8" s="12" t="str">
        <f ca="1">'NGS Run Record'!C47</f>
        <v>S6</v>
      </c>
      <c r="C8" s="12">
        <f>'NGS Run Record'!D47</f>
        <v>0</v>
      </c>
      <c r="D8" s="12" t="str">
        <f ca="1">'NGS Run Record'!E47</f>
        <v>Blood</v>
      </c>
      <c r="E8" s="12" t="str">
        <f ca="1">'NGS Run Record'!F47</f>
        <v>90</v>
      </c>
      <c r="F8" s="12" t="str">
        <f ca="1">'NGS Run Record'!G47</f>
        <v>1.8</v>
      </c>
      <c r="G8" s="12" t="e">
        <f>'NGS Run Record'!#REF!</f>
        <v>#REF!</v>
      </c>
      <c r="H8" s="12" t="str">
        <f t="shared" ca="1" si="0"/>
        <v>NGS-T4__CL</v>
      </c>
    </row>
    <row r="9" spans="1:8" x14ac:dyDescent="0.2">
      <c r="A9" s="12" t="str">
        <f ca="1">'NGS Run Record'!B48</f>
        <v xml:space="preserve">, </v>
      </c>
      <c r="B9" s="12" t="str">
        <f ca="1">'NGS Run Record'!C48</f>
        <v>S7</v>
      </c>
      <c r="C9" s="12">
        <f>'NGS Run Record'!D48</f>
        <v>0</v>
      </c>
      <c r="D9" s="12" t="str">
        <f ca="1">'NGS Run Record'!E48</f>
        <v>Blood</v>
      </c>
      <c r="E9" s="12" t="str">
        <f ca="1">'NGS Run Record'!F48</f>
        <v>100</v>
      </c>
      <c r="F9" s="12" t="str">
        <f ca="1">'NGS Run Record'!G48</f>
        <v>1.9</v>
      </c>
      <c r="G9" s="12" t="e">
        <f>'NGS Run Record'!#REF!</f>
        <v>#REF!</v>
      </c>
      <c r="H9" s="12" t="str">
        <f t="shared" ca="1" si="0"/>
        <v>NGS-T4__CL</v>
      </c>
    </row>
    <row r="10" spans="1:8" x14ac:dyDescent="0.2">
      <c r="A10" s="12" t="str">
        <f ca="1">'NGS Run Record'!B49</f>
        <v xml:space="preserve">, </v>
      </c>
      <c r="B10" s="12" t="str">
        <f ca="1">'NGS Run Record'!C49</f>
        <v>S8</v>
      </c>
      <c r="C10" s="12">
        <f>'NGS Run Record'!D49</f>
        <v>0</v>
      </c>
      <c r="D10" s="12" t="str">
        <f ca="1">'NGS Run Record'!E49</f>
        <v>Blood</v>
      </c>
      <c r="E10" s="12" t="str">
        <f ca="1">'NGS Run Record'!F49</f>
        <v>110</v>
      </c>
      <c r="F10" s="12" t="str">
        <f ca="1">'NGS Run Record'!G49</f>
        <v>1.9</v>
      </c>
      <c r="G10" s="12" t="e">
        <f>'NGS Run Record'!#REF!</f>
        <v>#REF!</v>
      </c>
      <c r="H10" s="12" t="str">
        <f t="shared" ca="1" si="0"/>
        <v>NGS-T4__CL</v>
      </c>
    </row>
    <row r="11" spans="1:8" x14ac:dyDescent="0.2">
      <c r="A11" s="12" t="str">
        <f ca="1">'NGS Run Record'!B50</f>
        <v/>
      </c>
      <c r="B11" s="12" t="str">
        <f ca="1">'NGS Run Record'!C50</f>
        <v/>
      </c>
      <c r="C11" s="12">
        <f>'NGS Run Record'!D50</f>
        <v>0</v>
      </c>
      <c r="D11" s="12" t="str">
        <f ca="1">'NGS Run Record'!E50</f>
        <v/>
      </c>
      <c r="E11" s="12" t="str">
        <f ca="1">'NGS Run Record'!F50</f>
        <v/>
      </c>
      <c r="F11" s="12" t="str">
        <f ca="1">'NGS Run Record'!G50</f>
        <v/>
      </c>
      <c r="G11" s="12" t="e">
        <f>'NGS Run Record'!#REF!</f>
        <v>#REF!</v>
      </c>
      <c r="H11" s="12" t="str">
        <f t="shared" ca="1" si="0"/>
        <v>NGS-T4__CL</v>
      </c>
    </row>
    <row r="12" spans="1:8" x14ac:dyDescent="0.2">
      <c r="A12" s="12" t="str">
        <f ca="1">'NGS Run Record'!B51</f>
        <v/>
      </c>
      <c r="B12" s="12" t="str">
        <f ca="1">'NGS Run Record'!C51</f>
        <v/>
      </c>
      <c r="C12" s="12">
        <f>'NGS Run Record'!D51</f>
        <v>0</v>
      </c>
      <c r="D12" s="12" t="str">
        <f ca="1">'NGS Run Record'!E51</f>
        <v/>
      </c>
      <c r="E12" s="12" t="str">
        <f ca="1">'NGS Run Record'!F51</f>
        <v/>
      </c>
      <c r="F12" s="12" t="str">
        <f ca="1">'NGS Run Record'!G51</f>
        <v/>
      </c>
      <c r="G12" s="12" t="e">
        <f>'NGS Run Record'!#REF!</f>
        <v>#REF!</v>
      </c>
      <c r="H12" s="12" t="str">
        <f t="shared" ca="1" si="0"/>
        <v>NGS-T4__CL</v>
      </c>
    </row>
    <row r="13" spans="1:8" x14ac:dyDescent="0.2">
      <c r="A13" s="12" t="str">
        <f ca="1">'NGS Run Record'!B52</f>
        <v/>
      </c>
      <c r="B13" s="12" t="str">
        <f ca="1">'NGS Run Record'!C52</f>
        <v/>
      </c>
      <c r="C13" s="12">
        <f>'NGS Run Record'!D52</f>
        <v>0</v>
      </c>
      <c r="D13" s="12" t="str">
        <f ca="1">'NGS Run Record'!E52</f>
        <v/>
      </c>
      <c r="E13" s="12" t="str">
        <f ca="1">'NGS Run Record'!F52</f>
        <v/>
      </c>
      <c r="F13" s="12" t="str">
        <f ca="1">'NGS Run Record'!G52</f>
        <v/>
      </c>
      <c r="G13" s="12" t="e">
        <f>'NGS Run Record'!#REF!</f>
        <v>#REF!</v>
      </c>
      <c r="H13" s="12" t="str">
        <f t="shared" ca="1" si="0"/>
        <v>NGS-T4__CL</v>
      </c>
    </row>
    <row r="14" spans="1:8" x14ac:dyDescent="0.2">
      <c r="A14" s="12" t="str">
        <f ca="1">'NGS Run Record'!B53</f>
        <v/>
      </c>
      <c r="B14" s="12" t="str">
        <f ca="1">'NGS Run Record'!C53</f>
        <v/>
      </c>
      <c r="C14" s="12">
        <f>'NGS Run Record'!D53</f>
        <v>0</v>
      </c>
      <c r="D14" s="12" t="str">
        <f ca="1">'NGS Run Record'!E53</f>
        <v/>
      </c>
      <c r="E14" s="12" t="str">
        <f ca="1">'NGS Run Record'!F53</f>
        <v/>
      </c>
      <c r="F14" s="12" t="str">
        <f ca="1">'NGS Run Record'!G53</f>
        <v/>
      </c>
      <c r="G14" s="12" t="e">
        <f>'NGS Run Record'!#REF!</f>
        <v>#REF!</v>
      </c>
      <c r="H14" s="12" t="str">
        <f t="shared" ca="1" si="0"/>
        <v>NGS-T4__CL</v>
      </c>
    </row>
    <row r="15" spans="1:8" x14ac:dyDescent="0.2">
      <c r="A15" s="12" t="e">
        <f>'NGS Run Record'!#REF!</f>
        <v>#REF!</v>
      </c>
      <c r="B15" s="12" t="e">
        <f>'NGS Run Record'!#REF!</f>
        <v>#REF!</v>
      </c>
      <c r="C15" s="12" t="e">
        <f>'NGS Run Record'!#REF!</f>
        <v>#REF!</v>
      </c>
      <c r="D15" s="12" t="e">
        <f>'NGS Run Record'!#REF!</f>
        <v>#REF!</v>
      </c>
      <c r="E15" s="12" t="e">
        <f>'NGS Run Record'!#REF!</f>
        <v>#REF!</v>
      </c>
      <c r="F15" s="12" t="e">
        <f>'NGS Run Record'!#REF!</f>
        <v>#REF!</v>
      </c>
      <c r="G15" s="12" t="e">
        <f>'NGS Run Record'!#REF!</f>
        <v>#REF!</v>
      </c>
      <c r="H15" s="12" t="e">
        <f t="shared" si="0"/>
        <v>#REF!</v>
      </c>
    </row>
    <row r="16" spans="1:8" x14ac:dyDescent="0.2">
      <c r="A16" s="12" t="e">
        <f>'NGS Run Record'!#REF!</f>
        <v>#REF!</v>
      </c>
      <c r="B16" s="12" t="e">
        <f>'NGS Run Record'!#REF!</f>
        <v>#REF!</v>
      </c>
      <c r="C16" s="12" t="e">
        <f>'NGS Run Record'!#REF!</f>
        <v>#REF!</v>
      </c>
      <c r="D16" s="12" t="e">
        <f>'NGS Run Record'!#REF!</f>
        <v>#REF!</v>
      </c>
      <c r="E16" s="12" t="e">
        <f>'NGS Run Record'!#REF!</f>
        <v>#REF!</v>
      </c>
      <c r="F16" s="12" t="e">
        <f>'NGS Run Record'!#REF!</f>
        <v>#REF!</v>
      </c>
      <c r="G16" s="12" t="e">
        <f>'NGS Run Record'!#REF!</f>
        <v>#REF!</v>
      </c>
      <c r="H16" s="12" t="e">
        <f t="shared" si="0"/>
        <v>#REF!</v>
      </c>
    </row>
    <row r="17" spans="1:8" x14ac:dyDescent="0.2">
      <c r="A17" s="12" t="e">
        <f>'NGS Run Record'!#REF!</f>
        <v>#REF!</v>
      </c>
      <c r="B17" s="12" t="e">
        <f>'NGS Run Record'!#REF!</f>
        <v>#REF!</v>
      </c>
      <c r="C17" s="12" t="e">
        <f>'NGS Run Record'!#REF!</f>
        <v>#REF!</v>
      </c>
      <c r="D17" s="12" t="e">
        <f>'NGS Run Record'!#REF!</f>
        <v>#REF!</v>
      </c>
      <c r="E17" s="12" t="e">
        <f>'NGS Run Record'!#REF!</f>
        <v>#REF!</v>
      </c>
      <c r="F17" s="12" t="e">
        <f>'NGS Run Record'!#REF!</f>
        <v>#REF!</v>
      </c>
      <c r="G17" s="12" t="e">
        <f>'NGS Run Record'!#REF!</f>
        <v>#REF!</v>
      </c>
      <c r="H17" s="12" t="e">
        <f t="shared" si="0"/>
        <v>#REF!</v>
      </c>
    </row>
    <row r="18" spans="1:8" x14ac:dyDescent="0.2">
      <c r="A18" s="12" t="e">
        <f>'NGS Run Record'!#REF!</f>
        <v>#REF!</v>
      </c>
      <c r="B18" s="12" t="e">
        <f>'NGS Run Record'!#REF!</f>
        <v>#REF!</v>
      </c>
      <c r="C18" s="12" t="e">
        <f>'NGS Run Record'!#REF!</f>
        <v>#REF!</v>
      </c>
      <c r="D18" s="12" t="e">
        <f>'NGS Run Record'!#REF!</f>
        <v>#REF!</v>
      </c>
      <c r="E18" s="12" t="e">
        <f>'NGS Run Record'!#REF!</f>
        <v>#REF!</v>
      </c>
      <c r="F18" s="12" t="e">
        <f>'NGS Run Record'!#REF!</f>
        <v>#REF!</v>
      </c>
      <c r="G18" s="12" t="e">
        <f>'NGS Run Record'!#REF!</f>
        <v>#REF!</v>
      </c>
      <c r="H18" s="12" t="e">
        <f t="shared" si="0"/>
        <v>#REF!</v>
      </c>
    </row>
    <row r="19" spans="1:8" x14ac:dyDescent="0.2">
      <c r="A19" s="12" t="e">
        <f>'NGS Run Record'!#REF!</f>
        <v>#REF!</v>
      </c>
      <c r="B19" s="12" t="e">
        <f>'NGS Run Record'!#REF!</f>
        <v>#REF!</v>
      </c>
      <c r="C19" s="12" t="e">
        <f>'NGS Run Record'!#REF!</f>
        <v>#REF!</v>
      </c>
      <c r="D19" s="12" t="e">
        <f>'NGS Run Record'!#REF!</f>
        <v>#REF!</v>
      </c>
      <c r="E19" s="12" t="e">
        <f>'NGS Run Record'!#REF!</f>
        <v>#REF!</v>
      </c>
      <c r="F19" s="12" t="e">
        <f>'NGS Run Record'!#REF!</f>
        <v>#REF!</v>
      </c>
      <c r="G19" s="12" t="e">
        <f>'NGS Run Record'!#REF!</f>
        <v>#REF!</v>
      </c>
      <c r="H19" s="12" t="e">
        <f t="shared" si="0"/>
        <v>#REF!</v>
      </c>
    </row>
    <row r="20" spans="1:8" x14ac:dyDescent="0.2">
      <c r="A20" s="12" t="e">
        <f>'NGS Run Record'!#REF!</f>
        <v>#REF!</v>
      </c>
      <c r="B20" s="12" t="e">
        <f>'NGS Run Record'!#REF!</f>
        <v>#REF!</v>
      </c>
      <c r="C20" s="12" t="e">
        <f>'NGS Run Record'!#REF!</f>
        <v>#REF!</v>
      </c>
      <c r="D20" s="12" t="e">
        <f>'NGS Run Record'!#REF!</f>
        <v>#REF!</v>
      </c>
      <c r="E20" s="12" t="e">
        <f>'NGS Run Record'!#REF!</f>
        <v>#REF!</v>
      </c>
      <c r="F20" s="12" t="e">
        <f>'NGS Run Record'!#REF!</f>
        <v>#REF!</v>
      </c>
      <c r="G20" s="12" t="e">
        <f>'NGS Run Record'!#REF!</f>
        <v>#REF!</v>
      </c>
      <c r="H20" s="12" t="e">
        <f t="shared" si="0"/>
        <v>#REF!</v>
      </c>
    </row>
    <row r="21" spans="1:8" x14ac:dyDescent="0.2">
      <c r="A21" s="12" t="e">
        <f>'NGS Run Record'!#REF!</f>
        <v>#REF!</v>
      </c>
      <c r="B21" s="12" t="e">
        <f>'NGS Run Record'!#REF!</f>
        <v>#REF!</v>
      </c>
      <c r="C21" s="12" t="e">
        <f>'NGS Run Record'!#REF!</f>
        <v>#REF!</v>
      </c>
      <c r="D21" s="12" t="e">
        <f>'NGS Run Record'!#REF!</f>
        <v>#REF!</v>
      </c>
      <c r="E21" s="12" t="e">
        <f>'NGS Run Record'!#REF!</f>
        <v>#REF!</v>
      </c>
      <c r="F21" s="12" t="e">
        <f>'NGS Run Record'!#REF!</f>
        <v>#REF!</v>
      </c>
      <c r="G21" s="12" t="e">
        <f>'NGS Run Record'!#REF!</f>
        <v>#REF!</v>
      </c>
      <c r="H21" s="12" t="e">
        <f t="shared" si="0"/>
        <v>#REF!</v>
      </c>
    </row>
    <row r="22" spans="1:8" x14ac:dyDescent="0.2">
      <c r="A22" s="12" t="e">
        <f>'NGS Run Record'!#REF!</f>
        <v>#REF!</v>
      </c>
      <c r="B22" s="12" t="e">
        <f>'NGS Run Record'!#REF!</f>
        <v>#REF!</v>
      </c>
      <c r="C22" s="12" t="e">
        <f>'NGS Run Record'!#REF!</f>
        <v>#REF!</v>
      </c>
      <c r="D22" s="12" t="e">
        <f>'NGS Run Record'!#REF!</f>
        <v>#REF!</v>
      </c>
      <c r="E22" s="12" t="e">
        <f>'NGS Run Record'!#REF!</f>
        <v>#REF!</v>
      </c>
      <c r="F22" s="12" t="e">
        <f>'NGS Run Record'!#REF!</f>
        <v>#REF!</v>
      </c>
      <c r="G22" s="12" t="e">
        <f>'NGS Run Record'!#REF!</f>
        <v>#REF!</v>
      </c>
      <c r="H22" s="12" t="e">
        <f t="shared" si="0"/>
        <v>#REF!</v>
      </c>
    </row>
    <row r="23" spans="1:8" x14ac:dyDescent="0.2">
      <c r="A23" s="12" t="e">
        <f>'NGS Run Record'!#REF!</f>
        <v>#REF!</v>
      </c>
      <c r="B23" s="12" t="e">
        <f>'NGS Run Record'!#REF!</f>
        <v>#REF!</v>
      </c>
      <c r="C23" s="12" t="e">
        <f>'NGS Run Record'!#REF!</f>
        <v>#REF!</v>
      </c>
      <c r="D23" s="12" t="e">
        <f>'NGS Run Record'!#REF!</f>
        <v>#REF!</v>
      </c>
      <c r="E23" s="12" t="e">
        <f>'NGS Run Record'!#REF!</f>
        <v>#REF!</v>
      </c>
      <c r="F23" s="12" t="e">
        <f>'NGS Run Record'!#REF!</f>
        <v>#REF!</v>
      </c>
      <c r="G23" s="12" t="e">
        <f>'NGS Run Record'!#REF!</f>
        <v>#REF!</v>
      </c>
      <c r="H23" s="12" t="e">
        <f t="shared" si="0"/>
        <v>#REF!</v>
      </c>
    </row>
    <row r="24" spans="1:8" x14ac:dyDescent="0.2">
      <c r="A24" s="12" t="e">
        <f>'NGS Run Record'!#REF!</f>
        <v>#REF!</v>
      </c>
      <c r="B24" s="12" t="e">
        <f>'NGS Run Record'!#REF!</f>
        <v>#REF!</v>
      </c>
      <c r="C24" s="12" t="e">
        <f>'NGS Run Record'!#REF!</f>
        <v>#REF!</v>
      </c>
      <c r="D24" s="12" t="e">
        <f>'NGS Run Record'!#REF!</f>
        <v>#REF!</v>
      </c>
      <c r="E24" s="12" t="e">
        <f>'NGS Run Record'!#REF!</f>
        <v>#REF!</v>
      </c>
      <c r="F24" s="12" t="e">
        <f>'NGS Run Record'!#REF!</f>
        <v>#REF!</v>
      </c>
      <c r="G24" s="12" t="e">
        <f>'NGS Run Record'!#REF!</f>
        <v>#REF!</v>
      </c>
      <c r="H24" s="12" t="e">
        <f t="shared" si="0"/>
        <v>#REF!</v>
      </c>
    </row>
    <row r="25" spans="1:8" x14ac:dyDescent="0.2">
      <c r="A25" s="12" t="e">
        <f>'NGS Run Record'!#REF!</f>
        <v>#REF!</v>
      </c>
      <c r="B25" s="12" t="e">
        <f>'NGS Run Record'!#REF!</f>
        <v>#REF!</v>
      </c>
      <c r="C25" s="12" t="e">
        <f>'NGS Run Record'!#REF!</f>
        <v>#REF!</v>
      </c>
      <c r="D25" s="12" t="e">
        <f>'NGS Run Record'!#REF!</f>
        <v>#REF!</v>
      </c>
      <c r="E25" s="12" t="e">
        <f>'NGS Run Record'!#REF!</f>
        <v>#REF!</v>
      </c>
      <c r="F25" s="12" t="e">
        <f>'NGS Run Record'!#REF!</f>
        <v>#REF!</v>
      </c>
      <c r="G25" s="12" t="e">
        <f>'NGS Run Record'!#REF!</f>
        <v>#REF!</v>
      </c>
      <c r="H25" s="12" t="e">
        <f t="shared" si="0"/>
        <v>#REF!</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A17"/>
  <sheetViews>
    <sheetView workbookViewId="0">
      <selection activeCell="D13" sqref="D13"/>
    </sheetView>
  </sheetViews>
  <sheetFormatPr defaultRowHeight="16.5" x14ac:dyDescent="0.3"/>
  <cols>
    <col min="1" max="1" width="30.7109375" customWidth="1"/>
  </cols>
  <sheetData>
    <row r="1" spans="1:1" x14ac:dyDescent="0.3">
      <c r="A1" t="str">
        <f>AssayID</f>
        <v>NGS-T4__CL</v>
      </c>
    </row>
    <row r="2" spans="1:1" x14ac:dyDescent="0.3">
      <c r="A2" t="str">
        <f>A1</f>
        <v>NGS-T4__CL</v>
      </c>
    </row>
    <row r="3" spans="1:1" x14ac:dyDescent="0.3">
      <c r="A3" t="str">
        <f t="shared" ref="A3:A17" si="0">A2</f>
        <v>NGS-T4__CL</v>
      </c>
    </row>
    <row r="4" spans="1:1" x14ac:dyDescent="0.3">
      <c r="A4" t="str">
        <f t="shared" si="0"/>
        <v>NGS-T4__CL</v>
      </c>
    </row>
    <row r="5" spans="1:1" x14ac:dyDescent="0.3">
      <c r="A5" t="str">
        <f t="shared" si="0"/>
        <v>NGS-T4__CL</v>
      </c>
    </row>
    <row r="6" spans="1:1" x14ac:dyDescent="0.3">
      <c r="A6" t="str">
        <f t="shared" si="0"/>
        <v>NGS-T4__CL</v>
      </c>
    </row>
    <row r="7" spans="1:1" x14ac:dyDescent="0.3">
      <c r="A7" t="str">
        <f t="shared" si="0"/>
        <v>NGS-T4__CL</v>
      </c>
    </row>
    <row r="8" spans="1:1" x14ac:dyDescent="0.3">
      <c r="A8" t="str">
        <f t="shared" si="0"/>
        <v>NGS-T4__CL</v>
      </c>
    </row>
    <row r="9" spans="1:1" x14ac:dyDescent="0.3">
      <c r="A9" t="str">
        <f t="shared" si="0"/>
        <v>NGS-T4__CL</v>
      </c>
    </row>
    <row r="10" spans="1:1" x14ac:dyDescent="0.3">
      <c r="A10" t="str">
        <f t="shared" si="0"/>
        <v>NGS-T4__CL</v>
      </c>
    </row>
    <row r="11" spans="1:1" x14ac:dyDescent="0.3">
      <c r="A11" t="str">
        <f t="shared" si="0"/>
        <v>NGS-T4__CL</v>
      </c>
    </row>
    <row r="12" spans="1:1" x14ac:dyDescent="0.3">
      <c r="A12" t="str">
        <f t="shared" si="0"/>
        <v>NGS-T4__CL</v>
      </c>
    </row>
    <row r="13" spans="1:1" x14ac:dyDescent="0.3">
      <c r="A13" t="str">
        <f t="shared" si="0"/>
        <v>NGS-T4__CL</v>
      </c>
    </row>
    <row r="14" spans="1:1" x14ac:dyDescent="0.3">
      <c r="A14" t="str">
        <f t="shared" si="0"/>
        <v>NGS-T4__CL</v>
      </c>
    </row>
    <row r="15" spans="1:1" x14ac:dyDescent="0.3">
      <c r="A15" t="str">
        <f>A14</f>
        <v>NGS-T4__CL</v>
      </c>
    </row>
    <row r="16" spans="1:1" x14ac:dyDescent="0.3">
      <c r="A16" t="str">
        <f t="shared" si="0"/>
        <v>NGS-T4__CL</v>
      </c>
    </row>
    <row r="17" spans="1:1" x14ac:dyDescent="0.3">
      <c r="A17" t="str">
        <f t="shared" si="0"/>
        <v>NGS-T4__CL</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D6"/>
  <sheetViews>
    <sheetView workbookViewId="0">
      <selection activeCell="D19" sqref="D19"/>
    </sheetView>
  </sheetViews>
  <sheetFormatPr defaultRowHeight="16.5" x14ac:dyDescent="0.3"/>
  <cols>
    <col min="1" max="1" width="9.85546875" bestFit="1" customWidth="1"/>
    <col min="2" max="3" width="18" customWidth="1"/>
    <col min="4" max="4" width="155.5703125" customWidth="1"/>
  </cols>
  <sheetData>
    <row r="1" spans="1:4" x14ac:dyDescent="0.3">
      <c r="A1" t="s">
        <v>253</v>
      </c>
      <c r="B1" t="s">
        <v>254</v>
      </c>
      <c r="C1" t="s">
        <v>255</v>
      </c>
      <c r="D1" t="s">
        <v>91</v>
      </c>
    </row>
    <row r="2" spans="1:4" x14ac:dyDescent="0.3">
      <c r="A2" s="181">
        <v>43455</v>
      </c>
      <c r="B2" t="s">
        <v>257</v>
      </c>
      <c r="C2" t="s">
        <v>256</v>
      </c>
      <c r="D2" t="s">
        <v>258</v>
      </c>
    </row>
    <row r="3" spans="1:4" x14ac:dyDescent="0.3">
      <c r="A3" s="181">
        <v>43542</v>
      </c>
      <c r="B3" t="s">
        <v>257</v>
      </c>
      <c r="C3" t="s">
        <v>260</v>
      </c>
      <c r="D3" t="s">
        <v>261</v>
      </c>
    </row>
    <row r="4" spans="1:4" x14ac:dyDescent="0.3">
      <c r="A4" s="181">
        <v>43544</v>
      </c>
      <c r="B4" t="s">
        <v>257</v>
      </c>
      <c r="C4" t="s">
        <v>262</v>
      </c>
      <c r="D4" t="s">
        <v>263</v>
      </c>
    </row>
    <row r="5" spans="1:4" x14ac:dyDescent="0.3">
      <c r="A5" s="181">
        <v>44155</v>
      </c>
      <c r="B5" t="s">
        <v>266</v>
      </c>
      <c r="C5" t="s">
        <v>267</v>
      </c>
      <c r="D5" t="s">
        <v>268</v>
      </c>
    </row>
    <row r="6" spans="1:4" x14ac:dyDescent="0.3">
      <c r="A6" s="181">
        <v>44491</v>
      </c>
      <c r="B6" t="s">
        <v>270</v>
      </c>
      <c r="C6" t="s">
        <v>267</v>
      </c>
      <c r="D6" t="s">
        <v>271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I2"/>
  <sheetViews>
    <sheetView workbookViewId="0">
      <selection activeCell="A2" sqref="A2:K7"/>
    </sheetView>
  </sheetViews>
  <sheetFormatPr defaultRowHeight="16.5" x14ac:dyDescent="0.3"/>
  <cols>
    <col min="1" max="1" width="1.85546875" customWidth="1"/>
    <col min="2" max="2" width="14.7109375" hidden="1" customWidth="1"/>
    <col min="3" max="3" width="7.28515625" bestFit="1" customWidth="1"/>
    <col min="4" max="4" width="10.5703125" bestFit="1" customWidth="1"/>
    <col min="5" max="5" width="11.5703125" bestFit="1" customWidth="1"/>
    <col min="6" max="6" width="16" bestFit="1" customWidth="1"/>
    <col min="7" max="7" width="8.42578125" bestFit="1" customWidth="1"/>
    <col min="8" max="8" width="16" bestFit="1" customWidth="1"/>
    <col min="9" max="9" width="10.28515625" bestFit="1" customWidth="1"/>
  </cols>
  <sheetData>
    <row r="1" spans="1:9" x14ac:dyDescent="0.3">
      <c r="A1" t="str">
        <f>Samples[[#Headers],['#]]</f>
        <v>#</v>
      </c>
      <c r="B1" t="str">
        <f>Samples[[#Headers],[Name]]</f>
        <v>Name</v>
      </c>
      <c r="C1" t="str">
        <f>Samples[[#Headers],[DNA '#]]</f>
        <v>DNA #</v>
      </c>
      <c r="D1" t="str">
        <f>Samples[[#Headers],[Storage Location]]</f>
        <v>Storage Location</v>
      </c>
      <c r="E1" t="str">
        <f>Samples[[#Headers],[Sample type]]</f>
        <v>Sample type</v>
      </c>
      <c r="F1" t="str">
        <f>Samples[[#Headers],[DNA Conc. (ng/µl )]]</f>
        <v>DNA Conc. (ng/µl )</v>
      </c>
      <c r="G1" t="str">
        <f>Samples[[#Headers],[A260/280]]</f>
        <v>A260/280</v>
      </c>
      <c r="H1" t="str">
        <f>Samples[[#Headers],[Index Combination]]</f>
        <v>Index Combination</v>
      </c>
      <c r="I1" t="str">
        <f>Samples[[#Headers],[Panel]]</f>
        <v>Panel</v>
      </c>
    </row>
    <row r="2" spans="1:9" x14ac:dyDescent="0.3">
      <c r="A2">
        <f>'NGS Run Record'!A41</f>
        <v>1</v>
      </c>
      <c r="B2" t="str">
        <f>'NGS Run Record'!B41</f>
        <v xml:space="preserve">, </v>
      </c>
      <c r="C2" t="str">
        <f>'NGS Run Record'!C41</f>
        <v>C00026B</v>
      </c>
      <c r="D2">
        <f>'NGS Run Record'!D41</f>
        <v>0</v>
      </c>
      <c r="E2" t="str">
        <f>'NGS Run Record'!E41</f>
        <v>DNA</v>
      </c>
      <c r="F2" t="str">
        <f ca="1">'NGS Run Record'!F41</f>
        <v>5.0</v>
      </c>
      <c r="G2">
        <f>'NGS Run Record'!G41</f>
        <v>0</v>
      </c>
      <c r="H2" t="str">
        <f>'NGS Run Record'!H41</f>
        <v>/</v>
      </c>
      <c r="I2" t="str">
        <f>'NGS Run Record'!I41</f>
        <v>NGS Heme</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I5"/>
  <sheetViews>
    <sheetView workbookViewId="0">
      <selection activeCell="F29" sqref="F29"/>
    </sheetView>
  </sheetViews>
  <sheetFormatPr defaultRowHeight="16.5" x14ac:dyDescent="0.3"/>
  <cols>
    <col min="1" max="1" width="2" bestFit="1" customWidth="1"/>
    <col min="2" max="2" width="26" bestFit="1" customWidth="1"/>
    <col min="3" max="3" width="15.85546875" bestFit="1" customWidth="1"/>
    <col min="4" max="4" width="16.7109375" bestFit="1" customWidth="1"/>
    <col min="5" max="5" width="11.5703125" bestFit="1" customWidth="1"/>
    <col min="6" max="6" width="16" bestFit="1" customWidth="1"/>
    <col min="7" max="7" width="8.42578125" bestFit="1" customWidth="1"/>
    <col min="8" max="8" width="16" bestFit="1" customWidth="1"/>
    <col min="9" max="9" width="15.42578125" bestFit="1" customWidth="1"/>
  </cols>
  <sheetData>
    <row r="1" spans="1:9" x14ac:dyDescent="0.3">
      <c r="A1" t="s">
        <v>111</v>
      </c>
      <c r="B1" t="s">
        <v>29</v>
      </c>
      <c r="C1" t="s">
        <v>112</v>
      </c>
      <c r="D1" t="s">
        <v>308</v>
      </c>
      <c r="E1" t="s">
        <v>87</v>
      </c>
      <c r="F1" t="s">
        <v>88</v>
      </c>
      <c r="G1" t="s">
        <v>89</v>
      </c>
      <c r="H1" t="s">
        <v>167</v>
      </c>
      <c r="I1" t="s">
        <v>163</v>
      </c>
    </row>
    <row r="2" spans="1:9" x14ac:dyDescent="0.3">
      <c r="A2">
        <v>2</v>
      </c>
      <c r="B2" t="s">
        <v>304</v>
      </c>
      <c r="C2" t="s">
        <v>276</v>
      </c>
      <c r="D2" t="s">
        <v>275</v>
      </c>
      <c r="E2" t="s">
        <v>278</v>
      </c>
      <c r="F2" t="s">
        <v>281</v>
      </c>
      <c r="G2">
        <v>0</v>
      </c>
      <c r="H2" t="s">
        <v>303</v>
      </c>
      <c r="I2" t="s">
        <v>301</v>
      </c>
    </row>
    <row r="3" spans="1:9" x14ac:dyDescent="0.3">
      <c r="A3">
        <v>4</v>
      </c>
      <c r="B3" t="s">
        <v>305</v>
      </c>
      <c r="C3" t="s">
        <v>328</v>
      </c>
      <c r="D3" t="s">
        <v>288</v>
      </c>
      <c r="E3" t="s">
        <v>289</v>
      </c>
      <c r="F3">
        <v>205.8</v>
      </c>
      <c r="G3">
        <v>2</v>
      </c>
      <c r="H3" t="s">
        <v>303</v>
      </c>
      <c r="I3" t="s">
        <v>301</v>
      </c>
    </row>
    <row r="4" spans="1:9" x14ac:dyDescent="0.3">
      <c r="A4">
        <v>5</v>
      </c>
      <c r="B4" t="s">
        <v>306</v>
      </c>
      <c r="C4" t="s">
        <v>329</v>
      </c>
      <c r="D4" t="s">
        <v>293</v>
      </c>
      <c r="E4" t="s">
        <v>289</v>
      </c>
      <c r="F4">
        <v>24</v>
      </c>
      <c r="G4">
        <v>1.8</v>
      </c>
      <c r="H4" t="s">
        <v>303</v>
      </c>
      <c r="I4" t="s">
        <v>301</v>
      </c>
    </row>
    <row r="5" spans="1:9" x14ac:dyDescent="0.3">
      <c r="A5">
        <v>6</v>
      </c>
      <c r="B5" t="s">
        <v>307</v>
      </c>
      <c r="C5" t="s">
        <v>330</v>
      </c>
      <c r="D5" t="s">
        <v>296</v>
      </c>
      <c r="E5" t="s">
        <v>289</v>
      </c>
      <c r="F5">
        <v>29</v>
      </c>
      <c r="G5">
        <v>1.9</v>
      </c>
      <c r="H5" t="s">
        <v>303</v>
      </c>
      <c r="I5" t="s">
        <v>301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I2"/>
  <sheetViews>
    <sheetView workbookViewId="0">
      <selection activeCell="B3" sqref="B3"/>
    </sheetView>
  </sheetViews>
  <sheetFormatPr defaultRowHeight="16.5" x14ac:dyDescent="0.3"/>
  <cols>
    <col min="1" max="1" width="2" bestFit="1" customWidth="1"/>
    <col min="2" max="2" width="23.85546875" bestFit="1" customWidth="1"/>
    <col min="3" max="3" width="8.42578125" bestFit="1" customWidth="1"/>
    <col min="4" max="4" width="16.7109375" bestFit="1" customWidth="1"/>
    <col min="5" max="5" width="10.7109375" bestFit="1" customWidth="1"/>
    <col min="6" max="6" width="16" bestFit="1" customWidth="1"/>
    <col min="7" max="7" width="8.42578125" bestFit="1" customWidth="1"/>
    <col min="8" max="8" width="16" bestFit="1" customWidth="1"/>
    <col min="9" max="9" width="15.42578125" bestFit="1" customWidth="1"/>
  </cols>
  <sheetData>
    <row r="1" spans="1:9" x14ac:dyDescent="0.3">
      <c r="A1" t="s">
        <v>111</v>
      </c>
      <c r="B1" t="s">
        <v>29</v>
      </c>
      <c r="C1" t="s">
        <v>112</v>
      </c>
      <c r="D1" t="s">
        <v>308</v>
      </c>
      <c r="E1" t="s">
        <v>87</v>
      </c>
      <c r="F1" t="s">
        <v>88</v>
      </c>
      <c r="G1" t="s">
        <v>89</v>
      </c>
      <c r="H1" t="s">
        <v>167</v>
      </c>
      <c r="I1" t="s">
        <v>163</v>
      </c>
    </row>
    <row r="2" spans="1:9" x14ac:dyDescent="0.3">
      <c r="A2">
        <v>3</v>
      </c>
      <c r="B2" t="s">
        <v>304</v>
      </c>
      <c r="C2" t="s">
        <v>284</v>
      </c>
      <c r="D2" t="s">
        <v>275</v>
      </c>
      <c r="E2" t="s">
        <v>299</v>
      </c>
      <c r="F2" t="s">
        <v>281</v>
      </c>
      <c r="G2">
        <v>0</v>
      </c>
      <c r="H2" t="s">
        <v>303</v>
      </c>
      <c r="I2" t="s">
        <v>302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dimension ref="A1:I18"/>
  <sheetViews>
    <sheetView workbookViewId="0">
      <selection activeCell="H18" sqref="H18"/>
    </sheetView>
  </sheetViews>
  <sheetFormatPr defaultRowHeight="16.5" x14ac:dyDescent="0.3"/>
  <cols>
    <col min="1" max="1" width="3" bestFit="1" customWidth="1"/>
    <col min="2" max="2" width="5.85546875" bestFit="1" customWidth="1"/>
    <col min="3" max="3" width="8.42578125" bestFit="1" customWidth="1"/>
    <col min="4" max="4" width="14.5703125" bestFit="1" customWidth="1"/>
    <col min="5" max="5" width="11.5703125" bestFit="1" customWidth="1"/>
    <col min="6" max="6" width="16" bestFit="1" customWidth="1"/>
    <col min="7" max="7" width="8.42578125" bestFit="1" customWidth="1"/>
    <col min="8" max="8" width="16" bestFit="1" customWidth="1"/>
    <col min="9" max="9" width="10.140625" bestFit="1" customWidth="1"/>
  </cols>
  <sheetData>
    <row r="1" spans="1:9" x14ac:dyDescent="0.3">
      <c r="A1" t="str">
        <f>Samples[[#Headers],['#]]</f>
        <v>#</v>
      </c>
      <c r="B1" t="str">
        <f>Samples[[#Headers],[Name]]</f>
        <v>Name</v>
      </c>
      <c r="C1" t="str">
        <f>Samples[[#Headers],[DNA '#]]</f>
        <v>DNA #</v>
      </c>
      <c r="D1" t="str">
        <f>Samples[[#Headers],[Storage Location]]</f>
        <v>Storage Location</v>
      </c>
      <c r="E1" t="str">
        <f>Samples[[#Headers],[Sample type]]</f>
        <v>Sample type</v>
      </c>
      <c r="F1" t="str">
        <f>Samples[[#Headers],[DNA Conc. (ng/µl )]]</f>
        <v>DNA Conc. (ng/µl )</v>
      </c>
      <c r="G1" t="str">
        <f>Samples[[#Headers],[A260/280]]</f>
        <v>A260/280</v>
      </c>
      <c r="H1" t="str">
        <f>Samples[[#Headers],[Index Combination]]</f>
        <v>Index Combination</v>
      </c>
      <c r="I1" t="str">
        <f>Samples[[#Headers],[Panel]]</f>
        <v>Panel</v>
      </c>
    </row>
    <row r="2" spans="1:9" x14ac:dyDescent="0.3">
      <c r="A2">
        <f>'NGS Run Record'!A41</f>
        <v>1</v>
      </c>
      <c r="B2" t="str">
        <f>'NGS Run Record'!B41</f>
        <v xml:space="preserve">, </v>
      </c>
      <c r="C2" t="str">
        <f>'NGS Run Record'!C41</f>
        <v>C00026B</v>
      </c>
      <c r="D2">
        <f>'NGS Run Record'!D41</f>
        <v>0</v>
      </c>
      <c r="E2" t="str">
        <f>'NGS Run Record'!E41</f>
        <v>DNA</v>
      </c>
      <c r="F2" t="str">
        <f ca="1">'NGS Run Record'!F41</f>
        <v>5.0</v>
      </c>
      <c r="G2">
        <f>'NGS Run Record'!G41</f>
        <v>0</v>
      </c>
      <c r="H2" t="str">
        <f>'NGS Run Record'!H41</f>
        <v>/</v>
      </c>
      <c r="I2" t="str">
        <f>'NGS Run Record'!I41</f>
        <v>NGS Heme</v>
      </c>
    </row>
    <row r="3" spans="1:9" x14ac:dyDescent="0.3">
      <c r="A3">
        <f>'NGS Run Record'!A42</f>
        <v>2</v>
      </c>
      <c r="B3" t="str">
        <f ca="1">'NGS Run Record'!B42</f>
        <v xml:space="preserve">, </v>
      </c>
      <c r="C3" t="str">
        <f ca="1">'NGS Run Record'!C42</f>
        <v>S1</v>
      </c>
      <c r="D3">
        <f>'NGS Run Record'!D42</f>
        <v>0</v>
      </c>
      <c r="E3" t="str">
        <f ca="1">'NGS Run Record'!E42</f>
        <v>DNA</v>
      </c>
      <c r="F3" t="str">
        <f ca="1">'NGS Run Record'!F42</f>
        <v>40</v>
      </c>
      <c r="G3" t="str">
        <f ca="1">'NGS Run Record'!G42</f>
        <v>1.8</v>
      </c>
      <c r="H3" t="str">
        <f ca="1">'NGS Run Record'!H42</f>
        <v>/</v>
      </c>
      <c r="I3" t="str">
        <f>'NGS Run Record'!I42</f>
        <v>NGS Heme</v>
      </c>
    </row>
    <row r="4" spans="1:9" x14ac:dyDescent="0.3">
      <c r="A4">
        <f>'NGS Run Record'!A43</f>
        <v>3</v>
      </c>
      <c r="B4" t="str">
        <f ca="1">'NGS Run Record'!B43</f>
        <v xml:space="preserve">, </v>
      </c>
      <c r="C4" t="str">
        <f ca="1">'NGS Run Record'!C43</f>
        <v>S2</v>
      </c>
      <c r="D4">
        <f>'NGS Run Record'!D43</f>
        <v>0</v>
      </c>
      <c r="E4" t="str">
        <f ca="1">'NGS Run Record'!E43</f>
        <v>FFPE</v>
      </c>
      <c r="F4" t="str">
        <f ca="1">'NGS Run Record'!F43</f>
        <v>50</v>
      </c>
      <c r="G4" t="str">
        <f ca="1">'NGS Run Record'!G43</f>
        <v>1.8</v>
      </c>
      <c r="H4" t="str">
        <f ca="1">'NGS Run Record'!H43</f>
        <v>/</v>
      </c>
      <c r="I4" t="str">
        <f>'NGS Run Record'!I43</f>
        <v>NGS Heme</v>
      </c>
    </row>
    <row r="5" spans="1:9" x14ac:dyDescent="0.3">
      <c r="A5">
        <f>'NGS Run Record'!A44</f>
        <v>4</v>
      </c>
      <c r="B5" t="str">
        <f ca="1">'NGS Run Record'!B44</f>
        <v xml:space="preserve">, </v>
      </c>
      <c r="C5" t="str">
        <f ca="1">'NGS Run Record'!C44</f>
        <v>S3</v>
      </c>
      <c r="D5">
        <f>'NGS Run Record'!D44</f>
        <v>0</v>
      </c>
      <c r="E5" t="str">
        <f ca="1">'NGS Run Record'!E44</f>
        <v>Bone Marrow</v>
      </c>
      <c r="F5" t="str">
        <f ca="1">'NGS Run Record'!F44</f>
        <v>60</v>
      </c>
      <c r="G5">
        <f ca="1">'NGS Run Record'!G44</f>
        <v>2</v>
      </c>
      <c r="H5" t="str">
        <f ca="1">'NGS Run Record'!H44</f>
        <v>/</v>
      </c>
      <c r="I5" t="str">
        <f>'NGS Run Record'!I44</f>
        <v>NGS Heme</v>
      </c>
    </row>
    <row r="6" spans="1:9" x14ac:dyDescent="0.3">
      <c r="A6">
        <f>'NGS Run Record'!A45</f>
        <v>5</v>
      </c>
      <c r="B6" t="str">
        <f ca="1">'NGS Run Record'!B45</f>
        <v xml:space="preserve">, </v>
      </c>
      <c r="C6" t="str">
        <f ca="1">'NGS Run Record'!C45</f>
        <v>S4</v>
      </c>
      <c r="D6">
        <f>'NGS Run Record'!D45</f>
        <v>0</v>
      </c>
      <c r="E6" t="str">
        <f ca="1">'NGS Run Record'!E45</f>
        <v>Bone Marrow</v>
      </c>
      <c r="F6" t="str">
        <f ca="1">'NGS Run Record'!F45</f>
        <v>70</v>
      </c>
      <c r="G6">
        <f ca="1">'NGS Run Record'!G45</f>
        <v>1.8</v>
      </c>
      <c r="H6" t="str">
        <f ca="1">'NGS Run Record'!H45</f>
        <v>/</v>
      </c>
      <c r="I6" t="str">
        <f>'NGS Run Record'!I45</f>
        <v>NGS Heme</v>
      </c>
    </row>
    <row r="7" spans="1:9" x14ac:dyDescent="0.3">
      <c r="A7">
        <f>'NGS Run Record'!A46</f>
        <v>6</v>
      </c>
      <c r="B7" t="str">
        <f ca="1">'NGS Run Record'!B46</f>
        <v xml:space="preserve">, </v>
      </c>
      <c r="C7" t="str">
        <f ca="1">'NGS Run Record'!C46</f>
        <v>S5</v>
      </c>
      <c r="D7">
        <f>'NGS Run Record'!D46</f>
        <v>0</v>
      </c>
      <c r="E7" t="str">
        <f ca="1">'NGS Run Record'!E46</f>
        <v>Bone Marrow</v>
      </c>
      <c r="F7" t="str">
        <f ca="1">'NGS Run Record'!F46</f>
        <v>80</v>
      </c>
      <c r="G7">
        <f ca="1">'NGS Run Record'!G46</f>
        <v>1.9</v>
      </c>
      <c r="H7" t="str">
        <f ca="1">'NGS Run Record'!H46</f>
        <v>/</v>
      </c>
      <c r="I7" t="str">
        <f>'NGS Run Record'!I46</f>
        <v>NGS Heme</v>
      </c>
    </row>
    <row r="8" spans="1:9" x14ac:dyDescent="0.3">
      <c r="A8">
        <f>'NGS Run Record'!A47</f>
        <v>7</v>
      </c>
      <c r="B8" t="str">
        <f ca="1">'NGS Run Record'!B47</f>
        <v xml:space="preserve">, </v>
      </c>
      <c r="C8" t="str">
        <f ca="1">'NGS Run Record'!C47</f>
        <v>S6</v>
      </c>
      <c r="D8">
        <f>'NGS Run Record'!D47</f>
        <v>0</v>
      </c>
      <c r="E8" t="str">
        <f ca="1">'NGS Run Record'!E47</f>
        <v>Blood</v>
      </c>
      <c r="F8" t="str">
        <f ca="1">'NGS Run Record'!F47</f>
        <v>90</v>
      </c>
      <c r="G8" t="str">
        <f ca="1">'NGS Run Record'!G47</f>
        <v>1.8</v>
      </c>
      <c r="H8" t="str">
        <f ca="1">'NGS Run Record'!H47</f>
        <v>/</v>
      </c>
      <c r="I8" t="str">
        <f>'NGS Run Record'!I47</f>
        <v>NGS Heme</v>
      </c>
    </row>
    <row r="9" spans="1:9" x14ac:dyDescent="0.3">
      <c r="A9">
        <f>'NGS Run Record'!A48</f>
        <v>8</v>
      </c>
      <c r="B9" t="str">
        <f ca="1">'NGS Run Record'!B48</f>
        <v xml:space="preserve">, </v>
      </c>
      <c r="C9" t="str">
        <f ca="1">'NGS Run Record'!C48</f>
        <v>S7</v>
      </c>
      <c r="D9">
        <f>'NGS Run Record'!D48</f>
        <v>0</v>
      </c>
      <c r="E9" t="str">
        <f ca="1">'NGS Run Record'!E48</f>
        <v>Blood</v>
      </c>
      <c r="F9" t="str">
        <f ca="1">'NGS Run Record'!F48</f>
        <v>100</v>
      </c>
      <c r="G9" t="str">
        <f ca="1">'NGS Run Record'!G48</f>
        <v>1.9</v>
      </c>
      <c r="H9" t="str">
        <f ca="1">'NGS Run Record'!H48</f>
        <v>/</v>
      </c>
      <c r="I9" t="str">
        <f>'NGS Run Record'!I48</f>
        <v>NGS Heme</v>
      </c>
    </row>
    <row r="10" spans="1:9" x14ac:dyDescent="0.3">
      <c r="A10">
        <f>'NGS Run Record'!A49</f>
        <v>9</v>
      </c>
      <c r="B10" t="str">
        <f ca="1">'NGS Run Record'!B49</f>
        <v xml:space="preserve">, </v>
      </c>
      <c r="C10" t="str">
        <f ca="1">'NGS Run Record'!C49</f>
        <v>S8</v>
      </c>
      <c r="D10">
        <f>'NGS Run Record'!D49</f>
        <v>0</v>
      </c>
      <c r="E10" t="str">
        <f ca="1">'NGS Run Record'!E49</f>
        <v>Blood</v>
      </c>
      <c r="F10" t="str">
        <f ca="1">'NGS Run Record'!F49</f>
        <v>110</v>
      </c>
      <c r="G10" t="str">
        <f ca="1">'NGS Run Record'!G49</f>
        <v>1.9</v>
      </c>
      <c r="H10" t="str">
        <f ca="1">'NGS Run Record'!H49</f>
        <v>/</v>
      </c>
      <c r="I10" t="str">
        <f>'NGS Run Record'!I49</f>
        <v>NGS Heme</v>
      </c>
    </row>
    <row r="11" spans="1:9" x14ac:dyDescent="0.3">
      <c r="A11">
        <f>'NGS Run Record'!A50</f>
        <v>10</v>
      </c>
      <c r="B11" t="str">
        <f ca="1">'NGS Run Record'!B50</f>
        <v/>
      </c>
      <c r="C11" t="str">
        <f ca="1">'NGS Run Record'!C50</f>
        <v/>
      </c>
      <c r="D11">
        <f>'NGS Run Record'!D50</f>
        <v>0</v>
      </c>
      <c r="E11" t="str">
        <f ca="1">'NGS Run Record'!E50</f>
        <v/>
      </c>
      <c r="F11" t="str">
        <f ca="1">'NGS Run Record'!F50</f>
        <v/>
      </c>
      <c r="G11" t="str">
        <f ca="1">'NGS Run Record'!G50</f>
        <v/>
      </c>
      <c r="H11" t="str">
        <f ca="1">'NGS Run Record'!H50</f>
        <v/>
      </c>
      <c r="I11">
        <f>'NGS Run Record'!I50</f>
        <v>0</v>
      </c>
    </row>
    <row r="12" spans="1:9" x14ac:dyDescent="0.3">
      <c r="A12">
        <f>'NGS Run Record'!A51</f>
        <v>11</v>
      </c>
      <c r="B12" t="str">
        <f ca="1">'NGS Run Record'!B51</f>
        <v/>
      </c>
      <c r="C12" t="str">
        <f ca="1">'NGS Run Record'!C51</f>
        <v/>
      </c>
      <c r="D12">
        <f>'NGS Run Record'!D51</f>
        <v>0</v>
      </c>
      <c r="E12" t="str">
        <f ca="1">'NGS Run Record'!E51</f>
        <v/>
      </c>
      <c r="F12" t="str">
        <f ca="1">'NGS Run Record'!F51</f>
        <v/>
      </c>
      <c r="G12" t="str">
        <f ca="1">'NGS Run Record'!G51</f>
        <v/>
      </c>
      <c r="H12" t="str">
        <f ca="1">'NGS Run Record'!H51</f>
        <v/>
      </c>
      <c r="I12">
        <f>'NGS Run Record'!I51</f>
        <v>0</v>
      </c>
    </row>
    <row r="13" spans="1:9" x14ac:dyDescent="0.3">
      <c r="A13">
        <f>'NGS Run Record'!A52</f>
        <v>12</v>
      </c>
      <c r="B13" t="str">
        <f ca="1">'NGS Run Record'!B52</f>
        <v/>
      </c>
      <c r="C13" t="str">
        <f ca="1">'NGS Run Record'!C52</f>
        <v/>
      </c>
      <c r="D13">
        <f>'NGS Run Record'!D52</f>
        <v>0</v>
      </c>
      <c r="E13" t="str">
        <f ca="1">'NGS Run Record'!E52</f>
        <v/>
      </c>
      <c r="F13" t="str">
        <f ca="1">'NGS Run Record'!F52</f>
        <v/>
      </c>
      <c r="G13" t="str">
        <f ca="1">'NGS Run Record'!G52</f>
        <v/>
      </c>
      <c r="H13" t="str">
        <f ca="1">'NGS Run Record'!H52</f>
        <v/>
      </c>
      <c r="I13">
        <f>'NGS Run Record'!I52</f>
        <v>0</v>
      </c>
    </row>
    <row r="14" spans="1:9" x14ac:dyDescent="0.3">
      <c r="A14">
        <f>'NGS Run Record'!A53</f>
        <v>13</v>
      </c>
      <c r="B14" t="str">
        <f ca="1">'NGS Run Record'!B53</f>
        <v/>
      </c>
      <c r="C14" t="str">
        <f ca="1">'NGS Run Record'!C53</f>
        <v/>
      </c>
      <c r="D14">
        <f>'NGS Run Record'!D53</f>
        <v>0</v>
      </c>
      <c r="E14" t="str">
        <f ca="1">'NGS Run Record'!E53</f>
        <v/>
      </c>
      <c r="F14" t="str">
        <f ca="1">'NGS Run Record'!F53</f>
        <v/>
      </c>
      <c r="G14" t="str">
        <f ca="1">'NGS Run Record'!G53</f>
        <v/>
      </c>
      <c r="H14" t="str">
        <f ca="1">'NGS Run Record'!H53</f>
        <v/>
      </c>
      <c r="I14">
        <f>'NGS Run Record'!I53</f>
        <v>0</v>
      </c>
    </row>
    <row r="15" spans="1:9" x14ac:dyDescent="0.3">
      <c r="A15">
        <f>'NGS Run Record'!A54</f>
        <v>14</v>
      </c>
      <c r="B15" t="str">
        <f ca="1">'NGS Run Record'!B54</f>
        <v/>
      </c>
      <c r="C15" t="str">
        <f ca="1">'NGS Run Record'!C54</f>
        <v/>
      </c>
      <c r="D15">
        <f>'NGS Run Record'!D54</f>
        <v>0</v>
      </c>
      <c r="E15" t="str">
        <f ca="1">'NGS Run Record'!E54</f>
        <v/>
      </c>
      <c r="F15" t="str">
        <f ca="1">'NGS Run Record'!F54</f>
        <v/>
      </c>
      <c r="G15" t="str">
        <f ca="1">'NGS Run Record'!G54</f>
        <v/>
      </c>
      <c r="H15" t="str">
        <f ca="1">'NGS Run Record'!H54</f>
        <v/>
      </c>
      <c r="I15">
        <f>'NGS Run Record'!I54</f>
        <v>0</v>
      </c>
    </row>
    <row r="16" spans="1:9" x14ac:dyDescent="0.3">
      <c r="A16">
        <f>'NGS Run Record'!A55</f>
        <v>15</v>
      </c>
      <c r="B16" t="str">
        <f ca="1">'NGS Run Record'!B55</f>
        <v/>
      </c>
      <c r="C16" t="str">
        <f ca="1">'NGS Run Record'!C55</f>
        <v/>
      </c>
      <c r="D16">
        <f>'NGS Run Record'!D55</f>
        <v>0</v>
      </c>
      <c r="E16" t="str">
        <f ca="1">'NGS Run Record'!E55</f>
        <v/>
      </c>
      <c r="F16" t="str">
        <f ca="1">'NGS Run Record'!F55</f>
        <v/>
      </c>
      <c r="G16" t="str">
        <f ca="1">'NGS Run Record'!G55</f>
        <v/>
      </c>
      <c r="H16" t="str">
        <f ca="1">'NGS Run Record'!H55</f>
        <v/>
      </c>
      <c r="I16">
        <f>'NGS Run Record'!I55</f>
        <v>0</v>
      </c>
    </row>
    <row r="17" spans="1:9" x14ac:dyDescent="0.3">
      <c r="A17">
        <f>'NGS Run Record'!A56</f>
        <v>16</v>
      </c>
      <c r="B17" t="str">
        <f ca="1">'NGS Run Record'!B56</f>
        <v/>
      </c>
      <c r="C17" t="str">
        <f ca="1">'NGS Run Record'!C56</f>
        <v/>
      </c>
      <c r="D17">
        <f>'NGS Run Record'!D56</f>
        <v>0</v>
      </c>
      <c r="E17" t="str">
        <f ca="1">'NGS Run Record'!E56</f>
        <v/>
      </c>
      <c r="F17" t="str">
        <f ca="1">'NGS Run Record'!F56</f>
        <v/>
      </c>
      <c r="G17" t="str">
        <f ca="1">'NGS Run Record'!G56</f>
        <v/>
      </c>
      <c r="H17" t="str">
        <f ca="1">'NGS Run Record'!H56</f>
        <v/>
      </c>
      <c r="I17">
        <f>'NGS Run Record'!I56</f>
        <v>0</v>
      </c>
    </row>
    <row r="18" spans="1:9" x14ac:dyDescent="0.3">
      <c r="A18">
        <f>'NGS Run Record'!A57</f>
        <v>17</v>
      </c>
      <c r="B18" t="str">
        <f ca="1">'NGS Run Record'!B57</f>
        <v/>
      </c>
      <c r="C18" t="str">
        <f ca="1">'NGS Run Record'!C57</f>
        <v/>
      </c>
      <c r="D18">
        <f>'NGS Run Record'!D57</f>
        <v>0</v>
      </c>
      <c r="E18" t="str">
        <f ca="1">'NGS Run Record'!E57</f>
        <v/>
      </c>
      <c r="F18" t="str">
        <f ca="1">'NGS Run Record'!F57</f>
        <v/>
      </c>
      <c r="G18" t="str">
        <f ca="1">'NGS Run Record'!G57</f>
        <v/>
      </c>
      <c r="H18" t="str">
        <f ca="1">'NGS Run Record'!H57</f>
        <v/>
      </c>
      <c r="I18">
        <f>'NGS Run Record'!I57</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4"/>
  <dimension ref="A1:I35"/>
  <sheetViews>
    <sheetView workbookViewId="0"/>
  </sheetViews>
  <sheetFormatPr defaultRowHeight="16.5" x14ac:dyDescent="0.3"/>
  <cols>
    <col min="1" max="1" width="3" bestFit="1" customWidth="1"/>
    <col min="2" max="2" width="5.85546875" bestFit="1" customWidth="1"/>
    <col min="3" max="3" width="6" bestFit="1" customWidth="1"/>
    <col min="4" max="4" width="14.5703125" bestFit="1" customWidth="1"/>
    <col min="5" max="5" width="10.7109375" bestFit="1" customWidth="1"/>
    <col min="6" max="6" width="16" bestFit="1" customWidth="1"/>
    <col min="7" max="7" width="8.42578125" bestFit="1" customWidth="1"/>
    <col min="8" max="8" width="16" bestFit="1" customWidth="1"/>
    <col min="9" max="9" width="5.5703125" bestFit="1" customWidth="1"/>
  </cols>
  <sheetData>
    <row r="1" spans="1:9" x14ac:dyDescent="0.3">
      <c r="A1" t="s">
        <v>111</v>
      </c>
      <c r="B1" t="s">
        <v>29</v>
      </c>
      <c r="C1" t="s">
        <v>112</v>
      </c>
      <c r="D1" t="s">
        <v>308</v>
      </c>
      <c r="E1" t="s">
        <v>87</v>
      </c>
      <c r="F1" t="s">
        <v>88</v>
      </c>
      <c r="G1" t="s">
        <v>89</v>
      </c>
      <c r="H1" t="s">
        <v>167</v>
      </c>
      <c r="I1" t="s">
        <v>163</v>
      </c>
    </row>
    <row r="2" spans="1:9" x14ac:dyDescent="0.3">
      <c r="A2">
        <v>10</v>
      </c>
      <c r="B2" t="s">
        <v>239</v>
      </c>
      <c r="C2" t="s">
        <v>239</v>
      </c>
      <c r="D2">
        <v>0</v>
      </c>
      <c r="E2" t="s">
        <v>239</v>
      </c>
      <c r="F2" t="s">
        <v>239</v>
      </c>
      <c r="G2" t="s">
        <v>239</v>
      </c>
      <c r="H2" t="s">
        <v>239</v>
      </c>
      <c r="I2">
        <v>0</v>
      </c>
    </row>
    <row r="3" spans="1:9" x14ac:dyDescent="0.3">
      <c r="A3">
        <v>11</v>
      </c>
      <c r="B3" t="s">
        <v>239</v>
      </c>
      <c r="C3" t="s">
        <v>239</v>
      </c>
      <c r="D3">
        <v>0</v>
      </c>
      <c r="E3" t="s">
        <v>239</v>
      </c>
      <c r="F3" t="s">
        <v>239</v>
      </c>
      <c r="G3" t="s">
        <v>239</v>
      </c>
      <c r="H3" t="s">
        <v>239</v>
      </c>
      <c r="I3">
        <v>0</v>
      </c>
    </row>
    <row r="4" spans="1:9" x14ac:dyDescent="0.3">
      <c r="A4">
        <v>12</v>
      </c>
      <c r="B4" t="s">
        <v>239</v>
      </c>
      <c r="C4" t="s">
        <v>239</v>
      </c>
      <c r="D4">
        <v>0</v>
      </c>
      <c r="E4" t="s">
        <v>239</v>
      </c>
      <c r="F4" t="s">
        <v>239</v>
      </c>
      <c r="G4" t="s">
        <v>239</v>
      </c>
      <c r="H4" t="s">
        <v>239</v>
      </c>
      <c r="I4">
        <v>0</v>
      </c>
    </row>
    <row r="5" spans="1:9" x14ac:dyDescent="0.3">
      <c r="A5">
        <v>13</v>
      </c>
      <c r="B5" t="s">
        <v>239</v>
      </c>
      <c r="C5" t="s">
        <v>239</v>
      </c>
      <c r="D5">
        <v>0</v>
      </c>
      <c r="E5" t="s">
        <v>239</v>
      </c>
      <c r="F5" t="s">
        <v>239</v>
      </c>
      <c r="G5" t="s">
        <v>239</v>
      </c>
      <c r="H5" t="s">
        <v>239</v>
      </c>
      <c r="I5">
        <v>0</v>
      </c>
    </row>
    <row r="6" spans="1:9" x14ac:dyDescent="0.3">
      <c r="A6">
        <v>14</v>
      </c>
      <c r="B6" t="s">
        <v>239</v>
      </c>
      <c r="C6" t="s">
        <v>239</v>
      </c>
      <c r="D6">
        <v>0</v>
      </c>
      <c r="E6" t="s">
        <v>239</v>
      </c>
      <c r="F6" t="s">
        <v>239</v>
      </c>
      <c r="G6" t="s">
        <v>239</v>
      </c>
      <c r="H6" t="s">
        <v>239</v>
      </c>
      <c r="I6">
        <v>0</v>
      </c>
    </row>
    <row r="7" spans="1:9" x14ac:dyDescent="0.3">
      <c r="A7">
        <v>15</v>
      </c>
      <c r="B7" t="s">
        <v>239</v>
      </c>
      <c r="C7" t="s">
        <v>239</v>
      </c>
      <c r="D7">
        <v>0</v>
      </c>
      <c r="E7" t="s">
        <v>239</v>
      </c>
      <c r="F7" t="s">
        <v>239</v>
      </c>
      <c r="G7" t="s">
        <v>239</v>
      </c>
      <c r="H7" t="s">
        <v>239</v>
      </c>
      <c r="I7">
        <v>0</v>
      </c>
    </row>
    <row r="8" spans="1:9" x14ac:dyDescent="0.3">
      <c r="A8">
        <v>16</v>
      </c>
      <c r="B8" t="s">
        <v>239</v>
      </c>
      <c r="C8" t="s">
        <v>239</v>
      </c>
      <c r="D8">
        <v>0</v>
      </c>
      <c r="E8" t="s">
        <v>239</v>
      </c>
      <c r="F8" t="s">
        <v>239</v>
      </c>
      <c r="G8" t="s">
        <v>239</v>
      </c>
      <c r="H8" t="s">
        <v>239</v>
      </c>
      <c r="I8">
        <v>0</v>
      </c>
    </row>
    <row r="9" spans="1:9" x14ac:dyDescent="0.3">
      <c r="A9">
        <v>17</v>
      </c>
      <c r="B9" t="s">
        <v>239</v>
      </c>
      <c r="C9" t="s">
        <v>239</v>
      </c>
      <c r="D9">
        <v>0</v>
      </c>
      <c r="E9" t="s">
        <v>239</v>
      </c>
      <c r="F9" t="s">
        <v>239</v>
      </c>
      <c r="G9" t="s">
        <v>239</v>
      </c>
      <c r="H9" t="s">
        <v>239</v>
      </c>
      <c r="I9">
        <v>0</v>
      </c>
    </row>
    <row r="10" spans="1:9" x14ac:dyDescent="0.3">
      <c r="A10">
        <v>18</v>
      </c>
      <c r="B10" t="s">
        <v>239</v>
      </c>
      <c r="C10" t="s">
        <v>239</v>
      </c>
      <c r="D10">
        <v>0</v>
      </c>
      <c r="E10" t="s">
        <v>239</v>
      </c>
      <c r="F10" t="s">
        <v>239</v>
      </c>
      <c r="G10" t="s">
        <v>239</v>
      </c>
      <c r="H10" t="s">
        <v>239</v>
      </c>
      <c r="I10">
        <v>0</v>
      </c>
    </row>
    <row r="11" spans="1:9" x14ac:dyDescent="0.3">
      <c r="A11">
        <v>19</v>
      </c>
      <c r="B11" t="s">
        <v>239</v>
      </c>
      <c r="C11" t="s">
        <v>239</v>
      </c>
      <c r="D11">
        <v>0</v>
      </c>
      <c r="E11" t="s">
        <v>239</v>
      </c>
      <c r="F11" t="s">
        <v>239</v>
      </c>
      <c r="G11" t="s">
        <v>239</v>
      </c>
      <c r="H11" t="s">
        <v>239</v>
      </c>
      <c r="I11">
        <v>0</v>
      </c>
    </row>
    <row r="12" spans="1:9" x14ac:dyDescent="0.3">
      <c r="A12">
        <v>20</v>
      </c>
      <c r="B12" t="s">
        <v>239</v>
      </c>
      <c r="C12" t="s">
        <v>239</v>
      </c>
      <c r="D12">
        <v>0</v>
      </c>
      <c r="E12" t="s">
        <v>239</v>
      </c>
      <c r="F12" t="s">
        <v>239</v>
      </c>
      <c r="G12" t="s">
        <v>239</v>
      </c>
      <c r="H12" t="s">
        <v>239</v>
      </c>
      <c r="I12">
        <v>0</v>
      </c>
    </row>
    <row r="13" spans="1:9" x14ac:dyDescent="0.3">
      <c r="A13">
        <v>21</v>
      </c>
      <c r="B13" t="s">
        <v>239</v>
      </c>
      <c r="C13" t="s">
        <v>239</v>
      </c>
      <c r="D13">
        <v>0</v>
      </c>
      <c r="E13" t="s">
        <v>239</v>
      </c>
      <c r="F13" t="s">
        <v>239</v>
      </c>
      <c r="G13" t="s">
        <v>239</v>
      </c>
      <c r="H13" t="s">
        <v>239</v>
      </c>
      <c r="I13">
        <v>0</v>
      </c>
    </row>
    <row r="14" spans="1:9" x14ac:dyDescent="0.3">
      <c r="A14">
        <v>22</v>
      </c>
      <c r="B14" t="s">
        <v>239</v>
      </c>
      <c r="C14" t="s">
        <v>239</v>
      </c>
      <c r="D14">
        <v>0</v>
      </c>
      <c r="E14" t="s">
        <v>239</v>
      </c>
      <c r="F14" t="s">
        <v>239</v>
      </c>
      <c r="G14" t="s">
        <v>239</v>
      </c>
      <c r="H14" t="s">
        <v>239</v>
      </c>
      <c r="I14">
        <v>0</v>
      </c>
    </row>
    <row r="15" spans="1:9" x14ac:dyDescent="0.3">
      <c r="A15">
        <v>23</v>
      </c>
      <c r="B15" t="s">
        <v>239</v>
      </c>
      <c r="C15" t="s">
        <v>239</v>
      </c>
      <c r="D15">
        <v>0</v>
      </c>
      <c r="E15" t="s">
        <v>239</v>
      </c>
      <c r="F15" t="s">
        <v>239</v>
      </c>
      <c r="G15" t="s">
        <v>239</v>
      </c>
      <c r="H15" t="s">
        <v>239</v>
      </c>
      <c r="I15">
        <v>0</v>
      </c>
    </row>
    <row r="16" spans="1:9" x14ac:dyDescent="0.3">
      <c r="A16">
        <v>24</v>
      </c>
      <c r="B16" t="s">
        <v>239</v>
      </c>
      <c r="C16" t="s">
        <v>239</v>
      </c>
      <c r="D16">
        <v>0</v>
      </c>
      <c r="E16" t="s">
        <v>239</v>
      </c>
      <c r="F16" t="s">
        <v>239</v>
      </c>
      <c r="G16" t="s">
        <v>239</v>
      </c>
      <c r="H16" t="s">
        <v>239</v>
      </c>
      <c r="I16">
        <v>0</v>
      </c>
    </row>
    <row r="17" spans="1:9" x14ac:dyDescent="0.3">
      <c r="A17">
        <v>25</v>
      </c>
      <c r="B17" t="s">
        <v>239</v>
      </c>
      <c r="C17" t="s">
        <v>239</v>
      </c>
      <c r="D17">
        <v>0</v>
      </c>
      <c r="E17" t="s">
        <v>239</v>
      </c>
      <c r="F17" t="s">
        <v>239</v>
      </c>
      <c r="G17" t="s">
        <v>239</v>
      </c>
      <c r="H17" t="s">
        <v>239</v>
      </c>
      <c r="I17">
        <v>0</v>
      </c>
    </row>
    <row r="18" spans="1:9" x14ac:dyDescent="0.3">
      <c r="A18">
        <v>26</v>
      </c>
      <c r="B18" t="s">
        <v>239</v>
      </c>
      <c r="C18" t="s">
        <v>239</v>
      </c>
      <c r="D18">
        <v>0</v>
      </c>
      <c r="E18" t="s">
        <v>239</v>
      </c>
      <c r="F18" t="s">
        <v>239</v>
      </c>
      <c r="G18" t="s">
        <v>239</v>
      </c>
      <c r="H18" t="s">
        <v>239</v>
      </c>
      <c r="I18">
        <v>0</v>
      </c>
    </row>
    <row r="19" spans="1:9" x14ac:dyDescent="0.3">
      <c r="A19">
        <v>27</v>
      </c>
      <c r="B19" t="s">
        <v>239</v>
      </c>
      <c r="C19" t="s">
        <v>239</v>
      </c>
      <c r="D19">
        <v>0</v>
      </c>
      <c r="E19" t="s">
        <v>239</v>
      </c>
      <c r="F19" t="s">
        <v>239</v>
      </c>
      <c r="G19" t="s">
        <v>239</v>
      </c>
      <c r="H19" t="s">
        <v>239</v>
      </c>
      <c r="I19">
        <v>0</v>
      </c>
    </row>
    <row r="20" spans="1:9" x14ac:dyDescent="0.3">
      <c r="A20">
        <v>28</v>
      </c>
      <c r="B20" t="s">
        <v>239</v>
      </c>
      <c r="C20" t="s">
        <v>239</v>
      </c>
      <c r="D20">
        <v>0</v>
      </c>
      <c r="E20" t="s">
        <v>239</v>
      </c>
      <c r="F20" t="s">
        <v>239</v>
      </c>
      <c r="G20" t="s">
        <v>239</v>
      </c>
      <c r="H20" t="s">
        <v>239</v>
      </c>
      <c r="I20">
        <v>0</v>
      </c>
    </row>
    <row r="21" spans="1:9" x14ac:dyDescent="0.3">
      <c r="A21">
        <v>29</v>
      </c>
      <c r="B21" t="s">
        <v>239</v>
      </c>
      <c r="C21" t="s">
        <v>239</v>
      </c>
      <c r="D21">
        <v>0</v>
      </c>
      <c r="E21" t="s">
        <v>239</v>
      </c>
      <c r="F21" t="s">
        <v>239</v>
      </c>
      <c r="G21" t="s">
        <v>239</v>
      </c>
      <c r="H21" t="s">
        <v>239</v>
      </c>
      <c r="I21">
        <v>0</v>
      </c>
    </row>
    <row r="22" spans="1:9" x14ac:dyDescent="0.3">
      <c r="A22">
        <v>30</v>
      </c>
      <c r="B22" t="s">
        <v>239</v>
      </c>
      <c r="C22" t="s">
        <v>239</v>
      </c>
      <c r="D22">
        <v>0</v>
      </c>
      <c r="E22" t="s">
        <v>239</v>
      </c>
      <c r="F22" t="s">
        <v>239</v>
      </c>
      <c r="G22" t="s">
        <v>239</v>
      </c>
      <c r="H22" t="s">
        <v>239</v>
      </c>
      <c r="I22">
        <v>0</v>
      </c>
    </row>
    <row r="23" spans="1:9" x14ac:dyDescent="0.3">
      <c r="A23">
        <v>31</v>
      </c>
      <c r="B23" t="s">
        <v>239</v>
      </c>
      <c r="C23" t="s">
        <v>239</v>
      </c>
      <c r="D23">
        <v>0</v>
      </c>
      <c r="E23" t="s">
        <v>239</v>
      </c>
      <c r="F23" t="s">
        <v>239</v>
      </c>
      <c r="G23" t="s">
        <v>239</v>
      </c>
      <c r="H23" t="s">
        <v>239</v>
      </c>
      <c r="I23">
        <v>0</v>
      </c>
    </row>
    <row r="24" spans="1:9" x14ac:dyDescent="0.3">
      <c r="A24">
        <v>32</v>
      </c>
      <c r="B24" t="s">
        <v>239</v>
      </c>
      <c r="C24" t="s">
        <v>239</v>
      </c>
      <c r="D24">
        <v>0</v>
      </c>
      <c r="E24" t="s">
        <v>239</v>
      </c>
      <c r="F24" t="s">
        <v>239</v>
      </c>
      <c r="G24" t="s">
        <v>239</v>
      </c>
      <c r="H24" t="s">
        <v>239</v>
      </c>
      <c r="I24">
        <v>0</v>
      </c>
    </row>
    <row r="25" spans="1:9" x14ac:dyDescent="0.3">
      <c r="A25">
        <v>33</v>
      </c>
      <c r="B25" t="s">
        <v>239</v>
      </c>
      <c r="C25" t="s">
        <v>239</v>
      </c>
      <c r="D25">
        <v>0</v>
      </c>
      <c r="E25" t="s">
        <v>239</v>
      </c>
      <c r="F25" t="s">
        <v>239</v>
      </c>
      <c r="G25" t="s">
        <v>239</v>
      </c>
      <c r="H25" t="s">
        <v>239</v>
      </c>
      <c r="I25">
        <v>0</v>
      </c>
    </row>
    <row r="26" spans="1:9" x14ac:dyDescent="0.3">
      <c r="A26">
        <v>34</v>
      </c>
      <c r="B26" t="s">
        <v>239</v>
      </c>
      <c r="C26" t="s">
        <v>239</v>
      </c>
      <c r="D26">
        <v>0</v>
      </c>
      <c r="E26" t="s">
        <v>239</v>
      </c>
      <c r="F26" t="s">
        <v>239</v>
      </c>
      <c r="G26" t="s">
        <v>239</v>
      </c>
      <c r="H26" t="s">
        <v>239</v>
      </c>
      <c r="I26">
        <v>0</v>
      </c>
    </row>
    <row r="27" spans="1:9" x14ac:dyDescent="0.3">
      <c r="A27">
        <v>35</v>
      </c>
      <c r="B27" t="s">
        <v>239</v>
      </c>
      <c r="C27" t="s">
        <v>239</v>
      </c>
      <c r="D27">
        <v>0</v>
      </c>
      <c r="E27" t="s">
        <v>239</v>
      </c>
      <c r="F27" t="s">
        <v>239</v>
      </c>
      <c r="G27" t="s">
        <v>239</v>
      </c>
      <c r="H27" t="s">
        <v>239</v>
      </c>
      <c r="I27">
        <v>0</v>
      </c>
    </row>
    <row r="28" spans="1:9" x14ac:dyDescent="0.3">
      <c r="A28">
        <v>36</v>
      </c>
      <c r="B28" t="s">
        <v>239</v>
      </c>
      <c r="C28" t="s">
        <v>239</v>
      </c>
      <c r="D28">
        <v>0</v>
      </c>
      <c r="E28" t="s">
        <v>239</v>
      </c>
      <c r="F28" t="s">
        <v>239</v>
      </c>
      <c r="G28" t="s">
        <v>239</v>
      </c>
      <c r="H28" t="s">
        <v>239</v>
      </c>
      <c r="I28">
        <v>0</v>
      </c>
    </row>
    <row r="29" spans="1:9" x14ac:dyDescent="0.3">
      <c r="A29">
        <v>34</v>
      </c>
      <c r="B29" t="s">
        <v>239</v>
      </c>
      <c r="C29" t="s">
        <v>239</v>
      </c>
      <c r="D29">
        <v>0</v>
      </c>
      <c r="E29" t="s">
        <v>239</v>
      </c>
      <c r="F29" t="s">
        <v>239</v>
      </c>
      <c r="G29" t="s">
        <v>239</v>
      </c>
      <c r="H29" t="s">
        <v>239</v>
      </c>
      <c r="I29">
        <v>0</v>
      </c>
    </row>
    <row r="30" spans="1:9" x14ac:dyDescent="0.3">
      <c r="A30">
        <v>35</v>
      </c>
      <c r="B30" t="s">
        <v>239</v>
      </c>
      <c r="C30" t="s">
        <v>239</v>
      </c>
      <c r="D30">
        <v>0</v>
      </c>
      <c r="E30" t="s">
        <v>239</v>
      </c>
      <c r="F30" t="s">
        <v>239</v>
      </c>
      <c r="G30" t="s">
        <v>239</v>
      </c>
      <c r="H30" t="s">
        <v>239</v>
      </c>
      <c r="I30">
        <v>0</v>
      </c>
    </row>
    <row r="31" spans="1:9" x14ac:dyDescent="0.3">
      <c r="A31">
        <v>36</v>
      </c>
      <c r="B31" t="s">
        <v>239</v>
      </c>
      <c r="C31" t="s">
        <v>239</v>
      </c>
      <c r="D31">
        <v>0</v>
      </c>
      <c r="E31" t="s">
        <v>239</v>
      </c>
      <c r="F31" t="s">
        <v>239</v>
      </c>
      <c r="G31" t="s">
        <v>239</v>
      </c>
      <c r="H31" t="s">
        <v>239</v>
      </c>
      <c r="I31">
        <v>0</v>
      </c>
    </row>
    <row r="32" spans="1:9" x14ac:dyDescent="0.3">
      <c r="A32">
        <v>34</v>
      </c>
      <c r="B32" t="s">
        <v>239</v>
      </c>
      <c r="C32" t="s">
        <v>239</v>
      </c>
      <c r="D32">
        <v>0</v>
      </c>
      <c r="E32" t="s">
        <v>239</v>
      </c>
      <c r="F32" t="s">
        <v>239</v>
      </c>
      <c r="G32" t="s">
        <v>239</v>
      </c>
      <c r="H32" t="s">
        <v>239</v>
      </c>
      <c r="I32">
        <v>0</v>
      </c>
    </row>
    <row r="33" spans="1:9" x14ac:dyDescent="0.3">
      <c r="A33">
        <v>35</v>
      </c>
      <c r="B33" t="s">
        <v>239</v>
      </c>
      <c r="C33" t="s">
        <v>239</v>
      </c>
      <c r="D33">
        <v>0</v>
      </c>
      <c r="E33" t="s">
        <v>239</v>
      </c>
      <c r="F33" t="s">
        <v>239</v>
      </c>
      <c r="G33" t="s">
        <v>239</v>
      </c>
      <c r="H33" t="s">
        <v>239</v>
      </c>
      <c r="I33">
        <v>0</v>
      </c>
    </row>
    <row r="34" spans="1:9" x14ac:dyDescent="0.3">
      <c r="A34">
        <v>36</v>
      </c>
      <c r="B34" t="s">
        <v>239</v>
      </c>
      <c r="C34" t="s">
        <v>239</v>
      </c>
      <c r="D34">
        <v>0</v>
      </c>
      <c r="E34" t="s">
        <v>239</v>
      </c>
      <c r="F34" t="s">
        <v>239</v>
      </c>
      <c r="G34" t="s">
        <v>239</v>
      </c>
      <c r="H34" t="s">
        <v>239</v>
      </c>
      <c r="I34">
        <v>0</v>
      </c>
    </row>
    <row r="35" spans="1:9" x14ac:dyDescent="0.3">
      <c r="A35">
        <v>36</v>
      </c>
      <c r="B35" t="s">
        <v>239</v>
      </c>
      <c r="C35" t="s">
        <v>239</v>
      </c>
      <c r="D35">
        <v>0</v>
      </c>
      <c r="E35" t="s">
        <v>239</v>
      </c>
      <c r="F35" t="s">
        <v>239</v>
      </c>
      <c r="G35" t="s">
        <v>239</v>
      </c>
      <c r="H35" t="s">
        <v>239</v>
      </c>
      <c r="I35">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82</vt:i4>
      </vt:variant>
    </vt:vector>
  </HeadingPairs>
  <TitlesOfParts>
    <vt:vector size="99" baseType="lpstr">
      <vt:lpstr>Instructions - NEW ASSAY</vt:lpstr>
      <vt:lpstr>Patient List</vt:lpstr>
      <vt:lpstr>NGS Run Record</vt:lpstr>
      <vt:lpstr>Tables</vt:lpstr>
      <vt:lpstr>Comp</vt:lpstr>
      <vt:lpstr>sheet1</vt:lpstr>
      <vt:lpstr>Debug</vt:lpstr>
      <vt:lpstr>Bookmarks List</vt:lpstr>
      <vt:lpstr>Sheet2</vt:lpstr>
      <vt:lpstr>Sample List</vt:lpstr>
      <vt:lpstr>bookmarks</vt:lpstr>
      <vt:lpstr>Version Change</vt:lpstr>
      <vt:lpstr>NGS-Comp</vt:lpstr>
      <vt:lpstr>NGS Common - B</vt:lpstr>
      <vt:lpstr>NGS Common - F</vt:lpstr>
      <vt:lpstr>NGS Heme</vt:lpstr>
      <vt:lpstr>0</vt:lpstr>
      <vt:lpstr>AssayID</vt:lpstr>
      <vt:lpstr>AssayID1</vt:lpstr>
      <vt:lpstr>AssayID10</vt:lpstr>
      <vt:lpstr>AssayID11</vt:lpstr>
      <vt:lpstr>AssayID12</vt:lpstr>
      <vt:lpstr>AssayID13</vt:lpstr>
      <vt:lpstr>AssayID14</vt:lpstr>
      <vt:lpstr>AssayID15</vt:lpstr>
      <vt:lpstr>AssayID16</vt:lpstr>
      <vt:lpstr>AssayID17</vt:lpstr>
      <vt:lpstr>AssayID2</vt:lpstr>
      <vt:lpstr>AssayID3</vt:lpstr>
      <vt:lpstr>AssayID4</vt:lpstr>
      <vt:lpstr>AssayID5</vt:lpstr>
      <vt:lpstr>AssayID6</vt:lpstr>
      <vt:lpstr>AssayID7</vt:lpstr>
      <vt:lpstr>AssayID8</vt:lpstr>
      <vt:lpstr>AssayID9</vt:lpstr>
      <vt:lpstr>DocName</vt:lpstr>
      <vt:lpstr>insert1</vt:lpstr>
      <vt:lpstr>insert100</vt:lpstr>
      <vt:lpstr>insert15</vt:lpstr>
      <vt:lpstr>insert16</vt:lpstr>
      <vt:lpstr>insert17</vt:lpstr>
      <vt:lpstr>insert18</vt:lpstr>
      <vt:lpstr>insert19</vt:lpstr>
      <vt:lpstr>insert2</vt:lpstr>
      <vt:lpstr>insert20</vt:lpstr>
      <vt:lpstr>insert21</vt:lpstr>
      <vt:lpstr>insert22</vt:lpstr>
      <vt:lpstr>insert23</vt:lpstr>
      <vt:lpstr>insert24</vt:lpstr>
      <vt:lpstr>insert25</vt:lpstr>
      <vt:lpstr>insert26</vt:lpstr>
      <vt:lpstr>insert27</vt:lpstr>
      <vt:lpstr>insert28</vt:lpstr>
      <vt:lpstr>insert29</vt:lpstr>
      <vt:lpstr>insert3</vt:lpstr>
      <vt:lpstr>insert30</vt:lpstr>
      <vt:lpstr>insert4</vt:lpstr>
      <vt:lpstr>insert40</vt:lpstr>
      <vt:lpstr>insert41</vt:lpstr>
      <vt:lpstr>insert42</vt:lpstr>
      <vt:lpstr>insert5</vt:lpstr>
      <vt:lpstr>insert50</vt:lpstr>
      <vt:lpstr>insert51</vt:lpstr>
      <vt:lpstr>insert52</vt:lpstr>
      <vt:lpstr>insert53</vt:lpstr>
      <vt:lpstr>insert54</vt:lpstr>
      <vt:lpstr>insert55</vt:lpstr>
      <vt:lpstr>insert56</vt:lpstr>
      <vt:lpstr>insert57</vt:lpstr>
      <vt:lpstr>insert58</vt:lpstr>
      <vt:lpstr>insert59</vt:lpstr>
      <vt:lpstr>insert6</vt:lpstr>
      <vt:lpstr>insert60</vt:lpstr>
      <vt:lpstr>insert61</vt:lpstr>
      <vt:lpstr>insert62</vt:lpstr>
      <vt:lpstr>insert63</vt:lpstr>
      <vt:lpstr>insert64</vt:lpstr>
      <vt:lpstr>insert65</vt:lpstr>
      <vt:lpstr>insert66</vt:lpstr>
      <vt:lpstr>insert67</vt:lpstr>
      <vt:lpstr>insert68</vt:lpstr>
      <vt:lpstr>insert69</vt:lpstr>
      <vt:lpstr>insert7</vt:lpstr>
      <vt:lpstr>insert70</vt:lpstr>
      <vt:lpstr>insert71</vt:lpstr>
      <vt:lpstr>insert72</vt:lpstr>
      <vt:lpstr>insert73</vt:lpstr>
      <vt:lpstr>insert8</vt:lpstr>
      <vt:lpstr>insert9</vt:lpstr>
      <vt:lpstr>marker</vt:lpstr>
      <vt:lpstr>marker2</vt:lpstr>
      <vt:lpstr>marker3</vt:lpstr>
      <vt:lpstr>RunDate</vt:lpstr>
      <vt:lpstr>'NGS Run Record'!SavePath</vt:lpstr>
      <vt:lpstr>Technician</vt:lpstr>
      <vt:lpstr>'NGS Run Record'!TemplateFile</vt:lpstr>
      <vt:lpstr>water1</vt:lpstr>
      <vt:lpstr>water2</vt:lpstr>
      <vt:lpstr>water3</vt:lpstr>
    </vt:vector>
  </TitlesOfParts>
  <Company>The 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Chunhua Li</cp:lastModifiedBy>
  <dcterms:created xsi:type="dcterms:W3CDTF">2016-01-27T17:23:39Z</dcterms:created>
  <dcterms:modified xsi:type="dcterms:W3CDTF">2025-01-27T18:05:53Z</dcterms:modified>
  <cp:contentStatus/>
</cp:coreProperties>
</file>
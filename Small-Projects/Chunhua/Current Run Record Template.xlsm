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DC05BD20-4804-7139-695A-D245BE01A294}"/>
  <workbookPr updateLinks="never" codeName="ThisWorkbook" defaultThemeVersion="124226"/>
  <mc:AlternateContent xmlns:mc="http://schemas.openxmlformats.org/markup-compatibility/2006">
    <mc:Choice Requires="x15">
      <x15ac:absPath xmlns:x15ac="http://schemas.microsoft.com/office/spreadsheetml/2010/11/ac" url="R:\CMOL\Assay Results\Clinical Data\NGS\2025 (Run 1221- )\25-CM13 (Heme)\Step 2\"/>
    </mc:Choice>
  </mc:AlternateContent>
  <xr:revisionPtr revIDLastSave="0" documentId="13_ncr:1_{EAE5944A-D257-491A-945F-7ECF9ACA3D5E}" xr6:coauthVersionLast="47" xr6:coauthVersionMax="47" xr10:uidLastSave="{00000000-0000-0000-0000-000000000000}"/>
  <bookViews>
    <workbookView xWindow="-120" yWindow="-120" windowWidth="29040" windowHeight="17640" activeTab="2" xr2:uid="{00000000-000D-0000-FFFF-FFFF00000000}"/>
  </bookViews>
  <sheets>
    <sheet name="Instructions - NEW ASSAY" sheetId="7" r:id="rId1"/>
    <sheet name="Patient List" sheetId="1" r:id="rId2"/>
    <sheet name="NGS Run Record" sheetId="2" r:id="rId3"/>
    <sheet name="Targeted Enrichment" sheetId="11" state="hidden" r:id="rId4"/>
    <sheet name="Debug" sheetId="5" state="hidden" r:id="rId5"/>
    <sheet name="Bookmarks List" sheetId="8" state="hidden" r:id="rId6"/>
    <sheet name="Sheet2" sheetId="9" state="hidden" r:id="rId7"/>
    <sheet name="Sample List" sheetId="13" state="hidden" r:id="rId8"/>
    <sheet name="Table1" sheetId="16" state="hidden" r:id="rId9"/>
    <sheet name="Table2" sheetId="18" r:id="rId10"/>
    <sheet name="Version track" sheetId="19" r:id="rId11"/>
    <sheet name="bookmarks" sheetId="17" state="hidden" r:id="rId12"/>
  </sheets>
  <functionGroups builtInGroupCount="19"/>
  <externalReferences>
    <externalReference r:id="rId13"/>
  </externalReferences>
  <definedNames>
    <definedName name="_xlnm._FilterDatabase" localSheetId="8" hidden="1">Table1!$N$16:$N$38</definedName>
    <definedName name="AssayID">'NGS Run Record'!$C$27</definedName>
    <definedName name="AssayID10">bookmarks!$A$10</definedName>
    <definedName name="AssayID11">bookmarks!$A$11</definedName>
    <definedName name="AssayID12">bookmarks!$A$12</definedName>
    <definedName name="AssayID13">bookmarks!$A$13</definedName>
    <definedName name="AssayID14">bookmarks!$A$14</definedName>
    <definedName name="AssayID15">bookmarks!$A$15</definedName>
    <definedName name="AssayID16">bookmarks!$A$16</definedName>
    <definedName name="AssayID17">bookmarks!$A$17</definedName>
    <definedName name="AssayID18">bookmarks!$A$18</definedName>
    <definedName name="AssayID19">bookmarks!$A$19</definedName>
    <definedName name="AssayID2">bookmarks!$A$2</definedName>
    <definedName name="AssayID20">bookmarks!$A$20</definedName>
    <definedName name="AssayID21">bookmarks!$A$21</definedName>
    <definedName name="AssayID3">bookmarks!$A$3</definedName>
    <definedName name="AssayID4">bookmarks!$A$4</definedName>
    <definedName name="AssayID5">bookmarks!$A$5</definedName>
    <definedName name="AssayID6">bookmarks!$A$6</definedName>
    <definedName name="AssayID7">bookmarks!$A$7</definedName>
    <definedName name="AssayID8">bookmarks!$A$8</definedName>
    <definedName name="AssayID9">bookmarks!$A$9</definedName>
    <definedName name="DocName">'NGS Run Record'!$P$9</definedName>
    <definedName name="insert1">Table1!$B$18</definedName>
    <definedName name="insert2">Table1!$B$20</definedName>
    <definedName name="insert3">Table1!$B$22</definedName>
    <definedName name="insert4">Table1!$B$23</definedName>
    <definedName name="insert5">Table1!$B$25</definedName>
    <definedName name="insert6">Table1!$B$26</definedName>
    <definedName name="insert7">Table1!$B$36</definedName>
    <definedName name="insert8">Table1!$B$37</definedName>
    <definedName name="PhysFirstName">[1]!Providers[First Name]</definedName>
    <definedName name="PhysLastName">[1]!Providers[Last Name]</definedName>
    <definedName name="PlateP7">bookmarks!$C$1</definedName>
    <definedName name="PlateP8">bookmarks!$C$2</definedName>
    <definedName name="rPhysFirstName_DNA">OFFSET(OFFSET(PhysFirstName,0,0,1,1),MATCH('[1]DNA Receipt Log-MASTER'!XFD1, PhysLastName, 0)-1,0,COUNTIF(PhysLastName,'[1]DNA Receipt Log-MASTER'!XFD1))</definedName>
    <definedName name="rPhysLastName">OFFSET(PhysLastName, 0,0,COUNTA(PhysLastName),1)</definedName>
    <definedName name="RunDate">'NGS Run Record'!$C$4</definedName>
    <definedName name="SavePath" localSheetId="2">'NGS Run Record'!$C$12</definedName>
    <definedName name="Table1">#REF!</definedName>
    <definedName name="Technician">'NGS Run Record'!$E$4</definedName>
    <definedName name="TemplateFile" localSheetId="2">'NGS Run Record'!$C$9</definedName>
    <definedName name="volume">Table2!$B$16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A14" i="17" l="1"/>
  <c r="E8" i="16" l="1"/>
  <c r="F8" i="16"/>
  <c r="G8" i="16"/>
  <c r="E9" i="16"/>
  <c r="F9" i="16"/>
  <c r="G9" i="16"/>
  <c r="E10" i="16"/>
  <c r="F10" i="16"/>
  <c r="G10" i="16"/>
  <c r="E11" i="16"/>
  <c r="F11" i="16"/>
  <c r="G11" i="16"/>
  <c r="E12" i="16"/>
  <c r="F12" i="16"/>
  <c r="G12" i="16"/>
  <c r="F7" i="16"/>
  <c r="G7" i="16"/>
  <c r="E7" i="16"/>
  <c r="B9" i="16"/>
  <c r="C9" i="16"/>
  <c r="D9" i="16"/>
  <c r="B10" i="16"/>
  <c r="C10" i="16"/>
  <c r="D10" i="16"/>
  <c r="B11" i="16"/>
  <c r="C11" i="16"/>
  <c r="D11" i="16"/>
  <c r="B12" i="16"/>
  <c r="C12" i="16"/>
  <c r="D12" i="16"/>
  <c r="B13" i="16"/>
  <c r="C13" i="16"/>
  <c r="D13" i="16"/>
  <c r="B14" i="16"/>
  <c r="C14" i="16"/>
  <c r="D14" i="16"/>
  <c r="D8" i="16"/>
  <c r="C8" i="16"/>
  <c r="B8" i="16"/>
  <c r="E13" i="16"/>
  <c r="F13" i="16"/>
  <c r="G13" i="16"/>
  <c r="E14" i="16"/>
  <c r="F14" i="16"/>
  <c r="G14" i="16"/>
  <c r="I15" i="2"/>
  <c r="I16" i="2" s="1"/>
  <c r="H3" i="11"/>
  <c r="H4" i="11"/>
  <c r="P9" i="2"/>
  <c r="G25" i="13"/>
  <c r="G24" i="13"/>
  <c r="G14" i="13"/>
  <c r="A21" i="13"/>
  <c r="H21" i="13" s="1"/>
  <c r="G8" i="13"/>
  <c r="G7" i="13"/>
  <c r="G23" i="13"/>
  <c r="G6" i="13"/>
  <c r="E23" i="13"/>
  <c r="B25" i="13"/>
  <c r="C17" i="13"/>
  <c r="D25" i="13"/>
  <c r="E17" i="13"/>
  <c r="F25" i="13"/>
  <c r="C19" i="13"/>
  <c r="B20" i="13"/>
  <c r="D20" i="13"/>
  <c r="F20" i="13"/>
  <c r="C15" i="13"/>
  <c r="E19" i="13"/>
  <c r="C18" i="13"/>
  <c r="E18" i="13"/>
  <c r="G13" i="13"/>
  <c r="G11" i="13"/>
  <c r="G9" i="13"/>
  <c r="A17" i="13"/>
  <c r="H17" i="13" s="1"/>
  <c r="G17" i="13"/>
  <c r="G16" i="13"/>
  <c r="A20" i="13"/>
  <c r="H20" i="13" s="1"/>
  <c r="A23" i="13"/>
  <c r="H23" i="13" s="1"/>
  <c r="G19" i="13"/>
  <c r="G2" i="13"/>
  <c r="C23" i="13"/>
  <c r="B21" i="13"/>
  <c r="D21" i="13"/>
  <c r="F21" i="13"/>
  <c r="F23" i="13"/>
  <c r="B16" i="13"/>
  <c r="C24" i="13"/>
  <c r="D16" i="13"/>
  <c r="E24" i="13"/>
  <c r="F16" i="13"/>
  <c r="D23" i="13"/>
  <c r="E15" i="13"/>
  <c r="B22" i="13"/>
  <c r="D22" i="13"/>
  <c r="F22" i="13"/>
  <c r="G12" i="13"/>
  <c r="A24" i="13"/>
  <c r="H24" i="13" s="1"/>
  <c r="G22" i="13"/>
  <c r="G5" i="13"/>
  <c r="G4" i="13"/>
  <c r="A19" i="13"/>
  <c r="H19" i="13" s="1"/>
  <c r="G15" i="13"/>
  <c r="A22" i="13"/>
  <c r="H22" i="13" s="1"/>
  <c r="F19" i="13"/>
  <c r="B17" i="13"/>
  <c r="C25" i="13"/>
  <c r="D17" i="13"/>
  <c r="E25" i="13"/>
  <c r="F17" i="13"/>
  <c r="B23" i="13"/>
  <c r="C20" i="13"/>
  <c r="E20" i="13"/>
  <c r="B19" i="13"/>
  <c r="D19" i="13"/>
  <c r="B18" i="13"/>
  <c r="D18" i="13"/>
  <c r="F18" i="13"/>
  <c r="G3" i="13"/>
  <c r="A15" i="13"/>
  <c r="H15" i="13" s="1"/>
  <c r="G18" i="13"/>
  <c r="A25" i="13"/>
  <c r="H25" i="13" s="1"/>
  <c r="A16" i="13"/>
  <c r="H16" i="13" s="1"/>
  <c r="G21" i="13"/>
  <c r="G20" i="13"/>
  <c r="G10" i="13"/>
  <c r="A18" i="13"/>
  <c r="H18" i="13" s="1"/>
  <c r="B15" i="13"/>
  <c r="D15" i="13"/>
  <c r="C21" i="13"/>
  <c r="E21" i="13"/>
  <c r="B24" i="13"/>
  <c r="C16" i="13"/>
  <c r="D24" i="13"/>
  <c r="E16" i="13"/>
  <c r="F24" i="13"/>
  <c r="F15" i="13"/>
  <c r="C22" i="13"/>
  <c r="E22" i="13"/>
  <c r="E11" i="11" a="1"/>
  <c r="E11" i="11" s="1"/>
  <c r="F10" i="11" a="1"/>
  <c r="F10" i="11" s="1"/>
  <c r="F16" i="11" a="1"/>
  <c r="F16" i="11" s="1"/>
  <c r="E16" i="11" a="1"/>
  <c r="E16" i="11" s="1"/>
  <c r="C7" i="11" a="1"/>
  <c r="C7" i="11" s="1"/>
  <c r="B5" i="11" a="1"/>
  <c r="B5" i="11" s="1"/>
  <c r="H5" i="11" s="1"/>
  <c r="G11" i="11" a="1"/>
  <c r="G11" i="11" s="1"/>
  <c r="G13" i="11" a="1"/>
  <c r="G13" i="11" s="1"/>
  <c r="B11" i="11" a="1"/>
  <c r="B11" i="11" s="1"/>
  <c r="H11" i="11" s="1"/>
  <c r="E5" i="11" a="1"/>
  <c r="E5" i="11" s="1"/>
  <c r="F15" i="11" a="1"/>
  <c r="F15" i="11" s="1"/>
  <c r="E13" i="11" a="1"/>
  <c r="E13" i="11" s="1"/>
  <c r="F5" i="11" a="1"/>
  <c r="F5" i="11" s="1"/>
  <c r="D7" i="11" a="1"/>
  <c r="D7" i="11" s="1"/>
  <c r="G9" i="11" a="1"/>
  <c r="G9" i="11" s="1"/>
  <c r="E12" i="11" a="1"/>
  <c r="E12" i="11" s="1"/>
  <c r="D16" i="11" a="1"/>
  <c r="D16" i="11" s="1"/>
  <c r="B6" i="11" a="1"/>
  <c r="B6" i="11" s="1"/>
  <c r="H6" i="11" s="1"/>
  <c r="C12" i="11" a="1"/>
  <c r="C12" i="11" s="1"/>
  <c r="D18" i="11" a="1"/>
  <c r="D18" i="11" s="1"/>
  <c r="F11" i="11" a="1"/>
  <c r="F11" i="11" s="1"/>
  <c r="G18" i="11" a="1"/>
  <c r="G18" i="11" s="1"/>
  <c r="D17" i="11" a="1"/>
  <c r="D17" i="11" s="1"/>
  <c r="C9" i="11" a="1"/>
  <c r="C9" i="11" s="1"/>
  <c r="F13" i="11" a="1"/>
  <c r="F13" i="11" s="1"/>
  <c r="F14" i="11" a="1"/>
  <c r="F14" i="11" s="1"/>
  <c r="G17" i="11" a="1"/>
  <c r="G17" i="11" s="1"/>
  <c r="D8" i="11" a="1"/>
  <c r="D8" i="11" s="1"/>
  <c r="B14" i="11" a="1"/>
  <c r="B14" i="11" s="1"/>
  <c r="H14" i="11" s="1"/>
  <c r="C18" i="11" a="1"/>
  <c r="C18" i="11" s="1"/>
  <c r="E10" i="11" a="1"/>
  <c r="E10" i="11" s="1"/>
  <c r="C15" i="11" a="1"/>
  <c r="C15" i="11" s="1"/>
  <c r="G10" i="11" a="1"/>
  <c r="G10" i="11" s="1"/>
  <c r="E17" i="11" a="1"/>
  <c r="E17" i="11" s="1"/>
  <c r="B18" i="11" a="1"/>
  <c r="B18" i="11" s="1"/>
  <c r="H18" i="11" s="1"/>
  <c r="B9" i="11" a="1"/>
  <c r="B9" i="11" s="1"/>
  <c r="H9" i="11" s="1"/>
  <c r="G5" i="11" a="1"/>
  <c r="G5" i="11" s="1"/>
  <c r="F18" i="11" a="1"/>
  <c r="F18" i="11" s="1"/>
  <c r="E8" i="11" a="1"/>
  <c r="E8" i="11" s="1"/>
  <c r="D12" i="11" a="1"/>
  <c r="D12" i="11" s="1"/>
  <c r="B17" i="11" a="1"/>
  <c r="B17" i="11" s="1"/>
  <c r="H17" i="11" s="1"/>
  <c r="C11" i="11" a="1"/>
  <c r="C11" i="11" s="1"/>
  <c r="E18" i="11" a="1"/>
  <c r="E18" i="11" s="1"/>
  <c r="F7" i="11" a="1"/>
  <c r="F7" i="11" s="1"/>
  <c r="G14" i="11" a="1"/>
  <c r="G14" i="11" s="1"/>
  <c r="D9" i="11" a="1"/>
  <c r="D9" i="11" s="1"/>
  <c r="B10" i="11" a="1"/>
  <c r="B10" i="11" s="1"/>
  <c r="H10" i="11" s="1"/>
  <c r="D5" i="11" a="1"/>
  <c r="D5" i="11" s="1"/>
  <c r="E7" i="11" a="1"/>
  <c r="E7" i="11" s="1"/>
  <c r="F12" i="11" a="1"/>
  <c r="F12" i="11" s="1"/>
  <c r="D11" i="11" a="1"/>
  <c r="D11" i="11" s="1"/>
  <c r="B15" i="11" a="1"/>
  <c r="B15" i="11" s="1"/>
  <c r="H15" i="11" s="1"/>
  <c r="C5" i="11" a="1"/>
  <c r="C5" i="11" s="1"/>
  <c r="F8" i="11" a="1"/>
  <c r="F8" i="11" s="1"/>
  <c r="D14" i="11" a="1"/>
  <c r="D14" i="11" s="1"/>
  <c r="D10" i="11" a="1"/>
  <c r="D10" i="11" s="1"/>
  <c r="F17" i="11" a="1"/>
  <c r="F17" i="11" s="1"/>
  <c r="G12" i="11" a="1"/>
  <c r="G12" i="11" s="1"/>
  <c r="F6" i="11" a="1"/>
  <c r="F6" i="11" s="1"/>
  <c r="B16" i="11" a="1"/>
  <c r="B16" i="11" s="1"/>
  <c r="H16" i="11" s="1"/>
  <c r="D15" i="11" a="1"/>
  <c r="D15" i="11" s="1"/>
  <c r="G6" i="11" a="1"/>
  <c r="G6" i="11" s="1"/>
  <c r="E9" i="11" a="1"/>
  <c r="E9" i="11" s="1"/>
  <c r="D13" i="11" a="1"/>
  <c r="D13" i="11" s="1"/>
  <c r="B7" i="11" a="1"/>
  <c r="B7" i="11" s="1"/>
  <c r="H7" i="11" s="1"/>
  <c r="C13" i="11" a="1"/>
  <c r="C13" i="11" s="1"/>
  <c r="G15" i="11" a="1"/>
  <c r="G15" i="11" s="1"/>
  <c r="C8" i="11" a="1"/>
  <c r="C8" i="11" s="1"/>
  <c r="G7" i="11" a="1"/>
  <c r="G7" i="11" s="1"/>
  <c r="B12" i="11" a="1"/>
  <c r="B12" i="11" s="1"/>
  <c r="H12" i="11" s="1"/>
  <c r="G8" i="11" a="1"/>
  <c r="G8" i="11" s="1"/>
  <c r="D6" i="11" a="1"/>
  <c r="D6" i="11" s="1"/>
  <c r="B13" i="11" a="1"/>
  <c r="B13" i="11" s="1"/>
  <c r="H13" i="11" s="1"/>
  <c r="C10" i="11" a="1"/>
  <c r="C10" i="11" s="1"/>
  <c r="B8" i="11" a="1"/>
  <c r="B8" i="11" s="1"/>
  <c r="H8" i="11" s="1"/>
  <c r="C14" i="11" a="1"/>
  <c r="C14" i="11" s="1"/>
  <c r="C16" i="11" a="1"/>
  <c r="C16" i="11" s="1"/>
  <c r="E14" i="11" a="1"/>
  <c r="E14" i="11" s="1"/>
  <c r="C17" i="11" a="1"/>
  <c r="C17" i="11" s="1"/>
  <c r="E6" i="11" a="1"/>
  <c r="E6" i="11" s="1"/>
  <c r="C6" i="11" a="1"/>
  <c r="C6" i="11" s="1"/>
  <c r="F9" i="11" a="1"/>
  <c r="F9" i="11" s="1"/>
  <c r="E15" i="11" a="1"/>
  <c r="E15" i="11" s="1"/>
  <c r="G16" i="11" a="1"/>
  <c r="G16" i="11" s="1"/>
  <c r="C75" i="2"/>
  <c r="C74" i="2"/>
  <c r="A1" i="17" l="1"/>
  <c r="C1" i="17" s="1"/>
  <c r="E1" i="17" s="1"/>
  <c r="A2" i="16"/>
  <c r="I17" i="2"/>
  <c r="I18" i="2" s="1"/>
  <c r="I19" i="2" s="1"/>
  <c r="I20" i="2" s="1"/>
  <c r="I21" i="2" s="1"/>
  <c r="I22" i="2" s="1"/>
  <c r="S14" i="2"/>
  <c r="S15" i="2"/>
  <c r="J15" i="2" l="1"/>
  <c r="P15" i="2" s="1"/>
  <c r="P16" i="2" s="1"/>
  <c r="E51" i="2" s="1"/>
  <c r="A2" i="17"/>
  <c r="C2" i="17" s="1"/>
  <c r="B57" i="2" l="1"/>
  <c r="G58" i="2"/>
  <c r="F59" i="2"/>
  <c r="E60" i="2"/>
  <c r="D61" i="2"/>
  <c r="C62" i="2"/>
  <c r="B63" i="2"/>
  <c r="G64" i="2"/>
  <c r="F65" i="2"/>
  <c r="E66" i="2"/>
  <c r="D67" i="2"/>
  <c r="C68" i="2"/>
  <c r="B69" i="2"/>
  <c r="G70" i="2"/>
  <c r="F71" i="2"/>
  <c r="E72" i="2"/>
  <c r="B58" i="2"/>
  <c r="G59" i="2"/>
  <c r="F60" i="2"/>
  <c r="E61" i="2"/>
  <c r="D62" i="2"/>
  <c r="C63" i="2"/>
  <c r="B64" i="2"/>
  <c r="G65" i="2"/>
  <c r="F66" i="2"/>
  <c r="E67" i="2"/>
  <c r="D68" i="2"/>
  <c r="C69" i="2"/>
  <c r="B70" i="2"/>
  <c r="B59" i="2"/>
  <c r="E62" i="2"/>
  <c r="C64" i="2"/>
  <c r="G66" i="2"/>
  <c r="D69" i="2"/>
  <c r="B71" i="2"/>
  <c r="F68" i="2"/>
  <c r="C57" i="2"/>
  <c r="G71" i="2"/>
  <c r="F61" i="2"/>
  <c r="F67" i="2"/>
  <c r="C70" i="2"/>
  <c r="G72" i="2"/>
  <c r="D70" i="2"/>
  <c r="D57" i="2"/>
  <c r="C58" i="2"/>
  <c r="G60" i="2"/>
  <c r="D63" i="2"/>
  <c r="E57" i="2"/>
  <c r="D58" i="2"/>
  <c r="C59" i="2"/>
  <c r="B60" i="2"/>
  <c r="G61" i="2"/>
  <c r="F62" i="2"/>
  <c r="E63" i="2"/>
  <c r="D64" i="2"/>
  <c r="C65" i="2"/>
  <c r="B66" i="2"/>
  <c r="G67" i="2"/>
  <c r="E69" i="2"/>
  <c r="B72" i="2"/>
  <c r="F57" i="2"/>
  <c r="E58" i="2"/>
  <c r="D59" i="2"/>
  <c r="C60" i="2"/>
  <c r="B61" i="2"/>
  <c r="G62" i="2"/>
  <c r="F63" i="2"/>
  <c r="E64" i="2"/>
  <c r="D65" i="2"/>
  <c r="C66" i="2"/>
  <c r="B67" i="2"/>
  <c r="G68" i="2"/>
  <c r="F69" i="2"/>
  <c r="E70" i="2"/>
  <c r="D71" i="2"/>
  <c r="C72" i="2"/>
  <c r="G57" i="2"/>
  <c r="F58" i="2"/>
  <c r="E59" i="2"/>
  <c r="D60" i="2"/>
  <c r="C61" i="2"/>
  <c r="B62" i="2"/>
  <c r="G63" i="2"/>
  <c r="F64" i="2"/>
  <c r="E65" i="2"/>
  <c r="D66" i="2"/>
  <c r="C67" i="2"/>
  <c r="B68" i="2"/>
  <c r="G69" i="2"/>
  <c r="F70" i="2"/>
  <c r="E71" i="2"/>
  <c r="D72" i="2"/>
  <c r="F72" i="2"/>
  <c r="B65" i="2"/>
  <c r="E68" i="2"/>
  <c r="C71" i="2"/>
  <c r="B56" i="2"/>
  <c r="C56" i="2"/>
  <c r="H11" i="18" s="1"/>
  <c r="I11" i="18" s="1"/>
  <c r="G56" i="2"/>
  <c r="D56" i="2"/>
  <c r="E56" i="2"/>
  <c r="F56" i="2"/>
  <c r="B46" i="2"/>
  <c r="C47" i="2"/>
  <c r="F10" i="18" s="1"/>
  <c r="G10" i="18" s="1"/>
  <c r="D48" i="2"/>
  <c r="E49" i="2"/>
  <c r="F50" i="2"/>
  <c r="B54" i="2"/>
  <c r="C55" i="2"/>
  <c r="H10" i="18" s="1"/>
  <c r="I10" i="18" s="1"/>
  <c r="D55" i="2"/>
  <c r="F55" i="2"/>
  <c r="D50" i="2"/>
  <c r="F52" i="2"/>
  <c r="D49" i="2"/>
  <c r="E50" i="2"/>
  <c r="C46" i="2"/>
  <c r="F9" i="18" s="1"/>
  <c r="G9" i="18" s="1"/>
  <c r="D47" i="2"/>
  <c r="E48" i="2"/>
  <c r="F49" i="2"/>
  <c r="G50" i="2"/>
  <c r="B53" i="2"/>
  <c r="C54" i="2"/>
  <c r="H9" i="18" s="1"/>
  <c r="I9" i="18" s="1"/>
  <c r="B50" i="2"/>
  <c r="G55" i="2"/>
  <c r="D46" i="2"/>
  <c r="E47" i="2"/>
  <c r="F48" i="2"/>
  <c r="G49" i="2"/>
  <c r="B52" i="2"/>
  <c r="C53" i="2"/>
  <c r="H8" i="18" s="1"/>
  <c r="I8" i="18" s="1"/>
  <c r="D54" i="2"/>
  <c r="E55" i="2"/>
  <c r="F46" i="2"/>
  <c r="C51" i="2"/>
  <c r="H6" i="18" s="1"/>
  <c r="I6" i="18" s="1"/>
  <c r="E53" i="2"/>
  <c r="B48" i="2"/>
  <c r="B47" i="2"/>
  <c r="G52" i="2"/>
  <c r="E46" i="2"/>
  <c r="F47" i="2"/>
  <c r="G48" i="2"/>
  <c r="B51" i="2"/>
  <c r="C52" i="2"/>
  <c r="H7" i="18" s="1"/>
  <c r="I7" i="18" s="1"/>
  <c r="D53" i="2"/>
  <c r="E54" i="2"/>
  <c r="G47" i="2"/>
  <c r="D52" i="2"/>
  <c r="F54" i="2"/>
  <c r="C49" i="2"/>
  <c r="G53" i="2"/>
  <c r="C48" i="2"/>
  <c r="F11" i="18" s="1"/>
  <c r="G11" i="18" s="1"/>
  <c r="B55" i="2"/>
  <c r="G46" i="2"/>
  <c r="B49" i="2"/>
  <c r="C50" i="2"/>
  <c r="H5" i="18" s="1"/>
  <c r="I5" i="18" s="1"/>
  <c r="D51" i="2"/>
  <c r="E52" i="2"/>
  <c r="F53" i="2"/>
  <c r="G54" i="2"/>
  <c r="G41" i="2"/>
  <c r="F10" i="13" s="1"/>
  <c r="D33" i="2"/>
  <c r="D37" i="2"/>
  <c r="C6" i="13" s="1"/>
  <c r="D41" i="2"/>
  <c r="C10" i="13" s="1"/>
  <c r="D45" i="2"/>
  <c r="C14" i="13" s="1"/>
  <c r="D43" i="2"/>
  <c r="C12" i="13" s="1"/>
  <c r="D44" i="2"/>
  <c r="C13" i="13" s="1"/>
  <c r="D34" i="2"/>
  <c r="C3" i="13" s="1"/>
  <c r="D38" i="2"/>
  <c r="C7" i="13" s="1"/>
  <c r="D42" i="2"/>
  <c r="D35" i="2"/>
  <c r="C4" i="13" s="1"/>
  <c r="D39" i="2"/>
  <c r="C8" i="13" s="1"/>
  <c r="D36" i="2"/>
  <c r="C5" i="13" s="1"/>
  <c r="D40" i="2"/>
  <c r="C9" i="13" s="1"/>
  <c r="E40" i="2"/>
  <c r="D9" i="13" s="1"/>
  <c r="G45" i="2"/>
  <c r="F14" i="13" s="1"/>
  <c r="F39" i="2"/>
  <c r="E8" i="13" s="1"/>
  <c r="C40" i="2"/>
  <c r="D11" i="18" s="1"/>
  <c r="E11" i="18" s="1"/>
  <c r="F41" i="2"/>
  <c r="E10" i="13" s="1"/>
  <c r="C44" i="2"/>
  <c r="F7" i="18" s="1"/>
  <c r="G7" i="18" s="1"/>
  <c r="G33" i="2"/>
  <c r="F2" i="13" s="1"/>
  <c r="E33" i="2"/>
  <c r="F42" i="2"/>
  <c r="E11" i="13" s="1"/>
  <c r="F34" i="2"/>
  <c r="E3" i="13" s="1"/>
  <c r="G42" i="2"/>
  <c r="F11" i="13" s="1"/>
  <c r="B40" i="2"/>
  <c r="B44" i="2"/>
  <c r="A13" i="13" s="1"/>
  <c r="H13" i="13" s="1"/>
  <c r="F40" i="2"/>
  <c r="E9" i="13" s="1"/>
  <c r="G40" i="2"/>
  <c r="F9" i="13" s="1"/>
  <c r="C39" i="2"/>
  <c r="B45" i="2"/>
  <c r="A14" i="13" s="1"/>
  <c r="H14" i="13" s="1"/>
  <c r="C43" i="2"/>
  <c r="G44" i="2"/>
  <c r="F13" i="13" s="1"/>
  <c r="C37" i="2"/>
  <c r="F44" i="2"/>
  <c r="E13" i="13" s="1"/>
  <c r="E37" i="2"/>
  <c r="D6" i="13" s="1"/>
  <c r="P17" i="2"/>
  <c r="C38" i="2"/>
  <c r="E36" i="2"/>
  <c r="D5" i="13" s="1"/>
  <c r="E45" i="2"/>
  <c r="D14" i="13" s="1"/>
  <c r="G37" i="2"/>
  <c r="F6" i="13" s="1"/>
  <c r="E41" i="2"/>
  <c r="D10" i="13" s="1"/>
  <c r="C34" i="2"/>
  <c r="A3" i="17"/>
  <c r="A4" i="17" s="1"/>
  <c r="A5" i="17" s="1"/>
  <c r="A6" i="17" s="1"/>
  <c r="A7" i="17" s="1"/>
  <c r="A8" i="17" s="1"/>
  <c r="A9" i="17" s="1"/>
  <c r="A10" i="17" s="1"/>
  <c r="A11" i="17" s="1"/>
  <c r="A12" i="17" s="1"/>
  <c r="A13" i="17" s="1"/>
  <c r="A15" i="17" s="1"/>
  <c r="A16" i="17" s="1"/>
  <c r="A17" i="17" s="1"/>
  <c r="A18" i="17" s="1"/>
  <c r="A19" i="17" s="1"/>
  <c r="A20" i="17" s="1"/>
  <c r="A21" i="17" s="1"/>
  <c r="B41" i="2"/>
  <c r="A10" i="13" s="1"/>
  <c r="H10" i="13" s="1"/>
  <c r="E34" i="2"/>
  <c r="D3" i="13" s="1"/>
  <c r="B42" i="2"/>
  <c r="A11" i="13" s="1"/>
  <c r="H11" i="13" s="1"/>
  <c r="C35" i="2"/>
  <c r="F37" i="2"/>
  <c r="E6" i="13" s="1"/>
  <c r="G35" i="2"/>
  <c r="F4" i="13" s="1"/>
  <c r="F33" i="2"/>
  <c r="E2" i="13" s="1"/>
  <c r="C42" i="2"/>
  <c r="G34" i="2"/>
  <c r="F3" i="13" s="1"/>
  <c r="G43" i="2"/>
  <c r="F12" i="13" s="1"/>
  <c r="G38" i="2"/>
  <c r="F7" i="13" s="1"/>
  <c r="F35" i="2"/>
  <c r="E4" i="13" s="1"/>
  <c r="F43" i="2"/>
  <c r="E12" i="13" s="1"/>
  <c r="C45" i="2"/>
  <c r="G39" i="2"/>
  <c r="F8" i="13" s="1"/>
  <c r="E38" i="2"/>
  <c r="D7" i="13" s="1"/>
  <c r="E35" i="2"/>
  <c r="D4" i="13" s="1"/>
  <c r="F36" i="2"/>
  <c r="E5" i="13" s="1"/>
  <c r="B33" i="2"/>
  <c r="E43" i="2"/>
  <c r="D12" i="13" s="1"/>
  <c r="B35" i="2"/>
  <c r="E42" i="2"/>
  <c r="E44" i="2"/>
  <c r="D13" i="13" s="1"/>
  <c r="E39" i="2"/>
  <c r="D8" i="13" s="1"/>
  <c r="B36" i="2"/>
  <c r="F45" i="2"/>
  <c r="E14" i="13" s="1"/>
  <c r="B43" i="2"/>
  <c r="A12" i="13" s="1"/>
  <c r="H12" i="13" s="1"/>
  <c r="B34" i="2"/>
  <c r="C41" i="2"/>
  <c r="B37" i="2"/>
  <c r="B39" i="2"/>
  <c r="G36" i="2"/>
  <c r="F5" i="13" s="1"/>
  <c r="F38" i="2"/>
  <c r="E7" i="13" s="1"/>
  <c r="C33" i="2"/>
  <c r="C36" i="2"/>
  <c r="B38" i="2"/>
  <c r="H71" i="2" l="1"/>
  <c r="L10" i="18"/>
  <c r="M10" i="18" s="1"/>
  <c r="H68" i="2"/>
  <c r="L7" i="18"/>
  <c r="M7" i="18" s="1"/>
  <c r="H70" i="2"/>
  <c r="L9" i="18"/>
  <c r="M9" i="18" s="1"/>
  <c r="H72" i="2"/>
  <c r="L11" i="18"/>
  <c r="M11" i="18" s="1"/>
  <c r="H66" i="2"/>
  <c r="L5" i="18"/>
  <c r="M5" i="18" s="1"/>
  <c r="H69" i="2"/>
  <c r="L8" i="18"/>
  <c r="M8" i="18" s="1"/>
  <c r="H67" i="2"/>
  <c r="L6" i="18"/>
  <c r="M6" i="18" s="1"/>
  <c r="H65" i="2"/>
  <c r="L4" i="18"/>
  <c r="H62" i="2"/>
  <c r="J9" i="18"/>
  <c r="K9" i="18" s="1"/>
  <c r="H60" i="2"/>
  <c r="J7" i="18"/>
  <c r="K7" i="18" s="1"/>
  <c r="H63" i="2"/>
  <c r="J10" i="18"/>
  <c r="K10" i="18" s="1"/>
  <c r="H61" i="2"/>
  <c r="J8" i="18"/>
  <c r="K8" i="18" s="1"/>
  <c r="H58" i="2"/>
  <c r="J5" i="18"/>
  <c r="K5" i="18" s="1"/>
  <c r="H59" i="2"/>
  <c r="J6" i="18"/>
  <c r="K6" i="18" s="1"/>
  <c r="H64" i="2"/>
  <c r="J11" i="18"/>
  <c r="K11" i="18" s="1"/>
  <c r="H57" i="2"/>
  <c r="J4" i="18"/>
  <c r="K4" i="18" s="1"/>
  <c r="H4" i="18"/>
  <c r="F8" i="18"/>
  <c r="G8" i="18" s="1"/>
  <c r="F5" i="18"/>
  <c r="G5" i="18" s="1"/>
  <c r="F6" i="18"/>
  <c r="G6" i="18" s="1"/>
  <c r="F4" i="18"/>
  <c r="G4" i="18" s="1"/>
  <c r="D2" i="13"/>
  <c r="D7" i="18"/>
  <c r="E7" i="18" s="1"/>
  <c r="D6" i="18"/>
  <c r="E6" i="18" s="1"/>
  <c r="D10" i="18"/>
  <c r="E10" i="18" s="1"/>
  <c r="D8" i="18"/>
  <c r="E8" i="18" s="1"/>
  <c r="D9" i="18"/>
  <c r="E9" i="18" s="1"/>
  <c r="D5" i="18"/>
  <c r="E5" i="18" s="1"/>
  <c r="C2" i="13"/>
  <c r="D4" i="18"/>
  <c r="E4" i="18" s="1"/>
  <c r="A8" i="13"/>
  <c r="H8" i="13" s="1"/>
  <c r="A7" i="13"/>
  <c r="H7" i="13" s="1"/>
  <c r="A3" i="13"/>
  <c r="H3" i="13" s="1"/>
  <c r="A5" i="13"/>
  <c r="H5" i="13" s="1"/>
  <c r="A6" i="13"/>
  <c r="H6" i="13" s="1"/>
  <c r="A4" i="13"/>
  <c r="H4" i="13" s="1"/>
  <c r="A2" i="13"/>
  <c r="H2" i="13" s="1"/>
  <c r="A9" i="13"/>
  <c r="H9" i="13" s="1"/>
  <c r="H56" i="2"/>
  <c r="L11" i="16"/>
  <c r="H33" i="2"/>
  <c r="H54" i="2"/>
  <c r="H55" i="2"/>
  <c r="D11" i="13"/>
  <c r="C11" i="13"/>
  <c r="H50" i="2"/>
  <c r="H53" i="2"/>
  <c r="H48" i="2"/>
  <c r="H52" i="2"/>
  <c r="H47" i="2"/>
  <c r="H49" i="2"/>
  <c r="H51" i="2"/>
  <c r="H46" i="2"/>
  <c r="H43" i="2"/>
  <c r="H45" i="2"/>
  <c r="H35" i="2"/>
  <c r="B8" i="13"/>
  <c r="K12" i="16"/>
  <c r="H40" i="2"/>
  <c r="H44" i="2"/>
  <c r="L12" i="16"/>
  <c r="B9" i="13"/>
  <c r="M10" i="16"/>
  <c r="M12" i="16"/>
  <c r="B13" i="13"/>
  <c r="M11" i="16"/>
  <c r="K9" i="16"/>
  <c r="K8" i="16"/>
  <c r="B6" i="13"/>
  <c r="H39" i="2"/>
  <c r="L10" i="16"/>
  <c r="B7" i="13"/>
  <c r="H37" i="2"/>
  <c r="L7" i="16"/>
  <c r="K13" i="16"/>
  <c r="L9" i="16"/>
  <c r="L8" i="16"/>
  <c r="K14" i="16"/>
  <c r="B10" i="13"/>
  <c r="K10" i="16"/>
  <c r="B2" i="13"/>
  <c r="B4" i="13"/>
  <c r="J14" i="16"/>
  <c r="C19" i="11" a="1"/>
  <c r="C19" i="11" s="1"/>
  <c r="H34" i="2"/>
  <c r="L14" i="16"/>
  <c r="M14" i="16"/>
  <c r="M13" i="16"/>
  <c r="B23" i="11" a="1"/>
  <c r="B23" i="11" s="1"/>
  <c r="H23" i="11" s="1"/>
  <c r="H41" i="2"/>
  <c r="L13" i="16"/>
  <c r="B14" i="13"/>
  <c r="K7" i="16"/>
  <c r="K11" i="16"/>
  <c r="G26" i="11" a="1"/>
  <c r="G26" i="11" s="1"/>
  <c r="B3" i="13"/>
  <c r="J13" i="16"/>
  <c r="H38" i="2"/>
  <c r="G25" i="11" a="1"/>
  <c r="G25" i="11" s="1"/>
  <c r="D22" i="11" a="1"/>
  <c r="D22" i="11" s="1"/>
  <c r="F24" i="11" a="1"/>
  <c r="F24" i="11" s="1"/>
  <c r="G23" i="11" a="1"/>
  <c r="G23" i="11" s="1"/>
  <c r="M9" i="16"/>
  <c r="D21" i="11" a="1"/>
  <c r="D21" i="11" s="1"/>
  <c r="B20" i="11" a="1"/>
  <c r="B20" i="11" s="1"/>
  <c r="H20" i="11" s="1"/>
  <c r="C25" i="11" a="1"/>
  <c r="C25" i="11" s="1"/>
  <c r="B12" i="13"/>
  <c r="H42" i="2"/>
  <c r="G21" i="11" a="1"/>
  <c r="G21" i="11" s="1"/>
  <c r="C22" i="11" a="1"/>
  <c r="C22" i="11" s="1"/>
  <c r="B19" i="11" a="1"/>
  <c r="B19" i="11" s="1"/>
  <c r="H19" i="11" s="1"/>
  <c r="E26" i="11" a="1"/>
  <c r="E26" i="11" s="1"/>
  <c r="E22" i="11" a="1"/>
  <c r="E22" i="11" s="1"/>
  <c r="E24" i="11" a="1"/>
  <c r="E24" i="11" s="1"/>
  <c r="G22" i="11" a="1"/>
  <c r="G22" i="11" s="1"/>
  <c r="G24" i="11" a="1"/>
  <c r="G24" i="11" s="1"/>
  <c r="C20" i="11" a="1"/>
  <c r="C20" i="11" s="1"/>
  <c r="B25" i="11" a="1"/>
  <c r="B25" i="11" s="1"/>
  <c r="H25" i="11" s="1"/>
  <c r="B24" i="11" a="1"/>
  <c r="B24" i="11" s="1"/>
  <c r="H24" i="11" s="1"/>
  <c r="D26" i="11" a="1"/>
  <c r="D26" i="11" s="1"/>
  <c r="F23" i="11" a="1"/>
  <c r="F23" i="11" s="1"/>
  <c r="B26" i="11" a="1"/>
  <c r="B26" i="11" s="1"/>
  <c r="H26" i="11" s="1"/>
  <c r="F21" i="11" a="1"/>
  <c r="F21" i="11" s="1"/>
  <c r="M8" i="16"/>
  <c r="B22" i="11" a="1"/>
  <c r="B22" i="11" s="1"/>
  <c r="H22" i="11" s="1"/>
  <c r="E25" i="11" a="1"/>
  <c r="E25" i="11" s="1"/>
  <c r="E20" i="11" a="1"/>
  <c r="E20" i="11" s="1"/>
  <c r="E21" i="11" a="1"/>
  <c r="E21" i="11" s="1"/>
  <c r="F25" i="11" a="1"/>
  <c r="F25" i="11" s="1"/>
  <c r="B21" i="11" a="1"/>
  <c r="B21" i="11" s="1"/>
  <c r="H21" i="11" s="1"/>
  <c r="C23" i="11" a="1"/>
  <c r="C23" i="11" s="1"/>
  <c r="D24" i="11" a="1"/>
  <c r="D24" i="11" s="1"/>
  <c r="D19" i="11" a="1"/>
  <c r="D19" i="11" s="1"/>
  <c r="D25" i="11" a="1"/>
  <c r="D25" i="11" s="1"/>
  <c r="C26" i="11" a="1"/>
  <c r="C26" i="11" s="1"/>
  <c r="B11" i="13"/>
  <c r="F19" i="11" a="1"/>
  <c r="F19" i="11" s="1"/>
  <c r="D20" i="11" a="1"/>
  <c r="D20" i="11" s="1"/>
  <c r="F22" i="11" a="1"/>
  <c r="F22" i="11" s="1"/>
  <c r="E23" i="11" a="1"/>
  <c r="E23" i="11" s="1"/>
  <c r="F20" i="11" a="1"/>
  <c r="F20" i="11" s="1"/>
  <c r="C24" i="11" a="1"/>
  <c r="C24" i="11" s="1"/>
  <c r="F26" i="11" a="1"/>
  <c r="F26" i="11" s="1"/>
  <c r="C21" i="11" a="1"/>
  <c r="C21" i="11" s="1"/>
  <c r="G20" i="11" a="1"/>
  <c r="G20" i="11" s="1"/>
  <c r="G19" i="11" a="1"/>
  <c r="G19" i="11" s="1"/>
  <c r="D23" i="11" a="1"/>
  <c r="D23" i="11" s="1"/>
  <c r="E19" i="11" a="1"/>
  <c r="E19" i="11" s="1"/>
  <c r="M7" i="16"/>
  <c r="E74" i="2"/>
  <c r="B16" i="18" s="1"/>
  <c r="H36" i="2"/>
  <c r="B5" i="13"/>
  <c r="I4" i="18" l="1"/>
  <c r="R5" i="16"/>
  <c r="B36" i="16" s="1"/>
  <c r="B25" i="16"/>
  <c r="B18" i="16"/>
  <c r="B23" i="16"/>
  <c r="B20" i="16"/>
  <c r="B22" i="16"/>
  <c r="R6" i="16"/>
  <c r="B37" i="16" s="1"/>
  <c r="B26" i="16"/>
  <c r="M4" i="18" l="1"/>
</calcChain>
</file>

<file path=xl/sharedStrings.xml><?xml version="1.0" encoding="utf-8"?>
<sst xmlns="http://schemas.openxmlformats.org/spreadsheetml/2006/main" count="538" uniqueCount="321">
  <si>
    <t>First Name</t>
  </si>
  <si>
    <t>MRN</t>
  </si>
  <si>
    <t>Accession #</t>
  </si>
  <si>
    <t>Collection Date</t>
  </si>
  <si>
    <t>Birth Date</t>
  </si>
  <si>
    <t>Gender</t>
  </si>
  <si>
    <t>Case ID</t>
  </si>
  <si>
    <t>DNA Number</t>
  </si>
  <si>
    <t>Color</t>
  </si>
  <si>
    <t>Received Date</t>
  </si>
  <si>
    <t>Received Time</t>
  </si>
  <si>
    <t>Received By</t>
  </si>
  <si>
    <t>Sample Type</t>
  </si>
  <si>
    <t>Sample Amount</t>
  </si>
  <si>
    <t>Ordering Location</t>
  </si>
  <si>
    <t>Location Code (BMT, CCC, etc)</t>
  </si>
  <si>
    <t>Provider Last Name</t>
  </si>
  <si>
    <t>Provider First Name</t>
  </si>
  <si>
    <t>Due Date (10 working days from receipt)</t>
  </si>
  <si>
    <t>Test Requested</t>
  </si>
  <si>
    <t>Assay ID</t>
  </si>
  <si>
    <t>Test Run By</t>
  </si>
  <si>
    <t>Test Run Date</t>
  </si>
  <si>
    <t>Reported Date</t>
  </si>
  <si>
    <t>Invoice Number</t>
  </si>
  <si>
    <t>Notes</t>
  </si>
  <si>
    <t>Holidays (2012-2014)</t>
  </si>
  <si>
    <t>Run Date:</t>
  </si>
  <si>
    <t>Sample # &amp; Color</t>
  </si>
  <si>
    <t>Name</t>
  </si>
  <si>
    <t>Year:</t>
  </si>
  <si>
    <t>Number of samples:</t>
  </si>
  <si>
    <t>Month:</t>
  </si>
  <si>
    <t>Column1</t>
  </si>
  <si>
    <t>NTC</t>
  </si>
  <si>
    <t>LPC</t>
  </si>
  <si>
    <t>Step 1: Enter Patient List from the Sample Receipt Log on the Patient List Tab (click to enter)</t>
  </si>
  <si>
    <t>Last Name</t>
  </si>
  <si>
    <t>Step 3: Select the Run Template File</t>
  </si>
  <si>
    <t>File:</t>
  </si>
  <si>
    <t>Step 4: Select where to save the run record</t>
  </si>
  <si>
    <t>Save Here:</t>
  </si>
  <si>
    <t>Name:</t>
  </si>
  <si>
    <t>Check</t>
  </si>
  <si>
    <t>Step 2: Choose Technician and Enter Run Date(s) Below:</t>
  </si>
  <si>
    <t>Mutation</t>
  </si>
  <si>
    <t>Assay ID:</t>
  </si>
  <si>
    <t>Doc Name:</t>
  </si>
  <si>
    <t>This workbook is a generic workbook to automate the creation of run records.</t>
  </si>
  <si>
    <t>Please follow these instructions when creating a new run record template for a new assay:</t>
  </si>
  <si>
    <t>2. Create the template WORD document and save as a ".dotx" file</t>
  </si>
  <si>
    <t>3. Create the content here that will be sent to the word document. This includes sample tables, plate layout tables, control values, etc.</t>
  </si>
  <si>
    <t>4. All tables and other content that will be sent to the word document MUST be named. Tables can be formatted as tables and named under the "Tables" tab,</t>
  </si>
  <si>
    <t>or cell(s) can be selected and named using "Formulas -&gt; Name Manager".</t>
  </si>
  <si>
    <t>5. Go back to your word document and insert BOOKMARKS for everything that needs to be copied to the new document.</t>
  </si>
  <si>
    <t>IMPORTANT:</t>
  </si>
  <si>
    <t>a. All bookmarks in the word document should be enclosed in [[ ]] in the document, but leave the [[ ]] off the name in the bookmark manager. For example:</t>
  </si>
  <si>
    <t>For a bookmark named AssayID, it should be named AssayID in the bookmark manager.</t>
  </si>
  <si>
    <t>It should be placed in the document as [[AssayID]].</t>
  </si>
  <si>
    <t>Highlight the bookmark name including double brackets [[AssayID]]</t>
  </si>
  <si>
    <t>Click "Insert bookmark" and name the bookmark AssayID (no double brackets)</t>
  </si>
  <si>
    <t>The bookmark with double brackets will be replaced with the AssayID data from this workbook.</t>
  </si>
  <si>
    <t>The double brackets allow us to easily see bookmarks in template files.</t>
  </si>
  <si>
    <t>b. All Bookmarks in the word document MUST have the same name as the named content here. For example</t>
  </si>
  <si>
    <t>The AssayID bookmark in word must have a corresponding named range named AssayID.</t>
  </si>
  <si>
    <t>Any named ranges here that do NOT match a bookmark name exactly will be skipped.</t>
  </si>
  <si>
    <t>Any bookmarks here that do NOT correspond to a named range or tabel here will be skipped.</t>
  </si>
  <si>
    <t>Create a list of named ranges here and in the template document:</t>
  </si>
  <si>
    <t>Created by Sarah Schmitt, 01/Feb/2016</t>
  </si>
  <si>
    <t>6. The last two rows of the Samples table must always be the last two rows. If you need to insert additional rows, insert in the middle and adjust values from there.</t>
  </si>
  <si>
    <t>1. Select a Default file location where template run records will be stored:</t>
  </si>
  <si>
    <t>(this will usually be the main folder for an assay. For example: R:\CANCTR RSCH\CMOL\Assay Results\Clinical Data\PCR-based assays\EGFR)</t>
  </si>
  <si>
    <t>You selected this default folder:</t>
  </si>
  <si>
    <t>Excel Name</t>
  </si>
  <si>
    <t>AssayID</t>
  </si>
  <si>
    <t>Samples</t>
  </si>
  <si>
    <t>DocName</t>
  </si>
  <si>
    <t>LPC_1</t>
  </si>
  <si>
    <t>RunDate</t>
  </si>
  <si>
    <t>SavePath</t>
  </si>
  <si>
    <t>Technician</t>
  </si>
  <si>
    <t>TemplateFile</t>
  </si>
  <si>
    <t>Word Name</t>
  </si>
  <si>
    <t>Named Range</t>
  </si>
  <si>
    <t>AssessmentPlate</t>
  </si>
  <si>
    <t>MutationPlate</t>
  </si>
  <si>
    <t>Type (Range or Table)</t>
  </si>
  <si>
    <t>Table</t>
  </si>
  <si>
    <t>Case # - MRN</t>
  </si>
  <si>
    <t>Sample type</t>
  </si>
  <si>
    <t>DNA Conc. (ng/µl )</t>
  </si>
  <si>
    <t>A260/280</t>
  </si>
  <si>
    <t>QC Result</t>
  </si>
  <si>
    <t>Note</t>
  </si>
  <si>
    <t>Assign samples to Tech</t>
  </si>
  <si>
    <t>Column2</t>
  </si>
  <si>
    <t>Column3</t>
  </si>
  <si>
    <t>Test Requested4</t>
  </si>
  <si>
    <t>Ordering Location5</t>
  </si>
  <si>
    <t>Column6</t>
  </si>
  <si>
    <t>Column7</t>
  </si>
  <si>
    <t>Column8</t>
  </si>
  <si>
    <t>Column9</t>
  </si>
  <si>
    <t>Column10</t>
  </si>
  <si>
    <t>Column11</t>
  </si>
  <si>
    <t>Column12</t>
  </si>
  <si>
    <t>Column13</t>
  </si>
  <si>
    <t>Column14</t>
  </si>
  <si>
    <t>Column17</t>
  </si>
  <si>
    <t>Column18</t>
  </si>
  <si>
    <t>PatientList</t>
  </si>
  <si>
    <t>Result</t>
  </si>
  <si>
    <t>R:\CANCTR RSCH\CMOL\Assay Results\Clinical Data\PCR-based assays\NRAS\M34n.3-NRAS PCR test record.dotx</t>
  </si>
  <si>
    <t>DilutionTable</t>
  </si>
  <si>
    <t>#</t>
  </si>
  <si>
    <t>DNA #</t>
  </si>
  <si>
    <t># of QC Samples</t>
  </si>
  <si>
    <t>Concentration</t>
  </si>
  <si>
    <t>A260:A280</t>
  </si>
  <si>
    <t>Calculations</t>
  </si>
  <si>
    <t>last row of QC samples</t>
  </si>
  <si>
    <t>first row of patient samples</t>
  </si>
  <si>
    <t>last row of patient sample</t>
  </si>
  <si>
    <t>first row of QC sample</t>
  </si>
  <si>
    <t>Conc (ng/ul)</t>
  </si>
  <si>
    <t>Step 5: Enter QC Sample ID (if applicable) - leave blank if not using. YELLOW CELLS ARE REQUIRED</t>
  </si>
  <si>
    <t>Accession # - MRN</t>
  </si>
  <si>
    <t>Ratio</t>
  </si>
  <si>
    <t xml:space="preserve">gDNA </t>
  </si>
  <si>
    <t>Type</t>
  </si>
  <si>
    <t>Conc. (ng/µl )</t>
  </si>
  <si>
    <t># FFPE QC</t>
  </si>
  <si>
    <t># Blood QC</t>
  </si>
  <si>
    <t>B_Samples</t>
  </si>
  <si>
    <t>QC #3</t>
  </si>
  <si>
    <t>QC #4</t>
  </si>
  <si>
    <t>QC #5</t>
  </si>
  <si>
    <t>QC #6</t>
  </si>
  <si>
    <t>QC #7</t>
  </si>
  <si>
    <t>QC #8</t>
  </si>
  <si>
    <t>QC #2</t>
  </si>
  <si>
    <t>QC #1</t>
  </si>
  <si>
    <t>Record Prepared By:</t>
  </si>
  <si>
    <t>Column4</t>
  </si>
  <si>
    <t>F</t>
  </si>
  <si>
    <t>Step 5: Select Sub Run ID</t>
  </si>
  <si>
    <t>Sub Run ID:</t>
  </si>
  <si>
    <t>Step 6: Verify that the assay ID is correct</t>
  </si>
  <si>
    <t>Step 7: Confirm Sample List is correct</t>
  </si>
  <si>
    <t>Well</t>
  </si>
  <si>
    <t>A</t>
  </si>
  <si>
    <t>B</t>
  </si>
  <si>
    <t>C</t>
  </si>
  <si>
    <t>D</t>
  </si>
  <si>
    <t>E</t>
  </si>
  <si>
    <t>G</t>
  </si>
  <si>
    <t>H</t>
  </si>
  <si>
    <t>1:2000 dilution</t>
  </si>
  <si>
    <t>Column5</t>
  </si>
  <si>
    <t>1:40 dilution</t>
  </si>
  <si>
    <t>1:20000 dilution</t>
  </si>
  <si>
    <t>Mix the libraries by pipetting 5 times.</t>
  </si>
  <si>
    <t>Mark a new tray As "EB".</t>
  </si>
  <si>
    <t>Mark a new eppendorf tube as M1.</t>
  </si>
  <si>
    <t>Mix tube M1 by pipetting 10 times.</t>
  </si>
  <si>
    <t>Mastermix 2</t>
  </si>
  <si>
    <t>water</t>
  </si>
  <si>
    <t>SYBR green</t>
  </si>
  <si>
    <t>Discard tube M1.</t>
  </si>
  <si>
    <t>Mix tube M2 by pipetting 10 times.</t>
  </si>
  <si>
    <t>Mark a new eppendorf tube as M2.</t>
  </si>
  <si>
    <t>Mix the wells by pipetting 10 times.</t>
  </si>
  <si>
    <t>PCR Maste Mix</t>
  </si>
  <si>
    <t>Column19</t>
  </si>
  <si>
    <t>Column20</t>
  </si>
  <si>
    <t>Column21</t>
  </si>
  <si>
    <t>Column22</t>
  </si>
  <si>
    <t>Column23</t>
  </si>
  <si>
    <t>Column24</t>
  </si>
  <si>
    <t>Column25</t>
  </si>
  <si>
    <t>Column26</t>
  </si>
  <si>
    <t>Aliquot 2 ml buffer to the EB tray.</t>
  </si>
  <si>
    <t>Carefully seal Plate P6. If you plan to proceed to run the samples on Miseq within 24 hours, keep the plate at 4 ⁰C. Otherwise, return the plate to -20 ⁰C freezer.</t>
  </si>
  <si>
    <t>Add 245 µl RNase/DNase-free water to tube M1.</t>
  </si>
  <si>
    <t>Add 245 µl SYBR green mastermix to tube M1.</t>
  </si>
  <si>
    <t>Transfer 10 µl of the 1:2000 and 1:20000 libraries to columns 9-12 according to Table 1.</t>
  </si>
  <si>
    <t>Aliquot 80 µl master M1 to wells A9, B9, C9, D9, E9, F9 on plate 7.</t>
  </si>
  <si>
    <t>Aliquot 74 µl Mastermix M2 to designated wells according to Table 1.</t>
  </si>
  <si>
    <t>Aliquot 25 µl PCR master mix from plate 7 column 9 to plate 8 (assay plate) columns 1-3 according to Tables 1 and 2.</t>
  </si>
  <si>
    <t>Aliquot 25 µl PCR master mix from plate 7 column 10 to plate 8 (assay plate) columns 4-6 according to Tables 1 and 2.</t>
  </si>
  <si>
    <t>Aliquot 25 µl PCR master mix from plate 7 column 11 to plate 8 (assay plate) columns 7-9 according to Tables 1 and 2.</t>
  </si>
  <si>
    <t>Aliquot 25 µl PCR master mix from plate 7 column 12 to plate 8 (assay plate) columns 10-12 according to Tables 1 and 2.</t>
  </si>
  <si>
    <t/>
  </si>
  <si>
    <t>Ziyan Pessetto</t>
  </si>
  <si>
    <r>
      <t xml:space="preserve">80 </t>
    </r>
    <r>
      <rPr>
        <sz val="7"/>
        <color theme="1"/>
        <rFont val="Calibri"/>
        <family val="2"/>
      </rPr>
      <t>µl Mastermix M1</t>
    </r>
  </si>
  <si>
    <t>Date</t>
  </si>
  <si>
    <t>Changed by</t>
  </si>
  <si>
    <t>Techinician name list updated.</t>
  </si>
  <si>
    <t>Version</t>
  </si>
  <si>
    <t>M44g.0-1</t>
  </si>
  <si>
    <t>M44g.1</t>
  </si>
  <si>
    <t>Library QC method changed to Quant-It.</t>
  </si>
  <si>
    <t>Std B</t>
  </si>
  <si>
    <t>Std C</t>
  </si>
  <si>
    <t>Std D</t>
  </si>
  <si>
    <t>Std E</t>
  </si>
  <si>
    <t>Std F</t>
  </si>
  <si>
    <t>Std G</t>
  </si>
  <si>
    <t>Std H</t>
  </si>
  <si>
    <t>Blank</t>
  </si>
  <si>
    <t>\\kumc.edu\data\Research\CANCTR RSCH\CMOL\Assay Results\Clinical Data\NGS</t>
  </si>
  <si>
    <t>Chunhua Li</t>
  </si>
  <si>
    <t>\\kumc.edu\data\Research\CANCTR RSCH\CMOL\Assay Results\Clinical Data\NGS\Run Record Worksheets\M44h.2 - NGS STEP 2 Library QC by Quant-iT 1X dsDNA HS Assay Kit Run Record Template.dotx</t>
  </si>
  <si>
    <t>M44g.2</t>
  </si>
  <si>
    <t>Change triplate wells into duplicate wells</t>
  </si>
  <si>
    <t>n/a</t>
  </si>
  <si>
    <t>Bone Marrow</t>
  </si>
  <si>
    <t>NGS HEME</t>
  </si>
  <si>
    <t>CL</t>
  </si>
  <si>
    <t>Horizon</t>
  </si>
  <si>
    <t>Tru-Q 1 (5% Tier)</t>
  </si>
  <si>
    <t>HD728</t>
  </si>
  <si>
    <t>C00026B</t>
  </si>
  <si>
    <t>Purple</t>
  </si>
  <si>
    <t>DNA</t>
  </si>
  <si>
    <t>5.0</t>
  </si>
  <si>
    <t>..\Control%20Data\Tru-Q 1.pdf</t>
  </si>
  <si>
    <t>see hyperlink</t>
  </si>
  <si>
    <t>Female</t>
  </si>
  <si>
    <t>Bell Hospital Lab</t>
  </si>
  <si>
    <t>Male</t>
  </si>
  <si>
    <t>BANSAL</t>
  </si>
  <si>
    <t xml:space="preserve"> RAJAT</t>
  </si>
  <si>
    <t>NGS Heme</t>
  </si>
  <si>
    <t>STEWART</t>
  </si>
  <si>
    <t xml:space="preserve"> LISA M</t>
  </si>
  <si>
    <t>KEARNEY</t>
  </si>
  <si>
    <t xml:space="preserve"> ELIZABETH J</t>
  </si>
  <si>
    <t xml:space="preserve">NGS 25-CM13 </t>
  </si>
  <si>
    <t>Gaston</t>
  </si>
  <si>
    <t xml:space="preserve"> Anita</t>
  </si>
  <si>
    <t>CMOL DNA 305_D-1</t>
  </si>
  <si>
    <t>25BH-015MP0030</t>
  </si>
  <si>
    <t>GONZALEZ LUGO</t>
  </si>
  <si>
    <t xml:space="preserve"> JESUS D</t>
  </si>
  <si>
    <t>Young</t>
  </si>
  <si>
    <t xml:space="preserve"> Susan Marie</t>
  </si>
  <si>
    <t>CMOL DNA 305_D-3</t>
  </si>
  <si>
    <t>25BH-015MP0025</t>
  </si>
  <si>
    <t>BINGHAM</t>
  </si>
  <si>
    <t xml:space="preserve"> ZORA A</t>
  </si>
  <si>
    <t>Stumbo</t>
  </si>
  <si>
    <t xml:space="preserve"> Ashley Ann</t>
  </si>
  <si>
    <t>CMOL DNA 305_D-4</t>
  </si>
  <si>
    <t>25BH-016MP0005</t>
  </si>
  <si>
    <t>YACOUB</t>
  </si>
  <si>
    <t xml:space="preserve"> ABDULRAHEEM</t>
  </si>
  <si>
    <t>Frizell</t>
  </si>
  <si>
    <t xml:space="preserve"> Eric Brandon</t>
  </si>
  <si>
    <t>CMOL DNA 305_D-5</t>
  </si>
  <si>
    <t>25BH-015MP0031</t>
  </si>
  <si>
    <t>King</t>
  </si>
  <si>
    <t xml:space="preserve"> Janet Elaine</t>
  </si>
  <si>
    <t>CMOL DNA 305_D-6</t>
  </si>
  <si>
    <t>25BH-016MP0003</t>
  </si>
  <si>
    <t>Thomas</t>
  </si>
  <si>
    <t xml:space="preserve"> Madison Mine</t>
  </si>
  <si>
    <t>CMOL DNA 305_D-7</t>
  </si>
  <si>
    <t>25BH-016MP0015</t>
  </si>
  <si>
    <t>Blood</t>
  </si>
  <si>
    <t>Tucker</t>
  </si>
  <si>
    <t xml:space="preserve"> Rita S</t>
  </si>
  <si>
    <t>CMOL DNA 305_D-8</t>
  </si>
  <si>
    <t>25BH-016MP0014</t>
  </si>
  <si>
    <t>ATIEH</t>
  </si>
  <si>
    <t xml:space="preserve"> TAHANI S</t>
  </si>
  <si>
    <t>Verburg</t>
  </si>
  <si>
    <t xml:space="preserve"> Robert Martin</t>
  </si>
  <si>
    <t>CMOL DNA 305_D-9</t>
  </si>
  <si>
    <t>25BH-016MP0016</t>
  </si>
  <si>
    <t>Baker</t>
  </si>
  <si>
    <t xml:space="preserve"> Judith Elaine</t>
  </si>
  <si>
    <t>CMOL DNA 305_E-1</t>
  </si>
  <si>
    <t>25BH-016MP0022</t>
  </si>
  <si>
    <t>AHMED</t>
  </si>
  <si>
    <t xml:space="preserve"> NAUSHEEN</t>
  </si>
  <si>
    <t>Huynh</t>
  </si>
  <si>
    <t xml:space="preserve"> Chau Van</t>
  </si>
  <si>
    <t>CMOL DNA 305_E-2</t>
  </si>
  <si>
    <t>25BH-016MP0018</t>
  </si>
  <si>
    <t>SINGH</t>
  </si>
  <si>
    <t xml:space="preserve"> ANURAG K</t>
  </si>
  <si>
    <t>Linquist</t>
  </si>
  <si>
    <t xml:space="preserve"> Zachary Connor</t>
  </si>
  <si>
    <t>CMOL DNA 305_F-2</t>
  </si>
  <si>
    <t>25BH-016MP0036</t>
  </si>
  <si>
    <t>Lull</t>
  </si>
  <si>
    <t xml:space="preserve"> Dennis Scott</t>
  </si>
  <si>
    <t>CMOL DNA 305_F-4</t>
  </si>
  <si>
    <t>25BH-016MP0029</t>
  </si>
  <si>
    <t>Owens</t>
  </si>
  <si>
    <t xml:space="preserve"> Andrew Jordan</t>
  </si>
  <si>
    <t>CMOL DNA 305_F-5</t>
  </si>
  <si>
    <t>25BH-016MP0034</t>
  </si>
  <si>
    <t>BYRD</t>
  </si>
  <si>
    <t xml:space="preserve"> KENNETH P</t>
  </si>
  <si>
    <t>Buehler</t>
  </si>
  <si>
    <t xml:space="preserve"> Virginia A</t>
  </si>
  <si>
    <t>CMOL DNA 305_F-6</t>
  </si>
  <si>
    <t>25BH-016MP0031</t>
  </si>
  <si>
    <t>Sjerven</t>
  </si>
  <si>
    <t xml:space="preserve"> Linda Jordan</t>
  </si>
  <si>
    <t>CMOL DNA 305_F-7</t>
  </si>
  <si>
    <t>25BH-017MP0002</t>
  </si>
  <si>
    <t>LUTFI</t>
  </si>
  <si>
    <t xml:space="preserve"> FORAT G</t>
  </si>
  <si>
    <t>Roberts</t>
  </si>
  <si>
    <t xml:space="preserve"> Max Owen</t>
  </si>
  <si>
    <t>CMOL DNA 305_F-9</t>
  </si>
  <si>
    <t>25BH-017MP0005</t>
  </si>
  <si>
    <t>\\kumc.edu\data\Research\CANCTR RSCH\CMOL\Assay Results\Clinical Data\NGS\2025 (Run 1221- )\25-CM13 (Heme)\Step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</si>
</sst>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164" formatCode="0;\-0;;@"/>
    <numFmt numFmtId="165" formatCode="0.0;\-0.0;;@"/>
    <numFmt numFmtId="166" formatCode="[$-F400]h:mm:ss\ AM/PM"/>
  </numFmts>
  <fonts count="50" x14ac:knownFonts="1">
    <font>
      <sz val="11"/>
      <color theme="1"/>
      <name val="Arial Narrow"/>
      <family val="2"/>
    </font>
    <font>
      <sz val="11"/>
      <color theme="1"/>
      <name val="Calibri"/>
      <family val="2"/>
      <scheme val="minor"/>
    </font>
    <font>
      <sz val="10"/>
      <color theme="1"/>
      <name val="Arial Narrow"/>
      <family val="2"/>
    </font>
    <font>
      <b/>
      <sz val="10"/>
      <color theme="1"/>
      <name val="Arial Narrow"/>
      <family val="2"/>
    </font>
    <font>
      <sz val="10"/>
      <name val="Arial Narrow"/>
      <family val="2"/>
    </font>
    <font>
      <u/>
      <sz val="11"/>
      <color theme="10"/>
      <name val="Arial Narrow"/>
      <family val="2"/>
    </font>
    <font>
      <b/>
      <i/>
      <sz val="10"/>
      <color theme="1"/>
      <name val="Arial Narrow"/>
      <family val="2"/>
    </font>
    <font>
      <sz val="11"/>
      <color rgb="FF000000"/>
      <name val="Arial Narrow"/>
      <family val="2"/>
    </font>
    <font>
      <b/>
      <sz val="11"/>
      <color theme="1"/>
      <name val="Arial Narrow"/>
      <family val="2"/>
    </font>
    <font>
      <sz val="11"/>
      <color rgb="FFFF0000"/>
      <name val="Arial Narrow"/>
      <family val="2"/>
    </font>
    <font>
      <sz val="9"/>
      <color theme="1"/>
      <name val="Arial Narrow"/>
      <family val="2"/>
    </font>
    <font>
      <b/>
      <sz val="9"/>
      <color theme="1"/>
      <name val="Arial Narrow"/>
      <family val="2"/>
    </font>
    <font>
      <b/>
      <i/>
      <sz val="9"/>
      <color theme="1"/>
      <name val="Arial Narrow"/>
      <family val="2"/>
    </font>
    <font>
      <sz val="12"/>
      <color rgb="FF000000"/>
      <name val="Arial Narrow"/>
      <family val="2"/>
    </font>
    <font>
      <sz val="9"/>
      <name val="Arial Narrow"/>
      <family val="2"/>
    </font>
    <font>
      <b/>
      <sz val="18"/>
      <color theme="3"/>
      <name val="Cambria"/>
      <family val="2"/>
      <scheme val="major"/>
    </font>
    <font>
      <sz val="11"/>
      <color theme="1"/>
      <name val="Calibri"/>
      <family val="2"/>
      <scheme val="minor"/>
    </font>
    <font>
      <sz val="11"/>
      <color rgb="FFFFFFFF"/>
      <name val="Calibri"/>
      <family val="2"/>
      <scheme val="minor"/>
    </font>
    <font>
      <sz val="11"/>
      <color rgb="FF000000"/>
      <name val="Calibri"/>
      <family val="2"/>
      <scheme val="minor"/>
    </font>
    <font>
      <u/>
      <sz val="11"/>
      <color theme="10"/>
      <name val="Calibri"/>
      <family val="2"/>
      <scheme val="minor"/>
    </font>
    <font>
      <b/>
      <sz val="11"/>
      <color theme="1"/>
      <name val="Calibri"/>
      <family val="2"/>
      <scheme val="minor"/>
    </font>
    <font>
      <sz val="10"/>
      <color theme="1"/>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9"/>
      <name val="Calibri"/>
      <family val="2"/>
    </font>
    <font>
      <sz val="10"/>
      <name val="Arial"/>
      <family val="2"/>
    </font>
    <font>
      <b/>
      <sz val="11"/>
      <color indexed="8"/>
      <name val="Calibri"/>
      <family val="2"/>
    </font>
    <font>
      <sz val="10"/>
      <color indexed="0"/>
      <name val="MS Sans Serif"/>
      <family val="2"/>
    </font>
    <font>
      <sz val="10"/>
      <name val="Calibri"/>
      <family val="2"/>
    </font>
    <font>
      <b/>
      <u/>
      <sz val="10"/>
      <color theme="10"/>
      <name val="Arial Narrow"/>
      <family val="2"/>
    </font>
    <font>
      <sz val="8"/>
      <color theme="1"/>
      <name val="Arial Narrow"/>
      <family val="2"/>
    </font>
    <font>
      <sz val="9"/>
      <color theme="1"/>
      <name val="Calibri"/>
      <family val="2"/>
      <scheme val="minor"/>
    </font>
    <font>
      <sz val="9"/>
      <color rgb="FF000000"/>
      <name val="Arial Narrow"/>
      <family val="2"/>
    </font>
    <font>
      <sz val="9"/>
      <name val="Calibri"/>
      <family val="2"/>
      <scheme val="minor"/>
    </font>
    <font>
      <sz val="7"/>
      <color theme="1"/>
      <name val="Arial Narrow"/>
      <family val="2"/>
    </font>
    <font>
      <sz val="7"/>
      <color theme="1"/>
      <name val="Calibri"/>
      <family val="2"/>
    </font>
    <font>
      <sz val="8"/>
      <name val="Arial Narrow"/>
      <family val="2"/>
    </font>
    <font>
      <b/>
      <sz val="8"/>
      <color theme="1"/>
      <name val="Calibri"/>
      <family val="2"/>
      <scheme val="minor"/>
    </font>
  </fonts>
  <fills count="53">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0" tint="-0.14999847407452621"/>
        <bgColor theme="0" tint="-0.14999847407452621"/>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00FF00"/>
        <bgColor indexed="64"/>
      </patternFill>
    </fill>
    <fill>
      <patternFill patternType="solid">
        <fgColor rgb="FFADD8E6"/>
        <bgColor indexed="64"/>
      </patternFill>
    </fill>
    <fill>
      <patternFill patternType="solid">
        <fgColor rgb="FFADFF2F"/>
        <bgColor indexed="64"/>
      </patternFill>
    </fill>
    <fill>
      <patternFill patternType="solid">
        <fgColor rgb="FFB0C4DE"/>
        <bgColor indexed="64"/>
      </patternFill>
    </fill>
    <fill>
      <patternFill patternType="solid">
        <fgColor rgb="FFFFFFFF"/>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theme="0" tint="-4.9989318521683403E-2"/>
        <bgColor indexed="64"/>
      </patternFill>
    </fill>
    <fill>
      <patternFill patternType="solid">
        <fgColor theme="0"/>
        <bgColor indexed="64"/>
      </patternFill>
    </fill>
    <fill>
      <patternFill patternType="solid">
        <fgColor theme="0" tint="-0.34998626667073579"/>
        <bgColor indexed="64"/>
      </patternFill>
    </fill>
    <fill>
      <patternFill patternType="solid">
        <fgColor theme="5" tint="0.79998168889431442"/>
        <bgColor indexed="64"/>
      </patternFill>
    </fill>
    <fill>
      <patternFill patternType="solid">
        <fgColor rgb="FFD9D9D9"/>
        <bgColor indexed="64"/>
      </patternFill>
    </fill>
  </fills>
  <borders count="45">
    <border>
      <left/>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2"/>
      </top>
      <bottom style="double">
        <color indexed="62"/>
      </bottom>
      <diagonal/>
    </border>
    <border>
      <left/>
      <right/>
      <top style="medium">
        <color indexed="64"/>
      </top>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right/>
      <top style="thin">
        <color indexed="64"/>
      </top>
      <bottom style="thin">
        <color indexed="64"/>
      </bottom>
      <diagonal/>
    </border>
    <border>
      <left/>
      <right/>
      <top/>
      <bottom style="thin">
        <color indexed="64"/>
      </bottom>
      <diagonal/>
    </border>
    <border>
      <left/>
      <right style="thin">
        <color indexed="64"/>
      </right>
      <top style="medium">
        <color indexed="64"/>
      </top>
      <bottom style="thin">
        <color indexed="64"/>
      </bottom>
      <diagonal/>
    </border>
    <border>
      <left/>
      <right style="thin">
        <color indexed="64"/>
      </right>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s>
  <cellStyleXfs count="2087">
    <xf numFmtId="0" fontId="0" fillId="0" borderId="0"/>
    <xf numFmtId="0" fontId="5" fillId="0" borderId="0" applyNumberFormat="0" applyFill="0" applyBorder="0" applyAlignment="0" applyProtection="0"/>
    <xf numFmtId="0" fontId="15" fillId="0" borderId="0" applyNumberFormat="0" applyFill="0" applyBorder="0" applyAlignment="0" applyProtection="0"/>
    <xf numFmtId="0" fontId="16" fillId="0" borderId="0"/>
    <xf numFmtId="0" fontId="17" fillId="36" borderId="0"/>
    <xf numFmtId="0" fontId="18" fillId="2" borderId="0"/>
    <xf numFmtId="0" fontId="18" fillId="37" borderId="0"/>
    <xf numFmtId="0" fontId="18" fillId="38" borderId="0"/>
    <xf numFmtId="0" fontId="18" fillId="39" borderId="0"/>
    <xf numFmtId="0" fontId="18" fillId="40" borderId="0"/>
    <xf numFmtId="0" fontId="18" fillId="41" borderId="0"/>
    <xf numFmtId="0" fontId="18" fillId="38" borderId="0"/>
    <xf numFmtId="0" fontId="19" fillId="0" borderId="0" applyNumberFormat="0" applyFill="0" applyBorder="0" applyAlignment="0" applyProtection="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21"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1"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26" applyNumberFormat="0" applyFill="0" applyAlignment="0" applyProtection="0"/>
    <xf numFmtId="0" fontId="23" fillId="0" borderId="27" applyNumberFormat="0" applyFill="0" applyAlignment="0" applyProtection="0"/>
    <xf numFmtId="0" fontId="24" fillId="0" borderId="28" applyNumberFormat="0" applyFill="0" applyAlignment="0" applyProtection="0"/>
    <xf numFmtId="0" fontId="24" fillId="0" borderId="0" applyNumberFormat="0" applyFill="0" applyBorder="0" applyAlignment="0" applyProtection="0"/>
    <xf numFmtId="0" fontId="25" fillId="5" borderId="0" applyNumberFormat="0" applyBorder="0" applyAlignment="0" applyProtection="0"/>
    <xf numFmtId="0" fontId="26" fillId="6" borderId="0" applyNumberFormat="0" applyBorder="0" applyAlignment="0" applyProtection="0"/>
    <xf numFmtId="0" fontId="27" fillId="7" borderId="0" applyNumberFormat="0" applyBorder="0" applyAlignment="0" applyProtection="0"/>
    <xf numFmtId="0" fontId="28" fillId="8" borderId="29" applyNumberFormat="0" applyAlignment="0" applyProtection="0"/>
    <xf numFmtId="0" fontId="29" fillId="9" borderId="30" applyNumberFormat="0" applyAlignment="0" applyProtection="0"/>
    <xf numFmtId="0" fontId="30" fillId="9" borderId="29" applyNumberFormat="0" applyAlignment="0" applyProtection="0"/>
    <xf numFmtId="0" fontId="31" fillId="0" borderId="31" applyNumberFormat="0" applyFill="0" applyAlignment="0" applyProtection="0"/>
    <xf numFmtId="0" fontId="32" fillId="10" borderId="32" applyNumberFormat="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20" fillId="0" borderId="34" applyNumberFormat="0" applyFill="0" applyAlignment="0" applyProtection="0"/>
    <xf numFmtId="0" fontId="35" fillId="12"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35" fillId="15" borderId="0" applyNumberFormat="0" applyBorder="0" applyAlignment="0" applyProtection="0"/>
    <xf numFmtId="0" fontId="35" fillId="16"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35" fillId="19" borderId="0" applyNumberFormat="0" applyBorder="0" applyAlignment="0" applyProtection="0"/>
    <xf numFmtId="0" fontId="35" fillId="20" borderId="0" applyNumberFormat="0" applyBorder="0" applyAlignment="0" applyProtection="0"/>
    <xf numFmtId="0" fontId="16" fillId="21" borderId="0" applyNumberFormat="0" applyBorder="0" applyAlignment="0" applyProtection="0"/>
    <xf numFmtId="0" fontId="16" fillId="22" borderId="0" applyNumberFormat="0" applyBorder="0" applyAlignment="0" applyProtection="0"/>
    <xf numFmtId="0" fontId="35" fillId="23" borderId="0" applyNumberFormat="0" applyBorder="0" applyAlignment="0" applyProtection="0"/>
    <xf numFmtId="0" fontId="35" fillId="24" borderId="0" applyNumberFormat="0" applyBorder="0" applyAlignment="0" applyProtection="0"/>
    <xf numFmtId="0" fontId="16" fillId="25" borderId="0" applyNumberFormat="0" applyBorder="0" applyAlignment="0" applyProtection="0"/>
    <xf numFmtId="0" fontId="16" fillId="26" borderId="0" applyNumberFormat="0" applyBorder="0" applyAlignment="0" applyProtection="0"/>
    <xf numFmtId="0" fontId="35" fillId="27" borderId="0" applyNumberFormat="0" applyBorder="0" applyAlignment="0" applyProtection="0"/>
    <xf numFmtId="0" fontId="35" fillId="28" borderId="0" applyNumberFormat="0" applyBorder="0" applyAlignment="0" applyProtection="0"/>
    <xf numFmtId="0" fontId="16" fillId="29" borderId="0" applyNumberFormat="0" applyBorder="0" applyAlignment="0" applyProtection="0"/>
    <xf numFmtId="0" fontId="16" fillId="30" borderId="0" applyNumberFormat="0" applyBorder="0" applyAlignment="0" applyProtection="0"/>
    <xf numFmtId="0" fontId="35" fillId="31" borderId="0" applyNumberFormat="0" applyBorder="0" applyAlignment="0" applyProtection="0"/>
    <xf numFmtId="0" fontId="35" fillId="32" borderId="0" applyNumberFormat="0" applyBorder="0" applyAlignment="0" applyProtection="0"/>
    <xf numFmtId="0" fontId="16" fillId="33" borderId="0" applyNumberFormat="0" applyBorder="0" applyAlignment="0" applyProtection="0"/>
    <xf numFmtId="0" fontId="16" fillId="34" borderId="0" applyNumberFormat="0" applyBorder="0" applyAlignment="0" applyProtection="0"/>
    <xf numFmtId="0" fontId="35" fillId="35" borderId="0" applyNumberFormat="0" applyBorder="0" applyAlignment="0" applyProtection="0"/>
    <xf numFmtId="0" fontId="2" fillId="0" borderId="0"/>
    <xf numFmtId="0" fontId="16" fillId="13" borderId="0" applyNumberFormat="0" applyBorder="0" applyAlignment="0" applyProtection="0"/>
    <xf numFmtId="0" fontId="16" fillId="17" borderId="0" applyNumberFormat="0" applyBorder="0" applyAlignment="0" applyProtection="0"/>
    <xf numFmtId="0" fontId="16" fillId="21" borderId="0" applyNumberFormat="0" applyBorder="0" applyAlignment="0" applyProtection="0"/>
    <xf numFmtId="0" fontId="16" fillId="25" borderId="0" applyNumberFormat="0" applyBorder="0" applyAlignment="0" applyProtection="0"/>
    <xf numFmtId="0" fontId="16" fillId="29" borderId="0" applyNumberFormat="0" applyBorder="0" applyAlignment="0" applyProtection="0"/>
    <xf numFmtId="0" fontId="16" fillId="33" borderId="0" applyNumberFormat="0" applyBorder="0" applyAlignment="0" applyProtection="0"/>
    <xf numFmtId="0" fontId="16" fillId="14" borderId="0" applyNumberFormat="0" applyBorder="0" applyAlignment="0" applyProtection="0"/>
    <xf numFmtId="0" fontId="16" fillId="18" borderId="0" applyNumberFormat="0" applyBorder="0" applyAlignment="0" applyProtection="0"/>
    <xf numFmtId="0" fontId="16" fillId="22" borderId="0" applyNumberFormat="0" applyBorder="0" applyAlignment="0" applyProtection="0"/>
    <xf numFmtId="0" fontId="16" fillId="26" borderId="0" applyNumberFormat="0" applyBorder="0" applyAlignment="0" applyProtection="0"/>
    <xf numFmtId="0" fontId="16" fillId="30" borderId="0" applyNumberFormat="0" applyBorder="0" applyAlignment="0" applyProtection="0"/>
    <xf numFmtId="0" fontId="16" fillId="34" borderId="0" applyNumberFormat="0" applyBorder="0" applyAlignment="0" applyProtection="0"/>
    <xf numFmtId="0" fontId="35" fillId="15" borderId="0" applyNumberFormat="0" applyBorder="0" applyAlignment="0" applyProtection="0"/>
    <xf numFmtId="0" fontId="35" fillId="19" borderId="0" applyNumberFormat="0" applyBorder="0" applyAlignment="0" applyProtection="0"/>
    <xf numFmtId="0" fontId="35" fillId="23" borderId="0" applyNumberFormat="0" applyBorder="0" applyAlignment="0" applyProtection="0"/>
    <xf numFmtId="0" fontId="35" fillId="27" borderId="0" applyNumberFormat="0" applyBorder="0" applyAlignment="0" applyProtection="0"/>
    <xf numFmtId="0" fontId="35" fillId="31" borderId="0" applyNumberFormat="0" applyBorder="0" applyAlignment="0" applyProtection="0"/>
    <xf numFmtId="0" fontId="35" fillId="35" borderId="0" applyNumberFormat="0" applyBorder="0" applyAlignment="0" applyProtection="0"/>
    <xf numFmtId="0" fontId="35" fillId="12" borderId="0" applyNumberFormat="0" applyBorder="0" applyAlignment="0" applyProtection="0"/>
    <xf numFmtId="0" fontId="36" fillId="42" borderId="0" applyNumberFormat="0" applyBorder="0" applyAlignment="0" applyProtection="0"/>
    <xf numFmtId="0" fontId="35" fillId="16" borderId="0" applyNumberFormat="0" applyBorder="0" applyAlignment="0" applyProtection="0"/>
    <xf numFmtId="0" fontId="36" fillId="43" borderId="0" applyNumberFormat="0" applyBorder="0" applyAlignment="0" applyProtection="0"/>
    <xf numFmtId="0" fontId="35" fillId="20" borderId="0" applyNumberFormat="0" applyBorder="0" applyAlignment="0" applyProtection="0"/>
    <xf numFmtId="0" fontId="36" fillId="44" borderId="0" applyNumberFormat="0" applyBorder="0" applyAlignment="0" applyProtection="0"/>
    <xf numFmtId="0" fontId="35" fillId="24" borderId="0" applyNumberFormat="0" applyBorder="0" applyAlignment="0" applyProtection="0"/>
    <xf numFmtId="0" fontId="36" fillId="45" borderId="0" applyNumberFormat="0" applyBorder="0" applyAlignment="0" applyProtection="0"/>
    <xf numFmtId="0" fontId="35" fillId="28" borderId="0" applyNumberFormat="0" applyBorder="0" applyAlignment="0" applyProtection="0"/>
    <xf numFmtId="0" fontId="36" fillId="46" borderId="0" applyNumberFormat="0" applyBorder="0" applyAlignment="0" applyProtection="0"/>
    <xf numFmtId="0" fontId="35" fillId="32" borderId="0" applyNumberFormat="0" applyBorder="0" applyAlignment="0" applyProtection="0"/>
    <xf numFmtId="0" fontId="36" fillId="47" borderId="0" applyNumberFormat="0" applyBorder="0" applyAlignment="0" applyProtection="0"/>
    <xf numFmtId="0" fontId="26" fillId="6" borderId="0" applyNumberFormat="0" applyBorder="0" applyAlignment="0" applyProtection="0"/>
    <xf numFmtId="0" fontId="30" fillId="9" borderId="29" applyNumberFormat="0" applyAlignment="0" applyProtection="0"/>
    <xf numFmtId="0" fontId="32" fillId="10" borderId="32" applyNumberFormat="0" applyAlignment="0" applyProtection="0"/>
    <xf numFmtId="0" fontId="34" fillId="0" borderId="0" applyNumberFormat="0" applyFill="0" applyBorder="0" applyAlignment="0" applyProtection="0"/>
    <xf numFmtId="0" fontId="25" fillId="5" borderId="0" applyNumberFormat="0" applyBorder="0" applyAlignment="0" applyProtection="0"/>
    <xf numFmtId="0" fontId="22" fillId="0" borderId="26" applyNumberFormat="0" applyFill="0" applyAlignment="0" applyProtection="0"/>
    <xf numFmtId="0" fontId="23" fillId="0" borderId="27" applyNumberFormat="0" applyFill="0" applyAlignment="0" applyProtection="0"/>
    <xf numFmtId="0" fontId="24" fillId="0" borderId="28" applyNumberFormat="0" applyFill="0" applyAlignment="0" applyProtection="0"/>
    <xf numFmtId="0" fontId="24" fillId="0" borderId="0" applyNumberFormat="0" applyFill="0" applyBorder="0" applyAlignment="0" applyProtection="0"/>
    <xf numFmtId="0" fontId="28" fillId="8" borderId="29" applyNumberFormat="0" applyAlignment="0" applyProtection="0"/>
    <xf numFmtId="0" fontId="31" fillId="0" borderId="31" applyNumberFormat="0" applyFill="0" applyAlignment="0" applyProtection="0"/>
    <xf numFmtId="0" fontId="27" fillId="7" borderId="0" applyNumberFormat="0" applyBorder="0" applyAlignment="0" applyProtection="0"/>
    <xf numFmtId="0" fontId="37" fillId="0" borderId="0"/>
    <xf numFmtId="0" fontId="37" fillId="0" borderId="0"/>
    <xf numFmtId="0" fontId="16" fillId="11" borderId="33" applyNumberFormat="0" applyFont="0" applyAlignment="0" applyProtection="0"/>
    <xf numFmtId="0" fontId="29" fillId="9" borderId="30" applyNumberFormat="0" applyAlignment="0" applyProtection="0"/>
    <xf numFmtId="0" fontId="15" fillId="0" borderId="0" applyNumberFormat="0" applyFill="0" applyBorder="0" applyAlignment="0" applyProtection="0"/>
    <xf numFmtId="0" fontId="20" fillId="0" borderId="34" applyNumberFormat="0" applyFill="0" applyAlignment="0" applyProtection="0"/>
    <xf numFmtId="0" fontId="38" fillId="0" borderId="35" applyNumberFormat="0" applyFill="0" applyAlignment="0" applyProtection="0"/>
    <xf numFmtId="0" fontId="33" fillId="0" borderId="0" applyNumberFormat="0" applyFill="0" applyBorder="0" applyAlignment="0" applyProtection="0"/>
    <xf numFmtId="0" fontId="16" fillId="13" borderId="0" applyNumberFormat="0" applyBorder="0" applyAlignment="0" applyProtection="0"/>
    <xf numFmtId="0" fontId="16" fillId="17" borderId="0" applyNumberFormat="0" applyBorder="0" applyAlignment="0" applyProtection="0"/>
    <xf numFmtId="0" fontId="16" fillId="21" borderId="0" applyNumberFormat="0" applyBorder="0" applyAlignment="0" applyProtection="0"/>
    <xf numFmtId="0" fontId="16" fillId="25" borderId="0" applyNumberFormat="0" applyBorder="0" applyAlignment="0" applyProtection="0"/>
    <xf numFmtId="0" fontId="16" fillId="29" borderId="0" applyNumberFormat="0" applyBorder="0" applyAlignment="0" applyProtection="0"/>
    <xf numFmtId="0" fontId="16" fillId="33" borderId="0" applyNumberFormat="0" applyBorder="0" applyAlignment="0" applyProtection="0"/>
    <xf numFmtId="0" fontId="16" fillId="14" borderId="0" applyNumberFormat="0" applyBorder="0" applyAlignment="0" applyProtection="0"/>
    <xf numFmtId="0" fontId="16" fillId="18" borderId="0" applyNumberFormat="0" applyBorder="0" applyAlignment="0" applyProtection="0"/>
    <xf numFmtId="0" fontId="16" fillId="22" borderId="0" applyNumberFormat="0" applyBorder="0" applyAlignment="0" applyProtection="0"/>
    <xf numFmtId="0" fontId="16" fillId="26" borderId="0" applyNumberFormat="0" applyBorder="0" applyAlignment="0" applyProtection="0"/>
    <xf numFmtId="0" fontId="16" fillId="30" borderId="0" applyNumberFormat="0" applyBorder="0" applyAlignment="0" applyProtection="0"/>
    <xf numFmtId="0" fontId="16" fillId="34" borderId="0" applyNumberFormat="0" applyBorder="0" applyAlignment="0" applyProtection="0"/>
    <xf numFmtId="0" fontId="35" fillId="15" borderId="0" applyNumberFormat="0" applyBorder="0" applyAlignment="0" applyProtection="0"/>
    <xf numFmtId="0" fontId="35" fillId="19" borderId="0" applyNumberFormat="0" applyBorder="0" applyAlignment="0" applyProtection="0"/>
    <xf numFmtId="0" fontId="35" fillId="23" borderId="0" applyNumberFormat="0" applyBorder="0" applyAlignment="0" applyProtection="0"/>
    <xf numFmtId="0" fontId="35" fillId="27" borderId="0" applyNumberFormat="0" applyBorder="0" applyAlignment="0" applyProtection="0"/>
    <xf numFmtId="0" fontId="35" fillId="31" borderId="0" applyNumberFormat="0" applyBorder="0" applyAlignment="0" applyProtection="0"/>
    <xf numFmtId="0" fontId="35" fillId="35" borderId="0" applyNumberFormat="0" applyBorder="0" applyAlignment="0" applyProtection="0"/>
    <xf numFmtId="0" fontId="36" fillId="42" borderId="0" applyNumberFormat="0" applyBorder="0" applyAlignment="0" applyProtection="0"/>
    <xf numFmtId="0" fontId="35" fillId="12" borderId="0" applyNumberFormat="0" applyBorder="0" applyAlignment="0" applyProtection="0"/>
    <xf numFmtId="0" fontId="36" fillId="43" borderId="0" applyNumberFormat="0" applyBorder="0" applyAlignment="0" applyProtection="0"/>
    <xf numFmtId="0" fontId="35" fillId="16" borderId="0" applyNumberFormat="0" applyBorder="0" applyAlignment="0" applyProtection="0"/>
    <xf numFmtId="0" fontId="36" fillId="44" borderId="0" applyNumberFormat="0" applyBorder="0" applyAlignment="0" applyProtection="0"/>
    <xf numFmtId="0" fontId="35" fillId="20" borderId="0" applyNumberFormat="0" applyBorder="0" applyAlignment="0" applyProtection="0"/>
    <xf numFmtId="0" fontId="36" fillId="45" borderId="0" applyNumberFormat="0" applyBorder="0" applyAlignment="0" applyProtection="0"/>
    <xf numFmtId="0" fontId="35" fillId="24" borderId="0" applyNumberFormat="0" applyBorder="0" applyAlignment="0" applyProtection="0"/>
    <xf numFmtId="0" fontId="36" fillId="46" borderId="0" applyNumberFormat="0" applyBorder="0" applyAlignment="0" applyProtection="0"/>
    <xf numFmtId="0" fontId="35" fillId="28" borderId="0" applyNumberFormat="0" applyBorder="0" applyAlignment="0" applyProtection="0"/>
    <xf numFmtId="0" fontId="36" fillId="47" borderId="0" applyNumberFormat="0" applyBorder="0" applyAlignment="0" applyProtection="0"/>
    <xf numFmtId="0" fontId="35" fillId="32" borderId="0" applyNumberFormat="0" applyBorder="0" applyAlignment="0" applyProtection="0"/>
    <xf numFmtId="0" fontId="33" fillId="0" borderId="0" applyNumberFormat="0" applyFill="0" applyBorder="0" applyAlignment="0" applyProtection="0"/>
    <xf numFmtId="0" fontId="30" fillId="9" borderId="29" applyNumberFormat="0" applyAlignment="0" applyProtection="0"/>
    <xf numFmtId="0" fontId="31" fillId="0" borderId="31" applyNumberFormat="0" applyFill="0" applyAlignment="0" applyProtection="0"/>
    <xf numFmtId="0" fontId="16" fillId="11" borderId="33" applyNumberFormat="0" applyFont="0" applyAlignment="0" applyProtection="0"/>
    <xf numFmtId="0" fontId="28" fillId="8" borderId="29" applyNumberFormat="0" applyAlignment="0" applyProtection="0"/>
    <xf numFmtId="0" fontId="26" fillId="6" borderId="0" applyNumberFormat="0" applyBorder="0" applyAlignment="0" applyProtection="0"/>
    <xf numFmtId="0" fontId="27" fillId="7" borderId="0" applyNumberFormat="0" applyBorder="0" applyAlignment="0" applyProtection="0"/>
    <xf numFmtId="0" fontId="37" fillId="0" borderId="0"/>
    <xf numFmtId="0" fontId="37" fillId="0" borderId="0"/>
    <xf numFmtId="0" fontId="16" fillId="0" borderId="0"/>
    <xf numFmtId="0" fontId="37" fillId="0" borderId="0"/>
    <xf numFmtId="0" fontId="25" fillId="5" borderId="0" applyNumberFormat="0" applyBorder="0" applyAlignment="0" applyProtection="0"/>
    <xf numFmtId="0" fontId="29" fillId="9" borderId="30" applyNumberFormat="0" applyAlignment="0" applyProtection="0"/>
    <xf numFmtId="0" fontId="34" fillId="0" borderId="0" applyNumberFormat="0" applyFill="0" applyBorder="0" applyAlignment="0" applyProtection="0"/>
    <xf numFmtId="0" fontId="15" fillId="0" borderId="0" applyNumberFormat="0" applyFill="0" applyBorder="0" applyAlignment="0" applyProtection="0"/>
    <xf numFmtId="0" fontId="22" fillId="0" borderId="26" applyNumberFormat="0" applyFill="0" applyAlignment="0" applyProtection="0"/>
    <xf numFmtId="0" fontId="23" fillId="0" borderId="27" applyNumberFormat="0" applyFill="0" applyAlignment="0" applyProtection="0"/>
    <xf numFmtId="0" fontId="24" fillId="0" borderId="28" applyNumberFormat="0" applyFill="0" applyAlignment="0" applyProtection="0"/>
    <xf numFmtId="0" fontId="24" fillId="0" borderId="0" applyNumberFormat="0" applyFill="0" applyBorder="0" applyAlignment="0" applyProtection="0"/>
    <xf numFmtId="0" fontId="38" fillId="0" borderId="35" applyNumberFormat="0" applyFill="0" applyAlignment="0" applyProtection="0"/>
    <xf numFmtId="0" fontId="20" fillId="0" borderId="34" applyNumberFormat="0" applyFill="0" applyAlignment="0" applyProtection="0"/>
    <xf numFmtId="0" fontId="32" fillId="10" borderId="32" applyNumberFormat="0" applyAlignment="0" applyProtection="0"/>
    <xf numFmtId="0" fontId="37" fillId="0" borderId="0"/>
    <xf numFmtId="0" fontId="37" fillId="0" borderId="0"/>
    <xf numFmtId="9" fontId="16" fillId="0" borderId="0" applyFont="0" applyFill="0" applyBorder="0" applyAlignment="0" applyProtection="0"/>
    <xf numFmtId="0" fontId="2" fillId="0" borderId="0"/>
    <xf numFmtId="0" fontId="16" fillId="0" borderId="0"/>
    <xf numFmtId="0" fontId="2" fillId="0" borderId="0"/>
    <xf numFmtId="0" fontId="37" fillId="0" borderId="0"/>
    <xf numFmtId="9" fontId="16" fillId="0" borderId="0" applyFont="0" applyFill="0" applyBorder="0" applyAlignment="0" applyProtection="0"/>
    <xf numFmtId="0" fontId="2" fillId="0" borderId="0"/>
    <xf numFmtId="0" fontId="16" fillId="0" borderId="0"/>
    <xf numFmtId="0" fontId="16" fillId="0" borderId="0"/>
    <xf numFmtId="0" fontId="16" fillId="0" borderId="0"/>
    <xf numFmtId="0" fontId="16" fillId="0" borderId="0"/>
    <xf numFmtId="0" fontId="2" fillId="11" borderId="33" applyNumberFormat="0" applyFont="0" applyAlignment="0" applyProtection="0"/>
    <xf numFmtId="0" fontId="16" fillId="0" borderId="0"/>
    <xf numFmtId="0" fontId="16" fillId="0" borderId="0"/>
    <xf numFmtId="4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9"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 fillId="0" borderId="0"/>
    <xf numFmtId="0" fontId="16" fillId="0" borderId="0"/>
    <xf numFmtId="0" fontId="16" fillId="0" borderId="0" applyProtection="0"/>
    <xf numFmtId="0" fontId="16" fillId="14" borderId="0" applyNumberFormat="0" applyBorder="0" applyAlignment="0" applyProtection="0"/>
    <xf numFmtId="0" fontId="16" fillId="18" borderId="0" applyNumberFormat="0" applyBorder="0" applyAlignment="0" applyProtection="0"/>
    <xf numFmtId="0" fontId="16" fillId="29" borderId="0" applyNumberFormat="0" applyBorder="0" applyAlignment="0" applyProtection="0"/>
    <xf numFmtId="0" fontId="16" fillId="26" borderId="0" applyNumberFormat="0" applyBorder="0" applyAlignment="0" applyProtection="0"/>
    <xf numFmtId="0" fontId="16" fillId="13" borderId="0" applyNumberFormat="0" applyBorder="0" applyAlignment="0" applyProtection="0"/>
    <xf numFmtId="0" fontId="16" fillId="25" borderId="0" applyNumberFormat="0" applyBorder="0" applyAlignment="0" applyProtection="0"/>
    <xf numFmtId="0" fontId="16" fillId="22" borderId="0" applyNumberFormat="0" applyBorder="0" applyAlignment="0" applyProtection="0"/>
    <xf numFmtId="0" fontId="16" fillId="29" borderId="0" applyNumberFormat="0" applyBorder="0" applyAlignment="0" applyProtection="0"/>
    <xf numFmtId="0" fontId="16" fillId="21" borderId="0" applyNumberFormat="0" applyBorder="0" applyAlignment="0" applyProtection="0"/>
    <xf numFmtId="0" fontId="16" fillId="33" borderId="0" applyNumberFormat="0" applyBorder="0" applyAlignment="0" applyProtection="0"/>
    <xf numFmtId="0" fontId="16" fillId="33" borderId="0" applyNumberFormat="0" applyBorder="0" applyAlignment="0" applyProtection="0"/>
    <xf numFmtId="0" fontId="16" fillId="17" borderId="0" applyNumberFormat="0" applyBorder="0" applyAlignment="0" applyProtection="0"/>
    <xf numFmtId="0" fontId="16" fillId="25" borderId="0" applyNumberFormat="0" applyBorder="0" applyAlignment="0" applyProtection="0"/>
    <xf numFmtId="0" fontId="16" fillId="30" borderId="0" applyNumberFormat="0" applyBorder="0" applyAlignment="0" applyProtection="0"/>
    <xf numFmtId="0" fontId="16" fillId="21" borderId="0" applyNumberFormat="0" applyBorder="0" applyAlignment="0" applyProtection="0"/>
    <xf numFmtId="0" fontId="16" fillId="17" borderId="0" applyNumberFormat="0" applyBorder="0" applyAlignment="0" applyProtection="0"/>
    <xf numFmtId="0" fontId="16" fillId="13" borderId="0" applyNumberFormat="0" applyBorder="0" applyAlignment="0" applyProtection="0"/>
    <xf numFmtId="0" fontId="16" fillId="34" borderId="0" applyNumberFormat="0" applyBorder="0" applyAlignment="0" applyProtection="0"/>
    <xf numFmtId="0" fontId="16" fillId="14" borderId="0" applyNumberFormat="0" applyBorder="0" applyAlignment="0" applyProtection="0"/>
    <xf numFmtId="0" fontId="16" fillId="18" borderId="0" applyNumberFormat="0" applyBorder="0" applyAlignment="0" applyProtection="0"/>
    <xf numFmtId="0" fontId="16" fillId="22" borderId="0" applyNumberFormat="0" applyBorder="0" applyAlignment="0" applyProtection="0"/>
    <xf numFmtId="0" fontId="16" fillId="26" borderId="0" applyNumberFormat="0" applyBorder="0" applyAlignment="0" applyProtection="0"/>
    <xf numFmtId="0" fontId="16" fillId="30" borderId="0" applyNumberFormat="0" applyBorder="0" applyAlignment="0" applyProtection="0"/>
    <xf numFmtId="0" fontId="16" fillId="34" borderId="0" applyNumberFormat="0" applyBorder="0" applyAlignment="0" applyProtection="0"/>
    <xf numFmtId="0" fontId="16" fillId="11" borderId="33" applyNumberFormat="0" applyFont="0" applyAlignment="0" applyProtection="0"/>
    <xf numFmtId="0" fontId="16" fillId="11" borderId="33" applyNumberFormat="0" applyFont="0" applyAlignment="0" applyProtection="0"/>
    <xf numFmtId="0" fontId="19" fillId="0" borderId="0" applyNumberFormat="0" applyFill="0" applyBorder="0" applyAlignment="0" applyProtection="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4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4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11" borderId="33" applyNumberFormat="0" applyFont="0" applyAlignment="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applyProtection="0"/>
    <xf numFmtId="0" fontId="16" fillId="0" borderId="0" applyProtection="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Protection="0"/>
    <xf numFmtId="0" fontId="16" fillId="0" borderId="0"/>
    <xf numFmtId="0" fontId="16" fillId="0" borderId="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26" applyNumberFormat="0" applyFill="0" applyAlignment="0" applyProtection="0"/>
    <xf numFmtId="0" fontId="23" fillId="0" borderId="27" applyNumberFormat="0" applyFill="0" applyAlignment="0" applyProtection="0"/>
    <xf numFmtId="0" fontId="24" fillId="0" borderId="28" applyNumberFormat="0" applyFill="0" applyAlignment="0" applyProtection="0"/>
    <xf numFmtId="0" fontId="24" fillId="0" borderId="0" applyNumberFormat="0" applyFill="0" applyBorder="0" applyAlignment="0" applyProtection="0"/>
    <xf numFmtId="0" fontId="25" fillId="5" borderId="0" applyNumberFormat="0" applyBorder="0" applyAlignment="0" applyProtection="0"/>
    <xf numFmtId="0" fontId="26" fillId="6" borderId="0" applyNumberFormat="0" applyBorder="0" applyAlignment="0" applyProtection="0"/>
    <xf numFmtId="0" fontId="27" fillId="7" borderId="0" applyNumberFormat="0" applyBorder="0" applyAlignment="0" applyProtection="0"/>
    <xf numFmtId="0" fontId="28" fillId="8" borderId="29" applyNumberFormat="0" applyAlignment="0" applyProtection="0"/>
    <xf numFmtId="0" fontId="29" fillId="9" borderId="30" applyNumberFormat="0" applyAlignment="0" applyProtection="0"/>
    <xf numFmtId="0" fontId="30" fillId="9" borderId="29" applyNumberFormat="0" applyAlignment="0" applyProtection="0"/>
    <xf numFmtId="0" fontId="31" fillId="0" borderId="31" applyNumberFormat="0" applyFill="0" applyAlignment="0" applyProtection="0"/>
    <xf numFmtId="0" fontId="32" fillId="10" borderId="32" applyNumberFormat="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20" fillId="0" borderId="34" applyNumberFormat="0" applyFill="0" applyAlignment="0" applyProtection="0"/>
    <xf numFmtId="0" fontId="35"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35" fillId="15" borderId="0" applyNumberFormat="0" applyBorder="0" applyAlignment="0" applyProtection="0"/>
    <xf numFmtId="0" fontId="35"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35" fillId="19" borderId="0" applyNumberFormat="0" applyBorder="0" applyAlignment="0" applyProtection="0"/>
    <xf numFmtId="0" fontId="35"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35" fillId="23" borderId="0" applyNumberFormat="0" applyBorder="0" applyAlignment="0" applyProtection="0"/>
    <xf numFmtId="0" fontId="35"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35" fillId="27" borderId="0" applyNumberFormat="0" applyBorder="0" applyAlignment="0" applyProtection="0"/>
    <xf numFmtId="0" fontId="35"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35" fillId="31" borderId="0" applyNumberFormat="0" applyBorder="0" applyAlignment="0" applyProtection="0"/>
    <xf numFmtId="0" fontId="35"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35" fillId="35" borderId="0" applyNumberFormat="0" applyBorder="0" applyAlignment="0" applyProtection="0"/>
    <xf numFmtId="0" fontId="37" fillId="0" borderId="0"/>
    <xf numFmtId="0" fontId="21" fillId="0" borderId="0"/>
    <xf numFmtId="0" fontId="40" fillId="0" borderId="0"/>
    <xf numFmtId="0" fontId="1" fillId="0" borderId="0"/>
    <xf numFmtId="0" fontId="37" fillId="0" borderId="0"/>
  </cellStyleXfs>
  <cellXfs count="180">
    <xf numFmtId="0" fontId="0" fillId="0" borderId="0" xfId="0"/>
    <xf numFmtId="0" fontId="2" fillId="0" borderId="0" xfId="0" applyFont="1" applyFill="1" applyBorder="1" applyAlignment="1" applyProtection="1">
      <alignment horizontal="center"/>
      <protection locked="0"/>
    </xf>
    <xf numFmtId="0" fontId="0" fillId="2" borderId="8" xfId="0" applyFill="1" applyBorder="1"/>
    <xf numFmtId="0" fontId="0" fillId="2" borderId="9" xfId="0" applyFill="1" applyBorder="1"/>
    <xf numFmtId="0" fontId="0" fillId="2" borderId="10" xfId="0" applyFill="1" applyBorder="1"/>
    <xf numFmtId="0" fontId="8" fillId="0" borderId="0" xfId="0" applyFont="1"/>
    <xf numFmtId="0" fontId="9" fillId="0" borderId="0" xfId="0" applyFont="1"/>
    <xf numFmtId="0" fontId="2" fillId="0" borderId="0" xfId="0" applyFont="1" applyProtection="1">
      <protection locked="0"/>
    </xf>
    <xf numFmtId="0" fontId="2" fillId="3" borderId="8" xfId="0" applyFont="1" applyFill="1" applyBorder="1" applyProtection="1">
      <protection locked="0"/>
    </xf>
    <xf numFmtId="0" fontId="2" fillId="3" borderId="9" xfId="0" applyFont="1" applyFill="1" applyBorder="1" applyProtection="1">
      <protection locked="0"/>
    </xf>
    <xf numFmtId="0" fontId="2" fillId="3" borderId="10" xfId="0" applyFont="1" applyFill="1" applyBorder="1" applyProtection="1">
      <protection locked="0"/>
    </xf>
    <xf numFmtId="0" fontId="6" fillId="0" borderId="0" xfId="0" applyFont="1" applyAlignment="1" applyProtection="1">
      <alignment horizontal="right"/>
      <protection locked="0"/>
    </xf>
    <xf numFmtId="0" fontId="2" fillId="0" borderId="0" xfId="0" applyFont="1" applyFill="1" applyProtection="1">
      <protection locked="0"/>
    </xf>
    <xf numFmtId="0" fontId="2" fillId="0" borderId="0" xfId="0" applyFont="1" applyAlignment="1" applyProtection="1">
      <alignment horizontal="right"/>
      <protection locked="0"/>
    </xf>
    <xf numFmtId="0" fontId="2" fillId="0" borderId="0" xfId="0" applyFont="1" applyBorder="1" applyProtection="1">
      <protection locked="0"/>
    </xf>
    <xf numFmtId="14" fontId="2" fillId="0" borderId="0" xfId="0" applyNumberFormat="1" applyFont="1" applyBorder="1" applyProtection="1">
      <protection locked="0"/>
    </xf>
    <xf numFmtId="0" fontId="6" fillId="0" borderId="0" xfId="0" applyFont="1" applyAlignment="1" applyProtection="1">
      <alignment horizontal="center"/>
      <protection locked="0"/>
    </xf>
    <xf numFmtId="0" fontId="6" fillId="0" borderId="0" xfId="0" applyFont="1" applyProtection="1">
      <protection locked="0"/>
    </xf>
    <xf numFmtId="0" fontId="6" fillId="0" borderId="0" xfId="0" applyFont="1" applyAlignment="1" applyProtection="1">
      <alignment horizontal="center" wrapText="1"/>
      <protection locked="0"/>
    </xf>
    <xf numFmtId="0" fontId="2" fillId="0" borderId="0" xfId="0" applyFont="1" applyBorder="1" applyAlignment="1" applyProtection="1">
      <alignment horizontal="center"/>
      <protection locked="0"/>
    </xf>
    <xf numFmtId="14" fontId="2" fillId="0" borderId="0" xfId="0" applyNumberFormat="1" applyFont="1" applyBorder="1" applyAlignment="1" applyProtection="1">
      <alignment horizontal="center"/>
      <protection locked="0"/>
    </xf>
    <xf numFmtId="0" fontId="2" fillId="0" borderId="0" xfId="0" applyFont="1" applyAlignment="1" applyProtection="1">
      <alignment horizontal="center"/>
      <protection locked="0"/>
    </xf>
    <xf numFmtId="0" fontId="2" fillId="0" borderId="0" xfId="0" applyFont="1" applyBorder="1" applyAlignment="1" applyProtection="1">
      <alignment horizontal="left"/>
      <protection locked="0"/>
    </xf>
    <xf numFmtId="0" fontId="2" fillId="0" borderId="3" xfId="0" applyFont="1" applyBorder="1" applyAlignment="1" applyProtection="1">
      <alignment horizontal="center"/>
    </xf>
    <xf numFmtId="0" fontId="2" fillId="0" borderId="13" xfId="0" applyFont="1" applyFill="1" applyBorder="1" applyAlignment="1" applyProtection="1">
      <alignment horizontal="center"/>
      <protection locked="0"/>
    </xf>
    <xf numFmtId="0" fontId="2" fillId="0" borderId="3" xfId="0" applyFont="1" applyFill="1" applyBorder="1" applyAlignment="1" applyProtection="1">
      <alignment horizontal="center"/>
      <protection locked="0"/>
    </xf>
    <xf numFmtId="0" fontId="2" fillId="0" borderId="0" xfId="0" applyFont="1" applyProtection="1"/>
    <xf numFmtId="0" fontId="2" fillId="0" borderId="3" xfId="0" applyFont="1" applyBorder="1" applyAlignment="1">
      <alignment horizontal="center"/>
    </xf>
    <xf numFmtId="14" fontId="4" fillId="0" borderId="0" xfId="0" applyNumberFormat="1" applyFont="1" applyFill="1" applyBorder="1" applyAlignment="1" applyProtection="1">
      <alignment horizontal="center"/>
      <protection locked="0"/>
    </xf>
    <xf numFmtId="0" fontId="2" fillId="0" borderId="3" xfId="0" applyFont="1" applyFill="1" applyBorder="1" applyAlignment="1" applyProtection="1">
      <alignment horizontal="left"/>
    </xf>
    <xf numFmtId="0" fontId="2" fillId="0" borderId="3" xfId="0" applyFont="1" applyBorder="1" applyProtection="1">
      <protection locked="0"/>
    </xf>
    <xf numFmtId="0" fontId="10" fillId="0" borderId="11" xfId="0" applyFont="1" applyBorder="1" applyAlignment="1" applyProtection="1">
      <alignment horizontal="center" vertical="center" wrapText="1"/>
    </xf>
    <xf numFmtId="0" fontId="11" fillId="0" borderId="1" xfId="0" applyFont="1" applyBorder="1" applyAlignment="1" applyProtection="1">
      <alignment horizontal="center" vertical="center" wrapText="1"/>
    </xf>
    <xf numFmtId="14" fontId="2" fillId="0" borderId="3" xfId="0" applyNumberFormat="1" applyFont="1" applyBorder="1" applyAlignment="1">
      <alignment horizontal="center"/>
    </xf>
    <xf numFmtId="0" fontId="11" fillId="0" borderId="1" xfId="0" applyFont="1" applyBorder="1" applyAlignment="1">
      <alignment horizontal="center" vertical="center" wrapText="1"/>
    </xf>
    <xf numFmtId="0" fontId="6" fillId="0" borderId="0" xfId="0" applyFont="1" applyFill="1" applyAlignment="1" applyProtection="1">
      <alignment horizontal="center" wrapText="1"/>
      <protection locked="0"/>
    </xf>
    <xf numFmtId="0" fontId="6" fillId="0" borderId="0" xfId="0" applyFont="1" applyAlignment="1" applyProtection="1">
      <alignment wrapText="1"/>
      <protection locked="0"/>
    </xf>
    <xf numFmtId="0" fontId="2" fillId="0" borderId="2" xfId="0" applyFont="1" applyBorder="1" applyAlignment="1">
      <alignment horizontal="center"/>
    </xf>
    <xf numFmtId="0" fontId="2" fillId="0" borderId="4" xfId="0" applyFont="1" applyBorder="1" applyAlignment="1">
      <alignment horizontal="center"/>
    </xf>
    <xf numFmtId="0" fontId="3" fillId="0" borderId="11" xfId="0" applyFont="1" applyBorder="1" applyAlignment="1">
      <alignment horizontal="center" wrapText="1"/>
    </xf>
    <xf numFmtId="0" fontId="3" fillId="0" borderId="1" xfId="0" applyFont="1" applyBorder="1" applyAlignment="1">
      <alignment horizontal="center" wrapText="1"/>
    </xf>
    <xf numFmtId="0" fontId="3" fillId="0" borderId="12" xfId="0" applyFont="1" applyBorder="1" applyAlignment="1">
      <alignment horizontal="center" wrapText="1"/>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2" fontId="2" fillId="0" borderId="3" xfId="0" applyNumberFormat="1" applyFont="1" applyBorder="1" applyAlignment="1">
      <alignment horizontal="center"/>
    </xf>
    <xf numFmtId="0" fontId="2" fillId="0" borderId="2" xfId="0" applyFont="1" applyFill="1" applyBorder="1" applyAlignment="1" applyProtection="1">
      <alignment horizontal="center"/>
      <protection locked="0"/>
    </xf>
    <xf numFmtId="0" fontId="2" fillId="2" borderId="16" xfId="0" applyFont="1" applyFill="1" applyBorder="1" applyAlignment="1" applyProtection="1">
      <alignment horizontal="center"/>
      <protection locked="0"/>
    </xf>
    <xf numFmtId="14" fontId="2" fillId="2" borderId="17" xfId="0" applyNumberFormat="1" applyFont="1" applyFill="1" applyBorder="1" applyAlignment="1" applyProtection="1">
      <alignment horizontal="center"/>
      <protection locked="0"/>
    </xf>
    <xf numFmtId="0" fontId="2" fillId="2" borderId="13" xfId="0" applyFont="1" applyFill="1" applyBorder="1" applyAlignment="1" applyProtection="1">
      <alignment horizontal="center"/>
      <protection locked="0"/>
    </xf>
    <xf numFmtId="14" fontId="2" fillId="2" borderId="18" xfId="0" applyNumberFormat="1" applyFont="1" applyFill="1" applyBorder="1" applyAlignment="1" applyProtection="1">
      <alignment horizontal="center"/>
      <protection locked="0"/>
    </xf>
    <xf numFmtId="0" fontId="6" fillId="0" borderId="19" xfId="0" applyFont="1" applyFill="1" applyBorder="1" applyAlignment="1" applyProtection="1">
      <alignment horizontal="center" wrapText="1"/>
      <protection locked="0"/>
    </xf>
    <xf numFmtId="0" fontId="6" fillId="0" borderId="20" xfId="0" applyFont="1" applyFill="1" applyBorder="1" applyAlignment="1" applyProtection="1">
      <alignment horizontal="center" wrapText="1"/>
      <protection locked="0"/>
    </xf>
    <xf numFmtId="0" fontId="6" fillId="0" borderId="21" xfId="0" applyFont="1" applyFill="1" applyBorder="1" applyAlignment="1" applyProtection="1">
      <alignment horizontal="center" wrapText="1"/>
      <protection locked="0"/>
    </xf>
    <xf numFmtId="164" fontId="10" fillId="0" borderId="3" xfId="0" applyNumberFormat="1" applyFont="1" applyBorder="1" applyAlignment="1" applyProtection="1">
      <alignment horizontal="center" vertical="center"/>
    </xf>
    <xf numFmtId="164" fontId="10" fillId="0" borderId="3" xfId="0" quotePrefix="1" applyNumberFormat="1" applyFont="1" applyFill="1" applyBorder="1" applyAlignment="1" applyProtection="1">
      <alignment horizontal="center" vertical="center"/>
    </xf>
    <xf numFmtId="165" fontId="10" fillId="0" borderId="3" xfId="0" applyNumberFormat="1" applyFont="1" applyBorder="1" applyAlignment="1" applyProtection="1">
      <alignment horizontal="center" vertical="center"/>
    </xf>
    <xf numFmtId="0" fontId="2" fillId="0" borderId="4" xfId="0" applyFont="1" applyFill="1" applyBorder="1" applyAlignment="1" applyProtection="1">
      <alignment horizontal="center"/>
      <protection locked="0"/>
    </xf>
    <xf numFmtId="0" fontId="2" fillId="0" borderId="2" xfId="0" applyFont="1" applyBorder="1" applyAlignment="1" applyProtection="1">
      <alignment horizontal="center"/>
      <protection locked="0"/>
    </xf>
    <xf numFmtId="0" fontId="2" fillId="2" borderId="22" xfId="0" applyFont="1" applyFill="1" applyBorder="1" applyAlignment="1" applyProtection="1">
      <alignment horizontal="center"/>
      <protection locked="0"/>
    </xf>
    <xf numFmtId="0" fontId="2" fillId="2" borderId="23" xfId="0" applyFont="1" applyFill="1" applyBorder="1" applyAlignment="1" applyProtection="1">
      <alignment horizontal="center"/>
      <protection locked="0"/>
    </xf>
    <xf numFmtId="0" fontId="2" fillId="0" borderId="0" xfId="0" applyFont="1" applyAlignment="1">
      <alignment horizontal="center"/>
    </xf>
    <xf numFmtId="0" fontId="2" fillId="0" borderId="14" xfId="0" applyFont="1" applyBorder="1" applyAlignment="1" applyProtection="1">
      <protection locked="0"/>
    </xf>
    <xf numFmtId="0" fontId="2" fillId="0" borderId="0" xfId="0" applyFont="1" applyBorder="1" applyAlignment="1" applyProtection="1">
      <protection locked="0"/>
    </xf>
    <xf numFmtId="14" fontId="4" fillId="2" borderId="24" xfId="0" applyNumberFormat="1" applyFont="1" applyFill="1" applyBorder="1" applyAlignment="1" applyProtection="1">
      <alignment horizontal="center"/>
      <protection locked="0"/>
    </xf>
    <xf numFmtId="0" fontId="2" fillId="0" borderId="3" xfId="0" applyNumberFormat="1" applyFont="1" applyBorder="1" applyAlignment="1">
      <alignment horizontal="center"/>
    </xf>
    <xf numFmtId="0" fontId="2" fillId="2" borderId="24" xfId="0" applyFont="1" applyFill="1" applyBorder="1" applyAlignment="1" applyProtection="1">
      <alignment horizontal="left"/>
      <protection locked="0"/>
    </xf>
    <xf numFmtId="0" fontId="2" fillId="0" borderId="0" xfId="0" applyFont="1" applyFill="1" applyBorder="1" applyAlignment="1" applyProtection="1">
      <alignment horizontal="left"/>
      <protection locked="0"/>
    </xf>
    <xf numFmtId="164" fontId="2" fillId="4" borderId="3" xfId="0" applyNumberFormat="1" applyFont="1" applyFill="1" applyBorder="1" applyAlignment="1">
      <alignment horizontal="center" vertical="center"/>
    </xf>
    <xf numFmtId="0" fontId="12" fillId="0" borderId="0" xfId="0" applyFont="1" applyAlignment="1">
      <alignment horizontal="center" vertical="center"/>
    </xf>
    <xf numFmtId="0" fontId="12" fillId="0" borderId="3" xfId="0" applyFont="1" applyBorder="1" applyAlignment="1">
      <alignment horizontal="center" vertical="center" wrapText="1"/>
    </xf>
    <xf numFmtId="0" fontId="10" fillId="0" borderId="0" xfId="0" applyFont="1" applyBorder="1" applyAlignment="1">
      <alignment horizontal="left"/>
    </xf>
    <xf numFmtId="0" fontId="10" fillId="0" borderId="0" xfId="0" applyFont="1" applyBorder="1" applyAlignment="1">
      <alignment horizontal="center"/>
    </xf>
    <xf numFmtId="0" fontId="10" fillId="0" borderId="0" xfId="0" applyFont="1" applyBorder="1" applyAlignment="1">
      <alignment horizontal="center" wrapText="1"/>
    </xf>
    <xf numFmtId="14" fontId="10" fillId="0" borderId="3" xfId="0" applyNumberFormat="1" applyFont="1" applyFill="1" applyBorder="1" applyAlignment="1" applyProtection="1">
      <alignment horizontal="center"/>
      <protection locked="0"/>
    </xf>
    <xf numFmtId="0" fontId="10" fillId="0" borderId="3" xfId="0" applyFont="1" applyFill="1" applyBorder="1" applyAlignment="1" applyProtection="1">
      <alignment horizontal="center"/>
      <protection locked="0"/>
    </xf>
    <xf numFmtId="49" fontId="10" fillId="0" borderId="3" xfId="0" applyNumberFormat="1" applyFont="1" applyFill="1" applyBorder="1" applyAlignment="1" applyProtection="1">
      <alignment horizontal="center"/>
      <protection locked="0"/>
    </xf>
    <xf numFmtId="0" fontId="0" fillId="0" borderId="0" xfId="0" applyFont="1" applyFill="1"/>
    <xf numFmtId="18" fontId="10" fillId="0" borderId="3" xfId="0" applyNumberFormat="1" applyFont="1" applyFill="1" applyBorder="1" applyAlignment="1" applyProtection="1">
      <alignment horizontal="center"/>
      <protection locked="0"/>
    </xf>
    <xf numFmtId="0" fontId="11" fillId="0" borderId="1" xfId="0" applyFont="1" applyFill="1" applyBorder="1" applyAlignment="1">
      <alignment horizontal="center" vertical="center" wrapText="1"/>
    </xf>
    <xf numFmtId="0" fontId="10" fillId="0" borderId="2" xfId="0" applyFont="1" applyBorder="1" applyAlignment="1" applyProtection="1">
      <alignment horizontal="center" vertical="center"/>
    </xf>
    <xf numFmtId="0" fontId="6" fillId="0" borderId="0" xfId="0" applyFont="1" applyAlignment="1" applyProtection="1">
      <alignment horizontal="left"/>
      <protection locked="0"/>
    </xf>
    <xf numFmtId="0" fontId="10" fillId="0" borderId="3" xfId="0" quotePrefix="1" applyFont="1" applyFill="1" applyBorder="1" applyAlignment="1" applyProtection="1">
      <alignment horizontal="center"/>
      <protection locked="0"/>
    </xf>
    <xf numFmtId="0" fontId="0" fillId="0" borderId="3" xfId="0" applyFont="1" applyFill="1" applyBorder="1"/>
    <xf numFmtId="49" fontId="11" fillId="0" borderId="37" xfId="0" applyNumberFormat="1" applyFont="1" applyBorder="1" applyAlignment="1">
      <alignment horizontal="center" vertical="center" wrapText="1"/>
    </xf>
    <xf numFmtId="0" fontId="11" fillId="0" borderId="37" xfId="0" applyFont="1" applyBorder="1" applyAlignment="1">
      <alignment horizontal="center" vertical="center" wrapText="1"/>
    </xf>
    <xf numFmtId="0" fontId="0" fillId="0" borderId="38" xfId="0" applyFont="1" applyBorder="1"/>
    <xf numFmtId="0" fontId="3" fillId="3" borderId="8" xfId="0" applyFont="1" applyFill="1" applyBorder="1" applyProtection="1">
      <protection locked="0"/>
    </xf>
    <xf numFmtId="0" fontId="3" fillId="0" borderId="0" xfId="0" applyFont="1"/>
    <xf numFmtId="0" fontId="6" fillId="0" borderId="0" xfId="0" applyFont="1" applyFill="1" applyBorder="1" applyAlignment="1" applyProtection="1">
      <alignment horizontal="center" wrapText="1"/>
      <protection locked="0"/>
    </xf>
    <xf numFmtId="0" fontId="2" fillId="0" borderId="0" xfId="0" applyFont="1"/>
    <xf numFmtId="0" fontId="2" fillId="0" borderId="0" xfId="0" applyFont="1" applyFill="1" applyBorder="1" applyAlignment="1" applyProtection="1">
      <alignment horizontal="left"/>
    </xf>
    <xf numFmtId="49" fontId="14" fillId="0" borderId="3" xfId="0" applyNumberFormat="1" applyFont="1" applyFill="1" applyBorder="1" applyAlignment="1" applyProtection="1">
      <alignment horizontal="center"/>
      <protection locked="0"/>
    </xf>
    <xf numFmtId="0" fontId="2" fillId="3" borderId="36" xfId="0" applyFont="1" applyFill="1" applyBorder="1" applyProtection="1">
      <protection locked="0"/>
    </xf>
    <xf numFmtId="0" fontId="2" fillId="48" borderId="1" xfId="0" applyFont="1" applyFill="1" applyBorder="1" applyAlignment="1">
      <alignment horizontal="center" vertical="center"/>
    </xf>
    <xf numFmtId="0" fontId="0" fillId="0" borderId="6" xfId="0" applyFont="1" applyFill="1" applyBorder="1"/>
    <xf numFmtId="0" fontId="0" fillId="0" borderId="37" xfId="0" applyFont="1" applyBorder="1"/>
    <xf numFmtId="0" fontId="42" fillId="0" borderId="3" xfId="0" applyFont="1" applyBorder="1"/>
    <xf numFmtId="0" fontId="42" fillId="0" borderId="4" xfId="0" applyFont="1" applyBorder="1"/>
    <xf numFmtId="0" fontId="0" fillId="0" borderId="0" xfId="0" applyAlignment="1"/>
    <xf numFmtId="0" fontId="2" fillId="48" borderId="11" xfId="0" applyFont="1" applyFill="1" applyBorder="1" applyAlignment="1">
      <alignment horizontal="center" vertical="center"/>
    </xf>
    <xf numFmtId="0" fontId="2" fillId="48" borderId="12" xfId="0" applyFont="1" applyFill="1" applyBorder="1" applyAlignment="1">
      <alignment horizontal="center" vertical="center"/>
    </xf>
    <xf numFmtId="0" fontId="2" fillId="48" borderId="40" xfId="0" applyFont="1" applyFill="1" applyBorder="1" applyAlignment="1">
      <alignment horizontal="center" vertical="center"/>
    </xf>
    <xf numFmtId="0" fontId="42" fillId="0" borderId="4" xfId="0" applyFont="1" applyBorder="1" applyAlignment="1">
      <alignment horizontal="left" vertical="center"/>
    </xf>
    <xf numFmtId="0" fontId="42" fillId="0" borderId="39" xfId="0" applyFont="1" applyBorder="1" applyAlignment="1">
      <alignment horizontal="left" vertical="center"/>
    </xf>
    <xf numFmtId="0" fontId="42" fillId="0" borderId="2" xfId="0" applyFont="1" applyBorder="1" applyAlignment="1">
      <alignment horizontal="left" vertical="center"/>
    </xf>
    <xf numFmtId="0" fontId="43" fillId="0" borderId="3" xfId="0" applyFont="1" applyFill="1" applyBorder="1" applyAlignment="1">
      <alignment horizontal="center"/>
    </xf>
    <xf numFmtId="0" fontId="43" fillId="0" borderId="3" xfId="0" applyFont="1" applyFill="1" applyBorder="1" applyAlignment="1" applyProtection="1">
      <alignment horizontal="center" vertical="center" wrapText="1"/>
      <protection locked="0"/>
    </xf>
    <xf numFmtId="49" fontId="43" fillId="0" borderId="3" xfId="0" applyNumberFormat="1" applyFont="1" applyFill="1" applyBorder="1" applyAlignment="1" applyProtection="1">
      <alignment horizontal="center" vertical="center" wrapText="1"/>
      <protection locked="0"/>
    </xf>
    <xf numFmtId="14" fontId="43" fillId="0" borderId="3" xfId="0" applyNumberFormat="1" applyFont="1" applyFill="1" applyBorder="1" applyAlignment="1" applyProtection="1">
      <alignment horizontal="center" vertical="center" wrapText="1"/>
      <protection locked="0"/>
    </xf>
    <xf numFmtId="14" fontId="43" fillId="0" borderId="3" xfId="0" applyNumberFormat="1" applyFont="1" applyFill="1" applyBorder="1" applyAlignment="1" applyProtection="1">
      <alignment horizontal="center" vertical="center"/>
      <protection locked="0"/>
    </xf>
    <xf numFmtId="0" fontId="43" fillId="0" borderId="3" xfId="0" applyFont="1" applyFill="1" applyBorder="1" applyAlignment="1" applyProtection="1">
      <alignment horizontal="center" vertical="center"/>
      <protection locked="0"/>
    </xf>
    <xf numFmtId="49" fontId="45" fillId="0" borderId="3" xfId="0" applyNumberFormat="1" applyFont="1" applyFill="1" applyBorder="1" applyAlignment="1" applyProtection="1">
      <alignment horizontal="center" vertical="center" wrapText="1"/>
      <protection locked="0"/>
    </xf>
    <xf numFmtId="14" fontId="43" fillId="0" borderId="3" xfId="0" applyNumberFormat="1" applyFont="1" applyFill="1" applyBorder="1" applyAlignment="1" applyProtection="1">
      <alignment horizontal="center"/>
    </xf>
    <xf numFmtId="0" fontId="10" fillId="0" borderId="3" xfId="0" applyFont="1" applyFill="1" applyBorder="1" applyAlignment="1" applyProtection="1">
      <alignment horizontal="center" vertical="center" wrapText="1"/>
      <protection locked="0"/>
    </xf>
    <xf numFmtId="19" fontId="43" fillId="0" borderId="3" xfId="0" applyNumberFormat="1" applyFont="1" applyFill="1" applyBorder="1" applyAlignment="1" applyProtection="1">
      <alignment horizontal="center" vertical="center"/>
      <protection locked="0"/>
    </xf>
    <xf numFmtId="14" fontId="43" fillId="0" borderId="3" xfId="0" applyNumberFormat="1" applyFont="1" applyFill="1" applyBorder="1" applyAlignment="1">
      <alignment horizontal="center"/>
    </xf>
    <xf numFmtId="18" fontId="43" fillId="0" borderId="3" xfId="0" applyNumberFormat="1" applyFont="1" applyFill="1" applyBorder="1" applyAlignment="1" applyProtection="1">
      <alignment horizontal="center" vertical="center"/>
      <protection locked="0"/>
    </xf>
    <xf numFmtId="0" fontId="43" fillId="0" borderId="3" xfId="0" applyFont="1" applyFill="1" applyBorder="1" applyAlignment="1">
      <alignment horizontal="center" vertical="center"/>
    </xf>
    <xf numFmtId="0" fontId="46" fillId="49" borderId="1" xfId="0" applyFont="1" applyFill="1" applyBorder="1" applyAlignment="1">
      <alignment horizontal="center" vertical="center"/>
    </xf>
    <xf numFmtId="0" fontId="46" fillId="49" borderId="1" xfId="0" applyFont="1" applyFill="1" applyBorder="1" applyAlignment="1">
      <alignment horizontal="left" vertical="center"/>
    </xf>
    <xf numFmtId="0" fontId="46" fillId="48" borderId="3" xfId="0" applyFont="1" applyFill="1" applyBorder="1" applyAlignment="1">
      <alignment horizontal="center" vertical="center"/>
    </xf>
    <xf numFmtId="0" fontId="46" fillId="48" borderId="3" xfId="0" applyFont="1" applyFill="1" applyBorder="1" applyAlignment="1">
      <alignment horizontal="center" vertical="center" wrapText="1"/>
    </xf>
    <xf numFmtId="0" fontId="46" fillId="50" borderId="3" xfId="0" applyFont="1" applyFill="1" applyBorder="1" applyAlignment="1">
      <alignment horizontal="center" vertical="center" wrapText="1"/>
    </xf>
    <xf numFmtId="0" fontId="46" fillId="0" borderId="3" xfId="0" applyFont="1" applyBorder="1" applyAlignment="1">
      <alignment horizontal="center" vertical="center" wrapText="1"/>
    </xf>
    <xf numFmtId="0" fontId="46" fillId="51" borderId="3" xfId="0" applyFont="1" applyFill="1" applyBorder="1" applyAlignment="1">
      <alignment horizontal="center" vertical="center" wrapText="1"/>
    </xf>
    <xf numFmtId="0" fontId="2" fillId="0" borderId="0" xfId="0" applyFont="1" applyFill="1" applyBorder="1" applyAlignment="1" applyProtection="1">
      <alignment horizontal="center"/>
    </xf>
    <xf numFmtId="0" fontId="2" fillId="0" borderId="0" xfId="0" applyFont="1" applyBorder="1" applyAlignment="1" applyProtection="1">
      <alignment horizontal="center" vertical="center"/>
    </xf>
    <xf numFmtId="0" fontId="2" fillId="0" borderId="0" xfId="0" applyNumberFormat="1" applyFont="1" applyBorder="1" applyAlignment="1" applyProtection="1">
      <alignment horizontal="center" vertical="center"/>
    </xf>
    <xf numFmtId="0" fontId="2" fillId="0" borderId="0" xfId="0" applyFont="1" applyBorder="1" applyAlignment="1" applyProtection="1">
      <alignment horizontal="center"/>
    </xf>
    <xf numFmtId="0" fontId="2" fillId="0" borderId="0" xfId="0" applyFont="1" applyAlignment="1" applyProtection="1">
      <alignment horizontal="center" vertical="center"/>
    </xf>
    <xf numFmtId="0" fontId="2" fillId="0" borderId="0" xfId="0" applyFont="1" applyBorder="1" applyProtection="1"/>
    <xf numFmtId="0" fontId="44" fillId="0" borderId="3" xfId="0" applyFont="1" applyBorder="1" applyAlignment="1">
      <alignment horizontal="center" vertical="center"/>
    </xf>
    <xf numFmtId="0" fontId="44" fillId="52" borderId="3" xfId="0" applyFont="1" applyFill="1" applyBorder="1" applyAlignment="1">
      <alignment horizontal="center" vertical="center"/>
    </xf>
    <xf numFmtId="0" fontId="6" fillId="0" borderId="0" xfId="0" applyFont="1" applyAlignment="1" applyProtection="1">
      <alignment horizontal="right"/>
    </xf>
    <xf numFmtId="0" fontId="2" fillId="2" borderId="3" xfId="0" applyFont="1" applyFill="1" applyBorder="1" applyAlignment="1" applyProtection="1">
      <alignment horizontal="center"/>
    </xf>
    <xf numFmtId="14" fontId="0" fillId="0" borderId="0" xfId="0" applyNumberFormat="1"/>
    <xf numFmtId="0" fontId="43" fillId="2" borderId="3" xfId="0" applyFont="1" applyFill="1" applyBorder="1" applyAlignment="1" applyProtection="1">
      <alignment horizontal="center" vertical="center" wrapText="1"/>
      <protection locked="0"/>
    </xf>
    <xf numFmtId="19" fontId="10" fillId="0" borderId="3" xfId="0" applyNumberFormat="1" applyFont="1" applyFill="1" applyBorder="1" applyAlignment="1" applyProtection="1">
      <alignment horizontal="center"/>
      <protection locked="0"/>
    </xf>
    <xf numFmtId="0" fontId="43" fillId="0" borderId="3" xfId="0" applyFont="1" applyBorder="1" applyAlignment="1" applyProtection="1">
      <alignment horizontal="center" vertical="center" wrapText="1"/>
      <protection locked="0"/>
    </xf>
    <xf numFmtId="49" fontId="43" fillId="0" borderId="3" xfId="0" applyNumberFormat="1" applyFont="1" applyBorder="1" applyAlignment="1" applyProtection="1">
      <alignment horizontal="center" vertical="center" wrapText="1"/>
      <protection locked="0"/>
    </xf>
    <xf numFmtId="14" fontId="43" fillId="0" borderId="3" xfId="0" applyNumberFormat="1" applyFont="1" applyBorder="1" applyAlignment="1" applyProtection="1">
      <alignment horizontal="center" vertical="center" wrapText="1"/>
      <protection locked="0"/>
    </xf>
    <xf numFmtId="14" fontId="43" fillId="0" borderId="3" xfId="0" applyNumberFormat="1" applyFont="1" applyBorder="1" applyAlignment="1" applyProtection="1">
      <alignment horizontal="center" vertical="center"/>
      <protection locked="0"/>
    </xf>
    <xf numFmtId="19" fontId="43" fillId="0" borderId="3" xfId="0" applyNumberFormat="1" applyFont="1" applyBorder="1" applyAlignment="1" applyProtection="1">
      <alignment horizontal="center" vertical="center"/>
      <protection locked="0"/>
    </xf>
    <xf numFmtId="0" fontId="43" fillId="0" borderId="3" xfId="0" applyFont="1" applyBorder="1" applyAlignment="1" applyProtection="1">
      <alignment horizontal="center" vertical="center"/>
      <protection locked="0"/>
    </xf>
    <xf numFmtId="49" fontId="45" fillId="0" borderId="3" xfId="0" applyNumberFormat="1" applyFont="1" applyBorder="1" applyAlignment="1" applyProtection="1">
      <alignment horizontal="center" vertical="center" wrapText="1"/>
      <protection locked="0"/>
    </xf>
    <xf numFmtId="0" fontId="43" fillId="0" borderId="3" xfId="0" applyFont="1" applyBorder="1" applyAlignment="1">
      <alignment horizontal="center" vertical="center"/>
    </xf>
    <xf numFmtId="14" fontId="43" fillId="0" borderId="3" xfId="0" applyNumberFormat="1" applyFont="1" applyBorder="1" applyAlignment="1">
      <alignment horizontal="center" vertical="center"/>
    </xf>
    <xf numFmtId="0" fontId="19" fillId="0" borderId="3" xfId="419" applyBorder="1" applyAlignment="1" applyProtection="1">
      <alignment horizontal="center" vertical="center" wrapText="1"/>
      <protection locked="0"/>
    </xf>
    <xf numFmtId="0" fontId="0" fillId="0" borderId="3" xfId="0" applyBorder="1" applyAlignment="1">
      <alignment vertical="center"/>
    </xf>
    <xf numFmtId="0" fontId="43" fillId="0" borderId="3" xfId="0" applyFont="1" applyBorder="1" applyAlignment="1" applyProtection="1">
      <alignment horizontal="center"/>
      <protection locked="0"/>
    </xf>
    <xf numFmtId="49" fontId="43" fillId="0" borderId="3" xfId="0" applyNumberFormat="1" applyFont="1" applyBorder="1" applyAlignment="1" applyProtection="1">
      <alignment horizontal="center"/>
      <protection locked="0"/>
    </xf>
    <xf numFmtId="14" fontId="43" fillId="0" borderId="3" xfId="0" applyNumberFormat="1" applyFont="1" applyBorder="1" applyAlignment="1" applyProtection="1">
      <alignment horizontal="center"/>
      <protection locked="0"/>
    </xf>
    <xf numFmtId="166" fontId="43" fillId="0" borderId="3" xfId="0" applyNumberFormat="1" applyFont="1" applyBorder="1" applyAlignment="1" applyProtection="1">
      <alignment horizontal="center"/>
      <protection locked="0"/>
    </xf>
    <xf numFmtId="49" fontId="45" fillId="0" borderId="3" xfId="0" applyNumberFormat="1" applyFont="1" applyBorder="1" applyAlignment="1" applyProtection="1">
      <alignment horizontal="center"/>
      <protection locked="0"/>
    </xf>
    <xf numFmtId="14" fontId="43" fillId="0" borderId="3" xfId="0" applyNumberFormat="1" applyFont="1" applyBorder="1" applyAlignment="1">
      <alignment horizontal="center"/>
    </xf>
    <xf numFmtId="0" fontId="43" fillId="0" borderId="3" xfId="0" applyFont="1" applyBorder="1" applyAlignment="1" applyProtection="1">
      <alignment horizontal="center" wrapText="1"/>
      <protection locked="0"/>
    </xf>
    <xf numFmtId="2" fontId="43" fillId="0" borderId="3" xfId="0" applyNumberFormat="1" applyFont="1" applyBorder="1" applyAlignment="1">
      <alignment horizontal="center"/>
    </xf>
    <xf numFmtId="0" fontId="42" fillId="48" borderId="2" xfId="0" applyFont="1" applyFill="1" applyBorder="1" applyAlignment="1">
      <alignment horizontal="center" vertical="center"/>
    </xf>
    <xf numFmtId="0" fontId="42" fillId="48" borderId="4" xfId="0" applyFont="1" applyFill="1" applyBorder="1" applyAlignment="1">
      <alignment horizontal="center" vertical="center"/>
    </xf>
    <xf numFmtId="0" fontId="42" fillId="48" borderId="39" xfId="0" applyFont="1" applyFill="1" applyBorder="1" applyAlignment="1">
      <alignment horizontal="center" vertical="center"/>
    </xf>
    <xf numFmtId="0" fontId="49" fillId="0" borderId="41" xfId="0" applyFont="1" applyBorder="1" applyAlignment="1">
      <alignment horizontal="center"/>
    </xf>
    <xf numFmtId="0" fontId="49" fillId="0" borderId="2" xfId="0" applyFont="1" applyBorder="1" applyAlignment="1">
      <alignment horizontal="center"/>
    </xf>
    <xf numFmtId="0" fontId="42" fillId="48" borderId="5" xfId="0" applyFont="1" applyFill="1" applyBorder="1" applyAlignment="1">
      <alignment horizontal="center" vertical="center"/>
    </xf>
    <xf numFmtId="0" fontId="49" fillId="0" borderId="5" xfId="0" applyFont="1" applyBorder="1" applyAlignment="1">
      <alignment horizontal="center"/>
    </xf>
    <xf numFmtId="0" fontId="42" fillId="0" borderId="2" xfId="0" applyFont="1" applyBorder="1" applyAlignment="1"/>
    <xf numFmtId="0" fontId="42" fillId="48" borderId="20" xfId="0" applyFont="1" applyFill="1" applyBorder="1" applyAlignment="1">
      <alignment horizontal="center" vertical="center"/>
    </xf>
    <xf numFmtId="0" fontId="49" fillId="0" borderId="17" xfId="0" applyFont="1" applyBorder="1" applyAlignment="1">
      <alignment horizontal="center"/>
    </xf>
    <xf numFmtId="0" fontId="49" fillId="0" borderId="18" xfId="0" applyFont="1" applyBorder="1" applyAlignment="1">
      <alignment horizontal="center"/>
    </xf>
    <xf numFmtId="0" fontId="49" fillId="0" borderId="43" xfId="0" applyFont="1" applyBorder="1" applyAlignment="1">
      <alignment horizontal="center"/>
    </xf>
    <xf numFmtId="0" fontId="42" fillId="0" borderId="18" xfId="0" applyFont="1" applyBorder="1" applyAlignment="1"/>
    <xf numFmtId="0" fontId="42" fillId="48" borderId="44" xfId="0" applyFont="1" applyFill="1" applyBorder="1" applyAlignment="1">
      <alignment horizontal="center" vertical="center"/>
    </xf>
    <xf numFmtId="0" fontId="42" fillId="0" borderId="13" xfId="0" applyFont="1" applyBorder="1" applyAlignment="1"/>
    <xf numFmtId="0" fontId="2" fillId="48" borderId="42" xfId="0" applyFont="1" applyFill="1" applyBorder="1" applyAlignment="1">
      <alignment horizontal="center" vertical="center"/>
    </xf>
    <xf numFmtId="0" fontId="42" fillId="0" borderId="11" xfId="0" applyFont="1" applyBorder="1" applyAlignment="1"/>
    <xf numFmtId="0" fontId="42" fillId="0" borderId="4" xfId="0" applyFont="1" applyBorder="1" applyAlignment="1"/>
    <xf numFmtId="0" fontId="41" fillId="3" borderId="8" xfId="1" applyFont="1" applyFill="1" applyBorder="1" applyAlignment="1" applyProtection="1">
      <alignment horizontal="left"/>
      <protection locked="0"/>
    </xf>
    <xf numFmtId="0" fontId="41" fillId="3" borderId="9" xfId="1" applyFont="1" applyFill="1" applyBorder="1" applyAlignment="1" applyProtection="1">
      <alignment horizontal="left"/>
      <protection locked="0"/>
    </xf>
    <xf numFmtId="0" fontId="2" fillId="0" borderId="15" xfId="0" applyFont="1" applyBorder="1" applyAlignment="1" applyProtection="1">
      <alignment horizontal="left"/>
    </xf>
    <xf numFmtId="0" fontId="2" fillId="0" borderId="25" xfId="0" applyFont="1" applyBorder="1" applyAlignment="1" applyProtection="1">
      <alignment horizontal="left"/>
    </xf>
  </cellXfs>
  <cellStyles count="2087">
    <cellStyle name="20 % - Accent1 2" xfId="292" xr:uid="{00000000-0005-0000-0000-000000000000}"/>
    <cellStyle name="20 % - Accent1 2 2" xfId="409" xr:uid="{00000000-0005-0000-0000-000001000000}"/>
    <cellStyle name="20 % - Accent2 2" xfId="293" xr:uid="{00000000-0005-0000-0000-000002000000}"/>
    <cellStyle name="20 % - Accent2 2 2" xfId="408" xr:uid="{00000000-0005-0000-0000-000003000000}"/>
    <cellStyle name="20 % - Accent3 2" xfId="294" xr:uid="{00000000-0005-0000-0000-000004000000}"/>
    <cellStyle name="20 % - Accent3 2 2" xfId="407" xr:uid="{00000000-0005-0000-0000-000005000000}"/>
    <cellStyle name="20 % - Accent4 2" xfId="295" xr:uid="{00000000-0005-0000-0000-000006000000}"/>
    <cellStyle name="20 % - Accent4 2 2" xfId="405" xr:uid="{00000000-0005-0000-0000-000007000000}"/>
    <cellStyle name="20 % - Accent5 2" xfId="296" xr:uid="{00000000-0005-0000-0000-000008000000}"/>
    <cellStyle name="20 % - Accent5 2 2" xfId="395" xr:uid="{00000000-0005-0000-0000-000009000000}"/>
    <cellStyle name="20 % - Accent6 2" xfId="297" xr:uid="{00000000-0005-0000-0000-00000A000000}"/>
    <cellStyle name="20 % - Accent6 2 2" xfId="403" xr:uid="{00000000-0005-0000-0000-00000B000000}"/>
    <cellStyle name="20% - Accent1" xfId="2059" builtinId="30" customBuiltin="1"/>
    <cellStyle name="20% - Accent1 2" xfId="242" xr:uid="{00000000-0005-0000-0000-00000D000000}"/>
    <cellStyle name="20% - Accent1 2 2" xfId="397" xr:uid="{00000000-0005-0000-0000-00000E000000}"/>
    <cellStyle name="20% - Accent1 3" xfId="218" xr:uid="{00000000-0005-0000-0000-00000F000000}"/>
    <cellStyle name="20% - Accent2" xfId="2063" builtinId="34" customBuiltin="1"/>
    <cellStyle name="20% - Accent2 2" xfId="243" xr:uid="{00000000-0005-0000-0000-000011000000}"/>
    <cellStyle name="20% - Accent2 2 2" xfId="404" xr:uid="{00000000-0005-0000-0000-000012000000}"/>
    <cellStyle name="20% - Accent2 3" xfId="222" xr:uid="{00000000-0005-0000-0000-000013000000}"/>
    <cellStyle name="20% - Accent3" xfId="2067" builtinId="38" customBuiltin="1"/>
    <cellStyle name="20% - Accent3 2" xfId="244" xr:uid="{00000000-0005-0000-0000-000015000000}"/>
    <cellStyle name="20% - Accent3 2 2" xfId="401" xr:uid="{00000000-0005-0000-0000-000016000000}"/>
    <cellStyle name="20% - Accent3 3" xfId="226" xr:uid="{00000000-0005-0000-0000-000017000000}"/>
    <cellStyle name="20% - Accent4" xfId="2071" builtinId="42" customBuiltin="1"/>
    <cellStyle name="20% - Accent4 2" xfId="245" xr:uid="{00000000-0005-0000-0000-000019000000}"/>
    <cellStyle name="20% - Accent4 2 2" xfId="398" xr:uid="{00000000-0005-0000-0000-00001A000000}"/>
    <cellStyle name="20% - Accent4 3" xfId="230" xr:uid="{00000000-0005-0000-0000-00001B000000}"/>
    <cellStyle name="20% - Accent5" xfId="2075" builtinId="46" customBuiltin="1"/>
    <cellStyle name="20% - Accent5 2" xfId="246" xr:uid="{00000000-0005-0000-0000-00001D000000}"/>
    <cellStyle name="20% - Accent5 2 2" xfId="400" xr:uid="{00000000-0005-0000-0000-00001E000000}"/>
    <cellStyle name="20% - Accent5 3" xfId="234" xr:uid="{00000000-0005-0000-0000-00001F000000}"/>
    <cellStyle name="20% - Accent6" xfId="2079" builtinId="50" customBuiltin="1"/>
    <cellStyle name="20% - Accent6 2" xfId="247" xr:uid="{00000000-0005-0000-0000-000021000000}"/>
    <cellStyle name="20% - Accent6 2 2" xfId="402" xr:uid="{00000000-0005-0000-0000-000022000000}"/>
    <cellStyle name="20% - Accent6 3" xfId="238" xr:uid="{00000000-0005-0000-0000-000023000000}"/>
    <cellStyle name="40 % - Accent1 2" xfId="298" xr:uid="{00000000-0005-0000-0000-000024000000}"/>
    <cellStyle name="40 % - Accent1 2 2" xfId="393" xr:uid="{00000000-0005-0000-0000-000025000000}"/>
    <cellStyle name="40 % - Accent2 2" xfId="299" xr:uid="{00000000-0005-0000-0000-000026000000}"/>
    <cellStyle name="40 % - Accent2 2 2" xfId="394" xr:uid="{00000000-0005-0000-0000-000027000000}"/>
    <cellStyle name="40 % - Accent3 2" xfId="300" xr:uid="{00000000-0005-0000-0000-000028000000}"/>
    <cellStyle name="40 % - Accent3 2 2" xfId="399" xr:uid="{00000000-0005-0000-0000-000029000000}"/>
    <cellStyle name="40 % - Accent4 2" xfId="301" xr:uid="{00000000-0005-0000-0000-00002A000000}"/>
    <cellStyle name="40 % - Accent4 2 2" xfId="396" xr:uid="{00000000-0005-0000-0000-00002B000000}"/>
    <cellStyle name="40 % - Accent5 2" xfId="302" xr:uid="{00000000-0005-0000-0000-00002C000000}"/>
    <cellStyle name="40 % - Accent5 2 2" xfId="406" xr:uid="{00000000-0005-0000-0000-00002D000000}"/>
    <cellStyle name="40 % - Accent6 2" xfId="303" xr:uid="{00000000-0005-0000-0000-00002E000000}"/>
    <cellStyle name="40 % - Accent6 2 2" xfId="410" xr:uid="{00000000-0005-0000-0000-00002F000000}"/>
    <cellStyle name="40% - Accent1" xfId="2060" builtinId="31" customBuiltin="1"/>
    <cellStyle name="40% - Accent1 2" xfId="248" xr:uid="{00000000-0005-0000-0000-000031000000}"/>
    <cellStyle name="40% - Accent1 2 2" xfId="411" xr:uid="{00000000-0005-0000-0000-000032000000}"/>
    <cellStyle name="40% - Accent1 3" xfId="219" xr:uid="{00000000-0005-0000-0000-000033000000}"/>
    <cellStyle name="40% - Accent2" xfId="2064" builtinId="35" customBuiltin="1"/>
    <cellStyle name="40% - Accent2 2" xfId="249" xr:uid="{00000000-0005-0000-0000-000035000000}"/>
    <cellStyle name="40% - Accent2 2 2" xfId="412" xr:uid="{00000000-0005-0000-0000-000036000000}"/>
    <cellStyle name="40% - Accent2 3" xfId="223" xr:uid="{00000000-0005-0000-0000-000037000000}"/>
    <cellStyle name="40% - Accent3" xfId="2068" builtinId="39" customBuiltin="1"/>
    <cellStyle name="40% - Accent3 2" xfId="250" xr:uid="{00000000-0005-0000-0000-000039000000}"/>
    <cellStyle name="40% - Accent3 2 2" xfId="413" xr:uid="{00000000-0005-0000-0000-00003A000000}"/>
    <cellStyle name="40% - Accent3 3" xfId="227" xr:uid="{00000000-0005-0000-0000-00003B000000}"/>
    <cellStyle name="40% - Accent4" xfId="2072" builtinId="43" customBuiltin="1"/>
    <cellStyle name="40% - Accent4 2" xfId="251" xr:uid="{00000000-0005-0000-0000-00003D000000}"/>
    <cellStyle name="40% - Accent4 2 2" xfId="414" xr:uid="{00000000-0005-0000-0000-00003E000000}"/>
    <cellStyle name="40% - Accent4 3" xfId="231" xr:uid="{00000000-0005-0000-0000-00003F000000}"/>
    <cellStyle name="40% - Accent5" xfId="2076" builtinId="47" customBuiltin="1"/>
    <cellStyle name="40% - Accent5 2" xfId="252" xr:uid="{00000000-0005-0000-0000-000041000000}"/>
    <cellStyle name="40% - Accent5 2 2" xfId="415" xr:uid="{00000000-0005-0000-0000-000042000000}"/>
    <cellStyle name="40% - Accent5 3" xfId="235" xr:uid="{00000000-0005-0000-0000-000043000000}"/>
    <cellStyle name="40% - Accent6" xfId="2080" builtinId="51" customBuiltin="1"/>
    <cellStyle name="40% - Accent6 2" xfId="253" xr:uid="{00000000-0005-0000-0000-000045000000}"/>
    <cellStyle name="40% - Accent6 2 2" xfId="416" xr:uid="{00000000-0005-0000-0000-000046000000}"/>
    <cellStyle name="40% - Accent6 3" xfId="239" xr:uid="{00000000-0005-0000-0000-000047000000}"/>
    <cellStyle name="60 % - Accent1 2" xfId="304" xr:uid="{00000000-0005-0000-0000-000048000000}"/>
    <cellStyle name="60 % - Accent2 2" xfId="305" xr:uid="{00000000-0005-0000-0000-000049000000}"/>
    <cellStyle name="60 % - Accent3 2" xfId="306" xr:uid="{00000000-0005-0000-0000-00004A000000}"/>
    <cellStyle name="60 % - Accent4 2" xfId="307" xr:uid="{00000000-0005-0000-0000-00004B000000}"/>
    <cellStyle name="60 % - Accent5 2" xfId="308" xr:uid="{00000000-0005-0000-0000-00004C000000}"/>
    <cellStyle name="60 % - Accent6 2" xfId="309" xr:uid="{00000000-0005-0000-0000-00004D000000}"/>
    <cellStyle name="60% - Accent1" xfId="2061" builtinId="32" customBuiltin="1"/>
    <cellStyle name="60% - Accent1 2" xfId="254" xr:uid="{00000000-0005-0000-0000-00004F000000}"/>
    <cellStyle name="60% - Accent1 3" xfId="220" xr:uid="{00000000-0005-0000-0000-000050000000}"/>
    <cellStyle name="60% - Accent2" xfId="2065" builtinId="36" customBuiltin="1"/>
    <cellStyle name="60% - Accent2 2" xfId="255" xr:uid="{00000000-0005-0000-0000-000052000000}"/>
    <cellStyle name="60% - Accent2 3" xfId="224" xr:uid="{00000000-0005-0000-0000-000053000000}"/>
    <cellStyle name="60% - Accent3" xfId="2069" builtinId="40" customBuiltin="1"/>
    <cellStyle name="60% - Accent3 2" xfId="256" xr:uid="{00000000-0005-0000-0000-000055000000}"/>
    <cellStyle name="60% - Accent3 3" xfId="228" xr:uid="{00000000-0005-0000-0000-000056000000}"/>
    <cellStyle name="60% - Accent4" xfId="2073" builtinId="44" customBuiltin="1"/>
    <cellStyle name="60% - Accent4 2" xfId="257" xr:uid="{00000000-0005-0000-0000-000058000000}"/>
    <cellStyle name="60% - Accent4 3" xfId="232" xr:uid="{00000000-0005-0000-0000-000059000000}"/>
    <cellStyle name="60% - Accent5" xfId="2077" builtinId="48" customBuiltin="1"/>
    <cellStyle name="60% - Accent5 2" xfId="258" xr:uid="{00000000-0005-0000-0000-00005B000000}"/>
    <cellStyle name="60% - Accent5 3" xfId="236" xr:uid="{00000000-0005-0000-0000-00005C000000}"/>
    <cellStyle name="60% - Accent6" xfId="2081" builtinId="52" customBuiltin="1"/>
    <cellStyle name="60% - Accent6 2" xfId="259" xr:uid="{00000000-0005-0000-0000-00005E000000}"/>
    <cellStyle name="60% - Accent6 3" xfId="240" xr:uid="{00000000-0005-0000-0000-00005F000000}"/>
    <cellStyle name="Accent1" xfId="2058" builtinId="29" customBuiltin="1"/>
    <cellStyle name="Accent1 2" xfId="260" xr:uid="{00000000-0005-0000-0000-000061000000}"/>
    <cellStyle name="Accent1 2 2" xfId="310" xr:uid="{00000000-0005-0000-0000-000062000000}"/>
    <cellStyle name="Accent1 2 3" xfId="311" xr:uid="{00000000-0005-0000-0000-000063000000}"/>
    <cellStyle name="Accent1 3" xfId="261" xr:uid="{00000000-0005-0000-0000-000064000000}"/>
    <cellStyle name="Accent1 4" xfId="217" xr:uid="{00000000-0005-0000-0000-000065000000}"/>
    <cellStyle name="Accent2" xfId="2062" builtinId="33" customBuiltin="1"/>
    <cellStyle name="Accent2 2" xfId="262" xr:uid="{00000000-0005-0000-0000-000067000000}"/>
    <cellStyle name="Accent2 2 2" xfId="312" xr:uid="{00000000-0005-0000-0000-000068000000}"/>
    <cellStyle name="Accent2 2 3" xfId="313" xr:uid="{00000000-0005-0000-0000-000069000000}"/>
    <cellStyle name="Accent2 3" xfId="263" xr:uid="{00000000-0005-0000-0000-00006A000000}"/>
    <cellStyle name="Accent2 4" xfId="221" xr:uid="{00000000-0005-0000-0000-00006B000000}"/>
    <cellStyle name="Accent3" xfId="2066" builtinId="37" customBuiltin="1"/>
    <cellStyle name="Accent3 2" xfId="264" xr:uid="{00000000-0005-0000-0000-00006D000000}"/>
    <cellStyle name="Accent3 2 2" xfId="314" xr:uid="{00000000-0005-0000-0000-00006E000000}"/>
    <cellStyle name="Accent3 2 3" xfId="315" xr:uid="{00000000-0005-0000-0000-00006F000000}"/>
    <cellStyle name="Accent3 3" xfId="265" xr:uid="{00000000-0005-0000-0000-000070000000}"/>
    <cellStyle name="Accent3 4" xfId="225" xr:uid="{00000000-0005-0000-0000-000071000000}"/>
    <cellStyle name="Accent4" xfId="2070" builtinId="41" customBuiltin="1"/>
    <cellStyle name="Accent4 2" xfId="266" xr:uid="{00000000-0005-0000-0000-000073000000}"/>
    <cellStyle name="Accent4 2 2" xfId="316" xr:uid="{00000000-0005-0000-0000-000074000000}"/>
    <cellStyle name="Accent4 2 3" xfId="317" xr:uid="{00000000-0005-0000-0000-000075000000}"/>
    <cellStyle name="Accent4 3" xfId="267" xr:uid="{00000000-0005-0000-0000-000076000000}"/>
    <cellStyle name="Accent4 4" xfId="229" xr:uid="{00000000-0005-0000-0000-000077000000}"/>
    <cellStyle name="Accent5" xfId="2074" builtinId="45" customBuiltin="1"/>
    <cellStyle name="Accent5 2" xfId="268" xr:uid="{00000000-0005-0000-0000-000079000000}"/>
    <cellStyle name="Accent5 2 2" xfId="318" xr:uid="{00000000-0005-0000-0000-00007A000000}"/>
    <cellStyle name="Accent5 2 3" xfId="319" xr:uid="{00000000-0005-0000-0000-00007B000000}"/>
    <cellStyle name="Accent5 3" xfId="269" xr:uid="{00000000-0005-0000-0000-00007C000000}"/>
    <cellStyle name="Accent5 4" xfId="233" xr:uid="{00000000-0005-0000-0000-00007D000000}"/>
    <cellStyle name="Accent6" xfId="2078" builtinId="49" customBuiltin="1"/>
    <cellStyle name="Accent6 2" xfId="270" xr:uid="{00000000-0005-0000-0000-00007F000000}"/>
    <cellStyle name="Accent6 2 2" xfId="320" xr:uid="{00000000-0005-0000-0000-000080000000}"/>
    <cellStyle name="Accent6 2 3" xfId="321" xr:uid="{00000000-0005-0000-0000-000081000000}"/>
    <cellStyle name="Accent6 3" xfId="271" xr:uid="{00000000-0005-0000-0000-000082000000}"/>
    <cellStyle name="Accent6 4" xfId="237" xr:uid="{00000000-0005-0000-0000-000083000000}"/>
    <cellStyle name="Avertissement 2" xfId="322" xr:uid="{00000000-0005-0000-0000-000084000000}"/>
    <cellStyle name="Bad" xfId="2048" builtinId="27" customBuiltin="1"/>
    <cellStyle name="Bad 2" xfId="272" xr:uid="{00000000-0005-0000-0000-000086000000}"/>
    <cellStyle name="Bad 3" xfId="207" xr:uid="{00000000-0005-0000-0000-000087000000}"/>
    <cellStyle name="Calcul 2" xfId="323" xr:uid="{00000000-0005-0000-0000-000088000000}"/>
    <cellStyle name="Calculation" xfId="2052" builtinId="22" customBuiltin="1"/>
    <cellStyle name="Calculation 2" xfId="273" xr:uid="{00000000-0005-0000-0000-00008A000000}"/>
    <cellStyle name="Calculation 3" xfId="211" xr:uid="{00000000-0005-0000-0000-00008B000000}"/>
    <cellStyle name="Cellule liée 2" xfId="324" xr:uid="{00000000-0005-0000-0000-00008C000000}"/>
    <cellStyle name="Check Cell" xfId="2054" builtinId="23" customBuiltin="1"/>
    <cellStyle name="Check Cell 2" xfId="274" xr:uid="{00000000-0005-0000-0000-00008E000000}"/>
    <cellStyle name="Check Cell 3" xfId="213" xr:uid="{00000000-0005-0000-0000-00008F000000}"/>
    <cellStyle name="Commentaire 2" xfId="325" xr:uid="{00000000-0005-0000-0000-000090000000}"/>
    <cellStyle name="Commentaire 2 2" xfId="417" xr:uid="{00000000-0005-0000-0000-000091000000}"/>
    <cellStyle name="Currency 2" xfId="360" xr:uid="{00000000-0005-0000-0000-000092000000}"/>
    <cellStyle name="Currency 3" xfId="466" xr:uid="{00000000-0005-0000-0000-000093000000}"/>
    <cellStyle name="Currency 4" xfId="499" xr:uid="{00000000-0005-0000-0000-000094000000}"/>
    <cellStyle name="Entrée 2" xfId="326" xr:uid="{00000000-0005-0000-0000-000095000000}"/>
    <cellStyle name="Explanatory Text" xfId="2056" builtinId="53" customBuiltin="1"/>
    <cellStyle name="Explanatory Text 2" xfId="275" xr:uid="{00000000-0005-0000-0000-000097000000}"/>
    <cellStyle name="Explanatory Text 3" xfId="215" xr:uid="{00000000-0005-0000-0000-000098000000}"/>
    <cellStyle name="Good" xfId="2047" builtinId="26" customBuiltin="1"/>
    <cellStyle name="Good 2" xfId="276" xr:uid="{00000000-0005-0000-0000-00009A000000}"/>
    <cellStyle name="Good 3" xfId="206" xr:uid="{00000000-0005-0000-0000-00009B000000}"/>
    <cellStyle name="Heading 1" xfId="2043" builtinId="16" customBuiltin="1"/>
    <cellStyle name="Heading 1 2" xfId="277" xr:uid="{00000000-0005-0000-0000-00009D000000}"/>
    <cellStyle name="Heading 1 3" xfId="202" xr:uid="{00000000-0005-0000-0000-00009E000000}"/>
    <cellStyle name="Heading 2" xfId="2044" builtinId="17" customBuiltin="1"/>
    <cellStyle name="Heading 2 2" xfId="278" xr:uid="{00000000-0005-0000-0000-0000A0000000}"/>
    <cellStyle name="Heading 2 3" xfId="203" xr:uid="{00000000-0005-0000-0000-0000A1000000}"/>
    <cellStyle name="Heading 3" xfId="2045" builtinId="18" customBuiltin="1"/>
    <cellStyle name="Heading 3 2" xfId="279" xr:uid="{00000000-0005-0000-0000-0000A3000000}"/>
    <cellStyle name="Heading 3 3" xfId="204" xr:uid="{00000000-0005-0000-0000-0000A4000000}"/>
    <cellStyle name="Heading 4" xfId="2046" builtinId="19" customBuiltin="1"/>
    <cellStyle name="Heading 4 2" xfId="280" xr:uid="{00000000-0005-0000-0000-0000A6000000}"/>
    <cellStyle name="Heading 4 3" xfId="205" xr:uid="{00000000-0005-0000-0000-0000A7000000}"/>
    <cellStyle name="Hyperlink" xfId="1" builtinId="8"/>
    <cellStyle name="Hyperlink 2" xfId="419" xr:uid="{00000000-0005-0000-0000-0000A9000000}"/>
    <cellStyle name="Hyperlink 3" xfId="12" xr:uid="{00000000-0005-0000-0000-0000AA000000}"/>
    <cellStyle name="Input" xfId="2050" builtinId="20" customBuiltin="1"/>
    <cellStyle name="Input 2" xfId="281" xr:uid="{00000000-0005-0000-0000-0000AC000000}"/>
    <cellStyle name="Input 3" xfId="209" xr:uid="{00000000-0005-0000-0000-0000AD000000}"/>
    <cellStyle name="Insatisfaisant 2" xfId="327" xr:uid="{00000000-0005-0000-0000-0000AE000000}"/>
    <cellStyle name="Linked Cell" xfId="2053" builtinId="24" customBuiltin="1"/>
    <cellStyle name="Linked Cell 2" xfId="282" xr:uid="{00000000-0005-0000-0000-0000B0000000}"/>
    <cellStyle name="Linked Cell 3" xfId="212" xr:uid="{00000000-0005-0000-0000-0000B1000000}"/>
    <cellStyle name="Neutral" xfId="2049" builtinId="28" customBuiltin="1"/>
    <cellStyle name="Neutral 2" xfId="283" xr:uid="{00000000-0005-0000-0000-0000B3000000}"/>
    <cellStyle name="Neutral 3" xfId="208" xr:uid="{00000000-0005-0000-0000-0000B4000000}"/>
    <cellStyle name="Neutre 2" xfId="328" xr:uid="{00000000-0005-0000-0000-0000B5000000}"/>
    <cellStyle name="Normal" xfId="0" builtinId="0"/>
    <cellStyle name="Normal 10" xfId="24" xr:uid="{00000000-0005-0000-0000-0000B7000000}"/>
    <cellStyle name="Normal 10 10" xfId="935" xr:uid="{00000000-0005-0000-0000-0000B8000000}"/>
    <cellStyle name="Normal 10 11" xfId="1118" xr:uid="{00000000-0005-0000-0000-0000B9000000}"/>
    <cellStyle name="Normal 10 12" xfId="1303" xr:uid="{00000000-0005-0000-0000-0000BA000000}"/>
    <cellStyle name="Normal 10 13" xfId="1491" xr:uid="{00000000-0005-0000-0000-0000BB000000}"/>
    <cellStyle name="Normal 10 14" xfId="1679" xr:uid="{00000000-0005-0000-0000-0000BC000000}"/>
    <cellStyle name="Normal 10 15" xfId="1867" xr:uid="{00000000-0005-0000-0000-0000BD000000}"/>
    <cellStyle name="Normal 10 2" xfId="363" xr:uid="{00000000-0005-0000-0000-0000BE000000}"/>
    <cellStyle name="Normal 10 3" xfId="431" xr:uid="{00000000-0005-0000-0000-0000BF000000}"/>
    <cellStyle name="Normal 10 4" xfId="453" xr:uid="{00000000-0005-0000-0000-0000C0000000}"/>
    <cellStyle name="Normal 10 5" xfId="469" xr:uid="{00000000-0005-0000-0000-0000C1000000}"/>
    <cellStyle name="Normal 10 6" xfId="502" xr:uid="{00000000-0005-0000-0000-0000C2000000}"/>
    <cellStyle name="Normal 10 7" xfId="542" xr:uid="{00000000-0005-0000-0000-0000C3000000}"/>
    <cellStyle name="Normal 10 8" xfId="571" xr:uid="{00000000-0005-0000-0000-0000C4000000}"/>
    <cellStyle name="Normal 10 9" xfId="753" xr:uid="{00000000-0005-0000-0000-0000C5000000}"/>
    <cellStyle name="Normal 100" xfId="114" xr:uid="{00000000-0005-0000-0000-0000C6000000}"/>
    <cellStyle name="Normal 100 2" xfId="660" xr:uid="{00000000-0005-0000-0000-0000C7000000}"/>
    <cellStyle name="Normal 100 3" xfId="842" xr:uid="{00000000-0005-0000-0000-0000C8000000}"/>
    <cellStyle name="Normal 100 4" xfId="1024" xr:uid="{00000000-0005-0000-0000-0000C9000000}"/>
    <cellStyle name="Normal 100 5" xfId="1207" xr:uid="{00000000-0005-0000-0000-0000CA000000}"/>
    <cellStyle name="Normal 100 6" xfId="1392" xr:uid="{00000000-0005-0000-0000-0000CB000000}"/>
    <cellStyle name="Normal 100 7" xfId="1580" xr:uid="{00000000-0005-0000-0000-0000CC000000}"/>
    <cellStyle name="Normal 100 8" xfId="1768" xr:uid="{00000000-0005-0000-0000-0000CD000000}"/>
    <cellStyle name="Normal 100 9" xfId="1956" xr:uid="{00000000-0005-0000-0000-0000CE000000}"/>
    <cellStyle name="Normal 101" xfId="115" xr:uid="{00000000-0005-0000-0000-0000CF000000}"/>
    <cellStyle name="Normal 101 2" xfId="661" xr:uid="{00000000-0005-0000-0000-0000D0000000}"/>
    <cellStyle name="Normal 101 3" xfId="843" xr:uid="{00000000-0005-0000-0000-0000D1000000}"/>
    <cellStyle name="Normal 101 4" xfId="1025" xr:uid="{00000000-0005-0000-0000-0000D2000000}"/>
    <cellStyle name="Normal 101 5" xfId="1208" xr:uid="{00000000-0005-0000-0000-0000D3000000}"/>
    <cellStyle name="Normal 101 6" xfId="1393" xr:uid="{00000000-0005-0000-0000-0000D4000000}"/>
    <cellStyle name="Normal 101 7" xfId="1581" xr:uid="{00000000-0005-0000-0000-0000D5000000}"/>
    <cellStyle name="Normal 101 8" xfId="1769" xr:uid="{00000000-0005-0000-0000-0000D6000000}"/>
    <cellStyle name="Normal 101 9" xfId="1957" xr:uid="{00000000-0005-0000-0000-0000D7000000}"/>
    <cellStyle name="Normal 102" xfId="116" xr:uid="{00000000-0005-0000-0000-0000D8000000}"/>
    <cellStyle name="Normal 102 2" xfId="662" xr:uid="{00000000-0005-0000-0000-0000D9000000}"/>
    <cellStyle name="Normal 102 3" xfId="844" xr:uid="{00000000-0005-0000-0000-0000DA000000}"/>
    <cellStyle name="Normal 102 4" xfId="1026" xr:uid="{00000000-0005-0000-0000-0000DB000000}"/>
    <cellStyle name="Normal 102 5" xfId="1209" xr:uid="{00000000-0005-0000-0000-0000DC000000}"/>
    <cellStyle name="Normal 102 6" xfId="1394" xr:uid="{00000000-0005-0000-0000-0000DD000000}"/>
    <cellStyle name="Normal 102 7" xfId="1582" xr:uid="{00000000-0005-0000-0000-0000DE000000}"/>
    <cellStyle name="Normal 102 8" xfId="1770" xr:uid="{00000000-0005-0000-0000-0000DF000000}"/>
    <cellStyle name="Normal 102 9" xfId="1958" xr:uid="{00000000-0005-0000-0000-0000E0000000}"/>
    <cellStyle name="Normal 103" xfId="117" xr:uid="{00000000-0005-0000-0000-0000E1000000}"/>
    <cellStyle name="Normal 103 2" xfId="663" xr:uid="{00000000-0005-0000-0000-0000E2000000}"/>
    <cellStyle name="Normal 103 3" xfId="845" xr:uid="{00000000-0005-0000-0000-0000E3000000}"/>
    <cellStyle name="Normal 103 4" xfId="1027" xr:uid="{00000000-0005-0000-0000-0000E4000000}"/>
    <cellStyle name="Normal 103 5" xfId="1210" xr:uid="{00000000-0005-0000-0000-0000E5000000}"/>
    <cellStyle name="Normal 103 6" xfId="1395" xr:uid="{00000000-0005-0000-0000-0000E6000000}"/>
    <cellStyle name="Normal 103 7" xfId="1583" xr:uid="{00000000-0005-0000-0000-0000E7000000}"/>
    <cellStyle name="Normal 103 8" xfId="1771" xr:uid="{00000000-0005-0000-0000-0000E8000000}"/>
    <cellStyle name="Normal 103 9" xfId="1959" xr:uid="{00000000-0005-0000-0000-0000E9000000}"/>
    <cellStyle name="Normal 104" xfId="118" xr:uid="{00000000-0005-0000-0000-0000EA000000}"/>
    <cellStyle name="Normal 104 2" xfId="664" xr:uid="{00000000-0005-0000-0000-0000EB000000}"/>
    <cellStyle name="Normal 104 3" xfId="846" xr:uid="{00000000-0005-0000-0000-0000EC000000}"/>
    <cellStyle name="Normal 104 4" xfId="1028" xr:uid="{00000000-0005-0000-0000-0000ED000000}"/>
    <cellStyle name="Normal 104 5" xfId="1211" xr:uid="{00000000-0005-0000-0000-0000EE000000}"/>
    <cellStyle name="Normal 104 6" xfId="1396" xr:uid="{00000000-0005-0000-0000-0000EF000000}"/>
    <cellStyle name="Normal 104 7" xfId="1584" xr:uid="{00000000-0005-0000-0000-0000F0000000}"/>
    <cellStyle name="Normal 104 8" xfId="1772" xr:uid="{00000000-0005-0000-0000-0000F1000000}"/>
    <cellStyle name="Normal 104 9" xfId="1960" xr:uid="{00000000-0005-0000-0000-0000F2000000}"/>
    <cellStyle name="Normal 105" xfId="119" xr:uid="{00000000-0005-0000-0000-0000F3000000}"/>
    <cellStyle name="Normal 105 2" xfId="665" xr:uid="{00000000-0005-0000-0000-0000F4000000}"/>
    <cellStyle name="Normal 105 3" xfId="847" xr:uid="{00000000-0005-0000-0000-0000F5000000}"/>
    <cellStyle name="Normal 105 4" xfId="1029" xr:uid="{00000000-0005-0000-0000-0000F6000000}"/>
    <cellStyle name="Normal 105 5" xfId="1212" xr:uid="{00000000-0005-0000-0000-0000F7000000}"/>
    <cellStyle name="Normal 105 6" xfId="1397" xr:uid="{00000000-0005-0000-0000-0000F8000000}"/>
    <cellStyle name="Normal 105 7" xfId="1585" xr:uid="{00000000-0005-0000-0000-0000F9000000}"/>
    <cellStyle name="Normal 105 8" xfId="1773" xr:uid="{00000000-0005-0000-0000-0000FA000000}"/>
    <cellStyle name="Normal 105 9" xfId="1961" xr:uid="{00000000-0005-0000-0000-0000FB000000}"/>
    <cellStyle name="Normal 106" xfId="120" xr:uid="{00000000-0005-0000-0000-0000FC000000}"/>
    <cellStyle name="Normal 106 2" xfId="666" xr:uid="{00000000-0005-0000-0000-0000FD000000}"/>
    <cellStyle name="Normal 106 3" xfId="848" xr:uid="{00000000-0005-0000-0000-0000FE000000}"/>
    <cellStyle name="Normal 106 4" xfId="1030" xr:uid="{00000000-0005-0000-0000-0000FF000000}"/>
    <cellStyle name="Normal 106 5" xfId="1213" xr:uid="{00000000-0005-0000-0000-000000010000}"/>
    <cellStyle name="Normal 106 6" xfId="1398" xr:uid="{00000000-0005-0000-0000-000001010000}"/>
    <cellStyle name="Normal 106 7" xfId="1586" xr:uid="{00000000-0005-0000-0000-000002010000}"/>
    <cellStyle name="Normal 106 8" xfId="1774" xr:uid="{00000000-0005-0000-0000-000003010000}"/>
    <cellStyle name="Normal 106 9" xfId="1962" xr:uid="{00000000-0005-0000-0000-000004010000}"/>
    <cellStyle name="Normal 107" xfId="121" xr:uid="{00000000-0005-0000-0000-000005010000}"/>
    <cellStyle name="Normal 107 2" xfId="667" xr:uid="{00000000-0005-0000-0000-000006010000}"/>
    <cellStyle name="Normal 107 3" xfId="849" xr:uid="{00000000-0005-0000-0000-000007010000}"/>
    <cellStyle name="Normal 107 4" xfId="1031" xr:uid="{00000000-0005-0000-0000-000008010000}"/>
    <cellStyle name="Normal 107 5" xfId="1214" xr:uid="{00000000-0005-0000-0000-000009010000}"/>
    <cellStyle name="Normal 107 6" xfId="1399" xr:uid="{00000000-0005-0000-0000-00000A010000}"/>
    <cellStyle name="Normal 107 7" xfId="1587" xr:uid="{00000000-0005-0000-0000-00000B010000}"/>
    <cellStyle name="Normal 107 8" xfId="1775" xr:uid="{00000000-0005-0000-0000-00000C010000}"/>
    <cellStyle name="Normal 107 9" xfId="1963" xr:uid="{00000000-0005-0000-0000-00000D010000}"/>
    <cellStyle name="Normal 108" xfId="122" xr:uid="{00000000-0005-0000-0000-00000E010000}"/>
    <cellStyle name="Normal 108 2" xfId="668" xr:uid="{00000000-0005-0000-0000-00000F010000}"/>
    <cellStyle name="Normal 108 3" xfId="850" xr:uid="{00000000-0005-0000-0000-000010010000}"/>
    <cellStyle name="Normal 108 4" xfId="1032" xr:uid="{00000000-0005-0000-0000-000011010000}"/>
    <cellStyle name="Normal 108 5" xfId="1215" xr:uid="{00000000-0005-0000-0000-000012010000}"/>
    <cellStyle name="Normal 108 6" xfId="1400" xr:uid="{00000000-0005-0000-0000-000013010000}"/>
    <cellStyle name="Normal 108 7" xfId="1588" xr:uid="{00000000-0005-0000-0000-000014010000}"/>
    <cellStyle name="Normal 108 8" xfId="1776" xr:uid="{00000000-0005-0000-0000-000015010000}"/>
    <cellStyle name="Normal 108 9" xfId="1964" xr:uid="{00000000-0005-0000-0000-000016010000}"/>
    <cellStyle name="Normal 109" xfId="123" xr:uid="{00000000-0005-0000-0000-000017010000}"/>
    <cellStyle name="Normal 109 2" xfId="669" xr:uid="{00000000-0005-0000-0000-000018010000}"/>
    <cellStyle name="Normal 109 3" xfId="851" xr:uid="{00000000-0005-0000-0000-000019010000}"/>
    <cellStyle name="Normal 109 4" xfId="1033" xr:uid="{00000000-0005-0000-0000-00001A010000}"/>
    <cellStyle name="Normal 109 5" xfId="1216" xr:uid="{00000000-0005-0000-0000-00001B010000}"/>
    <cellStyle name="Normal 109 6" xfId="1401" xr:uid="{00000000-0005-0000-0000-00001C010000}"/>
    <cellStyle name="Normal 109 7" xfId="1589" xr:uid="{00000000-0005-0000-0000-00001D010000}"/>
    <cellStyle name="Normal 109 8" xfId="1777" xr:uid="{00000000-0005-0000-0000-00001E010000}"/>
    <cellStyle name="Normal 109 9" xfId="1965" xr:uid="{00000000-0005-0000-0000-00001F010000}"/>
    <cellStyle name="Normal 11" xfId="25" xr:uid="{00000000-0005-0000-0000-000020010000}"/>
    <cellStyle name="Normal 11 10" xfId="936" xr:uid="{00000000-0005-0000-0000-000021010000}"/>
    <cellStyle name="Normal 11 11" xfId="1119" xr:uid="{00000000-0005-0000-0000-000022010000}"/>
    <cellStyle name="Normal 11 12" xfId="1304" xr:uid="{00000000-0005-0000-0000-000023010000}"/>
    <cellStyle name="Normal 11 13" xfId="1492" xr:uid="{00000000-0005-0000-0000-000024010000}"/>
    <cellStyle name="Normal 11 14" xfId="1680" xr:uid="{00000000-0005-0000-0000-000025010000}"/>
    <cellStyle name="Normal 11 15" xfId="1868" xr:uid="{00000000-0005-0000-0000-000026010000}"/>
    <cellStyle name="Normal 11 2" xfId="372" xr:uid="{00000000-0005-0000-0000-000027010000}"/>
    <cellStyle name="Normal 11 3" xfId="432" xr:uid="{00000000-0005-0000-0000-000028010000}"/>
    <cellStyle name="Normal 11 4" xfId="454" xr:uid="{00000000-0005-0000-0000-000029010000}"/>
    <cellStyle name="Normal 11 5" xfId="477" xr:uid="{00000000-0005-0000-0000-00002A010000}"/>
    <cellStyle name="Normal 11 6" xfId="510" xr:uid="{00000000-0005-0000-0000-00002B010000}"/>
    <cellStyle name="Normal 11 7" xfId="543" xr:uid="{00000000-0005-0000-0000-00002C010000}"/>
    <cellStyle name="Normal 11 8" xfId="572" xr:uid="{00000000-0005-0000-0000-00002D010000}"/>
    <cellStyle name="Normal 11 9" xfId="754" xr:uid="{00000000-0005-0000-0000-00002E010000}"/>
    <cellStyle name="Normal 110" xfId="124" xr:uid="{00000000-0005-0000-0000-00002F010000}"/>
    <cellStyle name="Normal 110 2" xfId="670" xr:uid="{00000000-0005-0000-0000-000030010000}"/>
    <cellStyle name="Normal 110 3" xfId="852" xr:uid="{00000000-0005-0000-0000-000031010000}"/>
    <cellStyle name="Normal 110 4" xfId="1034" xr:uid="{00000000-0005-0000-0000-000032010000}"/>
    <cellStyle name="Normal 110 5" xfId="1217" xr:uid="{00000000-0005-0000-0000-000033010000}"/>
    <cellStyle name="Normal 110 6" xfId="1402" xr:uid="{00000000-0005-0000-0000-000034010000}"/>
    <cellStyle name="Normal 110 7" xfId="1590" xr:uid="{00000000-0005-0000-0000-000035010000}"/>
    <cellStyle name="Normal 110 8" xfId="1778" xr:uid="{00000000-0005-0000-0000-000036010000}"/>
    <cellStyle name="Normal 110 9" xfId="1966" xr:uid="{00000000-0005-0000-0000-000037010000}"/>
    <cellStyle name="Normal 111" xfId="125" xr:uid="{00000000-0005-0000-0000-000038010000}"/>
    <cellStyle name="Normal 111 2" xfId="671" xr:uid="{00000000-0005-0000-0000-000039010000}"/>
    <cellStyle name="Normal 111 3" xfId="853" xr:uid="{00000000-0005-0000-0000-00003A010000}"/>
    <cellStyle name="Normal 111 4" xfId="1035" xr:uid="{00000000-0005-0000-0000-00003B010000}"/>
    <cellStyle name="Normal 111 5" xfId="1218" xr:uid="{00000000-0005-0000-0000-00003C010000}"/>
    <cellStyle name="Normal 111 6" xfId="1403" xr:uid="{00000000-0005-0000-0000-00003D010000}"/>
    <cellStyle name="Normal 111 7" xfId="1591" xr:uid="{00000000-0005-0000-0000-00003E010000}"/>
    <cellStyle name="Normal 111 8" xfId="1779" xr:uid="{00000000-0005-0000-0000-00003F010000}"/>
    <cellStyle name="Normal 111 9" xfId="1967" xr:uid="{00000000-0005-0000-0000-000040010000}"/>
    <cellStyle name="Normal 112" xfId="126" xr:uid="{00000000-0005-0000-0000-000041010000}"/>
    <cellStyle name="Normal 112 2" xfId="672" xr:uid="{00000000-0005-0000-0000-000042010000}"/>
    <cellStyle name="Normal 112 3" xfId="854" xr:uid="{00000000-0005-0000-0000-000043010000}"/>
    <cellStyle name="Normal 112 4" xfId="1036" xr:uid="{00000000-0005-0000-0000-000044010000}"/>
    <cellStyle name="Normal 112 5" xfId="1219" xr:uid="{00000000-0005-0000-0000-000045010000}"/>
    <cellStyle name="Normal 112 6" xfId="1404" xr:uid="{00000000-0005-0000-0000-000046010000}"/>
    <cellStyle name="Normal 112 7" xfId="1592" xr:uid="{00000000-0005-0000-0000-000047010000}"/>
    <cellStyle name="Normal 112 8" xfId="1780" xr:uid="{00000000-0005-0000-0000-000048010000}"/>
    <cellStyle name="Normal 112 9" xfId="1968" xr:uid="{00000000-0005-0000-0000-000049010000}"/>
    <cellStyle name="Normal 113" xfId="127" xr:uid="{00000000-0005-0000-0000-00004A010000}"/>
    <cellStyle name="Normal 113 2" xfId="673" xr:uid="{00000000-0005-0000-0000-00004B010000}"/>
    <cellStyle name="Normal 113 3" xfId="855" xr:uid="{00000000-0005-0000-0000-00004C010000}"/>
    <cellStyle name="Normal 113 4" xfId="1037" xr:uid="{00000000-0005-0000-0000-00004D010000}"/>
    <cellStyle name="Normal 113 5" xfId="1220" xr:uid="{00000000-0005-0000-0000-00004E010000}"/>
    <cellStyle name="Normal 113 6" xfId="1405" xr:uid="{00000000-0005-0000-0000-00004F010000}"/>
    <cellStyle name="Normal 113 7" xfId="1593" xr:uid="{00000000-0005-0000-0000-000050010000}"/>
    <cellStyle name="Normal 113 8" xfId="1781" xr:uid="{00000000-0005-0000-0000-000051010000}"/>
    <cellStyle name="Normal 113 9" xfId="1969" xr:uid="{00000000-0005-0000-0000-000052010000}"/>
    <cellStyle name="Normal 114" xfId="128" xr:uid="{00000000-0005-0000-0000-000053010000}"/>
    <cellStyle name="Normal 114 2" xfId="674" xr:uid="{00000000-0005-0000-0000-000054010000}"/>
    <cellStyle name="Normal 114 3" xfId="856" xr:uid="{00000000-0005-0000-0000-000055010000}"/>
    <cellStyle name="Normal 114 4" xfId="1038" xr:uid="{00000000-0005-0000-0000-000056010000}"/>
    <cellStyle name="Normal 114 5" xfId="1221" xr:uid="{00000000-0005-0000-0000-000057010000}"/>
    <cellStyle name="Normal 114 6" xfId="1406" xr:uid="{00000000-0005-0000-0000-000058010000}"/>
    <cellStyle name="Normal 114 7" xfId="1594" xr:uid="{00000000-0005-0000-0000-000059010000}"/>
    <cellStyle name="Normal 114 8" xfId="1782" xr:uid="{00000000-0005-0000-0000-00005A010000}"/>
    <cellStyle name="Normal 114 9" xfId="1970" xr:uid="{00000000-0005-0000-0000-00005B010000}"/>
    <cellStyle name="Normal 115" xfId="129" xr:uid="{00000000-0005-0000-0000-00005C010000}"/>
    <cellStyle name="Normal 115 2" xfId="675" xr:uid="{00000000-0005-0000-0000-00005D010000}"/>
    <cellStyle name="Normal 115 3" xfId="857" xr:uid="{00000000-0005-0000-0000-00005E010000}"/>
    <cellStyle name="Normal 115 4" xfId="1039" xr:uid="{00000000-0005-0000-0000-00005F010000}"/>
    <cellStyle name="Normal 115 5" xfId="1222" xr:uid="{00000000-0005-0000-0000-000060010000}"/>
    <cellStyle name="Normal 115 6" xfId="1407" xr:uid="{00000000-0005-0000-0000-000061010000}"/>
    <cellStyle name="Normal 115 7" xfId="1595" xr:uid="{00000000-0005-0000-0000-000062010000}"/>
    <cellStyle name="Normal 115 8" xfId="1783" xr:uid="{00000000-0005-0000-0000-000063010000}"/>
    <cellStyle name="Normal 115 9" xfId="1971" xr:uid="{00000000-0005-0000-0000-000064010000}"/>
    <cellStyle name="Normal 116" xfId="130" xr:uid="{00000000-0005-0000-0000-000065010000}"/>
    <cellStyle name="Normal 116 2" xfId="676" xr:uid="{00000000-0005-0000-0000-000066010000}"/>
    <cellStyle name="Normal 116 3" xfId="858" xr:uid="{00000000-0005-0000-0000-000067010000}"/>
    <cellStyle name="Normal 116 4" xfId="1040" xr:uid="{00000000-0005-0000-0000-000068010000}"/>
    <cellStyle name="Normal 116 5" xfId="1223" xr:uid="{00000000-0005-0000-0000-000069010000}"/>
    <cellStyle name="Normal 116 6" xfId="1408" xr:uid="{00000000-0005-0000-0000-00006A010000}"/>
    <cellStyle name="Normal 116 7" xfId="1596" xr:uid="{00000000-0005-0000-0000-00006B010000}"/>
    <cellStyle name="Normal 116 8" xfId="1784" xr:uid="{00000000-0005-0000-0000-00006C010000}"/>
    <cellStyle name="Normal 116 9" xfId="1972" xr:uid="{00000000-0005-0000-0000-00006D010000}"/>
    <cellStyle name="Normal 117" xfId="131" xr:uid="{00000000-0005-0000-0000-00006E010000}"/>
    <cellStyle name="Normal 117 2" xfId="677" xr:uid="{00000000-0005-0000-0000-00006F010000}"/>
    <cellStyle name="Normal 117 3" xfId="859" xr:uid="{00000000-0005-0000-0000-000070010000}"/>
    <cellStyle name="Normal 117 4" xfId="1041" xr:uid="{00000000-0005-0000-0000-000071010000}"/>
    <cellStyle name="Normal 117 5" xfId="1224" xr:uid="{00000000-0005-0000-0000-000072010000}"/>
    <cellStyle name="Normal 117 6" xfId="1409" xr:uid="{00000000-0005-0000-0000-000073010000}"/>
    <cellStyle name="Normal 117 7" xfId="1597" xr:uid="{00000000-0005-0000-0000-000074010000}"/>
    <cellStyle name="Normal 117 8" xfId="1785" xr:uid="{00000000-0005-0000-0000-000075010000}"/>
    <cellStyle name="Normal 117 9" xfId="1973" xr:uid="{00000000-0005-0000-0000-000076010000}"/>
    <cellStyle name="Normal 118" xfId="132" xr:uid="{00000000-0005-0000-0000-000077010000}"/>
    <cellStyle name="Normal 118 2" xfId="678" xr:uid="{00000000-0005-0000-0000-000078010000}"/>
    <cellStyle name="Normal 118 3" xfId="860" xr:uid="{00000000-0005-0000-0000-000079010000}"/>
    <cellStyle name="Normal 118 4" xfId="1042" xr:uid="{00000000-0005-0000-0000-00007A010000}"/>
    <cellStyle name="Normal 118 5" xfId="1225" xr:uid="{00000000-0005-0000-0000-00007B010000}"/>
    <cellStyle name="Normal 118 6" xfId="1410" xr:uid="{00000000-0005-0000-0000-00007C010000}"/>
    <cellStyle name="Normal 118 7" xfId="1598" xr:uid="{00000000-0005-0000-0000-00007D010000}"/>
    <cellStyle name="Normal 118 8" xfId="1786" xr:uid="{00000000-0005-0000-0000-00007E010000}"/>
    <cellStyle name="Normal 118 9" xfId="1974" xr:uid="{00000000-0005-0000-0000-00007F010000}"/>
    <cellStyle name="Normal 119" xfId="133" xr:uid="{00000000-0005-0000-0000-000080010000}"/>
    <cellStyle name="Normal 119 2" xfId="679" xr:uid="{00000000-0005-0000-0000-000081010000}"/>
    <cellStyle name="Normal 119 3" xfId="861" xr:uid="{00000000-0005-0000-0000-000082010000}"/>
    <cellStyle name="Normal 119 4" xfId="1043" xr:uid="{00000000-0005-0000-0000-000083010000}"/>
    <cellStyle name="Normal 119 5" xfId="1226" xr:uid="{00000000-0005-0000-0000-000084010000}"/>
    <cellStyle name="Normal 119 6" xfId="1411" xr:uid="{00000000-0005-0000-0000-000085010000}"/>
    <cellStyle name="Normal 119 7" xfId="1599" xr:uid="{00000000-0005-0000-0000-000086010000}"/>
    <cellStyle name="Normal 119 8" xfId="1787" xr:uid="{00000000-0005-0000-0000-000087010000}"/>
    <cellStyle name="Normal 119 9" xfId="1975" xr:uid="{00000000-0005-0000-0000-000088010000}"/>
    <cellStyle name="Normal 12" xfId="26" xr:uid="{00000000-0005-0000-0000-000089010000}"/>
    <cellStyle name="Normal 12 10" xfId="937" xr:uid="{00000000-0005-0000-0000-00008A010000}"/>
    <cellStyle name="Normal 12 11" xfId="1120" xr:uid="{00000000-0005-0000-0000-00008B010000}"/>
    <cellStyle name="Normal 12 12" xfId="1305" xr:uid="{00000000-0005-0000-0000-00008C010000}"/>
    <cellStyle name="Normal 12 13" xfId="1493" xr:uid="{00000000-0005-0000-0000-00008D010000}"/>
    <cellStyle name="Normal 12 14" xfId="1681" xr:uid="{00000000-0005-0000-0000-00008E010000}"/>
    <cellStyle name="Normal 12 15" xfId="1869" xr:uid="{00000000-0005-0000-0000-00008F010000}"/>
    <cellStyle name="Normal 12 2" xfId="361" xr:uid="{00000000-0005-0000-0000-000090010000}"/>
    <cellStyle name="Normal 12 3" xfId="433" xr:uid="{00000000-0005-0000-0000-000091010000}"/>
    <cellStyle name="Normal 12 4" xfId="455" xr:uid="{00000000-0005-0000-0000-000092010000}"/>
    <cellStyle name="Normal 12 5" xfId="467" xr:uid="{00000000-0005-0000-0000-000093010000}"/>
    <cellStyle name="Normal 12 6" xfId="500" xr:uid="{00000000-0005-0000-0000-000094010000}"/>
    <cellStyle name="Normal 12 7" xfId="544" xr:uid="{00000000-0005-0000-0000-000095010000}"/>
    <cellStyle name="Normal 12 8" xfId="573" xr:uid="{00000000-0005-0000-0000-000096010000}"/>
    <cellStyle name="Normal 12 9" xfId="755" xr:uid="{00000000-0005-0000-0000-000097010000}"/>
    <cellStyle name="Normal 120" xfId="134" xr:uid="{00000000-0005-0000-0000-000098010000}"/>
    <cellStyle name="Normal 120 2" xfId="680" xr:uid="{00000000-0005-0000-0000-000099010000}"/>
    <cellStyle name="Normal 120 3" xfId="862" xr:uid="{00000000-0005-0000-0000-00009A010000}"/>
    <cellStyle name="Normal 120 4" xfId="1044" xr:uid="{00000000-0005-0000-0000-00009B010000}"/>
    <cellStyle name="Normal 120 5" xfId="1227" xr:uid="{00000000-0005-0000-0000-00009C010000}"/>
    <cellStyle name="Normal 120 6" xfId="1412" xr:uid="{00000000-0005-0000-0000-00009D010000}"/>
    <cellStyle name="Normal 120 7" xfId="1600" xr:uid="{00000000-0005-0000-0000-00009E010000}"/>
    <cellStyle name="Normal 120 8" xfId="1788" xr:uid="{00000000-0005-0000-0000-00009F010000}"/>
    <cellStyle name="Normal 120 9" xfId="1976" xr:uid="{00000000-0005-0000-0000-0000A0010000}"/>
    <cellStyle name="Normal 121" xfId="135" xr:uid="{00000000-0005-0000-0000-0000A1010000}"/>
    <cellStyle name="Normal 121 2" xfId="681" xr:uid="{00000000-0005-0000-0000-0000A2010000}"/>
    <cellStyle name="Normal 121 3" xfId="863" xr:uid="{00000000-0005-0000-0000-0000A3010000}"/>
    <cellStyle name="Normal 121 4" xfId="1045" xr:uid="{00000000-0005-0000-0000-0000A4010000}"/>
    <cellStyle name="Normal 121 5" xfId="1228" xr:uid="{00000000-0005-0000-0000-0000A5010000}"/>
    <cellStyle name="Normal 121 6" xfId="1413" xr:uid="{00000000-0005-0000-0000-0000A6010000}"/>
    <cellStyle name="Normal 121 7" xfId="1601" xr:uid="{00000000-0005-0000-0000-0000A7010000}"/>
    <cellStyle name="Normal 121 8" xfId="1789" xr:uid="{00000000-0005-0000-0000-0000A8010000}"/>
    <cellStyle name="Normal 121 9" xfId="1977" xr:uid="{00000000-0005-0000-0000-0000A9010000}"/>
    <cellStyle name="Normal 122" xfId="136" xr:uid="{00000000-0005-0000-0000-0000AA010000}"/>
    <cellStyle name="Normal 122 2" xfId="682" xr:uid="{00000000-0005-0000-0000-0000AB010000}"/>
    <cellStyle name="Normal 122 3" xfId="864" xr:uid="{00000000-0005-0000-0000-0000AC010000}"/>
    <cellStyle name="Normal 122 4" xfId="1046" xr:uid="{00000000-0005-0000-0000-0000AD010000}"/>
    <cellStyle name="Normal 122 5" xfId="1229" xr:uid="{00000000-0005-0000-0000-0000AE010000}"/>
    <cellStyle name="Normal 122 6" xfId="1414" xr:uid="{00000000-0005-0000-0000-0000AF010000}"/>
    <cellStyle name="Normal 122 7" xfId="1602" xr:uid="{00000000-0005-0000-0000-0000B0010000}"/>
    <cellStyle name="Normal 122 8" xfId="1790" xr:uid="{00000000-0005-0000-0000-0000B1010000}"/>
    <cellStyle name="Normal 122 9" xfId="1978" xr:uid="{00000000-0005-0000-0000-0000B2010000}"/>
    <cellStyle name="Normal 123" xfId="137" xr:uid="{00000000-0005-0000-0000-0000B3010000}"/>
    <cellStyle name="Normal 123 2" xfId="683" xr:uid="{00000000-0005-0000-0000-0000B4010000}"/>
    <cellStyle name="Normal 123 3" xfId="865" xr:uid="{00000000-0005-0000-0000-0000B5010000}"/>
    <cellStyle name="Normal 123 4" xfId="1047" xr:uid="{00000000-0005-0000-0000-0000B6010000}"/>
    <cellStyle name="Normal 123 5" xfId="1230" xr:uid="{00000000-0005-0000-0000-0000B7010000}"/>
    <cellStyle name="Normal 123 6" xfId="1415" xr:uid="{00000000-0005-0000-0000-0000B8010000}"/>
    <cellStyle name="Normal 123 7" xfId="1603" xr:uid="{00000000-0005-0000-0000-0000B9010000}"/>
    <cellStyle name="Normal 123 8" xfId="1791" xr:uid="{00000000-0005-0000-0000-0000BA010000}"/>
    <cellStyle name="Normal 123 9" xfId="1979" xr:uid="{00000000-0005-0000-0000-0000BB010000}"/>
    <cellStyle name="Normal 124" xfId="138" xr:uid="{00000000-0005-0000-0000-0000BC010000}"/>
    <cellStyle name="Normal 124 2" xfId="684" xr:uid="{00000000-0005-0000-0000-0000BD010000}"/>
    <cellStyle name="Normal 124 3" xfId="866" xr:uid="{00000000-0005-0000-0000-0000BE010000}"/>
    <cellStyle name="Normal 124 4" xfId="1048" xr:uid="{00000000-0005-0000-0000-0000BF010000}"/>
    <cellStyle name="Normal 124 5" xfId="1231" xr:uid="{00000000-0005-0000-0000-0000C0010000}"/>
    <cellStyle name="Normal 124 6" xfId="1416" xr:uid="{00000000-0005-0000-0000-0000C1010000}"/>
    <cellStyle name="Normal 124 7" xfId="1604" xr:uid="{00000000-0005-0000-0000-0000C2010000}"/>
    <cellStyle name="Normal 124 8" xfId="1792" xr:uid="{00000000-0005-0000-0000-0000C3010000}"/>
    <cellStyle name="Normal 124 9" xfId="1980" xr:uid="{00000000-0005-0000-0000-0000C4010000}"/>
    <cellStyle name="Normal 125" xfId="139" xr:uid="{00000000-0005-0000-0000-0000C5010000}"/>
    <cellStyle name="Normal 125 2" xfId="685" xr:uid="{00000000-0005-0000-0000-0000C6010000}"/>
    <cellStyle name="Normal 125 3" xfId="867" xr:uid="{00000000-0005-0000-0000-0000C7010000}"/>
    <cellStyle name="Normal 125 4" xfId="1049" xr:uid="{00000000-0005-0000-0000-0000C8010000}"/>
    <cellStyle name="Normal 125 5" xfId="1232" xr:uid="{00000000-0005-0000-0000-0000C9010000}"/>
    <cellStyle name="Normal 125 6" xfId="1417" xr:uid="{00000000-0005-0000-0000-0000CA010000}"/>
    <cellStyle name="Normal 125 7" xfId="1605" xr:uid="{00000000-0005-0000-0000-0000CB010000}"/>
    <cellStyle name="Normal 125 8" xfId="1793" xr:uid="{00000000-0005-0000-0000-0000CC010000}"/>
    <cellStyle name="Normal 125 9" xfId="1981" xr:uid="{00000000-0005-0000-0000-0000CD010000}"/>
    <cellStyle name="Normal 126" xfId="140" xr:uid="{00000000-0005-0000-0000-0000CE010000}"/>
    <cellStyle name="Normal 126 2" xfId="686" xr:uid="{00000000-0005-0000-0000-0000CF010000}"/>
    <cellStyle name="Normal 126 3" xfId="868" xr:uid="{00000000-0005-0000-0000-0000D0010000}"/>
    <cellStyle name="Normal 126 4" xfId="1050" xr:uid="{00000000-0005-0000-0000-0000D1010000}"/>
    <cellStyle name="Normal 126 5" xfId="1233" xr:uid="{00000000-0005-0000-0000-0000D2010000}"/>
    <cellStyle name="Normal 126 6" xfId="1418" xr:uid="{00000000-0005-0000-0000-0000D3010000}"/>
    <cellStyle name="Normal 126 7" xfId="1606" xr:uid="{00000000-0005-0000-0000-0000D4010000}"/>
    <cellStyle name="Normal 126 8" xfId="1794" xr:uid="{00000000-0005-0000-0000-0000D5010000}"/>
    <cellStyle name="Normal 126 9" xfId="1982" xr:uid="{00000000-0005-0000-0000-0000D6010000}"/>
    <cellStyle name="Normal 127" xfId="141" xr:uid="{00000000-0005-0000-0000-0000D7010000}"/>
    <cellStyle name="Normal 127 2" xfId="687" xr:uid="{00000000-0005-0000-0000-0000D8010000}"/>
    <cellStyle name="Normal 127 3" xfId="869" xr:uid="{00000000-0005-0000-0000-0000D9010000}"/>
    <cellStyle name="Normal 127 4" xfId="1051" xr:uid="{00000000-0005-0000-0000-0000DA010000}"/>
    <cellStyle name="Normal 127 5" xfId="1234" xr:uid="{00000000-0005-0000-0000-0000DB010000}"/>
    <cellStyle name="Normal 127 6" xfId="1419" xr:uid="{00000000-0005-0000-0000-0000DC010000}"/>
    <cellStyle name="Normal 127 7" xfId="1607" xr:uid="{00000000-0005-0000-0000-0000DD010000}"/>
    <cellStyle name="Normal 127 8" xfId="1795" xr:uid="{00000000-0005-0000-0000-0000DE010000}"/>
    <cellStyle name="Normal 127 9" xfId="1983" xr:uid="{00000000-0005-0000-0000-0000DF010000}"/>
    <cellStyle name="Normal 128" xfId="142" xr:uid="{00000000-0005-0000-0000-0000E0010000}"/>
    <cellStyle name="Normal 128 2" xfId="688" xr:uid="{00000000-0005-0000-0000-0000E1010000}"/>
    <cellStyle name="Normal 128 3" xfId="870" xr:uid="{00000000-0005-0000-0000-0000E2010000}"/>
    <cellStyle name="Normal 128 4" xfId="1052" xr:uid="{00000000-0005-0000-0000-0000E3010000}"/>
    <cellStyle name="Normal 128 5" xfId="1235" xr:uid="{00000000-0005-0000-0000-0000E4010000}"/>
    <cellStyle name="Normal 128 6" xfId="1420" xr:uid="{00000000-0005-0000-0000-0000E5010000}"/>
    <cellStyle name="Normal 128 7" xfId="1608" xr:uid="{00000000-0005-0000-0000-0000E6010000}"/>
    <cellStyle name="Normal 128 8" xfId="1796" xr:uid="{00000000-0005-0000-0000-0000E7010000}"/>
    <cellStyle name="Normal 128 9" xfId="1984" xr:uid="{00000000-0005-0000-0000-0000E8010000}"/>
    <cellStyle name="Normal 129" xfId="143" xr:uid="{00000000-0005-0000-0000-0000E9010000}"/>
    <cellStyle name="Normal 129 2" xfId="689" xr:uid="{00000000-0005-0000-0000-0000EA010000}"/>
    <cellStyle name="Normal 129 3" xfId="871" xr:uid="{00000000-0005-0000-0000-0000EB010000}"/>
    <cellStyle name="Normal 129 4" xfId="1053" xr:uid="{00000000-0005-0000-0000-0000EC010000}"/>
    <cellStyle name="Normal 129 5" xfId="1236" xr:uid="{00000000-0005-0000-0000-0000ED010000}"/>
    <cellStyle name="Normal 129 6" xfId="1421" xr:uid="{00000000-0005-0000-0000-0000EE010000}"/>
    <cellStyle name="Normal 129 7" xfId="1609" xr:uid="{00000000-0005-0000-0000-0000EF010000}"/>
    <cellStyle name="Normal 129 8" xfId="1797" xr:uid="{00000000-0005-0000-0000-0000F0010000}"/>
    <cellStyle name="Normal 129 9" xfId="1985" xr:uid="{00000000-0005-0000-0000-0000F1010000}"/>
    <cellStyle name="Normal 13" xfId="27" xr:uid="{00000000-0005-0000-0000-0000F2010000}"/>
    <cellStyle name="Normal 13 10" xfId="938" xr:uid="{00000000-0005-0000-0000-0000F3010000}"/>
    <cellStyle name="Normal 13 11" xfId="1121" xr:uid="{00000000-0005-0000-0000-0000F4010000}"/>
    <cellStyle name="Normal 13 12" xfId="1306" xr:uid="{00000000-0005-0000-0000-0000F5010000}"/>
    <cellStyle name="Normal 13 13" xfId="1494" xr:uid="{00000000-0005-0000-0000-0000F6010000}"/>
    <cellStyle name="Normal 13 14" xfId="1682" xr:uid="{00000000-0005-0000-0000-0000F7010000}"/>
    <cellStyle name="Normal 13 15" xfId="1870" xr:uid="{00000000-0005-0000-0000-0000F8010000}"/>
    <cellStyle name="Normal 13 2" xfId="362" xr:uid="{00000000-0005-0000-0000-0000F9010000}"/>
    <cellStyle name="Normal 13 3" xfId="434" xr:uid="{00000000-0005-0000-0000-0000FA010000}"/>
    <cellStyle name="Normal 13 4" xfId="456" xr:uid="{00000000-0005-0000-0000-0000FB010000}"/>
    <cellStyle name="Normal 13 5" xfId="468" xr:uid="{00000000-0005-0000-0000-0000FC010000}"/>
    <cellStyle name="Normal 13 6" xfId="501" xr:uid="{00000000-0005-0000-0000-0000FD010000}"/>
    <cellStyle name="Normal 13 7" xfId="545" xr:uid="{00000000-0005-0000-0000-0000FE010000}"/>
    <cellStyle name="Normal 13 8" xfId="574" xr:uid="{00000000-0005-0000-0000-0000FF010000}"/>
    <cellStyle name="Normal 13 9" xfId="756" xr:uid="{00000000-0005-0000-0000-000000020000}"/>
    <cellStyle name="Normal 130" xfId="144" xr:uid="{00000000-0005-0000-0000-000001020000}"/>
    <cellStyle name="Normal 130 2" xfId="690" xr:uid="{00000000-0005-0000-0000-000002020000}"/>
    <cellStyle name="Normal 130 3" xfId="872" xr:uid="{00000000-0005-0000-0000-000003020000}"/>
    <cellStyle name="Normal 130 4" xfId="1054" xr:uid="{00000000-0005-0000-0000-000004020000}"/>
    <cellStyle name="Normal 130 5" xfId="1237" xr:uid="{00000000-0005-0000-0000-000005020000}"/>
    <cellStyle name="Normal 130 6" xfId="1422" xr:uid="{00000000-0005-0000-0000-000006020000}"/>
    <cellStyle name="Normal 130 7" xfId="1610" xr:uid="{00000000-0005-0000-0000-000007020000}"/>
    <cellStyle name="Normal 130 8" xfId="1798" xr:uid="{00000000-0005-0000-0000-000008020000}"/>
    <cellStyle name="Normal 130 9" xfId="1986" xr:uid="{00000000-0005-0000-0000-000009020000}"/>
    <cellStyle name="Normal 131" xfId="146" xr:uid="{00000000-0005-0000-0000-00000A020000}"/>
    <cellStyle name="Normal 131 2" xfId="691" xr:uid="{00000000-0005-0000-0000-00000B020000}"/>
    <cellStyle name="Normal 131 3" xfId="873" xr:uid="{00000000-0005-0000-0000-00000C020000}"/>
    <cellStyle name="Normal 131 4" xfId="1055" xr:uid="{00000000-0005-0000-0000-00000D020000}"/>
    <cellStyle name="Normal 131 5" xfId="1238" xr:uid="{00000000-0005-0000-0000-00000E020000}"/>
    <cellStyle name="Normal 131 6" xfId="1423" xr:uid="{00000000-0005-0000-0000-00000F020000}"/>
    <cellStyle name="Normal 131 7" xfId="1611" xr:uid="{00000000-0005-0000-0000-000010020000}"/>
    <cellStyle name="Normal 131 8" xfId="1799" xr:uid="{00000000-0005-0000-0000-000011020000}"/>
    <cellStyle name="Normal 131 9" xfId="1987" xr:uid="{00000000-0005-0000-0000-000012020000}"/>
    <cellStyle name="Normal 132" xfId="147" xr:uid="{00000000-0005-0000-0000-000013020000}"/>
    <cellStyle name="Normal 132 2" xfId="692" xr:uid="{00000000-0005-0000-0000-000014020000}"/>
    <cellStyle name="Normal 132 3" xfId="874" xr:uid="{00000000-0005-0000-0000-000015020000}"/>
    <cellStyle name="Normal 132 4" xfId="1056" xr:uid="{00000000-0005-0000-0000-000016020000}"/>
    <cellStyle name="Normal 132 5" xfId="1239" xr:uid="{00000000-0005-0000-0000-000017020000}"/>
    <cellStyle name="Normal 132 6" xfId="1424" xr:uid="{00000000-0005-0000-0000-000018020000}"/>
    <cellStyle name="Normal 132 7" xfId="1612" xr:uid="{00000000-0005-0000-0000-000019020000}"/>
    <cellStyle name="Normal 132 8" xfId="1800" xr:uid="{00000000-0005-0000-0000-00001A020000}"/>
    <cellStyle name="Normal 132 9" xfId="1988" xr:uid="{00000000-0005-0000-0000-00001B020000}"/>
    <cellStyle name="Normal 133" xfId="148" xr:uid="{00000000-0005-0000-0000-00001C020000}"/>
    <cellStyle name="Normal 133 2" xfId="693" xr:uid="{00000000-0005-0000-0000-00001D020000}"/>
    <cellStyle name="Normal 133 3" xfId="875" xr:uid="{00000000-0005-0000-0000-00001E020000}"/>
    <cellStyle name="Normal 133 4" xfId="1057" xr:uid="{00000000-0005-0000-0000-00001F020000}"/>
    <cellStyle name="Normal 133 5" xfId="1240" xr:uid="{00000000-0005-0000-0000-000020020000}"/>
    <cellStyle name="Normal 133 6" xfId="1425" xr:uid="{00000000-0005-0000-0000-000021020000}"/>
    <cellStyle name="Normal 133 7" xfId="1613" xr:uid="{00000000-0005-0000-0000-000022020000}"/>
    <cellStyle name="Normal 133 8" xfId="1801" xr:uid="{00000000-0005-0000-0000-000023020000}"/>
    <cellStyle name="Normal 133 9" xfId="1989" xr:uid="{00000000-0005-0000-0000-000024020000}"/>
    <cellStyle name="Normal 134" xfId="149" xr:uid="{00000000-0005-0000-0000-000025020000}"/>
    <cellStyle name="Normal 134 2" xfId="694" xr:uid="{00000000-0005-0000-0000-000026020000}"/>
    <cellStyle name="Normal 134 3" xfId="876" xr:uid="{00000000-0005-0000-0000-000027020000}"/>
    <cellStyle name="Normal 134 4" xfId="1058" xr:uid="{00000000-0005-0000-0000-000028020000}"/>
    <cellStyle name="Normal 134 5" xfId="1241" xr:uid="{00000000-0005-0000-0000-000029020000}"/>
    <cellStyle name="Normal 134 6" xfId="1426" xr:uid="{00000000-0005-0000-0000-00002A020000}"/>
    <cellStyle name="Normal 134 7" xfId="1614" xr:uid="{00000000-0005-0000-0000-00002B020000}"/>
    <cellStyle name="Normal 134 8" xfId="1802" xr:uid="{00000000-0005-0000-0000-00002C020000}"/>
    <cellStyle name="Normal 134 9" xfId="1990" xr:uid="{00000000-0005-0000-0000-00002D020000}"/>
    <cellStyle name="Normal 135" xfId="150" xr:uid="{00000000-0005-0000-0000-00002E020000}"/>
    <cellStyle name="Normal 135 2" xfId="695" xr:uid="{00000000-0005-0000-0000-00002F020000}"/>
    <cellStyle name="Normal 135 3" xfId="877" xr:uid="{00000000-0005-0000-0000-000030020000}"/>
    <cellStyle name="Normal 135 4" xfId="1059" xr:uid="{00000000-0005-0000-0000-000031020000}"/>
    <cellStyle name="Normal 135 5" xfId="1242" xr:uid="{00000000-0005-0000-0000-000032020000}"/>
    <cellStyle name="Normal 135 6" xfId="1427" xr:uid="{00000000-0005-0000-0000-000033020000}"/>
    <cellStyle name="Normal 135 7" xfId="1615" xr:uid="{00000000-0005-0000-0000-000034020000}"/>
    <cellStyle name="Normal 135 8" xfId="1803" xr:uid="{00000000-0005-0000-0000-000035020000}"/>
    <cellStyle name="Normal 135 9" xfId="1991" xr:uid="{00000000-0005-0000-0000-000036020000}"/>
    <cellStyle name="Normal 136" xfId="151" xr:uid="{00000000-0005-0000-0000-000037020000}"/>
    <cellStyle name="Normal 136 2" xfId="696" xr:uid="{00000000-0005-0000-0000-000038020000}"/>
    <cellStyle name="Normal 136 3" xfId="878" xr:uid="{00000000-0005-0000-0000-000039020000}"/>
    <cellStyle name="Normal 136 4" xfId="1060" xr:uid="{00000000-0005-0000-0000-00003A020000}"/>
    <cellStyle name="Normal 136 5" xfId="1243" xr:uid="{00000000-0005-0000-0000-00003B020000}"/>
    <cellStyle name="Normal 136 6" xfId="1428" xr:uid="{00000000-0005-0000-0000-00003C020000}"/>
    <cellStyle name="Normal 136 7" xfId="1616" xr:uid="{00000000-0005-0000-0000-00003D020000}"/>
    <cellStyle name="Normal 136 8" xfId="1804" xr:uid="{00000000-0005-0000-0000-00003E020000}"/>
    <cellStyle name="Normal 136 9" xfId="1992" xr:uid="{00000000-0005-0000-0000-00003F020000}"/>
    <cellStyle name="Normal 137" xfId="152" xr:uid="{00000000-0005-0000-0000-000040020000}"/>
    <cellStyle name="Normal 137 2" xfId="697" xr:uid="{00000000-0005-0000-0000-000041020000}"/>
    <cellStyle name="Normal 137 3" xfId="879" xr:uid="{00000000-0005-0000-0000-000042020000}"/>
    <cellStyle name="Normal 137 4" xfId="1061" xr:uid="{00000000-0005-0000-0000-000043020000}"/>
    <cellStyle name="Normal 137 5" xfId="1244" xr:uid="{00000000-0005-0000-0000-000044020000}"/>
    <cellStyle name="Normal 137 6" xfId="1429" xr:uid="{00000000-0005-0000-0000-000045020000}"/>
    <cellStyle name="Normal 137 7" xfId="1617" xr:uid="{00000000-0005-0000-0000-000046020000}"/>
    <cellStyle name="Normal 137 8" xfId="1805" xr:uid="{00000000-0005-0000-0000-000047020000}"/>
    <cellStyle name="Normal 137 9" xfId="1993" xr:uid="{00000000-0005-0000-0000-000048020000}"/>
    <cellStyle name="Normal 138" xfId="153" xr:uid="{00000000-0005-0000-0000-000049020000}"/>
    <cellStyle name="Normal 138 2" xfId="698" xr:uid="{00000000-0005-0000-0000-00004A020000}"/>
    <cellStyle name="Normal 138 3" xfId="880" xr:uid="{00000000-0005-0000-0000-00004B020000}"/>
    <cellStyle name="Normal 138 4" xfId="1062" xr:uid="{00000000-0005-0000-0000-00004C020000}"/>
    <cellStyle name="Normal 138 5" xfId="1245" xr:uid="{00000000-0005-0000-0000-00004D020000}"/>
    <cellStyle name="Normal 138 6" xfId="1430" xr:uid="{00000000-0005-0000-0000-00004E020000}"/>
    <cellStyle name="Normal 138 7" xfId="1618" xr:uid="{00000000-0005-0000-0000-00004F020000}"/>
    <cellStyle name="Normal 138 8" xfId="1806" xr:uid="{00000000-0005-0000-0000-000050020000}"/>
    <cellStyle name="Normal 138 9" xfId="1994" xr:uid="{00000000-0005-0000-0000-000051020000}"/>
    <cellStyle name="Normal 139" xfId="154" xr:uid="{00000000-0005-0000-0000-000052020000}"/>
    <cellStyle name="Normal 139 2" xfId="699" xr:uid="{00000000-0005-0000-0000-000053020000}"/>
    <cellStyle name="Normal 139 3" xfId="881" xr:uid="{00000000-0005-0000-0000-000054020000}"/>
    <cellStyle name="Normal 139 4" xfId="1063" xr:uid="{00000000-0005-0000-0000-000055020000}"/>
    <cellStyle name="Normal 139 5" xfId="1246" xr:uid="{00000000-0005-0000-0000-000056020000}"/>
    <cellStyle name="Normal 139 6" xfId="1431" xr:uid="{00000000-0005-0000-0000-000057020000}"/>
    <cellStyle name="Normal 139 7" xfId="1619" xr:uid="{00000000-0005-0000-0000-000058020000}"/>
    <cellStyle name="Normal 139 8" xfId="1807" xr:uid="{00000000-0005-0000-0000-000059020000}"/>
    <cellStyle name="Normal 139 9" xfId="1995" xr:uid="{00000000-0005-0000-0000-00005A020000}"/>
    <cellStyle name="Normal 14" xfId="28" xr:uid="{00000000-0005-0000-0000-00005B020000}"/>
    <cellStyle name="Normal 14 10" xfId="939" xr:uid="{00000000-0005-0000-0000-00005C020000}"/>
    <cellStyle name="Normal 14 11" xfId="1122" xr:uid="{00000000-0005-0000-0000-00005D020000}"/>
    <cellStyle name="Normal 14 12" xfId="1307" xr:uid="{00000000-0005-0000-0000-00005E020000}"/>
    <cellStyle name="Normal 14 13" xfId="1495" xr:uid="{00000000-0005-0000-0000-00005F020000}"/>
    <cellStyle name="Normal 14 14" xfId="1683" xr:uid="{00000000-0005-0000-0000-000060020000}"/>
    <cellStyle name="Normal 14 15" xfId="1871" xr:uid="{00000000-0005-0000-0000-000061020000}"/>
    <cellStyle name="Normal 14 2" xfId="373" xr:uid="{00000000-0005-0000-0000-000062020000}"/>
    <cellStyle name="Normal 14 3" xfId="435" xr:uid="{00000000-0005-0000-0000-000063020000}"/>
    <cellStyle name="Normal 14 4" xfId="457" xr:uid="{00000000-0005-0000-0000-000064020000}"/>
    <cellStyle name="Normal 14 5" xfId="478" xr:uid="{00000000-0005-0000-0000-000065020000}"/>
    <cellStyle name="Normal 14 6" xfId="511" xr:uid="{00000000-0005-0000-0000-000066020000}"/>
    <cellStyle name="Normal 14 7" xfId="546" xr:uid="{00000000-0005-0000-0000-000067020000}"/>
    <cellStyle name="Normal 14 8" xfId="575" xr:uid="{00000000-0005-0000-0000-000068020000}"/>
    <cellStyle name="Normal 14 9" xfId="757" xr:uid="{00000000-0005-0000-0000-000069020000}"/>
    <cellStyle name="Normal 140" xfId="155" xr:uid="{00000000-0005-0000-0000-00006A020000}"/>
    <cellStyle name="Normal 140 2" xfId="700" xr:uid="{00000000-0005-0000-0000-00006B020000}"/>
    <cellStyle name="Normal 140 3" xfId="882" xr:uid="{00000000-0005-0000-0000-00006C020000}"/>
    <cellStyle name="Normal 140 4" xfId="1064" xr:uid="{00000000-0005-0000-0000-00006D020000}"/>
    <cellStyle name="Normal 140 5" xfId="1247" xr:uid="{00000000-0005-0000-0000-00006E020000}"/>
    <cellStyle name="Normal 140 6" xfId="1432" xr:uid="{00000000-0005-0000-0000-00006F020000}"/>
    <cellStyle name="Normal 140 7" xfId="1620" xr:uid="{00000000-0005-0000-0000-000070020000}"/>
    <cellStyle name="Normal 140 8" xfId="1808" xr:uid="{00000000-0005-0000-0000-000071020000}"/>
    <cellStyle name="Normal 140 9" xfId="1996" xr:uid="{00000000-0005-0000-0000-000072020000}"/>
    <cellStyle name="Normal 141" xfId="156" xr:uid="{00000000-0005-0000-0000-000073020000}"/>
    <cellStyle name="Normal 141 2" xfId="701" xr:uid="{00000000-0005-0000-0000-000074020000}"/>
    <cellStyle name="Normal 141 3" xfId="883" xr:uid="{00000000-0005-0000-0000-000075020000}"/>
    <cellStyle name="Normal 141 4" xfId="1065" xr:uid="{00000000-0005-0000-0000-000076020000}"/>
    <cellStyle name="Normal 141 5" xfId="1248" xr:uid="{00000000-0005-0000-0000-000077020000}"/>
    <cellStyle name="Normal 141 6" xfId="1433" xr:uid="{00000000-0005-0000-0000-000078020000}"/>
    <cellStyle name="Normal 141 7" xfId="1621" xr:uid="{00000000-0005-0000-0000-000079020000}"/>
    <cellStyle name="Normal 141 8" xfId="1809" xr:uid="{00000000-0005-0000-0000-00007A020000}"/>
    <cellStyle name="Normal 141 9" xfId="1997" xr:uid="{00000000-0005-0000-0000-00007B020000}"/>
    <cellStyle name="Normal 142" xfId="157" xr:uid="{00000000-0005-0000-0000-00007C020000}"/>
    <cellStyle name="Normal 142 2" xfId="702" xr:uid="{00000000-0005-0000-0000-00007D020000}"/>
    <cellStyle name="Normal 142 3" xfId="884" xr:uid="{00000000-0005-0000-0000-00007E020000}"/>
    <cellStyle name="Normal 142 4" xfId="1066" xr:uid="{00000000-0005-0000-0000-00007F020000}"/>
    <cellStyle name="Normal 142 5" xfId="1249" xr:uid="{00000000-0005-0000-0000-000080020000}"/>
    <cellStyle name="Normal 142 6" xfId="1434" xr:uid="{00000000-0005-0000-0000-000081020000}"/>
    <cellStyle name="Normal 142 7" xfId="1622" xr:uid="{00000000-0005-0000-0000-000082020000}"/>
    <cellStyle name="Normal 142 8" xfId="1810" xr:uid="{00000000-0005-0000-0000-000083020000}"/>
    <cellStyle name="Normal 142 9" xfId="1998" xr:uid="{00000000-0005-0000-0000-000084020000}"/>
    <cellStyle name="Normal 143" xfId="160" xr:uid="{00000000-0005-0000-0000-000085020000}"/>
    <cellStyle name="Normal 143 2" xfId="705" xr:uid="{00000000-0005-0000-0000-000086020000}"/>
    <cellStyle name="Normal 143 3" xfId="887" xr:uid="{00000000-0005-0000-0000-000087020000}"/>
    <cellStyle name="Normal 143 4" xfId="1069" xr:uid="{00000000-0005-0000-0000-000088020000}"/>
    <cellStyle name="Normal 143 5" xfId="1252" xr:uid="{00000000-0005-0000-0000-000089020000}"/>
    <cellStyle name="Normal 143 6" xfId="1437" xr:uid="{00000000-0005-0000-0000-00008A020000}"/>
    <cellStyle name="Normal 143 7" xfId="1625" xr:uid="{00000000-0005-0000-0000-00008B020000}"/>
    <cellStyle name="Normal 143 8" xfId="1813" xr:uid="{00000000-0005-0000-0000-00008C020000}"/>
    <cellStyle name="Normal 143 9" xfId="2001" xr:uid="{00000000-0005-0000-0000-00008D020000}"/>
    <cellStyle name="Normal 144" xfId="159" xr:uid="{00000000-0005-0000-0000-00008E020000}"/>
    <cellStyle name="Normal 144 2" xfId="704" xr:uid="{00000000-0005-0000-0000-00008F020000}"/>
    <cellStyle name="Normal 144 3" xfId="886" xr:uid="{00000000-0005-0000-0000-000090020000}"/>
    <cellStyle name="Normal 144 4" xfId="1068" xr:uid="{00000000-0005-0000-0000-000091020000}"/>
    <cellStyle name="Normal 144 5" xfId="1251" xr:uid="{00000000-0005-0000-0000-000092020000}"/>
    <cellStyle name="Normal 144 6" xfId="1436" xr:uid="{00000000-0005-0000-0000-000093020000}"/>
    <cellStyle name="Normal 144 7" xfId="1624" xr:uid="{00000000-0005-0000-0000-000094020000}"/>
    <cellStyle name="Normal 144 8" xfId="1812" xr:uid="{00000000-0005-0000-0000-000095020000}"/>
    <cellStyle name="Normal 144 9" xfId="2000" xr:uid="{00000000-0005-0000-0000-000096020000}"/>
    <cellStyle name="Normal 145" xfId="158" xr:uid="{00000000-0005-0000-0000-000097020000}"/>
    <cellStyle name="Normal 145 2" xfId="703" xr:uid="{00000000-0005-0000-0000-000098020000}"/>
    <cellStyle name="Normal 145 3" xfId="885" xr:uid="{00000000-0005-0000-0000-000099020000}"/>
    <cellStyle name="Normal 145 4" xfId="1067" xr:uid="{00000000-0005-0000-0000-00009A020000}"/>
    <cellStyle name="Normal 145 5" xfId="1250" xr:uid="{00000000-0005-0000-0000-00009B020000}"/>
    <cellStyle name="Normal 145 6" xfId="1435" xr:uid="{00000000-0005-0000-0000-00009C020000}"/>
    <cellStyle name="Normal 145 7" xfId="1623" xr:uid="{00000000-0005-0000-0000-00009D020000}"/>
    <cellStyle name="Normal 145 8" xfId="1811" xr:uid="{00000000-0005-0000-0000-00009E020000}"/>
    <cellStyle name="Normal 145 9" xfId="1999" xr:uid="{00000000-0005-0000-0000-00009F020000}"/>
    <cellStyle name="Normal 146" xfId="161" xr:uid="{00000000-0005-0000-0000-0000A0020000}"/>
    <cellStyle name="Normal 146 2" xfId="706" xr:uid="{00000000-0005-0000-0000-0000A1020000}"/>
    <cellStyle name="Normal 146 3" xfId="888" xr:uid="{00000000-0005-0000-0000-0000A2020000}"/>
    <cellStyle name="Normal 146 4" xfId="1070" xr:uid="{00000000-0005-0000-0000-0000A3020000}"/>
    <cellStyle name="Normal 146 5" xfId="1253" xr:uid="{00000000-0005-0000-0000-0000A4020000}"/>
    <cellStyle name="Normal 146 6" xfId="1438" xr:uid="{00000000-0005-0000-0000-0000A5020000}"/>
    <cellStyle name="Normal 146 7" xfId="1626" xr:uid="{00000000-0005-0000-0000-0000A6020000}"/>
    <cellStyle name="Normal 146 8" xfId="1814" xr:uid="{00000000-0005-0000-0000-0000A7020000}"/>
    <cellStyle name="Normal 146 9" xfId="2002" xr:uid="{00000000-0005-0000-0000-0000A8020000}"/>
    <cellStyle name="Normal 147" xfId="162" xr:uid="{00000000-0005-0000-0000-0000A9020000}"/>
    <cellStyle name="Normal 147 2" xfId="707" xr:uid="{00000000-0005-0000-0000-0000AA020000}"/>
    <cellStyle name="Normal 147 3" xfId="889" xr:uid="{00000000-0005-0000-0000-0000AB020000}"/>
    <cellStyle name="Normal 147 4" xfId="1071" xr:uid="{00000000-0005-0000-0000-0000AC020000}"/>
    <cellStyle name="Normal 147 5" xfId="1254" xr:uid="{00000000-0005-0000-0000-0000AD020000}"/>
    <cellStyle name="Normal 147 6" xfId="1439" xr:uid="{00000000-0005-0000-0000-0000AE020000}"/>
    <cellStyle name="Normal 147 7" xfId="1627" xr:uid="{00000000-0005-0000-0000-0000AF020000}"/>
    <cellStyle name="Normal 147 8" xfId="1815" xr:uid="{00000000-0005-0000-0000-0000B0020000}"/>
    <cellStyle name="Normal 147 9" xfId="2003" xr:uid="{00000000-0005-0000-0000-0000B1020000}"/>
    <cellStyle name="Normal 148" xfId="163" xr:uid="{00000000-0005-0000-0000-0000B2020000}"/>
    <cellStyle name="Normal 148 2" xfId="708" xr:uid="{00000000-0005-0000-0000-0000B3020000}"/>
    <cellStyle name="Normal 148 3" xfId="890" xr:uid="{00000000-0005-0000-0000-0000B4020000}"/>
    <cellStyle name="Normal 148 4" xfId="1072" xr:uid="{00000000-0005-0000-0000-0000B5020000}"/>
    <cellStyle name="Normal 148 5" xfId="1255" xr:uid="{00000000-0005-0000-0000-0000B6020000}"/>
    <cellStyle name="Normal 148 6" xfId="1440" xr:uid="{00000000-0005-0000-0000-0000B7020000}"/>
    <cellStyle name="Normal 148 7" xfId="1628" xr:uid="{00000000-0005-0000-0000-0000B8020000}"/>
    <cellStyle name="Normal 148 8" xfId="1816" xr:uid="{00000000-0005-0000-0000-0000B9020000}"/>
    <cellStyle name="Normal 148 9" xfId="2004" xr:uid="{00000000-0005-0000-0000-0000BA020000}"/>
    <cellStyle name="Normal 149" xfId="164" xr:uid="{00000000-0005-0000-0000-0000BB020000}"/>
    <cellStyle name="Normal 149 2" xfId="709" xr:uid="{00000000-0005-0000-0000-0000BC020000}"/>
    <cellStyle name="Normal 149 3" xfId="891" xr:uid="{00000000-0005-0000-0000-0000BD020000}"/>
    <cellStyle name="Normal 149 4" xfId="1073" xr:uid="{00000000-0005-0000-0000-0000BE020000}"/>
    <cellStyle name="Normal 149 5" xfId="1256" xr:uid="{00000000-0005-0000-0000-0000BF020000}"/>
    <cellStyle name="Normal 149 6" xfId="1441" xr:uid="{00000000-0005-0000-0000-0000C0020000}"/>
    <cellStyle name="Normal 149 7" xfId="1629" xr:uid="{00000000-0005-0000-0000-0000C1020000}"/>
    <cellStyle name="Normal 149 8" xfId="1817" xr:uid="{00000000-0005-0000-0000-0000C2020000}"/>
    <cellStyle name="Normal 149 9" xfId="2005" xr:uid="{00000000-0005-0000-0000-0000C3020000}"/>
    <cellStyle name="Normal 15" xfId="29" xr:uid="{00000000-0005-0000-0000-0000C4020000}"/>
    <cellStyle name="Normal 15 10" xfId="940" xr:uid="{00000000-0005-0000-0000-0000C5020000}"/>
    <cellStyle name="Normal 15 11" xfId="1123" xr:uid="{00000000-0005-0000-0000-0000C6020000}"/>
    <cellStyle name="Normal 15 12" xfId="1308" xr:uid="{00000000-0005-0000-0000-0000C7020000}"/>
    <cellStyle name="Normal 15 13" xfId="1496" xr:uid="{00000000-0005-0000-0000-0000C8020000}"/>
    <cellStyle name="Normal 15 14" xfId="1684" xr:uid="{00000000-0005-0000-0000-0000C9020000}"/>
    <cellStyle name="Normal 15 15" xfId="1872" xr:uid="{00000000-0005-0000-0000-0000CA020000}"/>
    <cellStyle name="Normal 15 2" xfId="374" xr:uid="{00000000-0005-0000-0000-0000CB020000}"/>
    <cellStyle name="Normal 15 3" xfId="436" xr:uid="{00000000-0005-0000-0000-0000CC020000}"/>
    <cellStyle name="Normal 15 4" xfId="458" xr:uid="{00000000-0005-0000-0000-0000CD020000}"/>
    <cellStyle name="Normal 15 5" xfId="479" xr:uid="{00000000-0005-0000-0000-0000CE020000}"/>
    <cellStyle name="Normal 15 6" xfId="512" xr:uid="{00000000-0005-0000-0000-0000CF020000}"/>
    <cellStyle name="Normal 15 7" xfId="547" xr:uid="{00000000-0005-0000-0000-0000D0020000}"/>
    <cellStyle name="Normal 15 8" xfId="576" xr:uid="{00000000-0005-0000-0000-0000D1020000}"/>
    <cellStyle name="Normal 15 9" xfId="758" xr:uid="{00000000-0005-0000-0000-0000D2020000}"/>
    <cellStyle name="Normal 150" xfId="165" xr:uid="{00000000-0005-0000-0000-0000D3020000}"/>
    <cellStyle name="Normal 150 2" xfId="710" xr:uid="{00000000-0005-0000-0000-0000D4020000}"/>
    <cellStyle name="Normal 150 3" xfId="892" xr:uid="{00000000-0005-0000-0000-0000D5020000}"/>
    <cellStyle name="Normal 150 4" xfId="1074" xr:uid="{00000000-0005-0000-0000-0000D6020000}"/>
    <cellStyle name="Normal 150 5" xfId="1257" xr:uid="{00000000-0005-0000-0000-0000D7020000}"/>
    <cellStyle name="Normal 150 6" xfId="1442" xr:uid="{00000000-0005-0000-0000-0000D8020000}"/>
    <cellStyle name="Normal 150 7" xfId="1630" xr:uid="{00000000-0005-0000-0000-0000D9020000}"/>
    <cellStyle name="Normal 150 8" xfId="1818" xr:uid="{00000000-0005-0000-0000-0000DA020000}"/>
    <cellStyle name="Normal 150 9" xfId="2006" xr:uid="{00000000-0005-0000-0000-0000DB020000}"/>
    <cellStyle name="Normal 151" xfId="166" xr:uid="{00000000-0005-0000-0000-0000DC020000}"/>
    <cellStyle name="Normal 151 2" xfId="711" xr:uid="{00000000-0005-0000-0000-0000DD020000}"/>
    <cellStyle name="Normal 151 3" xfId="893" xr:uid="{00000000-0005-0000-0000-0000DE020000}"/>
    <cellStyle name="Normal 151 4" xfId="1075" xr:uid="{00000000-0005-0000-0000-0000DF020000}"/>
    <cellStyle name="Normal 151 5" xfId="1258" xr:uid="{00000000-0005-0000-0000-0000E0020000}"/>
    <cellStyle name="Normal 151 6" xfId="1443" xr:uid="{00000000-0005-0000-0000-0000E1020000}"/>
    <cellStyle name="Normal 151 7" xfId="1631" xr:uid="{00000000-0005-0000-0000-0000E2020000}"/>
    <cellStyle name="Normal 151 8" xfId="1819" xr:uid="{00000000-0005-0000-0000-0000E3020000}"/>
    <cellStyle name="Normal 151 9" xfId="2007" xr:uid="{00000000-0005-0000-0000-0000E4020000}"/>
    <cellStyle name="Normal 152" xfId="167" xr:uid="{00000000-0005-0000-0000-0000E5020000}"/>
    <cellStyle name="Normal 152 2" xfId="712" xr:uid="{00000000-0005-0000-0000-0000E6020000}"/>
    <cellStyle name="Normal 152 3" xfId="894" xr:uid="{00000000-0005-0000-0000-0000E7020000}"/>
    <cellStyle name="Normal 152 4" xfId="1076" xr:uid="{00000000-0005-0000-0000-0000E8020000}"/>
    <cellStyle name="Normal 152 5" xfId="1259" xr:uid="{00000000-0005-0000-0000-0000E9020000}"/>
    <cellStyle name="Normal 152 6" xfId="1444" xr:uid="{00000000-0005-0000-0000-0000EA020000}"/>
    <cellStyle name="Normal 152 7" xfId="1632" xr:uid="{00000000-0005-0000-0000-0000EB020000}"/>
    <cellStyle name="Normal 152 8" xfId="1820" xr:uid="{00000000-0005-0000-0000-0000EC020000}"/>
    <cellStyle name="Normal 152 9" xfId="2008" xr:uid="{00000000-0005-0000-0000-0000ED020000}"/>
    <cellStyle name="Normal 153" xfId="168" xr:uid="{00000000-0005-0000-0000-0000EE020000}"/>
    <cellStyle name="Normal 153 2" xfId="713" xr:uid="{00000000-0005-0000-0000-0000EF020000}"/>
    <cellStyle name="Normal 153 3" xfId="895" xr:uid="{00000000-0005-0000-0000-0000F0020000}"/>
    <cellStyle name="Normal 153 4" xfId="1077" xr:uid="{00000000-0005-0000-0000-0000F1020000}"/>
    <cellStyle name="Normal 153 5" xfId="1260" xr:uid="{00000000-0005-0000-0000-0000F2020000}"/>
    <cellStyle name="Normal 153 6" xfId="1445" xr:uid="{00000000-0005-0000-0000-0000F3020000}"/>
    <cellStyle name="Normal 153 7" xfId="1633" xr:uid="{00000000-0005-0000-0000-0000F4020000}"/>
    <cellStyle name="Normal 153 8" xfId="1821" xr:uid="{00000000-0005-0000-0000-0000F5020000}"/>
    <cellStyle name="Normal 153 9" xfId="2009" xr:uid="{00000000-0005-0000-0000-0000F6020000}"/>
    <cellStyle name="Normal 154" xfId="169" xr:uid="{00000000-0005-0000-0000-0000F7020000}"/>
    <cellStyle name="Normal 154 2" xfId="714" xr:uid="{00000000-0005-0000-0000-0000F8020000}"/>
    <cellStyle name="Normal 154 3" xfId="896" xr:uid="{00000000-0005-0000-0000-0000F9020000}"/>
    <cellStyle name="Normal 154 4" xfId="1078" xr:uid="{00000000-0005-0000-0000-0000FA020000}"/>
    <cellStyle name="Normal 154 5" xfId="1261" xr:uid="{00000000-0005-0000-0000-0000FB020000}"/>
    <cellStyle name="Normal 154 6" xfId="1446" xr:uid="{00000000-0005-0000-0000-0000FC020000}"/>
    <cellStyle name="Normal 154 7" xfId="1634" xr:uid="{00000000-0005-0000-0000-0000FD020000}"/>
    <cellStyle name="Normal 154 8" xfId="1822" xr:uid="{00000000-0005-0000-0000-0000FE020000}"/>
    <cellStyle name="Normal 154 9" xfId="2010" xr:uid="{00000000-0005-0000-0000-0000FF020000}"/>
    <cellStyle name="Normal 155" xfId="170" xr:uid="{00000000-0005-0000-0000-000000030000}"/>
    <cellStyle name="Normal 155 2" xfId="715" xr:uid="{00000000-0005-0000-0000-000001030000}"/>
    <cellStyle name="Normal 155 3" xfId="897" xr:uid="{00000000-0005-0000-0000-000002030000}"/>
    <cellStyle name="Normal 155 4" xfId="1079" xr:uid="{00000000-0005-0000-0000-000003030000}"/>
    <cellStyle name="Normal 155 5" xfId="1262" xr:uid="{00000000-0005-0000-0000-000004030000}"/>
    <cellStyle name="Normal 155 6" xfId="1447" xr:uid="{00000000-0005-0000-0000-000005030000}"/>
    <cellStyle name="Normal 155 7" xfId="1635" xr:uid="{00000000-0005-0000-0000-000006030000}"/>
    <cellStyle name="Normal 155 8" xfId="1823" xr:uid="{00000000-0005-0000-0000-000007030000}"/>
    <cellStyle name="Normal 155 9" xfId="2011" xr:uid="{00000000-0005-0000-0000-000008030000}"/>
    <cellStyle name="Normal 156" xfId="173" xr:uid="{00000000-0005-0000-0000-000009030000}"/>
    <cellStyle name="Normal 156 2" xfId="718" xr:uid="{00000000-0005-0000-0000-00000A030000}"/>
    <cellStyle name="Normal 156 3" xfId="900" xr:uid="{00000000-0005-0000-0000-00000B030000}"/>
    <cellStyle name="Normal 156 4" xfId="1082" xr:uid="{00000000-0005-0000-0000-00000C030000}"/>
    <cellStyle name="Normal 156 5" xfId="1265" xr:uid="{00000000-0005-0000-0000-00000D030000}"/>
    <cellStyle name="Normal 156 6" xfId="1450" xr:uid="{00000000-0005-0000-0000-00000E030000}"/>
    <cellStyle name="Normal 156 7" xfId="1638" xr:uid="{00000000-0005-0000-0000-00000F030000}"/>
    <cellStyle name="Normal 156 8" xfId="1826" xr:uid="{00000000-0005-0000-0000-000010030000}"/>
    <cellStyle name="Normal 156 9" xfId="2014" xr:uid="{00000000-0005-0000-0000-000011030000}"/>
    <cellStyle name="Normal 157" xfId="172" xr:uid="{00000000-0005-0000-0000-000012030000}"/>
    <cellStyle name="Normal 157 2" xfId="717" xr:uid="{00000000-0005-0000-0000-000013030000}"/>
    <cellStyle name="Normal 157 3" xfId="899" xr:uid="{00000000-0005-0000-0000-000014030000}"/>
    <cellStyle name="Normal 157 4" xfId="1081" xr:uid="{00000000-0005-0000-0000-000015030000}"/>
    <cellStyle name="Normal 157 5" xfId="1264" xr:uid="{00000000-0005-0000-0000-000016030000}"/>
    <cellStyle name="Normal 157 6" xfId="1449" xr:uid="{00000000-0005-0000-0000-000017030000}"/>
    <cellStyle name="Normal 157 7" xfId="1637" xr:uid="{00000000-0005-0000-0000-000018030000}"/>
    <cellStyle name="Normal 157 8" xfId="1825" xr:uid="{00000000-0005-0000-0000-000019030000}"/>
    <cellStyle name="Normal 157 9" xfId="2013" xr:uid="{00000000-0005-0000-0000-00001A030000}"/>
    <cellStyle name="Normal 158" xfId="171" xr:uid="{00000000-0005-0000-0000-00001B030000}"/>
    <cellStyle name="Normal 158 2" xfId="716" xr:uid="{00000000-0005-0000-0000-00001C030000}"/>
    <cellStyle name="Normal 158 3" xfId="898" xr:uid="{00000000-0005-0000-0000-00001D030000}"/>
    <cellStyle name="Normal 158 4" xfId="1080" xr:uid="{00000000-0005-0000-0000-00001E030000}"/>
    <cellStyle name="Normal 158 5" xfId="1263" xr:uid="{00000000-0005-0000-0000-00001F030000}"/>
    <cellStyle name="Normal 158 6" xfId="1448" xr:uid="{00000000-0005-0000-0000-000020030000}"/>
    <cellStyle name="Normal 158 7" xfId="1636" xr:uid="{00000000-0005-0000-0000-000021030000}"/>
    <cellStyle name="Normal 158 8" xfId="1824" xr:uid="{00000000-0005-0000-0000-000022030000}"/>
    <cellStyle name="Normal 158 9" xfId="2012" xr:uid="{00000000-0005-0000-0000-000023030000}"/>
    <cellStyle name="Normal 159" xfId="174" xr:uid="{00000000-0005-0000-0000-000024030000}"/>
    <cellStyle name="Normal 159 2" xfId="719" xr:uid="{00000000-0005-0000-0000-000025030000}"/>
    <cellStyle name="Normal 159 3" xfId="901" xr:uid="{00000000-0005-0000-0000-000026030000}"/>
    <cellStyle name="Normal 159 4" xfId="1083" xr:uid="{00000000-0005-0000-0000-000027030000}"/>
    <cellStyle name="Normal 159 5" xfId="1266" xr:uid="{00000000-0005-0000-0000-000028030000}"/>
    <cellStyle name="Normal 159 6" xfId="1451" xr:uid="{00000000-0005-0000-0000-000029030000}"/>
    <cellStyle name="Normal 159 7" xfId="1639" xr:uid="{00000000-0005-0000-0000-00002A030000}"/>
    <cellStyle name="Normal 159 8" xfId="1827" xr:uid="{00000000-0005-0000-0000-00002B030000}"/>
    <cellStyle name="Normal 159 9" xfId="2015" xr:uid="{00000000-0005-0000-0000-00002C030000}"/>
    <cellStyle name="Normal 16" xfId="30" xr:uid="{00000000-0005-0000-0000-00002D030000}"/>
    <cellStyle name="Normal 16 10" xfId="941" xr:uid="{00000000-0005-0000-0000-00002E030000}"/>
    <cellStyle name="Normal 16 11" xfId="1124" xr:uid="{00000000-0005-0000-0000-00002F030000}"/>
    <cellStyle name="Normal 16 12" xfId="1309" xr:uid="{00000000-0005-0000-0000-000030030000}"/>
    <cellStyle name="Normal 16 13" xfId="1497" xr:uid="{00000000-0005-0000-0000-000031030000}"/>
    <cellStyle name="Normal 16 14" xfId="1685" xr:uid="{00000000-0005-0000-0000-000032030000}"/>
    <cellStyle name="Normal 16 15" xfId="1873" xr:uid="{00000000-0005-0000-0000-000033030000}"/>
    <cellStyle name="Normal 16 2" xfId="370" xr:uid="{00000000-0005-0000-0000-000034030000}"/>
    <cellStyle name="Normal 16 3" xfId="437" xr:uid="{00000000-0005-0000-0000-000035030000}"/>
    <cellStyle name="Normal 16 4" xfId="459" xr:uid="{00000000-0005-0000-0000-000036030000}"/>
    <cellStyle name="Normal 16 5" xfId="476" xr:uid="{00000000-0005-0000-0000-000037030000}"/>
    <cellStyle name="Normal 16 6" xfId="509" xr:uid="{00000000-0005-0000-0000-000038030000}"/>
    <cellStyle name="Normal 16 7" xfId="548" xr:uid="{00000000-0005-0000-0000-000039030000}"/>
    <cellStyle name="Normal 16 8" xfId="577" xr:uid="{00000000-0005-0000-0000-00003A030000}"/>
    <cellStyle name="Normal 16 9" xfId="759" xr:uid="{00000000-0005-0000-0000-00003B030000}"/>
    <cellStyle name="Normal 160" xfId="175" xr:uid="{00000000-0005-0000-0000-00003C030000}"/>
    <cellStyle name="Normal 160 2" xfId="720" xr:uid="{00000000-0005-0000-0000-00003D030000}"/>
    <cellStyle name="Normal 160 3" xfId="902" xr:uid="{00000000-0005-0000-0000-00003E030000}"/>
    <cellStyle name="Normal 160 4" xfId="1084" xr:uid="{00000000-0005-0000-0000-00003F030000}"/>
    <cellStyle name="Normal 160 5" xfId="1267" xr:uid="{00000000-0005-0000-0000-000040030000}"/>
    <cellStyle name="Normal 160 6" xfId="1452" xr:uid="{00000000-0005-0000-0000-000041030000}"/>
    <cellStyle name="Normal 160 7" xfId="1640" xr:uid="{00000000-0005-0000-0000-000042030000}"/>
    <cellStyle name="Normal 160 8" xfId="1828" xr:uid="{00000000-0005-0000-0000-000043030000}"/>
    <cellStyle name="Normal 160 9" xfId="2016" xr:uid="{00000000-0005-0000-0000-000044030000}"/>
    <cellStyle name="Normal 161" xfId="176" xr:uid="{00000000-0005-0000-0000-000045030000}"/>
    <cellStyle name="Normal 161 2" xfId="721" xr:uid="{00000000-0005-0000-0000-000046030000}"/>
    <cellStyle name="Normal 161 3" xfId="903" xr:uid="{00000000-0005-0000-0000-000047030000}"/>
    <cellStyle name="Normal 161 4" xfId="1085" xr:uid="{00000000-0005-0000-0000-000048030000}"/>
    <cellStyle name="Normal 161 5" xfId="1268" xr:uid="{00000000-0005-0000-0000-000049030000}"/>
    <cellStyle name="Normal 161 6" xfId="1453" xr:uid="{00000000-0005-0000-0000-00004A030000}"/>
    <cellStyle name="Normal 161 7" xfId="1641" xr:uid="{00000000-0005-0000-0000-00004B030000}"/>
    <cellStyle name="Normal 161 8" xfId="1829" xr:uid="{00000000-0005-0000-0000-00004C030000}"/>
    <cellStyle name="Normal 161 9" xfId="2017" xr:uid="{00000000-0005-0000-0000-00004D030000}"/>
    <cellStyle name="Normal 162" xfId="177" xr:uid="{00000000-0005-0000-0000-00004E030000}"/>
    <cellStyle name="Normal 162 2" xfId="722" xr:uid="{00000000-0005-0000-0000-00004F030000}"/>
    <cellStyle name="Normal 162 3" xfId="904" xr:uid="{00000000-0005-0000-0000-000050030000}"/>
    <cellStyle name="Normal 162 4" xfId="1086" xr:uid="{00000000-0005-0000-0000-000051030000}"/>
    <cellStyle name="Normal 162 5" xfId="1269" xr:uid="{00000000-0005-0000-0000-000052030000}"/>
    <cellStyle name="Normal 162 6" xfId="1454" xr:uid="{00000000-0005-0000-0000-000053030000}"/>
    <cellStyle name="Normal 162 7" xfId="1642" xr:uid="{00000000-0005-0000-0000-000054030000}"/>
    <cellStyle name="Normal 162 8" xfId="1830" xr:uid="{00000000-0005-0000-0000-000055030000}"/>
    <cellStyle name="Normal 162 9" xfId="2018" xr:uid="{00000000-0005-0000-0000-000056030000}"/>
    <cellStyle name="Normal 163" xfId="178" xr:uid="{00000000-0005-0000-0000-000057030000}"/>
    <cellStyle name="Normal 163 2" xfId="723" xr:uid="{00000000-0005-0000-0000-000058030000}"/>
    <cellStyle name="Normal 163 3" xfId="905" xr:uid="{00000000-0005-0000-0000-000059030000}"/>
    <cellStyle name="Normal 163 4" xfId="1087" xr:uid="{00000000-0005-0000-0000-00005A030000}"/>
    <cellStyle name="Normal 163 5" xfId="1270" xr:uid="{00000000-0005-0000-0000-00005B030000}"/>
    <cellStyle name="Normal 163 6" xfId="1455" xr:uid="{00000000-0005-0000-0000-00005C030000}"/>
    <cellStyle name="Normal 163 7" xfId="1643" xr:uid="{00000000-0005-0000-0000-00005D030000}"/>
    <cellStyle name="Normal 163 8" xfId="1831" xr:uid="{00000000-0005-0000-0000-00005E030000}"/>
    <cellStyle name="Normal 163 9" xfId="2019" xr:uid="{00000000-0005-0000-0000-00005F030000}"/>
    <cellStyle name="Normal 164" xfId="179" xr:uid="{00000000-0005-0000-0000-000060030000}"/>
    <cellStyle name="Normal 164 2" xfId="724" xr:uid="{00000000-0005-0000-0000-000061030000}"/>
    <cellStyle name="Normal 164 3" xfId="906" xr:uid="{00000000-0005-0000-0000-000062030000}"/>
    <cellStyle name="Normal 164 4" xfId="1088" xr:uid="{00000000-0005-0000-0000-000063030000}"/>
    <cellStyle name="Normal 164 5" xfId="1271" xr:uid="{00000000-0005-0000-0000-000064030000}"/>
    <cellStyle name="Normal 164 6" xfId="1456" xr:uid="{00000000-0005-0000-0000-000065030000}"/>
    <cellStyle name="Normal 164 7" xfId="1644" xr:uid="{00000000-0005-0000-0000-000066030000}"/>
    <cellStyle name="Normal 164 8" xfId="1832" xr:uid="{00000000-0005-0000-0000-000067030000}"/>
    <cellStyle name="Normal 164 9" xfId="2020" xr:uid="{00000000-0005-0000-0000-000068030000}"/>
    <cellStyle name="Normal 165" xfId="36" xr:uid="{00000000-0005-0000-0000-000069030000}"/>
    <cellStyle name="Normal 165 2" xfId="582" xr:uid="{00000000-0005-0000-0000-00006A030000}"/>
    <cellStyle name="Normal 165 3" xfId="764" xr:uid="{00000000-0005-0000-0000-00006B030000}"/>
    <cellStyle name="Normal 165 4" xfId="946" xr:uid="{00000000-0005-0000-0000-00006C030000}"/>
    <cellStyle name="Normal 165 5" xfId="1129" xr:uid="{00000000-0005-0000-0000-00006D030000}"/>
    <cellStyle name="Normal 165 6" xfId="1314" xr:uid="{00000000-0005-0000-0000-00006E030000}"/>
    <cellStyle name="Normal 165 7" xfId="1502" xr:uid="{00000000-0005-0000-0000-00006F030000}"/>
    <cellStyle name="Normal 165 8" xfId="1690" xr:uid="{00000000-0005-0000-0000-000070030000}"/>
    <cellStyle name="Normal 165 9" xfId="1878" xr:uid="{00000000-0005-0000-0000-000071030000}"/>
    <cellStyle name="Normal 166" xfId="180" xr:uid="{00000000-0005-0000-0000-000072030000}"/>
    <cellStyle name="Normal 166 2" xfId="725" xr:uid="{00000000-0005-0000-0000-000073030000}"/>
    <cellStyle name="Normal 166 3" xfId="907" xr:uid="{00000000-0005-0000-0000-000074030000}"/>
    <cellStyle name="Normal 166 4" xfId="1089" xr:uid="{00000000-0005-0000-0000-000075030000}"/>
    <cellStyle name="Normal 166 5" xfId="1272" xr:uid="{00000000-0005-0000-0000-000076030000}"/>
    <cellStyle name="Normal 166 6" xfId="1457" xr:uid="{00000000-0005-0000-0000-000077030000}"/>
    <cellStyle name="Normal 166 7" xfId="1645" xr:uid="{00000000-0005-0000-0000-000078030000}"/>
    <cellStyle name="Normal 166 8" xfId="1833" xr:uid="{00000000-0005-0000-0000-000079030000}"/>
    <cellStyle name="Normal 166 9" xfId="2021" xr:uid="{00000000-0005-0000-0000-00007A030000}"/>
    <cellStyle name="Normal 167" xfId="181" xr:uid="{00000000-0005-0000-0000-00007B030000}"/>
    <cellStyle name="Normal 167 2" xfId="726" xr:uid="{00000000-0005-0000-0000-00007C030000}"/>
    <cellStyle name="Normal 167 3" xfId="908" xr:uid="{00000000-0005-0000-0000-00007D030000}"/>
    <cellStyle name="Normal 167 4" xfId="1090" xr:uid="{00000000-0005-0000-0000-00007E030000}"/>
    <cellStyle name="Normal 167 5" xfId="1273" xr:uid="{00000000-0005-0000-0000-00007F030000}"/>
    <cellStyle name="Normal 167 6" xfId="1458" xr:uid="{00000000-0005-0000-0000-000080030000}"/>
    <cellStyle name="Normal 167 7" xfId="1646" xr:uid="{00000000-0005-0000-0000-000081030000}"/>
    <cellStyle name="Normal 167 8" xfId="1834" xr:uid="{00000000-0005-0000-0000-000082030000}"/>
    <cellStyle name="Normal 167 9" xfId="2022" xr:uid="{00000000-0005-0000-0000-000083030000}"/>
    <cellStyle name="Normal 168" xfId="182" xr:uid="{00000000-0005-0000-0000-000084030000}"/>
    <cellStyle name="Normal 168 2" xfId="727" xr:uid="{00000000-0005-0000-0000-000085030000}"/>
    <cellStyle name="Normal 168 3" xfId="909" xr:uid="{00000000-0005-0000-0000-000086030000}"/>
    <cellStyle name="Normal 168 4" xfId="1091" xr:uid="{00000000-0005-0000-0000-000087030000}"/>
    <cellStyle name="Normal 168 5" xfId="1274" xr:uid="{00000000-0005-0000-0000-000088030000}"/>
    <cellStyle name="Normal 168 6" xfId="1459" xr:uid="{00000000-0005-0000-0000-000089030000}"/>
    <cellStyle name="Normal 168 7" xfId="1647" xr:uid="{00000000-0005-0000-0000-00008A030000}"/>
    <cellStyle name="Normal 168 8" xfId="1835" xr:uid="{00000000-0005-0000-0000-00008B030000}"/>
    <cellStyle name="Normal 168 9" xfId="2023" xr:uid="{00000000-0005-0000-0000-00008C030000}"/>
    <cellStyle name="Normal 169" xfId="183" xr:uid="{00000000-0005-0000-0000-00008D030000}"/>
    <cellStyle name="Normal 169 2" xfId="728" xr:uid="{00000000-0005-0000-0000-00008E030000}"/>
    <cellStyle name="Normal 169 3" xfId="910" xr:uid="{00000000-0005-0000-0000-00008F030000}"/>
    <cellStyle name="Normal 169 4" xfId="1092" xr:uid="{00000000-0005-0000-0000-000090030000}"/>
    <cellStyle name="Normal 169 5" xfId="1275" xr:uid="{00000000-0005-0000-0000-000091030000}"/>
    <cellStyle name="Normal 169 6" xfId="1460" xr:uid="{00000000-0005-0000-0000-000092030000}"/>
    <cellStyle name="Normal 169 7" xfId="1648" xr:uid="{00000000-0005-0000-0000-000093030000}"/>
    <cellStyle name="Normal 169 8" xfId="1836" xr:uid="{00000000-0005-0000-0000-000094030000}"/>
    <cellStyle name="Normal 169 9" xfId="2024" xr:uid="{00000000-0005-0000-0000-000095030000}"/>
    <cellStyle name="Normal 17" xfId="31" xr:uid="{00000000-0005-0000-0000-000096030000}"/>
    <cellStyle name="Normal 17 10" xfId="942" xr:uid="{00000000-0005-0000-0000-000097030000}"/>
    <cellStyle name="Normal 17 11" xfId="1125" xr:uid="{00000000-0005-0000-0000-000098030000}"/>
    <cellStyle name="Normal 17 12" xfId="1310" xr:uid="{00000000-0005-0000-0000-000099030000}"/>
    <cellStyle name="Normal 17 13" xfId="1498" xr:uid="{00000000-0005-0000-0000-00009A030000}"/>
    <cellStyle name="Normal 17 14" xfId="1686" xr:uid="{00000000-0005-0000-0000-00009B030000}"/>
    <cellStyle name="Normal 17 15" xfId="1874" xr:uid="{00000000-0005-0000-0000-00009C030000}"/>
    <cellStyle name="Normal 17 2" xfId="375" xr:uid="{00000000-0005-0000-0000-00009D030000}"/>
    <cellStyle name="Normal 17 3" xfId="438" xr:uid="{00000000-0005-0000-0000-00009E030000}"/>
    <cellStyle name="Normal 17 4" xfId="460" xr:uid="{00000000-0005-0000-0000-00009F030000}"/>
    <cellStyle name="Normal 17 5" xfId="480" xr:uid="{00000000-0005-0000-0000-0000A0030000}"/>
    <cellStyle name="Normal 17 6" xfId="513" xr:uid="{00000000-0005-0000-0000-0000A1030000}"/>
    <cellStyle name="Normal 17 7" xfId="549" xr:uid="{00000000-0005-0000-0000-0000A2030000}"/>
    <cellStyle name="Normal 17 8" xfId="578" xr:uid="{00000000-0005-0000-0000-0000A3030000}"/>
    <cellStyle name="Normal 17 9" xfId="760" xr:uid="{00000000-0005-0000-0000-0000A4030000}"/>
    <cellStyle name="Normal 170" xfId="184" xr:uid="{00000000-0005-0000-0000-0000A5030000}"/>
    <cellStyle name="Normal 170 2" xfId="729" xr:uid="{00000000-0005-0000-0000-0000A6030000}"/>
    <cellStyle name="Normal 170 3" xfId="911" xr:uid="{00000000-0005-0000-0000-0000A7030000}"/>
    <cellStyle name="Normal 170 4" xfId="1093" xr:uid="{00000000-0005-0000-0000-0000A8030000}"/>
    <cellStyle name="Normal 170 5" xfId="1276" xr:uid="{00000000-0005-0000-0000-0000A9030000}"/>
    <cellStyle name="Normal 170 6" xfId="1461" xr:uid="{00000000-0005-0000-0000-0000AA030000}"/>
    <cellStyle name="Normal 170 7" xfId="1649" xr:uid="{00000000-0005-0000-0000-0000AB030000}"/>
    <cellStyle name="Normal 170 8" xfId="1837" xr:uid="{00000000-0005-0000-0000-0000AC030000}"/>
    <cellStyle name="Normal 170 9" xfId="2025" xr:uid="{00000000-0005-0000-0000-0000AD030000}"/>
    <cellStyle name="Normal 171" xfId="185" xr:uid="{00000000-0005-0000-0000-0000AE030000}"/>
    <cellStyle name="Normal 171 2" xfId="730" xr:uid="{00000000-0005-0000-0000-0000AF030000}"/>
    <cellStyle name="Normal 171 3" xfId="912" xr:uid="{00000000-0005-0000-0000-0000B0030000}"/>
    <cellStyle name="Normal 171 4" xfId="1094" xr:uid="{00000000-0005-0000-0000-0000B1030000}"/>
    <cellStyle name="Normal 171 5" xfId="1277" xr:uid="{00000000-0005-0000-0000-0000B2030000}"/>
    <cellStyle name="Normal 171 6" xfId="1462" xr:uid="{00000000-0005-0000-0000-0000B3030000}"/>
    <cellStyle name="Normal 171 7" xfId="1650" xr:uid="{00000000-0005-0000-0000-0000B4030000}"/>
    <cellStyle name="Normal 171 8" xfId="1838" xr:uid="{00000000-0005-0000-0000-0000B5030000}"/>
    <cellStyle name="Normal 171 9" xfId="2026" xr:uid="{00000000-0005-0000-0000-0000B6030000}"/>
    <cellStyle name="Normal 172" xfId="186" xr:uid="{00000000-0005-0000-0000-0000B7030000}"/>
    <cellStyle name="Normal 172 2" xfId="731" xr:uid="{00000000-0005-0000-0000-0000B8030000}"/>
    <cellStyle name="Normal 172 3" xfId="913" xr:uid="{00000000-0005-0000-0000-0000B9030000}"/>
    <cellStyle name="Normal 172 4" xfId="1095" xr:uid="{00000000-0005-0000-0000-0000BA030000}"/>
    <cellStyle name="Normal 172 5" xfId="1278" xr:uid="{00000000-0005-0000-0000-0000BB030000}"/>
    <cellStyle name="Normal 172 6" xfId="1463" xr:uid="{00000000-0005-0000-0000-0000BC030000}"/>
    <cellStyle name="Normal 172 7" xfId="1651" xr:uid="{00000000-0005-0000-0000-0000BD030000}"/>
    <cellStyle name="Normal 172 8" xfId="1839" xr:uid="{00000000-0005-0000-0000-0000BE030000}"/>
    <cellStyle name="Normal 172 9" xfId="2027" xr:uid="{00000000-0005-0000-0000-0000BF030000}"/>
    <cellStyle name="Normal 173" xfId="187" xr:uid="{00000000-0005-0000-0000-0000C0030000}"/>
    <cellStyle name="Normal 173 2" xfId="732" xr:uid="{00000000-0005-0000-0000-0000C1030000}"/>
    <cellStyle name="Normal 173 3" xfId="914" xr:uid="{00000000-0005-0000-0000-0000C2030000}"/>
    <cellStyle name="Normal 173 4" xfId="1096" xr:uid="{00000000-0005-0000-0000-0000C3030000}"/>
    <cellStyle name="Normal 173 5" xfId="1279" xr:uid="{00000000-0005-0000-0000-0000C4030000}"/>
    <cellStyle name="Normal 173 6" xfId="1464" xr:uid="{00000000-0005-0000-0000-0000C5030000}"/>
    <cellStyle name="Normal 173 7" xfId="1652" xr:uid="{00000000-0005-0000-0000-0000C6030000}"/>
    <cellStyle name="Normal 173 8" xfId="1840" xr:uid="{00000000-0005-0000-0000-0000C7030000}"/>
    <cellStyle name="Normal 173 9" xfId="2028" xr:uid="{00000000-0005-0000-0000-0000C8030000}"/>
    <cellStyle name="Normal 174" xfId="188" xr:uid="{00000000-0005-0000-0000-0000C9030000}"/>
    <cellStyle name="Normal 174 2" xfId="733" xr:uid="{00000000-0005-0000-0000-0000CA030000}"/>
    <cellStyle name="Normal 174 3" xfId="915" xr:uid="{00000000-0005-0000-0000-0000CB030000}"/>
    <cellStyle name="Normal 174 4" xfId="1097" xr:uid="{00000000-0005-0000-0000-0000CC030000}"/>
    <cellStyle name="Normal 174 5" xfId="1280" xr:uid="{00000000-0005-0000-0000-0000CD030000}"/>
    <cellStyle name="Normal 174 6" xfId="1465" xr:uid="{00000000-0005-0000-0000-0000CE030000}"/>
    <cellStyle name="Normal 174 7" xfId="1653" xr:uid="{00000000-0005-0000-0000-0000CF030000}"/>
    <cellStyle name="Normal 174 8" xfId="1841" xr:uid="{00000000-0005-0000-0000-0000D0030000}"/>
    <cellStyle name="Normal 174 9" xfId="2029" xr:uid="{00000000-0005-0000-0000-0000D1030000}"/>
    <cellStyle name="Normal 175" xfId="189" xr:uid="{00000000-0005-0000-0000-0000D2030000}"/>
    <cellStyle name="Normal 175 2" xfId="734" xr:uid="{00000000-0005-0000-0000-0000D3030000}"/>
    <cellStyle name="Normal 175 3" xfId="916" xr:uid="{00000000-0005-0000-0000-0000D4030000}"/>
    <cellStyle name="Normal 175 4" xfId="1098" xr:uid="{00000000-0005-0000-0000-0000D5030000}"/>
    <cellStyle name="Normal 175 5" xfId="1281" xr:uid="{00000000-0005-0000-0000-0000D6030000}"/>
    <cellStyle name="Normal 175 6" xfId="1466" xr:uid="{00000000-0005-0000-0000-0000D7030000}"/>
    <cellStyle name="Normal 175 7" xfId="1654" xr:uid="{00000000-0005-0000-0000-0000D8030000}"/>
    <cellStyle name="Normal 175 8" xfId="1842" xr:uid="{00000000-0005-0000-0000-0000D9030000}"/>
    <cellStyle name="Normal 175 9" xfId="2030" xr:uid="{00000000-0005-0000-0000-0000DA030000}"/>
    <cellStyle name="Normal 176" xfId="190" xr:uid="{00000000-0005-0000-0000-0000DB030000}"/>
    <cellStyle name="Normal 176 2" xfId="735" xr:uid="{00000000-0005-0000-0000-0000DC030000}"/>
    <cellStyle name="Normal 176 3" xfId="917" xr:uid="{00000000-0005-0000-0000-0000DD030000}"/>
    <cellStyle name="Normal 176 4" xfId="1099" xr:uid="{00000000-0005-0000-0000-0000DE030000}"/>
    <cellStyle name="Normal 176 5" xfId="1282" xr:uid="{00000000-0005-0000-0000-0000DF030000}"/>
    <cellStyle name="Normal 176 6" xfId="1467" xr:uid="{00000000-0005-0000-0000-0000E0030000}"/>
    <cellStyle name="Normal 176 7" xfId="1655" xr:uid="{00000000-0005-0000-0000-0000E1030000}"/>
    <cellStyle name="Normal 176 8" xfId="1843" xr:uid="{00000000-0005-0000-0000-0000E2030000}"/>
    <cellStyle name="Normal 176 9" xfId="2031" xr:uid="{00000000-0005-0000-0000-0000E3030000}"/>
    <cellStyle name="Normal 177" xfId="191" xr:uid="{00000000-0005-0000-0000-0000E4030000}"/>
    <cellStyle name="Normal 177 2" xfId="736" xr:uid="{00000000-0005-0000-0000-0000E5030000}"/>
    <cellStyle name="Normal 177 3" xfId="918" xr:uid="{00000000-0005-0000-0000-0000E6030000}"/>
    <cellStyle name="Normal 177 4" xfId="1100" xr:uid="{00000000-0005-0000-0000-0000E7030000}"/>
    <cellStyle name="Normal 177 5" xfId="1283" xr:uid="{00000000-0005-0000-0000-0000E8030000}"/>
    <cellStyle name="Normal 177 6" xfId="1468" xr:uid="{00000000-0005-0000-0000-0000E9030000}"/>
    <cellStyle name="Normal 177 7" xfId="1656" xr:uid="{00000000-0005-0000-0000-0000EA030000}"/>
    <cellStyle name="Normal 177 8" xfId="1844" xr:uid="{00000000-0005-0000-0000-0000EB030000}"/>
    <cellStyle name="Normal 177 9" xfId="2032" xr:uid="{00000000-0005-0000-0000-0000EC030000}"/>
    <cellStyle name="Normal 178" xfId="192" xr:uid="{00000000-0005-0000-0000-0000ED030000}"/>
    <cellStyle name="Normal 178 2" xfId="737" xr:uid="{00000000-0005-0000-0000-0000EE030000}"/>
    <cellStyle name="Normal 178 3" xfId="919" xr:uid="{00000000-0005-0000-0000-0000EF030000}"/>
    <cellStyle name="Normal 178 4" xfId="1101" xr:uid="{00000000-0005-0000-0000-0000F0030000}"/>
    <cellStyle name="Normal 178 5" xfId="1284" xr:uid="{00000000-0005-0000-0000-0000F1030000}"/>
    <cellStyle name="Normal 178 6" xfId="1469" xr:uid="{00000000-0005-0000-0000-0000F2030000}"/>
    <cellStyle name="Normal 178 7" xfId="1657" xr:uid="{00000000-0005-0000-0000-0000F3030000}"/>
    <cellStyle name="Normal 178 8" xfId="1845" xr:uid="{00000000-0005-0000-0000-0000F4030000}"/>
    <cellStyle name="Normal 178 9" xfId="2033" xr:uid="{00000000-0005-0000-0000-0000F5030000}"/>
    <cellStyle name="Normal 179" xfId="193" xr:uid="{00000000-0005-0000-0000-0000F6030000}"/>
    <cellStyle name="Normal 179 2" xfId="738" xr:uid="{00000000-0005-0000-0000-0000F7030000}"/>
    <cellStyle name="Normal 179 3" xfId="920" xr:uid="{00000000-0005-0000-0000-0000F8030000}"/>
    <cellStyle name="Normal 179 4" xfId="1102" xr:uid="{00000000-0005-0000-0000-0000F9030000}"/>
    <cellStyle name="Normal 179 5" xfId="1285" xr:uid="{00000000-0005-0000-0000-0000FA030000}"/>
    <cellStyle name="Normal 179 6" xfId="1470" xr:uid="{00000000-0005-0000-0000-0000FB030000}"/>
    <cellStyle name="Normal 179 7" xfId="1658" xr:uid="{00000000-0005-0000-0000-0000FC030000}"/>
    <cellStyle name="Normal 179 8" xfId="1846" xr:uid="{00000000-0005-0000-0000-0000FD030000}"/>
    <cellStyle name="Normal 179 9" xfId="2034" xr:uid="{00000000-0005-0000-0000-0000FE030000}"/>
    <cellStyle name="Normal 18" xfId="32" xr:uid="{00000000-0005-0000-0000-0000FF030000}"/>
    <cellStyle name="Normal 18 10" xfId="943" xr:uid="{00000000-0005-0000-0000-000000040000}"/>
    <cellStyle name="Normal 18 11" xfId="1126" xr:uid="{00000000-0005-0000-0000-000001040000}"/>
    <cellStyle name="Normal 18 12" xfId="1311" xr:uid="{00000000-0005-0000-0000-000002040000}"/>
    <cellStyle name="Normal 18 13" xfId="1499" xr:uid="{00000000-0005-0000-0000-000003040000}"/>
    <cellStyle name="Normal 18 14" xfId="1687" xr:uid="{00000000-0005-0000-0000-000004040000}"/>
    <cellStyle name="Normal 18 15" xfId="1875" xr:uid="{00000000-0005-0000-0000-000005040000}"/>
    <cellStyle name="Normal 18 2" xfId="376" xr:uid="{00000000-0005-0000-0000-000006040000}"/>
    <cellStyle name="Normal 18 3" xfId="439" xr:uid="{00000000-0005-0000-0000-000007040000}"/>
    <cellStyle name="Normal 18 4" xfId="461" xr:uid="{00000000-0005-0000-0000-000008040000}"/>
    <cellStyle name="Normal 18 5" xfId="481" xr:uid="{00000000-0005-0000-0000-000009040000}"/>
    <cellStyle name="Normal 18 6" xfId="514" xr:uid="{00000000-0005-0000-0000-00000A040000}"/>
    <cellStyle name="Normal 18 7" xfId="550" xr:uid="{00000000-0005-0000-0000-00000B040000}"/>
    <cellStyle name="Normal 18 8" xfId="579" xr:uid="{00000000-0005-0000-0000-00000C040000}"/>
    <cellStyle name="Normal 18 9" xfId="761" xr:uid="{00000000-0005-0000-0000-00000D040000}"/>
    <cellStyle name="Normal 180" xfId="194" xr:uid="{00000000-0005-0000-0000-00000E040000}"/>
    <cellStyle name="Normal 180 2" xfId="739" xr:uid="{00000000-0005-0000-0000-00000F040000}"/>
    <cellStyle name="Normal 180 3" xfId="921" xr:uid="{00000000-0005-0000-0000-000010040000}"/>
    <cellStyle name="Normal 180 4" xfId="1103" xr:uid="{00000000-0005-0000-0000-000011040000}"/>
    <cellStyle name="Normal 180 5" xfId="1286" xr:uid="{00000000-0005-0000-0000-000012040000}"/>
    <cellStyle name="Normal 180 6" xfId="1471" xr:uid="{00000000-0005-0000-0000-000013040000}"/>
    <cellStyle name="Normal 180 7" xfId="1659" xr:uid="{00000000-0005-0000-0000-000014040000}"/>
    <cellStyle name="Normal 180 8" xfId="1847" xr:uid="{00000000-0005-0000-0000-000015040000}"/>
    <cellStyle name="Normal 180 9" xfId="2035" xr:uid="{00000000-0005-0000-0000-000016040000}"/>
    <cellStyle name="Normal 181" xfId="195" xr:uid="{00000000-0005-0000-0000-000017040000}"/>
    <cellStyle name="Normal 181 10" xfId="2036" xr:uid="{00000000-0005-0000-0000-000018040000}"/>
    <cellStyle name="Normal 181 2" xfId="558" xr:uid="{00000000-0005-0000-0000-000019040000}"/>
    <cellStyle name="Normal 181 3" xfId="740" xr:uid="{00000000-0005-0000-0000-00001A040000}"/>
    <cellStyle name="Normal 181 4" xfId="922" xr:uid="{00000000-0005-0000-0000-00001B040000}"/>
    <cellStyle name="Normal 181 5" xfId="1104" xr:uid="{00000000-0005-0000-0000-00001C040000}"/>
    <cellStyle name="Normal 181 6" xfId="1287" xr:uid="{00000000-0005-0000-0000-00001D040000}"/>
    <cellStyle name="Normal 181 7" xfId="1472" xr:uid="{00000000-0005-0000-0000-00001E040000}"/>
    <cellStyle name="Normal 181 8" xfId="1660" xr:uid="{00000000-0005-0000-0000-00001F040000}"/>
    <cellStyle name="Normal 181 9" xfId="1848" xr:uid="{00000000-0005-0000-0000-000020040000}"/>
    <cellStyle name="Normal 182" xfId="37" xr:uid="{00000000-0005-0000-0000-000021040000}"/>
    <cellStyle name="Normal 182 2" xfId="583" xr:uid="{00000000-0005-0000-0000-000022040000}"/>
    <cellStyle name="Normal 182 3" xfId="765" xr:uid="{00000000-0005-0000-0000-000023040000}"/>
    <cellStyle name="Normal 182 4" xfId="947" xr:uid="{00000000-0005-0000-0000-000024040000}"/>
    <cellStyle name="Normal 182 5" xfId="1130" xr:uid="{00000000-0005-0000-0000-000025040000}"/>
    <cellStyle name="Normal 182 6" xfId="1315" xr:uid="{00000000-0005-0000-0000-000026040000}"/>
    <cellStyle name="Normal 182 7" xfId="1503" xr:uid="{00000000-0005-0000-0000-000027040000}"/>
    <cellStyle name="Normal 182 8" xfId="1691" xr:uid="{00000000-0005-0000-0000-000028040000}"/>
    <cellStyle name="Normal 182 9" xfId="1879" xr:uid="{00000000-0005-0000-0000-000029040000}"/>
    <cellStyle name="Normal 183" xfId="530" xr:uid="{00000000-0005-0000-0000-00002A040000}"/>
    <cellStyle name="Normal 184" xfId="559" xr:uid="{00000000-0005-0000-0000-00002B040000}"/>
    <cellStyle name="Normal 185" xfId="741" xr:uid="{00000000-0005-0000-0000-00002C040000}"/>
    <cellStyle name="Normal 186" xfId="923" xr:uid="{00000000-0005-0000-0000-00002D040000}"/>
    <cellStyle name="Normal 187" xfId="1106" xr:uid="{00000000-0005-0000-0000-00002E040000}"/>
    <cellStyle name="Normal 188" xfId="1291" xr:uid="{00000000-0005-0000-0000-00002F040000}"/>
    <cellStyle name="Normal 189" xfId="1479" xr:uid="{00000000-0005-0000-0000-000030040000}"/>
    <cellStyle name="Normal 19" xfId="33" xr:uid="{00000000-0005-0000-0000-000031040000}"/>
    <cellStyle name="Normal 19 10" xfId="762" xr:uid="{00000000-0005-0000-0000-000032040000}"/>
    <cellStyle name="Normal 19 11" xfId="944" xr:uid="{00000000-0005-0000-0000-000033040000}"/>
    <cellStyle name="Normal 19 12" xfId="1127" xr:uid="{00000000-0005-0000-0000-000034040000}"/>
    <cellStyle name="Normal 19 13" xfId="1312" xr:uid="{00000000-0005-0000-0000-000035040000}"/>
    <cellStyle name="Normal 19 14" xfId="1500" xr:uid="{00000000-0005-0000-0000-000036040000}"/>
    <cellStyle name="Normal 19 15" xfId="1688" xr:uid="{00000000-0005-0000-0000-000037040000}"/>
    <cellStyle name="Normal 19 16" xfId="1876" xr:uid="{00000000-0005-0000-0000-000038040000}"/>
    <cellStyle name="Normal 19 2" xfId="365" xr:uid="{00000000-0005-0000-0000-000039040000}"/>
    <cellStyle name="Normal 19 2 2" xfId="471" xr:uid="{00000000-0005-0000-0000-00003A040000}"/>
    <cellStyle name="Normal 19 2 3" xfId="504" xr:uid="{00000000-0005-0000-0000-00003B040000}"/>
    <cellStyle name="Normal 19 3" xfId="358" xr:uid="{00000000-0005-0000-0000-00003C040000}"/>
    <cellStyle name="Normal 19 4" xfId="440" xr:uid="{00000000-0005-0000-0000-00003D040000}"/>
    <cellStyle name="Normal 19 5" xfId="462" xr:uid="{00000000-0005-0000-0000-00003E040000}"/>
    <cellStyle name="Normal 19 6" xfId="464" xr:uid="{00000000-0005-0000-0000-00003F040000}"/>
    <cellStyle name="Normal 19 7" xfId="497" xr:uid="{00000000-0005-0000-0000-000040040000}"/>
    <cellStyle name="Normal 19 8" xfId="551" xr:uid="{00000000-0005-0000-0000-000041040000}"/>
    <cellStyle name="Normal 19 9" xfId="580" xr:uid="{00000000-0005-0000-0000-000042040000}"/>
    <cellStyle name="Normal 190" xfId="1667" xr:uid="{00000000-0005-0000-0000-000043040000}"/>
    <cellStyle name="Normal 191" xfId="1855" xr:uid="{00000000-0005-0000-0000-000044040000}"/>
    <cellStyle name="Normal 192" xfId="241" xr:uid="{00000000-0005-0000-0000-000045040000}"/>
    <cellStyle name="Normal 193" xfId="3" xr:uid="{00000000-0005-0000-0000-000046040000}"/>
    <cellStyle name="Normal 2" xfId="14" xr:uid="{00000000-0005-0000-0000-000047040000}"/>
    <cellStyle name="Normal 2 10" xfId="377" xr:uid="{00000000-0005-0000-0000-000048040000}"/>
    <cellStyle name="Normal 2 10 2" xfId="482" xr:uid="{00000000-0005-0000-0000-000049040000}"/>
    <cellStyle name="Normal 2 10 3" xfId="515" xr:uid="{00000000-0005-0000-0000-00004A040000}"/>
    <cellStyle name="Normal 2 11" xfId="371" xr:uid="{00000000-0005-0000-0000-00004B040000}"/>
    <cellStyle name="Normal 2 12" xfId="421" xr:uid="{00000000-0005-0000-0000-00004C040000}"/>
    <cellStyle name="Normal 2 13" xfId="443" xr:uid="{00000000-0005-0000-0000-00004D040000}"/>
    <cellStyle name="Normal 2 14" xfId="532" xr:uid="{00000000-0005-0000-0000-00004E040000}"/>
    <cellStyle name="Normal 2 15" xfId="561" xr:uid="{00000000-0005-0000-0000-00004F040000}"/>
    <cellStyle name="Normal 2 16" xfId="743" xr:uid="{00000000-0005-0000-0000-000050040000}"/>
    <cellStyle name="Normal 2 17" xfId="925" xr:uid="{00000000-0005-0000-0000-000051040000}"/>
    <cellStyle name="Normal 2 18" xfId="1108" xr:uid="{00000000-0005-0000-0000-000052040000}"/>
    <cellStyle name="Normal 2 19" xfId="1293" xr:uid="{00000000-0005-0000-0000-000053040000}"/>
    <cellStyle name="Normal 2 2" xfId="329" xr:uid="{00000000-0005-0000-0000-000054040000}"/>
    <cellStyle name="Normal 2 2 2" xfId="378" xr:uid="{00000000-0005-0000-0000-000055040000}"/>
    <cellStyle name="Normal 2 2 3" xfId="483" xr:uid="{00000000-0005-0000-0000-000056040000}"/>
    <cellStyle name="Normal 2 2 4" xfId="516" xr:uid="{00000000-0005-0000-0000-000057040000}"/>
    <cellStyle name="Normal 2 2 5" xfId="2086" xr:uid="{00000000-0005-0000-0000-000058040000}"/>
    <cellStyle name="Normal 2 20" xfId="1481" xr:uid="{00000000-0005-0000-0000-000059040000}"/>
    <cellStyle name="Normal 2 21" xfId="1669" xr:uid="{00000000-0005-0000-0000-00005A040000}"/>
    <cellStyle name="Normal 2 22" xfId="1857" xr:uid="{00000000-0005-0000-0000-00005B040000}"/>
    <cellStyle name="Normal 2 23" xfId="284" xr:uid="{00000000-0005-0000-0000-00005C040000}"/>
    <cellStyle name="Normal 2 24" xfId="2082" xr:uid="{00000000-0005-0000-0000-00005D040000}"/>
    <cellStyle name="Normal 2 3" xfId="348" xr:uid="{00000000-0005-0000-0000-00005E040000}"/>
    <cellStyle name="Normal 2 3 2" xfId="353" xr:uid="{00000000-0005-0000-0000-00005F040000}"/>
    <cellStyle name="Normal 2 3 3" xfId="379" xr:uid="{00000000-0005-0000-0000-000060040000}"/>
    <cellStyle name="Normal 2 3 4" xfId="484" xr:uid="{00000000-0005-0000-0000-000061040000}"/>
    <cellStyle name="Normal 2 3 5" xfId="517" xr:uid="{00000000-0005-0000-0000-000062040000}"/>
    <cellStyle name="Normal 2 4" xfId="350" xr:uid="{00000000-0005-0000-0000-000063040000}"/>
    <cellStyle name="Normal 2 4 2" xfId="380" xr:uid="{00000000-0005-0000-0000-000064040000}"/>
    <cellStyle name="Normal 2 4 3" xfId="485" xr:uid="{00000000-0005-0000-0000-000065040000}"/>
    <cellStyle name="Normal 2 4 4" xfId="518" xr:uid="{00000000-0005-0000-0000-000066040000}"/>
    <cellStyle name="Normal 2 5" xfId="356" xr:uid="{00000000-0005-0000-0000-000067040000}"/>
    <cellStyle name="Normal 2 5 2" xfId="381" xr:uid="{00000000-0005-0000-0000-000068040000}"/>
    <cellStyle name="Normal 2 5 3" xfId="486" xr:uid="{00000000-0005-0000-0000-000069040000}"/>
    <cellStyle name="Normal 2 5 4" xfId="519" xr:uid="{00000000-0005-0000-0000-00006A040000}"/>
    <cellStyle name="Normal 2 6" xfId="382" xr:uid="{00000000-0005-0000-0000-00006B040000}"/>
    <cellStyle name="Normal 2 6 2" xfId="487" xr:uid="{00000000-0005-0000-0000-00006C040000}"/>
    <cellStyle name="Normal 2 6 3" xfId="520" xr:uid="{00000000-0005-0000-0000-00006D040000}"/>
    <cellStyle name="Normal 2 7" xfId="383" xr:uid="{00000000-0005-0000-0000-00006E040000}"/>
    <cellStyle name="Normal 2 7 2" xfId="488" xr:uid="{00000000-0005-0000-0000-00006F040000}"/>
    <cellStyle name="Normal 2 7 3" xfId="521" xr:uid="{00000000-0005-0000-0000-000070040000}"/>
    <cellStyle name="Normal 2 8" xfId="384" xr:uid="{00000000-0005-0000-0000-000071040000}"/>
    <cellStyle name="Normal 2 8 2" xfId="489" xr:uid="{00000000-0005-0000-0000-000072040000}"/>
    <cellStyle name="Normal 2 8 3" xfId="522" xr:uid="{00000000-0005-0000-0000-000073040000}"/>
    <cellStyle name="Normal 2 9" xfId="385" xr:uid="{00000000-0005-0000-0000-000074040000}"/>
    <cellStyle name="Normal 2 9 2" xfId="490" xr:uid="{00000000-0005-0000-0000-000075040000}"/>
    <cellStyle name="Normal 2 9 3" xfId="523" xr:uid="{00000000-0005-0000-0000-000076040000}"/>
    <cellStyle name="Normal 20" xfId="19" xr:uid="{00000000-0005-0000-0000-000077040000}"/>
    <cellStyle name="Normal 20 10" xfId="930" xr:uid="{00000000-0005-0000-0000-000078040000}"/>
    <cellStyle name="Normal 20 11" xfId="1113" xr:uid="{00000000-0005-0000-0000-000079040000}"/>
    <cellStyle name="Normal 20 12" xfId="1298" xr:uid="{00000000-0005-0000-0000-00007A040000}"/>
    <cellStyle name="Normal 20 13" xfId="1486" xr:uid="{00000000-0005-0000-0000-00007B040000}"/>
    <cellStyle name="Normal 20 14" xfId="1674" xr:uid="{00000000-0005-0000-0000-00007C040000}"/>
    <cellStyle name="Normal 20 15" xfId="1862" xr:uid="{00000000-0005-0000-0000-00007D040000}"/>
    <cellStyle name="Normal 20 2" xfId="386" xr:uid="{00000000-0005-0000-0000-00007E040000}"/>
    <cellStyle name="Normal 20 3" xfId="426" xr:uid="{00000000-0005-0000-0000-00007F040000}"/>
    <cellStyle name="Normal 20 4" xfId="448" xr:uid="{00000000-0005-0000-0000-000080040000}"/>
    <cellStyle name="Normal 20 5" xfId="491" xr:uid="{00000000-0005-0000-0000-000081040000}"/>
    <cellStyle name="Normal 20 6" xfId="524" xr:uid="{00000000-0005-0000-0000-000082040000}"/>
    <cellStyle name="Normal 20 7" xfId="537" xr:uid="{00000000-0005-0000-0000-000083040000}"/>
    <cellStyle name="Normal 20 8" xfId="566" xr:uid="{00000000-0005-0000-0000-000084040000}"/>
    <cellStyle name="Normal 20 9" xfId="748" xr:uid="{00000000-0005-0000-0000-000085040000}"/>
    <cellStyle name="Normal 21" xfId="20" xr:uid="{00000000-0005-0000-0000-000086040000}"/>
    <cellStyle name="Normal 21 10" xfId="931" xr:uid="{00000000-0005-0000-0000-000087040000}"/>
    <cellStyle name="Normal 21 11" xfId="1114" xr:uid="{00000000-0005-0000-0000-000088040000}"/>
    <cellStyle name="Normal 21 12" xfId="1299" xr:uid="{00000000-0005-0000-0000-000089040000}"/>
    <cellStyle name="Normal 21 13" xfId="1487" xr:uid="{00000000-0005-0000-0000-00008A040000}"/>
    <cellStyle name="Normal 21 14" xfId="1675" xr:uid="{00000000-0005-0000-0000-00008B040000}"/>
    <cellStyle name="Normal 21 15" xfId="1863" xr:uid="{00000000-0005-0000-0000-00008C040000}"/>
    <cellStyle name="Normal 21 2" xfId="387" xr:uid="{00000000-0005-0000-0000-00008D040000}"/>
    <cellStyle name="Normal 21 3" xfId="427" xr:uid="{00000000-0005-0000-0000-00008E040000}"/>
    <cellStyle name="Normal 21 4" xfId="449" xr:uid="{00000000-0005-0000-0000-00008F040000}"/>
    <cellStyle name="Normal 21 5" xfId="492" xr:uid="{00000000-0005-0000-0000-000090040000}"/>
    <cellStyle name="Normal 21 6" xfId="525" xr:uid="{00000000-0005-0000-0000-000091040000}"/>
    <cellStyle name="Normal 21 7" xfId="538" xr:uid="{00000000-0005-0000-0000-000092040000}"/>
    <cellStyle name="Normal 21 8" xfId="567" xr:uid="{00000000-0005-0000-0000-000093040000}"/>
    <cellStyle name="Normal 21 9" xfId="749" xr:uid="{00000000-0005-0000-0000-000094040000}"/>
    <cellStyle name="Normal 22" xfId="18" xr:uid="{00000000-0005-0000-0000-000095040000}"/>
    <cellStyle name="Normal 22 10" xfId="929" xr:uid="{00000000-0005-0000-0000-000096040000}"/>
    <cellStyle name="Normal 22 11" xfId="1112" xr:uid="{00000000-0005-0000-0000-000097040000}"/>
    <cellStyle name="Normal 22 12" xfId="1297" xr:uid="{00000000-0005-0000-0000-000098040000}"/>
    <cellStyle name="Normal 22 13" xfId="1485" xr:uid="{00000000-0005-0000-0000-000099040000}"/>
    <cellStyle name="Normal 22 14" xfId="1673" xr:uid="{00000000-0005-0000-0000-00009A040000}"/>
    <cellStyle name="Normal 22 15" xfId="1861" xr:uid="{00000000-0005-0000-0000-00009B040000}"/>
    <cellStyle name="Normal 22 2" xfId="388" xr:uid="{00000000-0005-0000-0000-00009C040000}"/>
    <cellStyle name="Normal 22 3" xfId="425" xr:uid="{00000000-0005-0000-0000-00009D040000}"/>
    <cellStyle name="Normal 22 4" xfId="447" xr:uid="{00000000-0005-0000-0000-00009E040000}"/>
    <cellStyle name="Normal 22 5" xfId="493" xr:uid="{00000000-0005-0000-0000-00009F040000}"/>
    <cellStyle name="Normal 22 6" xfId="526" xr:uid="{00000000-0005-0000-0000-0000A0040000}"/>
    <cellStyle name="Normal 22 7" xfId="536" xr:uid="{00000000-0005-0000-0000-0000A1040000}"/>
    <cellStyle name="Normal 22 8" xfId="565" xr:uid="{00000000-0005-0000-0000-0000A2040000}"/>
    <cellStyle name="Normal 22 9" xfId="747" xr:uid="{00000000-0005-0000-0000-0000A3040000}"/>
    <cellStyle name="Normal 23" xfId="34" xr:uid="{00000000-0005-0000-0000-0000A4040000}"/>
    <cellStyle name="Normal 23 10" xfId="1501" xr:uid="{00000000-0005-0000-0000-0000A5040000}"/>
    <cellStyle name="Normal 23 11" xfId="1689" xr:uid="{00000000-0005-0000-0000-0000A6040000}"/>
    <cellStyle name="Normal 23 12" xfId="1877" xr:uid="{00000000-0005-0000-0000-0000A7040000}"/>
    <cellStyle name="Normal 23 2" xfId="441" xr:uid="{00000000-0005-0000-0000-0000A8040000}"/>
    <cellStyle name="Normal 23 3" xfId="463" xr:uid="{00000000-0005-0000-0000-0000A9040000}"/>
    <cellStyle name="Normal 23 4" xfId="552" xr:uid="{00000000-0005-0000-0000-0000AA040000}"/>
    <cellStyle name="Normal 23 5" xfId="581" xr:uid="{00000000-0005-0000-0000-0000AB040000}"/>
    <cellStyle name="Normal 23 6" xfId="763" xr:uid="{00000000-0005-0000-0000-0000AC040000}"/>
    <cellStyle name="Normal 23 7" xfId="945" xr:uid="{00000000-0005-0000-0000-0000AD040000}"/>
    <cellStyle name="Normal 23 8" xfId="1128" xr:uid="{00000000-0005-0000-0000-0000AE040000}"/>
    <cellStyle name="Normal 23 9" xfId="1313" xr:uid="{00000000-0005-0000-0000-0000AF040000}"/>
    <cellStyle name="Normal 24" xfId="35" xr:uid="{00000000-0005-0000-0000-0000B0040000}"/>
    <cellStyle name="Normal 24 2" xfId="145" xr:uid="{00000000-0005-0000-0000-0000B1040000}"/>
    <cellStyle name="Normal 24 3" xfId="38" xr:uid="{00000000-0005-0000-0000-0000B2040000}"/>
    <cellStyle name="Normal 24 3 2" xfId="584" xr:uid="{00000000-0005-0000-0000-0000B3040000}"/>
    <cellStyle name="Normal 24 3 3" xfId="766" xr:uid="{00000000-0005-0000-0000-0000B4040000}"/>
    <cellStyle name="Normal 24 3 4" xfId="948" xr:uid="{00000000-0005-0000-0000-0000B5040000}"/>
    <cellStyle name="Normal 24 3 5" xfId="1131" xr:uid="{00000000-0005-0000-0000-0000B6040000}"/>
    <cellStyle name="Normal 24 3 6" xfId="1316" xr:uid="{00000000-0005-0000-0000-0000B7040000}"/>
    <cellStyle name="Normal 24 3 7" xfId="1504" xr:uid="{00000000-0005-0000-0000-0000B8040000}"/>
    <cellStyle name="Normal 24 3 8" xfId="1692" xr:uid="{00000000-0005-0000-0000-0000B9040000}"/>
    <cellStyle name="Normal 24 3 9" xfId="1880" xr:uid="{00000000-0005-0000-0000-0000BA040000}"/>
    <cellStyle name="Normal 25" xfId="39" xr:uid="{00000000-0005-0000-0000-0000BB040000}"/>
    <cellStyle name="Normal 25 10" xfId="1881" xr:uid="{00000000-0005-0000-0000-0000BC040000}"/>
    <cellStyle name="Normal 25 2" xfId="553" xr:uid="{00000000-0005-0000-0000-0000BD040000}"/>
    <cellStyle name="Normal 25 3" xfId="585" xr:uid="{00000000-0005-0000-0000-0000BE040000}"/>
    <cellStyle name="Normal 25 4" xfId="767" xr:uid="{00000000-0005-0000-0000-0000BF040000}"/>
    <cellStyle name="Normal 25 5" xfId="949" xr:uid="{00000000-0005-0000-0000-0000C0040000}"/>
    <cellStyle name="Normal 25 6" xfId="1132" xr:uid="{00000000-0005-0000-0000-0000C1040000}"/>
    <cellStyle name="Normal 25 7" xfId="1317" xr:uid="{00000000-0005-0000-0000-0000C2040000}"/>
    <cellStyle name="Normal 25 8" xfId="1505" xr:uid="{00000000-0005-0000-0000-0000C3040000}"/>
    <cellStyle name="Normal 25 9" xfId="1693" xr:uid="{00000000-0005-0000-0000-0000C4040000}"/>
    <cellStyle name="Normal 26" xfId="40" xr:uid="{00000000-0005-0000-0000-0000C5040000}"/>
    <cellStyle name="Normal 26 10" xfId="1882" xr:uid="{00000000-0005-0000-0000-0000C6040000}"/>
    <cellStyle name="Normal 26 2" xfId="554" xr:uid="{00000000-0005-0000-0000-0000C7040000}"/>
    <cellStyle name="Normal 26 3" xfId="586" xr:uid="{00000000-0005-0000-0000-0000C8040000}"/>
    <cellStyle name="Normal 26 4" xfId="768" xr:uid="{00000000-0005-0000-0000-0000C9040000}"/>
    <cellStyle name="Normal 26 5" xfId="950" xr:uid="{00000000-0005-0000-0000-0000CA040000}"/>
    <cellStyle name="Normal 26 6" xfId="1133" xr:uid="{00000000-0005-0000-0000-0000CB040000}"/>
    <cellStyle name="Normal 26 7" xfId="1318" xr:uid="{00000000-0005-0000-0000-0000CC040000}"/>
    <cellStyle name="Normal 26 8" xfId="1506" xr:uid="{00000000-0005-0000-0000-0000CD040000}"/>
    <cellStyle name="Normal 26 9" xfId="1694" xr:uid="{00000000-0005-0000-0000-0000CE040000}"/>
    <cellStyle name="Normal 27" xfId="41" xr:uid="{00000000-0005-0000-0000-0000CF040000}"/>
    <cellStyle name="Normal 27 10" xfId="1883" xr:uid="{00000000-0005-0000-0000-0000D0040000}"/>
    <cellStyle name="Normal 27 2" xfId="555" xr:uid="{00000000-0005-0000-0000-0000D1040000}"/>
    <cellStyle name="Normal 27 3" xfId="587" xr:uid="{00000000-0005-0000-0000-0000D2040000}"/>
    <cellStyle name="Normal 27 4" xfId="769" xr:uid="{00000000-0005-0000-0000-0000D3040000}"/>
    <cellStyle name="Normal 27 5" xfId="951" xr:uid="{00000000-0005-0000-0000-0000D4040000}"/>
    <cellStyle name="Normal 27 6" xfId="1134" xr:uid="{00000000-0005-0000-0000-0000D5040000}"/>
    <cellStyle name="Normal 27 7" xfId="1319" xr:uid="{00000000-0005-0000-0000-0000D6040000}"/>
    <cellStyle name="Normal 27 8" xfId="1507" xr:uid="{00000000-0005-0000-0000-0000D7040000}"/>
    <cellStyle name="Normal 27 9" xfId="1695" xr:uid="{00000000-0005-0000-0000-0000D8040000}"/>
    <cellStyle name="Normal 28" xfId="42" xr:uid="{00000000-0005-0000-0000-0000D9040000}"/>
    <cellStyle name="Normal 28 10" xfId="1884" xr:uid="{00000000-0005-0000-0000-0000DA040000}"/>
    <cellStyle name="Normal 28 2" xfId="556" xr:uid="{00000000-0005-0000-0000-0000DB040000}"/>
    <cellStyle name="Normal 28 3" xfId="588" xr:uid="{00000000-0005-0000-0000-0000DC040000}"/>
    <cellStyle name="Normal 28 4" xfId="770" xr:uid="{00000000-0005-0000-0000-0000DD040000}"/>
    <cellStyle name="Normal 28 5" xfId="952" xr:uid="{00000000-0005-0000-0000-0000DE040000}"/>
    <cellStyle name="Normal 28 6" xfId="1135" xr:uid="{00000000-0005-0000-0000-0000DF040000}"/>
    <cellStyle name="Normal 28 7" xfId="1320" xr:uid="{00000000-0005-0000-0000-0000E0040000}"/>
    <cellStyle name="Normal 28 8" xfId="1508" xr:uid="{00000000-0005-0000-0000-0000E1040000}"/>
    <cellStyle name="Normal 28 9" xfId="1696" xr:uid="{00000000-0005-0000-0000-0000E2040000}"/>
    <cellStyle name="Normal 29" xfId="43" xr:uid="{00000000-0005-0000-0000-0000E3040000}"/>
    <cellStyle name="Normal 29 10" xfId="1885" xr:uid="{00000000-0005-0000-0000-0000E4040000}"/>
    <cellStyle name="Normal 29 2" xfId="557" xr:uid="{00000000-0005-0000-0000-0000E5040000}"/>
    <cellStyle name="Normal 29 3" xfId="589" xr:uid="{00000000-0005-0000-0000-0000E6040000}"/>
    <cellStyle name="Normal 29 4" xfId="771" xr:uid="{00000000-0005-0000-0000-0000E7040000}"/>
    <cellStyle name="Normal 29 5" xfId="953" xr:uid="{00000000-0005-0000-0000-0000E8040000}"/>
    <cellStyle name="Normal 29 6" xfId="1136" xr:uid="{00000000-0005-0000-0000-0000E9040000}"/>
    <cellStyle name="Normal 29 7" xfId="1321" xr:uid="{00000000-0005-0000-0000-0000EA040000}"/>
    <cellStyle name="Normal 29 8" xfId="1509" xr:uid="{00000000-0005-0000-0000-0000EB040000}"/>
    <cellStyle name="Normal 29 9" xfId="1697" xr:uid="{00000000-0005-0000-0000-0000EC040000}"/>
    <cellStyle name="Normal 3" xfId="15" xr:uid="{00000000-0005-0000-0000-0000ED040000}"/>
    <cellStyle name="Normal 3 10" xfId="562" xr:uid="{00000000-0005-0000-0000-0000EE040000}"/>
    <cellStyle name="Normal 3 11" xfId="744" xr:uid="{00000000-0005-0000-0000-0000EF040000}"/>
    <cellStyle name="Normal 3 12" xfId="926" xr:uid="{00000000-0005-0000-0000-0000F0040000}"/>
    <cellStyle name="Normal 3 13" xfId="1109" xr:uid="{00000000-0005-0000-0000-0000F1040000}"/>
    <cellStyle name="Normal 3 14" xfId="1294" xr:uid="{00000000-0005-0000-0000-0000F2040000}"/>
    <cellStyle name="Normal 3 15" xfId="1482" xr:uid="{00000000-0005-0000-0000-0000F3040000}"/>
    <cellStyle name="Normal 3 16" xfId="1670" xr:uid="{00000000-0005-0000-0000-0000F4040000}"/>
    <cellStyle name="Normal 3 17" xfId="1858" xr:uid="{00000000-0005-0000-0000-0000F5040000}"/>
    <cellStyle name="Normal 3 2" xfId="330" xr:uid="{00000000-0005-0000-0000-0000F6040000}"/>
    <cellStyle name="Normal 3 2 2" xfId="344" xr:uid="{00000000-0005-0000-0000-0000F7040000}"/>
    <cellStyle name="Normal 3 2 3" xfId="390" xr:uid="{00000000-0005-0000-0000-0000F8040000}"/>
    <cellStyle name="Normal 3 3" xfId="331" xr:uid="{00000000-0005-0000-0000-0000F9040000}"/>
    <cellStyle name="Normal 3 4" xfId="389" xr:uid="{00000000-0005-0000-0000-0000FA040000}"/>
    <cellStyle name="Normal 3 5" xfId="422" xr:uid="{00000000-0005-0000-0000-0000FB040000}"/>
    <cellStyle name="Normal 3 6" xfId="444" xr:uid="{00000000-0005-0000-0000-0000FC040000}"/>
    <cellStyle name="Normal 3 7" xfId="494" xr:uid="{00000000-0005-0000-0000-0000FD040000}"/>
    <cellStyle name="Normal 3 8" xfId="527" xr:uid="{00000000-0005-0000-0000-0000FE040000}"/>
    <cellStyle name="Normal 3 9" xfId="533" xr:uid="{00000000-0005-0000-0000-0000FF040000}"/>
    <cellStyle name="Normal 30" xfId="44" xr:uid="{00000000-0005-0000-0000-000000050000}"/>
    <cellStyle name="Normal 30 2" xfId="590" xr:uid="{00000000-0005-0000-0000-000001050000}"/>
    <cellStyle name="Normal 30 3" xfId="772" xr:uid="{00000000-0005-0000-0000-000002050000}"/>
    <cellStyle name="Normal 30 4" xfId="954" xr:uid="{00000000-0005-0000-0000-000003050000}"/>
    <cellStyle name="Normal 30 5" xfId="1137" xr:uid="{00000000-0005-0000-0000-000004050000}"/>
    <cellStyle name="Normal 30 6" xfId="1322" xr:uid="{00000000-0005-0000-0000-000005050000}"/>
    <cellStyle name="Normal 30 7" xfId="1510" xr:uid="{00000000-0005-0000-0000-000006050000}"/>
    <cellStyle name="Normal 30 8" xfId="1698" xr:uid="{00000000-0005-0000-0000-000007050000}"/>
    <cellStyle name="Normal 30 9" xfId="1886" xr:uid="{00000000-0005-0000-0000-000008050000}"/>
    <cellStyle name="Normal 305" xfId="198" xr:uid="{00000000-0005-0000-0000-000009050000}"/>
    <cellStyle name="Normal 305 2" xfId="1290" xr:uid="{00000000-0005-0000-0000-00000A050000}"/>
    <cellStyle name="Normal 305 3" xfId="1475" xr:uid="{00000000-0005-0000-0000-00000B050000}"/>
    <cellStyle name="Normal 305 4" xfId="1663" xr:uid="{00000000-0005-0000-0000-00000C050000}"/>
    <cellStyle name="Normal 305 5" xfId="1851" xr:uid="{00000000-0005-0000-0000-00000D050000}"/>
    <cellStyle name="Normal 305 6" xfId="2039" xr:uid="{00000000-0005-0000-0000-00000E050000}"/>
    <cellStyle name="Normal 307" xfId="197" xr:uid="{00000000-0005-0000-0000-00000F050000}"/>
    <cellStyle name="Normal 307 2" xfId="1289" xr:uid="{00000000-0005-0000-0000-000010050000}"/>
    <cellStyle name="Normal 307 3" xfId="1474" xr:uid="{00000000-0005-0000-0000-000011050000}"/>
    <cellStyle name="Normal 307 4" xfId="1662" xr:uid="{00000000-0005-0000-0000-000012050000}"/>
    <cellStyle name="Normal 307 5" xfId="1850" xr:uid="{00000000-0005-0000-0000-000013050000}"/>
    <cellStyle name="Normal 307 6" xfId="2038" xr:uid="{00000000-0005-0000-0000-000014050000}"/>
    <cellStyle name="Normal 308" xfId="196" xr:uid="{00000000-0005-0000-0000-000015050000}"/>
    <cellStyle name="Normal 308 2" xfId="1288" xr:uid="{00000000-0005-0000-0000-000016050000}"/>
    <cellStyle name="Normal 308 3" xfId="1473" xr:uid="{00000000-0005-0000-0000-000017050000}"/>
    <cellStyle name="Normal 308 4" xfId="1661" xr:uid="{00000000-0005-0000-0000-000018050000}"/>
    <cellStyle name="Normal 308 5" xfId="1849" xr:uid="{00000000-0005-0000-0000-000019050000}"/>
    <cellStyle name="Normal 308 6" xfId="2037" xr:uid="{00000000-0005-0000-0000-00001A050000}"/>
    <cellStyle name="Normal 31" xfId="45" xr:uid="{00000000-0005-0000-0000-00001B050000}"/>
    <cellStyle name="Normal 31 2" xfId="591" xr:uid="{00000000-0005-0000-0000-00001C050000}"/>
    <cellStyle name="Normal 31 3" xfId="773" xr:uid="{00000000-0005-0000-0000-00001D050000}"/>
    <cellStyle name="Normal 31 4" xfId="955" xr:uid="{00000000-0005-0000-0000-00001E050000}"/>
    <cellStyle name="Normal 31 5" xfId="1138" xr:uid="{00000000-0005-0000-0000-00001F050000}"/>
    <cellStyle name="Normal 31 6" xfId="1323" xr:uid="{00000000-0005-0000-0000-000020050000}"/>
    <cellStyle name="Normal 31 7" xfId="1511" xr:uid="{00000000-0005-0000-0000-000021050000}"/>
    <cellStyle name="Normal 31 8" xfId="1699" xr:uid="{00000000-0005-0000-0000-000022050000}"/>
    <cellStyle name="Normal 31 9" xfId="1887" xr:uid="{00000000-0005-0000-0000-000023050000}"/>
    <cellStyle name="Normal 316" xfId="199" xr:uid="{00000000-0005-0000-0000-000024050000}"/>
    <cellStyle name="Normal 316 2" xfId="1476" xr:uid="{00000000-0005-0000-0000-000025050000}"/>
    <cellStyle name="Normal 316 3" xfId="1664" xr:uid="{00000000-0005-0000-0000-000026050000}"/>
    <cellStyle name="Normal 316 4" xfId="1852" xr:uid="{00000000-0005-0000-0000-000027050000}"/>
    <cellStyle name="Normal 316 5" xfId="2040" xr:uid="{00000000-0005-0000-0000-000028050000}"/>
    <cellStyle name="Normal 317" xfId="200" xr:uid="{00000000-0005-0000-0000-000029050000}"/>
    <cellStyle name="Normal 317 2" xfId="1477" xr:uid="{00000000-0005-0000-0000-00002A050000}"/>
    <cellStyle name="Normal 317 3" xfId="1665" xr:uid="{00000000-0005-0000-0000-00002B050000}"/>
    <cellStyle name="Normal 317 4" xfId="1853" xr:uid="{00000000-0005-0000-0000-00002C050000}"/>
    <cellStyle name="Normal 317 5" xfId="2041" xr:uid="{00000000-0005-0000-0000-00002D050000}"/>
    <cellStyle name="Normal 319" xfId="201" xr:uid="{00000000-0005-0000-0000-00002E050000}"/>
    <cellStyle name="Normal 319 2" xfId="1478" xr:uid="{00000000-0005-0000-0000-00002F050000}"/>
    <cellStyle name="Normal 319 3" xfId="1666" xr:uid="{00000000-0005-0000-0000-000030050000}"/>
    <cellStyle name="Normal 319 4" xfId="1854" xr:uid="{00000000-0005-0000-0000-000031050000}"/>
    <cellStyle name="Normal 319 5" xfId="2042" xr:uid="{00000000-0005-0000-0000-000032050000}"/>
    <cellStyle name="Normal 32" xfId="46" xr:uid="{00000000-0005-0000-0000-000033050000}"/>
    <cellStyle name="Normal 32 2" xfId="592" xr:uid="{00000000-0005-0000-0000-000034050000}"/>
    <cellStyle name="Normal 32 3" xfId="774" xr:uid="{00000000-0005-0000-0000-000035050000}"/>
    <cellStyle name="Normal 32 4" xfId="956" xr:uid="{00000000-0005-0000-0000-000036050000}"/>
    <cellStyle name="Normal 32 5" xfId="1139" xr:uid="{00000000-0005-0000-0000-000037050000}"/>
    <cellStyle name="Normal 32 6" xfId="1324" xr:uid="{00000000-0005-0000-0000-000038050000}"/>
    <cellStyle name="Normal 32 7" xfId="1512" xr:uid="{00000000-0005-0000-0000-000039050000}"/>
    <cellStyle name="Normal 32 8" xfId="1700" xr:uid="{00000000-0005-0000-0000-00003A050000}"/>
    <cellStyle name="Normal 32 9" xfId="1888" xr:uid="{00000000-0005-0000-0000-00003B050000}"/>
    <cellStyle name="Normal 33" xfId="47" xr:uid="{00000000-0005-0000-0000-00003C050000}"/>
    <cellStyle name="Normal 33 2" xfId="593" xr:uid="{00000000-0005-0000-0000-00003D050000}"/>
    <cellStyle name="Normal 33 3" xfId="775" xr:uid="{00000000-0005-0000-0000-00003E050000}"/>
    <cellStyle name="Normal 33 4" xfId="957" xr:uid="{00000000-0005-0000-0000-00003F050000}"/>
    <cellStyle name="Normal 33 5" xfId="1140" xr:uid="{00000000-0005-0000-0000-000040050000}"/>
    <cellStyle name="Normal 33 6" xfId="1325" xr:uid="{00000000-0005-0000-0000-000041050000}"/>
    <cellStyle name="Normal 33 7" xfId="1513" xr:uid="{00000000-0005-0000-0000-000042050000}"/>
    <cellStyle name="Normal 33 8" xfId="1701" xr:uid="{00000000-0005-0000-0000-000043050000}"/>
    <cellStyle name="Normal 33 9" xfId="1889" xr:uid="{00000000-0005-0000-0000-000044050000}"/>
    <cellStyle name="Normal 34" xfId="48" xr:uid="{00000000-0005-0000-0000-000045050000}"/>
    <cellStyle name="Normal 34 2" xfId="594" xr:uid="{00000000-0005-0000-0000-000046050000}"/>
    <cellStyle name="Normal 34 3" xfId="776" xr:uid="{00000000-0005-0000-0000-000047050000}"/>
    <cellStyle name="Normal 34 4" xfId="958" xr:uid="{00000000-0005-0000-0000-000048050000}"/>
    <cellStyle name="Normal 34 5" xfId="1141" xr:uid="{00000000-0005-0000-0000-000049050000}"/>
    <cellStyle name="Normal 34 6" xfId="1326" xr:uid="{00000000-0005-0000-0000-00004A050000}"/>
    <cellStyle name="Normal 34 7" xfId="1514" xr:uid="{00000000-0005-0000-0000-00004B050000}"/>
    <cellStyle name="Normal 34 8" xfId="1702" xr:uid="{00000000-0005-0000-0000-00004C050000}"/>
    <cellStyle name="Normal 34 9" xfId="1890" xr:uid="{00000000-0005-0000-0000-00004D050000}"/>
    <cellStyle name="Normal 35" xfId="49" xr:uid="{00000000-0005-0000-0000-00004E050000}"/>
    <cellStyle name="Normal 35 2" xfId="595" xr:uid="{00000000-0005-0000-0000-00004F050000}"/>
    <cellStyle name="Normal 35 3" xfId="777" xr:uid="{00000000-0005-0000-0000-000050050000}"/>
    <cellStyle name="Normal 35 4" xfId="959" xr:uid="{00000000-0005-0000-0000-000051050000}"/>
    <cellStyle name="Normal 35 5" xfId="1142" xr:uid="{00000000-0005-0000-0000-000052050000}"/>
    <cellStyle name="Normal 35 6" xfId="1327" xr:uid="{00000000-0005-0000-0000-000053050000}"/>
    <cellStyle name="Normal 35 7" xfId="1515" xr:uid="{00000000-0005-0000-0000-000054050000}"/>
    <cellStyle name="Normal 35 8" xfId="1703" xr:uid="{00000000-0005-0000-0000-000055050000}"/>
    <cellStyle name="Normal 35 9" xfId="1891" xr:uid="{00000000-0005-0000-0000-000056050000}"/>
    <cellStyle name="Normal 36" xfId="50" xr:uid="{00000000-0005-0000-0000-000057050000}"/>
    <cellStyle name="Normal 36 2" xfId="596" xr:uid="{00000000-0005-0000-0000-000058050000}"/>
    <cellStyle name="Normal 36 3" xfId="778" xr:uid="{00000000-0005-0000-0000-000059050000}"/>
    <cellStyle name="Normal 36 4" xfId="960" xr:uid="{00000000-0005-0000-0000-00005A050000}"/>
    <cellStyle name="Normal 36 5" xfId="1143" xr:uid="{00000000-0005-0000-0000-00005B050000}"/>
    <cellStyle name="Normal 36 6" xfId="1328" xr:uid="{00000000-0005-0000-0000-00005C050000}"/>
    <cellStyle name="Normal 36 7" xfId="1516" xr:uid="{00000000-0005-0000-0000-00005D050000}"/>
    <cellStyle name="Normal 36 8" xfId="1704" xr:uid="{00000000-0005-0000-0000-00005E050000}"/>
    <cellStyle name="Normal 36 9" xfId="1892" xr:uid="{00000000-0005-0000-0000-00005F050000}"/>
    <cellStyle name="Normal 37" xfId="51" xr:uid="{00000000-0005-0000-0000-000060050000}"/>
    <cellStyle name="Normal 37 2" xfId="597" xr:uid="{00000000-0005-0000-0000-000061050000}"/>
    <cellStyle name="Normal 37 3" xfId="779" xr:uid="{00000000-0005-0000-0000-000062050000}"/>
    <cellStyle name="Normal 37 4" xfId="961" xr:uid="{00000000-0005-0000-0000-000063050000}"/>
    <cellStyle name="Normal 37 5" xfId="1144" xr:uid="{00000000-0005-0000-0000-000064050000}"/>
    <cellStyle name="Normal 37 6" xfId="1329" xr:uid="{00000000-0005-0000-0000-000065050000}"/>
    <cellStyle name="Normal 37 7" xfId="1517" xr:uid="{00000000-0005-0000-0000-000066050000}"/>
    <cellStyle name="Normal 37 8" xfId="1705" xr:uid="{00000000-0005-0000-0000-000067050000}"/>
    <cellStyle name="Normal 37 9" xfId="1893" xr:uid="{00000000-0005-0000-0000-000068050000}"/>
    <cellStyle name="Normal 38" xfId="52" xr:uid="{00000000-0005-0000-0000-000069050000}"/>
    <cellStyle name="Normal 38 2" xfId="598" xr:uid="{00000000-0005-0000-0000-00006A050000}"/>
    <cellStyle name="Normal 38 3" xfId="780" xr:uid="{00000000-0005-0000-0000-00006B050000}"/>
    <cellStyle name="Normal 38 4" xfId="962" xr:uid="{00000000-0005-0000-0000-00006C050000}"/>
    <cellStyle name="Normal 38 5" xfId="1145" xr:uid="{00000000-0005-0000-0000-00006D050000}"/>
    <cellStyle name="Normal 38 6" xfId="1330" xr:uid="{00000000-0005-0000-0000-00006E050000}"/>
    <cellStyle name="Normal 38 7" xfId="1518" xr:uid="{00000000-0005-0000-0000-00006F050000}"/>
    <cellStyle name="Normal 38 8" xfId="1706" xr:uid="{00000000-0005-0000-0000-000070050000}"/>
    <cellStyle name="Normal 38 9" xfId="1894" xr:uid="{00000000-0005-0000-0000-000071050000}"/>
    <cellStyle name="Normal 39" xfId="53" xr:uid="{00000000-0005-0000-0000-000072050000}"/>
    <cellStyle name="Normal 39 2" xfId="599" xr:uid="{00000000-0005-0000-0000-000073050000}"/>
    <cellStyle name="Normal 39 3" xfId="781" xr:uid="{00000000-0005-0000-0000-000074050000}"/>
    <cellStyle name="Normal 39 4" xfId="963" xr:uid="{00000000-0005-0000-0000-000075050000}"/>
    <cellStyle name="Normal 39 5" xfId="1146" xr:uid="{00000000-0005-0000-0000-000076050000}"/>
    <cellStyle name="Normal 39 6" xfId="1331" xr:uid="{00000000-0005-0000-0000-000077050000}"/>
    <cellStyle name="Normal 39 7" xfId="1519" xr:uid="{00000000-0005-0000-0000-000078050000}"/>
    <cellStyle name="Normal 39 8" xfId="1707" xr:uid="{00000000-0005-0000-0000-000079050000}"/>
    <cellStyle name="Normal 39 9" xfId="1895" xr:uid="{00000000-0005-0000-0000-00007A050000}"/>
    <cellStyle name="Normal 4" xfId="16" xr:uid="{00000000-0005-0000-0000-00007B050000}"/>
    <cellStyle name="Normal 4 10" xfId="745" xr:uid="{00000000-0005-0000-0000-00007C050000}"/>
    <cellStyle name="Normal 4 11" xfId="927" xr:uid="{00000000-0005-0000-0000-00007D050000}"/>
    <cellStyle name="Normal 4 12" xfId="1110" xr:uid="{00000000-0005-0000-0000-00007E050000}"/>
    <cellStyle name="Normal 4 13" xfId="1295" xr:uid="{00000000-0005-0000-0000-00007F050000}"/>
    <cellStyle name="Normal 4 14" xfId="1483" xr:uid="{00000000-0005-0000-0000-000080050000}"/>
    <cellStyle name="Normal 4 15" xfId="1671" xr:uid="{00000000-0005-0000-0000-000081050000}"/>
    <cellStyle name="Normal 4 16" xfId="1859" xr:uid="{00000000-0005-0000-0000-000082050000}"/>
    <cellStyle name="Normal 4 17" xfId="285" xr:uid="{00000000-0005-0000-0000-000083050000}"/>
    <cellStyle name="Normal 4 18" xfId="2083" xr:uid="{00000000-0005-0000-0000-000084050000}"/>
    <cellStyle name="Normal 4 2" xfId="354" xr:uid="{00000000-0005-0000-0000-000085050000}"/>
    <cellStyle name="Normal 4 3" xfId="391" xr:uid="{00000000-0005-0000-0000-000086050000}"/>
    <cellStyle name="Normal 4 4" xfId="423" xr:uid="{00000000-0005-0000-0000-000087050000}"/>
    <cellStyle name="Normal 4 5" xfId="445" xr:uid="{00000000-0005-0000-0000-000088050000}"/>
    <cellStyle name="Normal 4 6" xfId="495" xr:uid="{00000000-0005-0000-0000-000089050000}"/>
    <cellStyle name="Normal 4 7" xfId="528" xr:uid="{00000000-0005-0000-0000-00008A050000}"/>
    <cellStyle name="Normal 4 8" xfId="534" xr:uid="{00000000-0005-0000-0000-00008B050000}"/>
    <cellStyle name="Normal 4 9" xfId="563" xr:uid="{00000000-0005-0000-0000-00008C050000}"/>
    <cellStyle name="Normal 40" xfId="54" xr:uid="{00000000-0005-0000-0000-00008D050000}"/>
    <cellStyle name="Normal 40 2" xfId="600" xr:uid="{00000000-0005-0000-0000-00008E050000}"/>
    <cellStyle name="Normal 40 3" xfId="782" xr:uid="{00000000-0005-0000-0000-00008F050000}"/>
    <cellStyle name="Normal 40 4" xfId="964" xr:uid="{00000000-0005-0000-0000-000090050000}"/>
    <cellStyle name="Normal 40 5" xfId="1147" xr:uid="{00000000-0005-0000-0000-000091050000}"/>
    <cellStyle name="Normal 40 6" xfId="1332" xr:uid="{00000000-0005-0000-0000-000092050000}"/>
    <cellStyle name="Normal 40 7" xfId="1520" xr:uid="{00000000-0005-0000-0000-000093050000}"/>
    <cellStyle name="Normal 40 8" xfId="1708" xr:uid="{00000000-0005-0000-0000-000094050000}"/>
    <cellStyle name="Normal 40 9" xfId="1896" xr:uid="{00000000-0005-0000-0000-000095050000}"/>
    <cellStyle name="Normal 41" xfId="55" xr:uid="{00000000-0005-0000-0000-000096050000}"/>
    <cellStyle name="Normal 41 2" xfId="601" xr:uid="{00000000-0005-0000-0000-000097050000}"/>
    <cellStyle name="Normal 41 3" xfId="783" xr:uid="{00000000-0005-0000-0000-000098050000}"/>
    <cellStyle name="Normal 41 4" xfId="965" xr:uid="{00000000-0005-0000-0000-000099050000}"/>
    <cellStyle name="Normal 41 5" xfId="1148" xr:uid="{00000000-0005-0000-0000-00009A050000}"/>
    <cellStyle name="Normal 41 6" xfId="1333" xr:uid="{00000000-0005-0000-0000-00009B050000}"/>
    <cellStyle name="Normal 41 7" xfId="1521" xr:uid="{00000000-0005-0000-0000-00009C050000}"/>
    <cellStyle name="Normal 41 8" xfId="1709" xr:uid="{00000000-0005-0000-0000-00009D050000}"/>
    <cellStyle name="Normal 41 9" xfId="1897" xr:uid="{00000000-0005-0000-0000-00009E050000}"/>
    <cellStyle name="Normal 42" xfId="56" xr:uid="{00000000-0005-0000-0000-00009F050000}"/>
    <cellStyle name="Normal 42 2" xfId="602" xr:uid="{00000000-0005-0000-0000-0000A0050000}"/>
    <cellStyle name="Normal 42 3" xfId="784" xr:uid="{00000000-0005-0000-0000-0000A1050000}"/>
    <cellStyle name="Normal 42 4" xfId="966" xr:uid="{00000000-0005-0000-0000-0000A2050000}"/>
    <cellStyle name="Normal 42 5" xfId="1149" xr:uid="{00000000-0005-0000-0000-0000A3050000}"/>
    <cellStyle name="Normal 42 6" xfId="1334" xr:uid="{00000000-0005-0000-0000-0000A4050000}"/>
    <cellStyle name="Normal 42 7" xfId="1522" xr:uid="{00000000-0005-0000-0000-0000A5050000}"/>
    <cellStyle name="Normal 42 8" xfId="1710" xr:uid="{00000000-0005-0000-0000-0000A6050000}"/>
    <cellStyle name="Normal 42 9" xfId="1898" xr:uid="{00000000-0005-0000-0000-0000A7050000}"/>
    <cellStyle name="Normal 43" xfId="57" xr:uid="{00000000-0005-0000-0000-0000A8050000}"/>
    <cellStyle name="Normal 43 2" xfId="603" xr:uid="{00000000-0005-0000-0000-0000A9050000}"/>
    <cellStyle name="Normal 43 3" xfId="785" xr:uid="{00000000-0005-0000-0000-0000AA050000}"/>
    <cellStyle name="Normal 43 4" xfId="967" xr:uid="{00000000-0005-0000-0000-0000AB050000}"/>
    <cellStyle name="Normal 43 5" xfId="1150" xr:uid="{00000000-0005-0000-0000-0000AC050000}"/>
    <cellStyle name="Normal 43 6" xfId="1335" xr:uid="{00000000-0005-0000-0000-0000AD050000}"/>
    <cellStyle name="Normal 43 7" xfId="1523" xr:uid="{00000000-0005-0000-0000-0000AE050000}"/>
    <cellStyle name="Normal 43 8" xfId="1711" xr:uid="{00000000-0005-0000-0000-0000AF050000}"/>
    <cellStyle name="Normal 43 9" xfId="1899" xr:uid="{00000000-0005-0000-0000-0000B0050000}"/>
    <cellStyle name="Normal 44" xfId="58" xr:uid="{00000000-0005-0000-0000-0000B1050000}"/>
    <cellStyle name="Normal 44 2" xfId="604" xr:uid="{00000000-0005-0000-0000-0000B2050000}"/>
    <cellStyle name="Normal 44 3" xfId="786" xr:uid="{00000000-0005-0000-0000-0000B3050000}"/>
    <cellStyle name="Normal 44 4" xfId="968" xr:uid="{00000000-0005-0000-0000-0000B4050000}"/>
    <cellStyle name="Normal 44 5" xfId="1151" xr:uid="{00000000-0005-0000-0000-0000B5050000}"/>
    <cellStyle name="Normal 44 6" xfId="1336" xr:uid="{00000000-0005-0000-0000-0000B6050000}"/>
    <cellStyle name="Normal 44 7" xfId="1524" xr:uid="{00000000-0005-0000-0000-0000B7050000}"/>
    <cellStyle name="Normal 44 8" xfId="1712" xr:uid="{00000000-0005-0000-0000-0000B8050000}"/>
    <cellStyle name="Normal 44 9" xfId="1900" xr:uid="{00000000-0005-0000-0000-0000B9050000}"/>
    <cellStyle name="Normal 45" xfId="59" xr:uid="{00000000-0005-0000-0000-0000BA050000}"/>
    <cellStyle name="Normal 45 2" xfId="605" xr:uid="{00000000-0005-0000-0000-0000BB050000}"/>
    <cellStyle name="Normal 45 3" xfId="787" xr:uid="{00000000-0005-0000-0000-0000BC050000}"/>
    <cellStyle name="Normal 45 4" xfId="969" xr:uid="{00000000-0005-0000-0000-0000BD050000}"/>
    <cellStyle name="Normal 45 5" xfId="1152" xr:uid="{00000000-0005-0000-0000-0000BE050000}"/>
    <cellStyle name="Normal 45 6" xfId="1337" xr:uid="{00000000-0005-0000-0000-0000BF050000}"/>
    <cellStyle name="Normal 45 7" xfId="1525" xr:uid="{00000000-0005-0000-0000-0000C0050000}"/>
    <cellStyle name="Normal 45 8" xfId="1713" xr:uid="{00000000-0005-0000-0000-0000C1050000}"/>
    <cellStyle name="Normal 45 9" xfId="1901" xr:uid="{00000000-0005-0000-0000-0000C2050000}"/>
    <cellStyle name="Normal 46" xfId="60" xr:uid="{00000000-0005-0000-0000-0000C3050000}"/>
    <cellStyle name="Normal 46 2" xfId="606" xr:uid="{00000000-0005-0000-0000-0000C4050000}"/>
    <cellStyle name="Normal 46 3" xfId="788" xr:uid="{00000000-0005-0000-0000-0000C5050000}"/>
    <cellStyle name="Normal 46 4" xfId="970" xr:uid="{00000000-0005-0000-0000-0000C6050000}"/>
    <cellStyle name="Normal 46 5" xfId="1153" xr:uid="{00000000-0005-0000-0000-0000C7050000}"/>
    <cellStyle name="Normal 46 6" xfId="1338" xr:uid="{00000000-0005-0000-0000-0000C8050000}"/>
    <cellStyle name="Normal 46 7" xfId="1526" xr:uid="{00000000-0005-0000-0000-0000C9050000}"/>
    <cellStyle name="Normal 46 8" xfId="1714" xr:uid="{00000000-0005-0000-0000-0000CA050000}"/>
    <cellStyle name="Normal 46 9" xfId="1902" xr:uid="{00000000-0005-0000-0000-0000CB050000}"/>
    <cellStyle name="Normal 47" xfId="61" xr:uid="{00000000-0005-0000-0000-0000CC050000}"/>
    <cellStyle name="Normal 47 2" xfId="607" xr:uid="{00000000-0005-0000-0000-0000CD050000}"/>
    <cellStyle name="Normal 47 3" xfId="789" xr:uid="{00000000-0005-0000-0000-0000CE050000}"/>
    <cellStyle name="Normal 47 4" xfId="971" xr:uid="{00000000-0005-0000-0000-0000CF050000}"/>
    <cellStyle name="Normal 47 5" xfId="1154" xr:uid="{00000000-0005-0000-0000-0000D0050000}"/>
    <cellStyle name="Normal 47 6" xfId="1339" xr:uid="{00000000-0005-0000-0000-0000D1050000}"/>
    <cellStyle name="Normal 47 7" xfId="1527" xr:uid="{00000000-0005-0000-0000-0000D2050000}"/>
    <cellStyle name="Normal 47 8" xfId="1715" xr:uid="{00000000-0005-0000-0000-0000D3050000}"/>
    <cellStyle name="Normal 47 9" xfId="1903" xr:uid="{00000000-0005-0000-0000-0000D4050000}"/>
    <cellStyle name="Normal 48" xfId="62" xr:uid="{00000000-0005-0000-0000-0000D5050000}"/>
    <cellStyle name="Normal 48 2" xfId="608" xr:uid="{00000000-0005-0000-0000-0000D6050000}"/>
    <cellStyle name="Normal 48 3" xfId="790" xr:uid="{00000000-0005-0000-0000-0000D7050000}"/>
    <cellStyle name="Normal 48 4" xfId="972" xr:uid="{00000000-0005-0000-0000-0000D8050000}"/>
    <cellStyle name="Normal 48 5" xfId="1155" xr:uid="{00000000-0005-0000-0000-0000D9050000}"/>
    <cellStyle name="Normal 48 6" xfId="1340" xr:uid="{00000000-0005-0000-0000-0000DA050000}"/>
    <cellStyle name="Normal 48 7" xfId="1528" xr:uid="{00000000-0005-0000-0000-0000DB050000}"/>
    <cellStyle name="Normal 48 8" xfId="1716" xr:uid="{00000000-0005-0000-0000-0000DC050000}"/>
    <cellStyle name="Normal 48 9" xfId="1904" xr:uid="{00000000-0005-0000-0000-0000DD050000}"/>
    <cellStyle name="Normal 49" xfId="63" xr:uid="{00000000-0005-0000-0000-0000DE050000}"/>
    <cellStyle name="Normal 49 2" xfId="609" xr:uid="{00000000-0005-0000-0000-0000DF050000}"/>
    <cellStyle name="Normal 49 3" xfId="791" xr:uid="{00000000-0005-0000-0000-0000E0050000}"/>
    <cellStyle name="Normal 49 4" xfId="973" xr:uid="{00000000-0005-0000-0000-0000E1050000}"/>
    <cellStyle name="Normal 49 5" xfId="1156" xr:uid="{00000000-0005-0000-0000-0000E2050000}"/>
    <cellStyle name="Normal 49 6" xfId="1341" xr:uid="{00000000-0005-0000-0000-0000E3050000}"/>
    <cellStyle name="Normal 49 7" xfId="1529" xr:uid="{00000000-0005-0000-0000-0000E4050000}"/>
    <cellStyle name="Normal 49 8" xfId="1717" xr:uid="{00000000-0005-0000-0000-0000E5050000}"/>
    <cellStyle name="Normal 49 9" xfId="1905" xr:uid="{00000000-0005-0000-0000-0000E6050000}"/>
    <cellStyle name="Normal 5" xfId="17" xr:uid="{00000000-0005-0000-0000-0000E7050000}"/>
    <cellStyle name="Normal 5 10" xfId="746" xr:uid="{00000000-0005-0000-0000-0000E8050000}"/>
    <cellStyle name="Normal 5 11" xfId="928" xr:uid="{00000000-0005-0000-0000-0000E9050000}"/>
    <cellStyle name="Normal 5 12" xfId="1111" xr:uid="{00000000-0005-0000-0000-0000EA050000}"/>
    <cellStyle name="Normal 5 13" xfId="1296" xr:uid="{00000000-0005-0000-0000-0000EB050000}"/>
    <cellStyle name="Normal 5 14" xfId="1484" xr:uid="{00000000-0005-0000-0000-0000EC050000}"/>
    <cellStyle name="Normal 5 15" xfId="1672" xr:uid="{00000000-0005-0000-0000-0000ED050000}"/>
    <cellStyle name="Normal 5 16" xfId="1860" xr:uid="{00000000-0005-0000-0000-0000EE050000}"/>
    <cellStyle name="Normal 5 17" xfId="332" xr:uid="{00000000-0005-0000-0000-0000EF050000}"/>
    <cellStyle name="Normal 5 2" xfId="355" xr:uid="{00000000-0005-0000-0000-0000F0050000}"/>
    <cellStyle name="Normal 5 2 2" xfId="369" xr:uid="{00000000-0005-0000-0000-0000F1050000}"/>
    <cellStyle name="Normal 5 2 3" xfId="475" xr:uid="{00000000-0005-0000-0000-0000F2050000}"/>
    <cellStyle name="Normal 5 2 4" xfId="508" xr:uid="{00000000-0005-0000-0000-0000F3050000}"/>
    <cellStyle name="Normal 5 3" xfId="359" xr:uid="{00000000-0005-0000-0000-0000F4050000}"/>
    <cellStyle name="Normal 5 4" xfId="424" xr:uid="{00000000-0005-0000-0000-0000F5050000}"/>
    <cellStyle name="Normal 5 5" xfId="446" xr:uid="{00000000-0005-0000-0000-0000F6050000}"/>
    <cellStyle name="Normal 5 6" xfId="465" xr:uid="{00000000-0005-0000-0000-0000F7050000}"/>
    <cellStyle name="Normal 5 7" xfId="498" xr:uid="{00000000-0005-0000-0000-0000F8050000}"/>
    <cellStyle name="Normal 5 8" xfId="535" xr:uid="{00000000-0005-0000-0000-0000F9050000}"/>
    <cellStyle name="Normal 5 9" xfId="564" xr:uid="{00000000-0005-0000-0000-0000FA050000}"/>
    <cellStyle name="Normal 50" xfId="64" xr:uid="{00000000-0005-0000-0000-0000FB050000}"/>
    <cellStyle name="Normal 50 2" xfId="610" xr:uid="{00000000-0005-0000-0000-0000FC050000}"/>
    <cellStyle name="Normal 50 3" xfId="792" xr:uid="{00000000-0005-0000-0000-0000FD050000}"/>
    <cellStyle name="Normal 50 4" xfId="974" xr:uid="{00000000-0005-0000-0000-0000FE050000}"/>
    <cellStyle name="Normal 50 5" xfId="1157" xr:uid="{00000000-0005-0000-0000-0000FF050000}"/>
    <cellStyle name="Normal 50 6" xfId="1342" xr:uid="{00000000-0005-0000-0000-000000060000}"/>
    <cellStyle name="Normal 50 7" xfId="1530" xr:uid="{00000000-0005-0000-0000-000001060000}"/>
    <cellStyle name="Normal 50 8" xfId="1718" xr:uid="{00000000-0005-0000-0000-000002060000}"/>
    <cellStyle name="Normal 50 9" xfId="1906" xr:uid="{00000000-0005-0000-0000-000003060000}"/>
    <cellStyle name="Normal 51" xfId="65" xr:uid="{00000000-0005-0000-0000-000004060000}"/>
    <cellStyle name="Normal 51 2" xfId="611" xr:uid="{00000000-0005-0000-0000-000005060000}"/>
    <cellStyle name="Normal 51 3" xfId="793" xr:uid="{00000000-0005-0000-0000-000006060000}"/>
    <cellStyle name="Normal 51 4" xfId="975" xr:uid="{00000000-0005-0000-0000-000007060000}"/>
    <cellStyle name="Normal 51 5" xfId="1158" xr:uid="{00000000-0005-0000-0000-000008060000}"/>
    <cellStyle name="Normal 51 6" xfId="1343" xr:uid="{00000000-0005-0000-0000-000009060000}"/>
    <cellStyle name="Normal 51 7" xfId="1531" xr:uid="{00000000-0005-0000-0000-00000A060000}"/>
    <cellStyle name="Normal 51 8" xfId="1719" xr:uid="{00000000-0005-0000-0000-00000B060000}"/>
    <cellStyle name="Normal 51 9" xfId="1907" xr:uid="{00000000-0005-0000-0000-00000C060000}"/>
    <cellStyle name="Normal 52" xfId="66" xr:uid="{00000000-0005-0000-0000-00000D060000}"/>
    <cellStyle name="Normal 52 2" xfId="612" xr:uid="{00000000-0005-0000-0000-00000E060000}"/>
    <cellStyle name="Normal 52 3" xfId="794" xr:uid="{00000000-0005-0000-0000-00000F060000}"/>
    <cellStyle name="Normal 52 4" xfId="976" xr:uid="{00000000-0005-0000-0000-000010060000}"/>
    <cellStyle name="Normal 52 5" xfId="1159" xr:uid="{00000000-0005-0000-0000-000011060000}"/>
    <cellStyle name="Normal 52 6" xfId="1344" xr:uid="{00000000-0005-0000-0000-000012060000}"/>
    <cellStyle name="Normal 52 7" xfId="1532" xr:uid="{00000000-0005-0000-0000-000013060000}"/>
    <cellStyle name="Normal 52 8" xfId="1720" xr:uid="{00000000-0005-0000-0000-000014060000}"/>
    <cellStyle name="Normal 52 9" xfId="1908" xr:uid="{00000000-0005-0000-0000-000015060000}"/>
    <cellStyle name="Normal 53" xfId="67" xr:uid="{00000000-0005-0000-0000-000016060000}"/>
    <cellStyle name="Normal 53 2" xfId="613" xr:uid="{00000000-0005-0000-0000-000017060000}"/>
    <cellStyle name="Normal 53 3" xfId="795" xr:uid="{00000000-0005-0000-0000-000018060000}"/>
    <cellStyle name="Normal 53 4" xfId="977" xr:uid="{00000000-0005-0000-0000-000019060000}"/>
    <cellStyle name="Normal 53 5" xfId="1160" xr:uid="{00000000-0005-0000-0000-00001A060000}"/>
    <cellStyle name="Normal 53 6" xfId="1345" xr:uid="{00000000-0005-0000-0000-00001B060000}"/>
    <cellStyle name="Normal 53 7" xfId="1533" xr:uid="{00000000-0005-0000-0000-00001C060000}"/>
    <cellStyle name="Normal 53 8" xfId="1721" xr:uid="{00000000-0005-0000-0000-00001D060000}"/>
    <cellStyle name="Normal 53 9" xfId="1909" xr:uid="{00000000-0005-0000-0000-00001E060000}"/>
    <cellStyle name="Normal 54" xfId="68" xr:uid="{00000000-0005-0000-0000-00001F060000}"/>
    <cellStyle name="Normal 54 2" xfId="614" xr:uid="{00000000-0005-0000-0000-000020060000}"/>
    <cellStyle name="Normal 54 3" xfId="796" xr:uid="{00000000-0005-0000-0000-000021060000}"/>
    <cellStyle name="Normal 54 4" xfId="978" xr:uid="{00000000-0005-0000-0000-000022060000}"/>
    <cellStyle name="Normal 54 5" xfId="1161" xr:uid="{00000000-0005-0000-0000-000023060000}"/>
    <cellStyle name="Normal 54 6" xfId="1346" xr:uid="{00000000-0005-0000-0000-000024060000}"/>
    <cellStyle name="Normal 54 7" xfId="1534" xr:uid="{00000000-0005-0000-0000-000025060000}"/>
    <cellStyle name="Normal 54 8" xfId="1722" xr:uid="{00000000-0005-0000-0000-000026060000}"/>
    <cellStyle name="Normal 54 9" xfId="1910" xr:uid="{00000000-0005-0000-0000-000027060000}"/>
    <cellStyle name="Normal 55" xfId="69" xr:uid="{00000000-0005-0000-0000-000028060000}"/>
    <cellStyle name="Normal 55 2" xfId="615" xr:uid="{00000000-0005-0000-0000-000029060000}"/>
    <cellStyle name="Normal 55 3" xfId="797" xr:uid="{00000000-0005-0000-0000-00002A060000}"/>
    <cellStyle name="Normal 55 4" xfId="979" xr:uid="{00000000-0005-0000-0000-00002B060000}"/>
    <cellStyle name="Normal 55 5" xfId="1162" xr:uid="{00000000-0005-0000-0000-00002C060000}"/>
    <cellStyle name="Normal 55 6" xfId="1347" xr:uid="{00000000-0005-0000-0000-00002D060000}"/>
    <cellStyle name="Normal 55 7" xfId="1535" xr:uid="{00000000-0005-0000-0000-00002E060000}"/>
    <cellStyle name="Normal 55 8" xfId="1723" xr:uid="{00000000-0005-0000-0000-00002F060000}"/>
    <cellStyle name="Normal 55 9" xfId="1911" xr:uid="{00000000-0005-0000-0000-000030060000}"/>
    <cellStyle name="Normal 56" xfId="70" xr:uid="{00000000-0005-0000-0000-000031060000}"/>
    <cellStyle name="Normal 56 2" xfId="616" xr:uid="{00000000-0005-0000-0000-000032060000}"/>
    <cellStyle name="Normal 56 3" xfId="798" xr:uid="{00000000-0005-0000-0000-000033060000}"/>
    <cellStyle name="Normal 56 4" xfId="980" xr:uid="{00000000-0005-0000-0000-000034060000}"/>
    <cellStyle name="Normal 56 5" xfId="1163" xr:uid="{00000000-0005-0000-0000-000035060000}"/>
    <cellStyle name="Normal 56 6" xfId="1348" xr:uid="{00000000-0005-0000-0000-000036060000}"/>
    <cellStyle name="Normal 56 7" xfId="1536" xr:uid="{00000000-0005-0000-0000-000037060000}"/>
    <cellStyle name="Normal 56 8" xfId="1724" xr:uid="{00000000-0005-0000-0000-000038060000}"/>
    <cellStyle name="Normal 56 9" xfId="1912" xr:uid="{00000000-0005-0000-0000-000039060000}"/>
    <cellStyle name="Normal 57" xfId="71" xr:uid="{00000000-0005-0000-0000-00003A060000}"/>
    <cellStyle name="Normal 57 2" xfId="617" xr:uid="{00000000-0005-0000-0000-00003B060000}"/>
    <cellStyle name="Normal 57 3" xfId="799" xr:uid="{00000000-0005-0000-0000-00003C060000}"/>
    <cellStyle name="Normal 57 4" xfId="981" xr:uid="{00000000-0005-0000-0000-00003D060000}"/>
    <cellStyle name="Normal 57 5" xfId="1164" xr:uid="{00000000-0005-0000-0000-00003E060000}"/>
    <cellStyle name="Normal 57 6" xfId="1349" xr:uid="{00000000-0005-0000-0000-00003F060000}"/>
    <cellStyle name="Normal 57 7" xfId="1537" xr:uid="{00000000-0005-0000-0000-000040060000}"/>
    <cellStyle name="Normal 57 8" xfId="1725" xr:uid="{00000000-0005-0000-0000-000041060000}"/>
    <cellStyle name="Normal 57 9" xfId="1913" xr:uid="{00000000-0005-0000-0000-000042060000}"/>
    <cellStyle name="Normal 58" xfId="72" xr:uid="{00000000-0005-0000-0000-000043060000}"/>
    <cellStyle name="Normal 58 2" xfId="618" xr:uid="{00000000-0005-0000-0000-000044060000}"/>
    <cellStyle name="Normal 58 3" xfId="800" xr:uid="{00000000-0005-0000-0000-000045060000}"/>
    <cellStyle name="Normal 58 4" xfId="982" xr:uid="{00000000-0005-0000-0000-000046060000}"/>
    <cellStyle name="Normal 58 5" xfId="1165" xr:uid="{00000000-0005-0000-0000-000047060000}"/>
    <cellStyle name="Normal 58 6" xfId="1350" xr:uid="{00000000-0005-0000-0000-000048060000}"/>
    <cellStyle name="Normal 58 7" xfId="1538" xr:uid="{00000000-0005-0000-0000-000049060000}"/>
    <cellStyle name="Normal 58 8" xfId="1726" xr:uid="{00000000-0005-0000-0000-00004A060000}"/>
    <cellStyle name="Normal 58 9" xfId="1914" xr:uid="{00000000-0005-0000-0000-00004B060000}"/>
    <cellStyle name="Normal 59" xfId="73" xr:uid="{00000000-0005-0000-0000-00004C060000}"/>
    <cellStyle name="Normal 59 2" xfId="619" xr:uid="{00000000-0005-0000-0000-00004D060000}"/>
    <cellStyle name="Normal 59 3" xfId="801" xr:uid="{00000000-0005-0000-0000-00004E060000}"/>
    <cellStyle name="Normal 59 4" xfId="983" xr:uid="{00000000-0005-0000-0000-00004F060000}"/>
    <cellStyle name="Normal 59 5" xfId="1166" xr:uid="{00000000-0005-0000-0000-000050060000}"/>
    <cellStyle name="Normal 59 6" xfId="1351" xr:uid="{00000000-0005-0000-0000-000051060000}"/>
    <cellStyle name="Normal 59 7" xfId="1539" xr:uid="{00000000-0005-0000-0000-000052060000}"/>
    <cellStyle name="Normal 59 8" xfId="1727" xr:uid="{00000000-0005-0000-0000-000053060000}"/>
    <cellStyle name="Normal 59 9" xfId="1915" xr:uid="{00000000-0005-0000-0000-000054060000}"/>
    <cellStyle name="Normal 6" xfId="13" xr:uid="{00000000-0005-0000-0000-000055060000}"/>
    <cellStyle name="Normal 6 10" xfId="560" xr:uid="{00000000-0005-0000-0000-000056060000}"/>
    <cellStyle name="Normal 6 11" xfId="742" xr:uid="{00000000-0005-0000-0000-000057060000}"/>
    <cellStyle name="Normal 6 12" xfId="924" xr:uid="{00000000-0005-0000-0000-000058060000}"/>
    <cellStyle name="Normal 6 13" xfId="1107" xr:uid="{00000000-0005-0000-0000-000059060000}"/>
    <cellStyle name="Normal 6 14" xfId="1292" xr:uid="{00000000-0005-0000-0000-00005A060000}"/>
    <cellStyle name="Normal 6 15" xfId="1480" xr:uid="{00000000-0005-0000-0000-00005B060000}"/>
    <cellStyle name="Normal 6 16" xfId="1668" xr:uid="{00000000-0005-0000-0000-00005C060000}"/>
    <cellStyle name="Normal 6 17" xfId="1856" xr:uid="{00000000-0005-0000-0000-00005D060000}"/>
    <cellStyle name="Normal 6 18" xfId="345" xr:uid="{00000000-0005-0000-0000-00005E060000}"/>
    <cellStyle name="Normal 6 2" xfId="352" xr:uid="{00000000-0005-0000-0000-00005F060000}"/>
    <cellStyle name="Normal 6 2 2" xfId="392" xr:uid="{00000000-0005-0000-0000-000060060000}"/>
    <cellStyle name="Normal 6 2 3" xfId="496" xr:uid="{00000000-0005-0000-0000-000061060000}"/>
    <cellStyle name="Normal 6 2 4" xfId="529" xr:uid="{00000000-0005-0000-0000-000062060000}"/>
    <cellStyle name="Normal 6 3" xfId="347" xr:uid="{00000000-0005-0000-0000-000063060000}"/>
    <cellStyle name="Normal 6 4" xfId="364" xr:uid="{00000000-0005-0000-0000-000064060000}"/>
    <cellStyle name="Normal 6 5" xfId="420" xr:uid="{00000000-0005-0000-0000-000065060000}"/>
    <cellStyle name="Normal 6 6" xfId="442" xr:uid="{00000000-0005-0000-0000-000066060000}"/>
    <cellStyle name="Normal 6 7" xfId="470" xr:uid="{00000000-0005-0000-0000-000067060000}"/>
    <cellStyle name="Normal 6 8" xfId="503" xr:uid="{00000000-0005-0000-0000-000068060000}"/>
    <cellStyle name="Normal 6 9" xfId="531" xr:uid="{00000000-0005-0000-0000-000069060000}"/>
    <cellStyle name="Normal 60" xfId="74" xr:uid="{00000000-0005-0000-0000-00006A060000}"/>
    <cellStyle name="Normal 60 2" xfId="620" xr:uid="{00000000-0005-0000-0000-00006B060000}"/>
    <cellStyle name="Normal 60 3" xfId="802" xr:uid="{00000000-0005-0000-0000-00006C060000}"/>
    <cellStyle name="Normal 60 4" xfId="984" xr:uid="{00000000-0005-0000-0000-00006D060000}"/>
    <cellStyle name="Normal 60 5" xfId="1167" xr:uid="{00000000-0005-0000-0000-00006E060000}"/>
    <cellStyle name="Normal 60 6" xfId="1352" xr:uid="{00000000-0005-0000-0000-00006F060000}"/>
    <cellStyle name="Normal 60 7" xfId="1540" xr:uid="{00000000-0005-0000-0000-000070060000}"/>
    <cellStyle name="Normal 60 8" xfId="1728" xr:uid="{00000000-0005-0000-0000-000071060000}"/>
    <cellStyle name="Normal 60 9" xfId="1916" xr:uid="{00000000-0005-0000-0000-000072060000}"/>
    <cellStyle name="Normal 61" xfId="75" xr:uid="{00000000-0005-0000-0000-000073060000}"/>
    <cellStyle name="Normal 61 2" xfId="621" xr:uid="{00000000-0005-0000-0000-000074060000}"/>
    <cellStyle name="Normal 61 3" xfId="803" xr:uid="{00000000-0005-0000-0000-000075060000}"/>
    <cellStyle name="Normal 61 4" xfId="985" xr:uid="{00000000-0005-0000-0000-000076060000}"/>
    <cellStyle name="Normal 61 5" xfId="1168" xr:uid="{00000000-0005-0000-0000-000077060000}"/>
    <cellStyle name="Normal 61 6" xfId="1353" xr:uid="{00000000-0005-0000-0000-000078060000}"/>
    <cellStyle name="Normal 61 7" xfId="1541" xr:uid="{00000000-0005-0000-0000-000079060000}"/>
    <cellStyle name="Normal 61 8" xfId="1729" xr:uid="{00000000-0005-0000-0000-00007A060000}"/>
    <cellStyle name="Normal 61 9" xfId="1917" xr:uid="{00000000-0005-0000-0000-00007B060000}"/>
    <cellStyle name="Normal 62" xfId="76" xr:uid="{00000000-0005-0000-0000-00007C060000}"/>
    <cellStyle name="Normal 62 2" xfId="622" xr:uid="{00000000-0005-0000-0000-00007D060000}"/>
    <cellStyle name="Normal 62 3" xfId="804" xr:uid="{00000000-0005-0000-0000-00007E060000}"/>
    <cellStyle name="Normal 62 4" xfId="986" xr:uid="{00000000-0005-0000-0000-00007F060000}"/>
    <cellStyle name="Normal 62 5" xfId="1169" xr:uid="{00000000-0005-0000-0000-000080060000}"/>
    <cellStyle name="Normal 62 6" xfId="1354" xr:uid="{00000000-0005-0000-0000-000081060000}"/>
    <cellStyle name="Normal 62 7" xfId="1542" xr:uid="{00000000-0005-0000-0000-000082060000}"/>
    <cellStyle name="Normal 62 8" xfId="1730" xr:uid="{00000000-0005-0000-0000-000083060000}"/>
    <cellStyle name="Normal 62 9" xfId="1918" xr:uid="{00000000-0005-0000-0000-000084060000}"/>
    <cellStyle name="Normal 63" xfId="77" xr:uid="{00000000-0005-0000-0000-000085060000}"/>
    <cellStyle name="Normal 63 2" xfId="623" xr:uid="{00000000-0005-0000-0000-000086060000}"/>
    <cellStyle name="Normal 63 3" xfId="805" xr:uid="{00000000-0005-0000-0000-000087060000}"/>
    <cellStyle name="Normal 63 4" xfId="987" xr:uid="{00000000-0005-0000-0000-000088060000}"/>
    <cellStyle name="Normal 63 5" xfId="1170" xr:uid="{00000000-0005-0000-0000-000089060000}"/>
    <cellStyle name="Normal 63 6" xfId="1355" xr:uid="{00000000-0005-0000-0000-00008A060000}"/>
    <cellStyle name="Normal 63 7" xfId="1543" xr:uid="{00000000-0005-0000-0000-00008B060000}"/>
    <cellStyle name="Normal 63 8" xfId="1731" xr:uid="{00000000-0005-0000-0000-00008C060000}"/>
    <cellStyle name="Normal 63 9" xfId="1919" xr:uid="{00000000-0005-0000-0000-00008D060000}"/>
    <cellStyle name="Normal 64" xfId="78" xr:uid="{00000000-0005-0000-0000-00008E060000}"/>
    <cellStyle name="Normal 64 2" xfId="624" xr:uid="{00000000-0005-0000-0000-00008F060000}"/>
    <cellStyle name="Normal 64 3" xfId="806" xr:uid="{00000000-0005-0000-0000-000090060000}"/>
    <cellStyle name="Normal 64 4" xfId="988" xr:uid="{00000000-0005-0000-0000-000091060000}"/>
    <cellStyle name="Normal 64 5" xfId="1171" xr:uid="{00000000-0005-0000-0000-000092060000}"/>
    <cellStyle name="Normal 64 6" xfId="1356" xr:uid="{00000000-0005-0000-0000-000093060000}"/>
    <cellStyle name="Normal 64 7" xfId="1544" xr:uid="{00000000-0005-0000-0000-000094060000}"/>
    <cellStyle name="Normal 64 8" xfId="1732" xr:uid="{00000000-0005-0000-0000-000095060000}"/>
    <cellStyle name="Normal 64 9" xfId="1920" xr:uid="{00000000-0005-0000-0000-000096060000}"/>
    <cellStyle name="Normal 65" xfId="79" xr:uid="{00000000-0005-0000-0000-000097060000}"/>
    <cellStyle name="Normal 65 2" xfId="625" xr:uid="{00000000-0005-0000-0000-000098060000}"/>
    <cellStyle name="Normal 65 3" xfId="807" xr:uid="{00000000-0005-0000-0000-000099060000}"/>
    <cellStyle name="Normal 65 4" xfId="989" xr:uid="{00000000-0005-0000-0000-00009A060000}"/>
    <cellStyle name="Normal 65 5" xfId="1172" xr:uid="{00000000-0005-0000-0000-00009B060000}"/>
    <cellStyle name="Normal 65 6" xfId="1357" xr:uid="{00000000-0005-0000-0000-00009C060000}"/>
    <cellStyle name="Normal 65 7" xfId="1545" xr:uid="{00000000-0005-0000-0000-00009D060000}"/>
    <cellStyle name="Normal 65 8" xfId="1733" xr:uid="{00000000-0005-0000-0000-00009E060000}"/>
    <cellStyle name="Normal 65 9" xfId="1921" xr:uid="{00000000-0005-0000-0000-00009F060000}"/>
    <cellStyle name="Normal 66" xfId="80" xr:uid="{00000000-0005-0000-0000-0000A0060000}"/>
    <cellStyle name="Normal 66 2" xfId="626" xr:uid="{00000000-0005-0000-0000-0000A1060000}"/>
    <cellStyle name="Normal 66 3" xfId="808" xr:uid="{00000000-0005-0000-0000-0000A2060000}"/>
    <cellStyle name="Normal 66 4" xfId="990" xr:uid="{00000000-0005-0000-0000-0000A3060000}"/>
    <cellStyle name="Normal 66 5" xfId="1173" xr:uid="{00000000-0005-0000-0000-0000A4060000}"/>
    <cellStyle name="Normal 66 6" xfId="1358" xr:uid="{00000000-0005-0000-0000-0000A5060000}"/>
    <cellStyle name="Normal 66 7" xfId="1546" xr:uid="{00000000-0005-0000-0000-0000A6060000}"/>
    <cellStyle name="Normal 66 8" xfId="1734" xr:uid="{00000000-0005-0000-0000-0000A7060000}"/>
    <cellStyle name="Normal 66 9" xfId="1922" xr:uid="{00000000-0005-0000-0000-0000A8060000}"/>
    <cellStyle name="Normal 67" xfId="81" xr:uid="{00000000-0005-0000-0000-0000A9060000}"/>
    <cellStyle name="Normal 67 2" xfId="627" xr:uid="{00000000-0005-0000-0000-0000AA060000}"/>
    <cellStyle name="Normal 67 3" xfId="809" xr:uid="{00000000-0005-0000-0000-0000AB060000}"/>
    <cellStyle name="Normal 67 4" xfId="991" xr:uid="{00000000-0005-0000-0000-0000AC060000}"/>
    <cellStyle name="Normal 67 5" xfId="1174" xr:uid="{00000000-0005-0000-0000-0000AD060000}"/>
    <cellStyle name="Normal 67 6" xfId="1359" xr:uid="{00000000-0005-0000-0000-0000AE060000}"/>
    <cellStyle name="Normal 67 7" xfId="1547" xr:uid="{00000000-0005-0000-0000-0000AF060000}"/>
    <cellStyle name="Normal 67 8" xfId="1735" xr:uid="{00000000-0005-0000-0000-0000B0060000}"/>
    <cellStyle name="Normal 67 9" xfId="1923" xr:uid="{00000000-0005-0000-0000-0000B1060000}"/>
    <cellStyle name="Normal 68" xfId="82" xr:uid="{00000000-0005-0000-0000-0000B2060000}"/>
    <cellStyle name="Normal 68 2" xfId="628" xr:uid="{00000000-0005-0000-0000-0000B3060000}"/>
    <cellStyle name="Normal 68 3" xfId="810" xr:uid="{00000000-0005-0000-0000-0000B4060000}"/>
    <cellStyle name="Normal 68 4" xfId="992" xr:uid="{00000000-0005-0000-0000-0000B5060000}"/>
    <cellStyle name="Normal 68 5" xfId="1175" xr:uid="{00000000-0005-0000-0000-0000B6060000}"/>
    <cellStyle name="Normal 68 6" xfId="1360" xr:uid="{00000000-0005-0000-0000-0000B7060000}"/>
    <cellStyle name="Normal 68 7" xfId="1548" xr:uid="{00000000-0005-0000-0000-0000B8060000}"/>
    <cellStyle name="Normal 68 8" xfId="1736" xr:uid="{00000000-0005-0000-0000-0000B9060000}"/>
    <cellStyle name="Normal 68 9" xfId="1924" xr:uid="{00000000-0005-0000-0000-0000BA060000}"/>
    <cellStyle name="Normal 69" xfId="83" xr:uid="{00000000-0005-0000-0000-0000BB060000}"/>
    <cellStyle name="Normal 69 2" xfId="629" xr:uid="{00000000-0005-0000-0000-0000BC060000}"/>
    <cellStyle name="Normal 69 3" xfId="811" xr:uid="{00000000-0005-0000-0000-0000BD060000}"/>
    <cellStyle name="Normal 69 4" xfId="993" xr:uid="{00000000-0005-0000-0000-0000BE060000}"/>
    <cellStyle name="Normal 69 5" xfId="1176" xr:uid="{00000000-0005-0000-0000-0000BF060000}"/>
    <cellStyle name="Normal 69 6" xfId="1361" xr:uid="{00000000-0005-0000-0000-0000C0060000}"/>
    <cellStyle name="Normal 69 7" xfId="1549" xr:uid="{00000000-0005-0000-0000-0000C1060000}"/>
    <cellStyle name="Normal 69 8" xfId="1737" xr:uid="{00000000-0005-0000-0000-0000C2060000}"/>
    <cellStyle name="Normal 69 9" xfId="1925" xr:uid="{00000000-0005-0000-0000-0000C3060000}"/>
    <cellStyle name="Normal 7" xfId="21" xr:uid="{00000000-0005-0000-0000-0000C4060000}"/>
    <cellStyle name="Normal 7 10" xfId="750" xr:uid="{00000000-0005-0000-0000-0000C5060000}"/>
    <cellStyle name="Normal 7 11" xfId="932" xr:uid="{00000000-0005-0000-0000-0000C6060000}"/>
    <cellStyle name="Normal 7 12" xfId="1115" xr:uid="{00000000-0005-0000-0000-0000C7060000}"/>
    <cellStyle name="Normal 7 13" xfId="1300" xr:uid="{00000000-0005-0000-0000-0000C8060000}"/>
    <cellStyle name="Normal 7 14" xfId="1488" xr:uid="{00000000-0005-0000-0000-0000C9060000}"/>
    <cellStyle name="Normal 7 15" xfId="1676" xr:uid="{00000000-0005-0000-0000-0000CA060000}"/>
    <cellStyle name="Normal 7 16" xfId="1864" xr:uid="{00000000-0005-0000-0000-0000CB060000}"/>
    <cellStyle name="Normal 7 2" xfId="349" xr:uid="{00000000-0005-0000-0000-0000CC060000}"/>
    <cellStyle name="Normal 7 3" xfId="366" xr:uid="{00000000-0005-0000-0000-0000CD060000}"/>
    <cellStyle name="Normal 7 4" xfId="428" xr:uid="{00000000-0005-0000-0000-0000CE060000}"/>
    <cellStyle name="Normal 7 5" xfId="450" xr:uid="{00000000-0005-0000-0000-0000CF060000}"/>
    <cellStyle name="Normal 7 6" xfId="472" xr:uid="{00000000-0005-0000-0000-0000D0060000}"/>
    <cellStyle name="Normal 7 7" xfId="505" xr:uid="{00000000-0005-0000-0000-0000D1060000}"/>
    <cellStyle name="Normal 7 8" xfId="539" xr:uid="{00000000-0005-0000-0000-0000D2060000}"/>
    <cellStyle name="Normal 7 9" xfId="568" xr:uid="{00000000-0005-0000-0000-0000D3060000}"/>
    <cellStyle name="Normal 70" xfId="84" xr:uid="{00000000-0005-0000-0000-0000D4060000}"/>
    <cellStyle name="Normal 70 2" xfId="630" xr:uid="{00000000-0005-0000-0000-0000D5060000}"/>
    <cellStyle name="Normal 70 3" xfId="812" xr:uid="{00000000-0005-0000-0000-0000D6060000}"/>
    <cellStyle name="Normal 70 4" xfId="994" xr:uid="{00000000-0005-0000-0000-0000D7060000}"/>
    <cellStyle name="Normal 70 5" xfId="1177" xr:uid="{00000000-0005-0000-0000-0000D8060000}"/>
    <cellStyle name="Normal 70 6" xfId="1362" xr:uid="{00000000-0005-0000-0000-0000D9060000}"/>
    <cellStyle name="Normal 70 7" xfId="1550" xr:uid="{00000000-0005-0000-0000-0000DA060000}"/>
    <cellStyle name="Normal 70 8" xfId="1738" xr:uid="{00000000-0005-0000-0000-0000DB060000}"/>
    <cellStyle name="Normal 70 9" xfId="1926" xr:uid="{00000000-0005-0000-0000-0000DC060000}"/>
    <cellStyle name="Normal 71" xfId="85" xr:uid="{00000000-0005-0000-0000-0000DD060000}"/>
    <cellStyle name="Normal 71 2" xfId="631" xr:uid="{00000000-0005-0000-0000-0000DE060000}"/>
    <cellStyle name="Normal 71 3" xfId="813" xr:uid="{00000000-0005-0000-0000-0000DF060000}"/>
    <cellStyle name="Normal 71 4" xfId="995" xr:uid="{00000000-0005-0000-0000-0000E0060000}"/>
    <cellStyle name="Normal 71 5" xfId="1178" xr:uid="{00000000-0005-0000-0000-0000E1060000}"/>
    <cellStyle name="Normal 71 6" xfId="1363" xr:uid="{00000000-0005-0000-0000-0000E2060000}"/>
    <cellStyle name="Normal 71 7" xfId="1551" xr:uid="{00000000-0005-0000-0000-0000E3060000}"/>
    <cellStyle name="Normal 71 8" xfId="1739" xr:uid="{00000000-0005-0000-0000-0000E4060000}"/>
    <cellStyle name="Normal 71 9" xfId="1927" xr:uid="{00000000-0005-0000-0000-0000E5060000}"/>
    <cellStyle name="Normal 72" xfId="86" xr:uid="{00000000-0005-0000-0000-0000E6060000}"/>
    <cellStyle name="Normal 72 2" xfId="632" xr:uid="{00000000-0005-0000-0000-0000E7060000}"/>
    <cellStyle name="Normal 72 3" xfId="814" xr:uid="{00000000-0005-0000-0000-0000E8060000}"/>
    <cellStyle name="Normal 72 4" xfId="996" xr:uid="{00000000-0005-0000-0000-0000E9060000}"/>
    <cellStyle name="Normal 72 5" xfId="1179" xr:uid="{00000000-0005-0000-0000-0000EA060000}"/>
    <cellStyle name="Normal 72 6" xfId="1364" xr:uid="{00000000-0005-0000-0000-0000EB060000}"/>
    <cellStyle name="Normal 72 7" xfId="1552" xr:uid="{00000000-0005-0000-0000-0000EC060000}"/>
    <cellStyle name="Normal 72 8" xfId="1740" xr:uid="{00000000-0005-0000-0000-0000ED060000}"/>
    <cellStyle name="Normal 72 9" xfId="1928" xr:uid="{00000000-0005-0000-0000-0000EE060000}"/>
    <cellStyle name="Normal 73" xfId="87" xr:uid="{00000000-0005-0000-0000-0000EF060000}"/>
    <cellStyle name="Normal 73 2" xfId="633" xr:uid="{00000000-0005-0000-0000-0000F0060000}"/>
    <cellStyle name="Normal 73 3" xfId="815" xr:uid="{00000000-0005-0000-0000-0000F1060000}"/>
    <cellStyle name="Normal 73 4" xfId="997" xr:uid="{00000000-0005-0000-0000-0000F2060000}"/>
    <cellStyle name="Normal 73 5" xfId="1180" xr:uid="{00000000-0005-0000-0000-0000F3060000}"/>
    <cellStyle name="Normal 73 6" xfId="1365" xr:uid="{00000000-0005-0000-0000-0000F4060000}"/>
    <cellStyle name="Normal 73 7" xfId="1553" xr:uid="{00000000-0005-0000-0000-0000F5060000}"/>
    <cellStyle name="Normal 73 8" xfId="1741" xr:uid="{00000000-0005-0000-0000-0000F6060000}"/>
    <cellStyle name="Normal 73 9" xfId="1929" xr:uid="{00000000-0005-0000-0000-0000F7060000}"/>
    <cellStyle name="Normal 74" xfId="88" xr:uid="{00000000-0005-0000-0000-0000F8060000}"/>
    <cellStyle name="Normal 74 2" xfId="634" xr:uid="{00000000-0005-0000-0000-0000F9060000}"/>
    <cellStyle name="Normal 74 3" xfId="816" xr:uid="{00000000-0005-0000-0000-0000FA060000}"/>
    <cellStyle name="Normal 74 4" xfId="998" xr:uid="{00000000-0005-0000-0000-0000FB060000}"/>
    <cellStyle name="Normal 74 5" xfId="1181" xr:uid="{00000000-0005-0000-0000-0000FC060000}"/>
    <cellStyle name="Normal 74 6" xfId="1366" xr:uid="{00000000-0005-0000-0000-0000FD060000}"/>
    <cellStyle name="Normal 74 7" xfId="1554" xr:uid="{00000000-0005-0000-0000-0000FE060000}"/>
    <cellStyle name="Normal 74 8" xfId="1742" xr:uid="{00000000-0005-0000-0000-0000FF060000}"/>
    <cellStyle name="Normal 74 9" xfId="1930" xr:uid="{00000000-0005-0000-0000-000000070000}"/>
    <cellStyle name="Normal 75" xfId="89" xr:uid="{00000000-0005-0000-0000-000001070000}"/>
    <cellStyle name="Normal 75 2" xfId="635" xr:uid="{00000000-0005-0000-0000-000002070000}"/>
    <cellStyle name="Normal 75 3" xfId="817" xr:uid="{00000000-0005-0000-0000-000003070000}"/>
    <cellStyle name="Normal 75 4" xfId="999" xr:uid="{00000000-0005-0000-0000-000004070000}"/>
    <cellStyle name="Normal 75 5" xfId="1182" xr:uid="{00000000-0005-0000-0000-000005070000}"/>
    <cellStyle name="Normal 75 6" xfId="1367" xr:uid="{00000000-0005-0000-0000-000006070000}"/>
    <cellStyle name="Normal 75 7" xfId="1555" xr:uid="{00000000-0005-0000-0000-000007070000}"/>
    <cellStyle name="Normal 75 8" xfId="1743" xr:uid="{00000000-0005-0000-0000-000008070000}"/>
    <cellStyle name="Normal 75 9" xfId="1931" xr:uid="{00000000-0005-0000-0000-000009070000}"/>
    <cellStyle name="Normal 76" xfId="90" xr:uid="{00000000-0005-0000-0000-00000A070000}"/>
    <cellStyle name="Normal 76 2" xfId="636" xr:uid="{00000000-0005-0000-0000-00000B070000}"/>
    <cellStyle name="Normal 76 3" xfId="818" xr:uid="{00000000-0005-0000-0000-00000C070000}"/>
    <cellStyle name="Normal 76 4" xfId="1000" xr:uid="{00000000-0005-0000-0000-00000D070000}"/>
    <cellStyle name="Normal 76 5" xfId="1183" xr:uid="{00000000-0005-0000-0000-00000E070000}"/>
    <cellStyle name="Normal 76 6" xfId="1368" xr:uid="{00000000-0005-0000-0000-00000F070000}"/>
    <cellStyle name="Normal 76 7" xfId="1556" xr:uid="{00000000-0005-0000-0000-000010070000}"/>
    <cellStyle name="Normal 76 8" xfId="1744" xr:uid="{00000000-0005-0000-0000-000011070000}"/>
    <cellStyle name="Normal 76 9" xfId="1932" xr:uid="{00000000-0005-0000-0000-000012070000}"/>
    <cellStyle name="Normal 77" xfId="91" xr:uid="{00000000-0005-0000-0000-000013070000}"/>
    <cellStyle name="Normal 77 2" xfId="637" xr:uid="{00000000-0005-0000-0000-000014070000}"/>
    <cellStyle name="Normal 77 3" xfId="819" xr:uid="{00000000-0005-0000-0000-000015070000}"/>
    <cellStyle name="Normal 77 4" xfId="1001" xr:uid="{00000000-0005-0000-0000-000016070000}"/>
    <cellStyle name="Normal 77 5" xfId="1184" xr:uid="{00000000-0005-0000-0000-000017070000}"/>
    <cellStyle name="Normal 77 6" xfId="1369" xr:uid="{00000000-0005-0000-0000-000018070000}"/>
    <cellStyle name="Normal 77 7" xfId="1557" xr:uid="{00000000-0005-0000-0000-000019070000}"/>
    <cellStyle name="Normal 77 8" xfId="1745" xr:uid="{00000000-0005-0000-0000-00001A070000}"/>
    <cellStyle name="Normal 77 9" xfId="1933" xr:uid="{00000000-0005-0000-0000-00001B070000}"/>
    <cellStyle name="Normal 78" xfId="92" xr:uid="{00000000-0005-0000-0000-00001C070000}"/>
    <cellStyle name="Normal 78 2" xfId="638" xr:uid="{00000000-0005-0000-0000-00001D070000}"/>
    <cellStyle name="Normal 78 3" xfId="820" xr:uid="{00000000-0005-0000-0000-00001E070000}"/>
    <cellStyle name="Normal 78 4" xfId="1002" xr:uid="{00000000-0005-0000-0000-00001F070000}"/>
    <cellStyle name="Normal 78 5" xfId="1185" xr:uid="{00000000-0005-0000-0000-000020070000}"/>
    <cellStyle name="Normal 78 6" xfId="1370" xr:uid="{00000000-0005-0000-0000-000021070000}"/>
    <cellStyle name="Normal 78 7" xfId="1558" xr:uid="{00000000-0005-0000-0000-000022070000}"/>
    <cellStyle name="Normal 78 8" xfId="1746" xr:uid="{00000000-0005-0000-0000-000023070000}"/>
    <cellStyle name="Normal 78 9" xfId="1934" xr:uid="{00000000-0005-0000-0000-000024070000}"/>
    <cellStyle name="Normal 79" xfId="93" xr:uid="{00000000-0005-0000-0000-000025070000}"/>
    <cellStyle name="Normal 79 2" xfId="639" xr:uid="{00000000-0005-0000-0000-000026070000}"/>
    <cellStyle name="Normal 79 3" xfId="821" xr:uid="{00000000-0005-0000-0000-000027070000}"/>
    <cellStyle name="Normal 79 4" xfId="1003" xr:uid="{00000000-0005-0000-0000-000028070000}"/>
    <cellStyle name="Normal 79 5" xfId="1186" xr:uid="{00000000-0005-0000-0000-000029070000}"/>
    <cellStyle name="Normal 79 6" xfId="1371" xr:uid="{00000000-0005-0000-0000-00002A070000}"/>
    <cellStyle name="Normal 79 7" xfId="1559" xr:uid="{00000000-0005-0000-0000-00002B070000}"/>
    <cellStyle name="Normal 79 8" xfId="1747" xr:uid="{00000000-0005-0000-0000-00002C070000}"/>
    <cellStyle name="Normal 79 9" xfId="1935" xr:uid="{00000000-0005-0000-0000-00002D070000}"/>
    <cellStyle name="Normal 8" xfId="22" xr:uid="{00000000-0005-0000-0000-00002E070000}"/>
    <cellStyle name="Normal 8 10" xfId="933" xr:uid="{00000000-0005-0000-0000-00002F070000}"/>
    <cellStyle name="Normal 8 11" xfId="1116" xr:uid="{00000000-0005-0000-0000-000030070000}"/>
    <cellStyle name="Normal 8 12" xfId="1301" xr:uid="{00000000-0005-0000-0000-000031070000}"/>
    <cellStyle name="Normal 8 13" xfId="1489" xr:uid="{00000000-0005-0000-0000-000032070000}"/>
    <cellStyle name="Normal 8 14" xfId="1677" xr:uid="{00000000-0005-0000-0000-000033070000}"/>
    <cellStyle name="Normal 8 15" xfId="1865" xr:uid="{00000000-0005-0000-0000-000034070000}"/>
    <cellStyle name="Normal 8 2" xfId="367" xr:uid="{00000000-0005-0000-0000-000035070000}"/>
    <cellStyle name="Normal 8 3" xfId="429" xr:uid="{00000000-0005-0000-0000-000036070000}"/>
    <cellStyle name="Normal 8 4" xfId="451" xr:uid="{00000000-0005-0000-0000-000037070000}"/>
    <cellStyle name="Normal 8 5" xfId="473" xr:uid="{00000000-0005-0000-0000-000038070000}"/>
    <cellStyle name="Normal 8 6" xfId="506" xr:uid="{00000000-0005-0000-0000-000039070000}"/>
    <cellStyle name="Normal 8 7" xfId="540" xr:uid="{00000000-0005-0000-0000-00003A070000}"/>
    <cellStyle name="Normal 8 8" xfId="569" xr:uid="{00000000-0005-0000-0000-00003B070000}"/>
    <cellStyle name="Normal 8 9" xfId="751" xr:uid="{00000000-0005-0000-0000-00003C070000}"/>
    <cellStyle name="Normal 80" xfId="94" xr:uid="{00000000-0005-0000-0000-00003D070000}"/>
    <cellStyle name="Normal 80 2" xfId="640" xr:uid="{00000000-0005-0000-0000-00003E070000}"/>
    <cellStyle name="Normal 80 3" xfId="822" xr:uid="{00000000-0005-0000-0000-00003F070000}"/>
    <cellStyle name="Normal 80 4" xfId="1004" xr:uid="{00000000-0005-0000-0000-000040070000}"/>
    <cellStyle name="Normal 80 5" xfId="1187" xr:uid="{00000000-0005-0000-0000-000041070000}"/>
    <cellStyle name="Normal 80 6" xfId="1372" xr:uid="{00000000-0005-0000-0000-000042070000}"/>
    <cellStyle name="Normal 80 7" xfId="1560" xr:uid="{00000000-0005-0000-0000-000043070000}"/>
    <cellStyle name="Normal 80 8" xfId="1748" xr:uid="{00000000-0005-0000-0000-000044070000}"/>
    <cellStyle name="Normal 80 9" xfId="1936" xr:uid="{00000000-0005-0000-0000-000045070000}"/>
    <cellStyle name="Normal 81" xfId="95" xr:uid="{00000000-0005-0000-0000-000046070000}"/>
    <cellStyle name="Normal 81 2" xfId="641" xr:uid="{00000000-0005-0000-0000-000047070000}"/>
    <cellStyle name="Normal 81 3" xfId="823" xr:uid="{00000000-0005-0000-0000-000048070000}"/>
    <cellStyle name="Normal 81 4" xfId="1005" xr:uid="{00000000-0005-0000-0000-000049070000}"/>
    <cellStyle name="Normal 81 5" xfId="1188" xr:uid="{00000000-0005-0000-0000-00004A070000}"/>
    <cellStyle name="Normal 81 6" xfId="1373" xr:uid="{00000000-0005-0000-0000-00004B070000}"/>
    <cellStyle name="Normal 81 7" xfId="1561" xr:uid="{00000000-0005-0000-0000-00004C070000}"/>
    <cellStyle name="Normal 81 8" xfId="1749" xr:uid="{00000000-0005-0000-0000-00004D070000}"/>
    <cellStyle name="Normal 81 9" xfId="1937" xr:uid="{00000000-0005-0000-0000-00004E070000}"/>
    <cellStyle name="Normal 82" xfId="96" xr:uid="{00000000-0005-0000-0000-00004F070000}"/>
    <cellStyle name="Normal 82 2" xfId="642" xr:uid="{00000000-0005-0000-0000-000050070000}"/>
    <cellStyle name="Normal 82 3" xfId="824" xr:uid="{00000000-0005-0000-0000-000051070000}"/>
    <cellStyle name="Normal 82 4" xfId="1006" xr:uid="{00000000-0005-0000-0000-000052070000}"/>
    <cellStyle name="Normal 82 5" xfId="1189" xr:uid="{00000000-0005-0000-0000-000053070000}"/>
    <cellStyle name="Normal 82 6" xfId="1374" xr:uid="{00000000-0005-0000-0000-000054070000}"/>
    <cellStyle name="Normal 82 7" xfId="1562" xr:uid="{00000000-0005-0000-0000-000055070000}"/>
    <cellStyle name="Normal 82 8" xfId="1750" xr:uid="{00000000-0005-0000-0000-000056070000}"/>
    <cellStyle name="Normal 82 9" xfId="1938" xr:uid="{00000000-0005-0000-0000-000057070000}"/>
    <cellStyle name="Normal 83" xfId="97" xr:uid="{00000000-0005-0000-0000-000058070000}"/>
    <cellStyle name="Normal 83 2" xfId="643" xr:uid="{00000000-0005-0000-0000-000059070000}"/>
    <cellStyle name="Normal 83 3" xfId="825" xr:uid="{00000000-0005-0000-0000-00005A070000}"/>
    <cellStyle name="Normal 83 4" xfId="1007" xr:uid="{00000000-0005-0000-0000-00005B070000}"/>
    <cellStyle name="Normal 83 5" xfId="1190" xr:uid="{00000000-0005-0000-0000-00005C070000}"/>
    <cellStyle name="Normal 83 6" xfId="1375" xr:uid="{00000000-0005-0000-0000-00005D070000}"/>
    <cellStyle name="Normal 83 7" xfId="1563" xr:uid="{00000000-0005-0000-0000-00005E070000}"/>
    <cellStyle name="Normal 83 8" xfId="1751" xr:uid="{00000000-0005-0000-0000-00005F070000}"/>
    <cellStyle name="Normal 83 9" xfId="1939" xr:uid="{00000000-0005-0000-0000-000060070000}"/>
    <cellStyle name="Normal 84" xfId="98" xr:uid="{00000000-0005-0000-0000-000061070000}"/>
    <cellStyle name="Normal 84 2" xfId="644" xr:uid="{00000000-0005-0000-0000-000062070000}"/>
    <cellStyle name="Normal 84 3" xfId="826" xr:uid="{00000000-0005-0000-0000-000063070000}"/>
    <cellStyle name="Normal 84 4" xfId="1008" xr:uid="{00000000-0005-0000-0000-000064070000}"/>
    <cellStyle name="Normal 84 5" xfId="1191" xr:uid="{00000000-0005-0000-0000-000065070000}"/>
    <cellStyle name="Normal 84 6" xfId="1376" xr:uid="{00000000-0005-0000-0000-000066070000}"/>
    <cellStyle name="Normal 84 7" xfId="1564" xr:uid="{00000000-0005-0000-0000-000067070000}"/>
    <cellStyle name="Normal 84 8" xfId="1752" xr:uid="{00000000-0005-0000-0000-000068070000}"/>
    <cellStyle name="Normal 84 9" xfId="1940" xr:uid="{00000000-0005-0000-0000-000069070000}"/>
    <cellStyle name="Normal 85" xfId="99" xr:uid="{00000000-0005-0000-0000-00006A070000}"/>
    <cellStyle name="Normal 85 2" xfId="645" xr:uid="{00000000-0005-0000-0000-00006B070000}"/>
    <cellStyle name="Normal 85 3" xfId="827" xr:uid="{00000000-0005-0000-0000-00006C070000}"/>
    <cellStyle name="Normal 85 4" xfId="1009" xr:uid="{00000000-0005-0000-0000-00006D070000}"/>
    <cellStyle name="Normal 85 5" xfId="1192" xr:uid="{00000000-0005-0000-0000-00006E070000}"/>
    <cellStyle name="Normal 85 6" xfId="1377" xr:uid="{00000000-0005-0000-0000-00006F070000}"/>
    <cellStyle name="Normal 85 7" xfId="1565" xr:uid="{00000000-0005-0000-0000-000070070000}"/>
    <cellStyle name="Normal 85 8" xfId="1753" xr:uid="{00000000-0005-0000-0000-000071070000}"/>
    <cellStyle name="Normal 85 9" xfId="1941" xr:uid="{00000000-0005-0000-0000-000072070000}"/>
    <cellStyle name="Normal 86" xfId="100" xr:uid="{00000000-0005-0000-0000-000073070000}"/>
    <cellStyle name="Normal 86 2" xfId="646" xr:uid="{00000000-0005-0000-0000-000074070000}"/>
    <cellStyle name="Normal 86 3" xfId="828" xr:uid="{00000000-0005-0000-0000-000075070000}"/>
    <cellStyle name="Normal 86 4" xfId="1010" xr:uid="{00000000-0005-0000-0000-000076070000}"/>
    <cellStyle name="Normal 86 5" xfId="1193" xr:uid="{00000000-0005-0000-0000-000077070000}"/>
    <cellStyle name="Normal 86 6" xfId="1378" xr:uid="{00000000-0005-0000-0000-000078070000}"/>
    <cellStyle name="Normal 86 7" xfId="1566" xr:uid="{00000000-0005-0000-0000-000079070000}"/>
    <cellStyle name="Normal 86 8" xfId="1754" xr:uid="{00000000-0005-0000-0000-00007A070000}"/>
    <cellStyle name="Normal 86 9" xfId="1942" xr:uid="{00000000-0005-0000-0000-00007B070000}"/>
    <cellStyle name="Normal 87" xfId="101" xr:uid="{00000000-0005-0000-0000-00007C070000}"/>
    <cellStyle name="Normal 87 2" xfId="647" xr:uid="{00000000-0005-0000-0000-00007D070000}"/>
    <cellStyle name="Normal 87 3" xfId="829" xr:uid="{00000000-0005-0000-0000-00007E070000}"/>
    <cellStyle name="Normal 87 4" xfId="1011" xr:uid="{00000000-0005-0000-0000-00007F070000}"/>
    <cellStyle name="Normal 87 5" xfId="1194" xr:uid="{00000000-0005-0000-0000-000080070000}"/>
    <cellStyle name="Normal 87 6" xfId="1379" xr:uid="{00000000-0005-0000-0000-000081070000}"/>
    <cellStyle name="Normal 87 7" xfId="1567" xr:uid="{00000000-0005-0000-0000-000082070000}"/>
    <cellStyle name="Normal 87 8" xfId="1755" xr:uid="{00000000-0005-0000-0000-000083070000}"/>
    <cellStyle name="Normal 87 9" xfId="1943" xr:uid="{00000000-0005-0000-0000-000084070000}"/>
    <cellStyle name="Normal 88" xfId="102" xr:uid="{00000000-0005-0000-0000-000085070000}"/>
    <cellStyle name="Normal 88 2" xfId="648" xr:uid="{00000000-0005-0000-0000-000086070000}"/>
    <cellStyle name="Normal 88 3" xfId="830" xr:uid="{00000000-0005-0000-0000-000087070000}"/>
    <cellStyle name="Normal 88 4" xfId="1012" xr:uid="{00000000-0005-0000-0000-000088070000}"/>
    <cellStyle name="Normal 88 5" xfId="1195" xr:uid="{00000000-0005-0000-0000-000089070000}"/>
    <cellStyle name="Normal 88 6" xfId="1380" xr:uid="{00000000-0005-0000-0000-00008A070000}"/>
    <cellStyle name="Normal 88 7" xfId="1568" xr:uid="{00000000-0005-0000-0000-00008B070000}"/>
    <cellStyle name="Normal 88 8" xfId="1756" xr:uid="{00000000-0005-0000-0000-00008C070000}"/>
    <cellStyle name="Normal 88 9" xfId="1944" xr:uid="{00000000-0005-0000-0000-00008D070000}"/>
    <cellStyle name="Normal 89" xfId="103" xr:uid="{00000000-0005-0000-0000-00008E070000}"/>
    <cellStyle name="Normal 89 2" xfId="649" xr:uid="{00000000-0005-0000-0000-00008F070000}"/>
    <cellStyle name="Normal 89 3" xfId="831" xr:uid="{00000000-0005-0000-0000-000090070000}"/>
    <cellStyle name="Normal 89 4" xfId="1013" xr:uid="{00000000-0005-0000-0000-000091070000}"/>
    <cellStyle name="Normal 89 5" xfId="1196" xr:uid="{00000000-0005-0000-0000-000092070000}"/>
    <cellStyle name="Normal 89 6" xfId="1381" xr:uid="{00000000-0005-0000-0000-000093070000}"/>
    <cellStyle name="Normal 89 7" xfId="1569" xr:uid="{00000000-0005-0000-0000-000094070000}"/>
    <cellStyle name="Normal 89 8" xfId="1757" xr:uid="{00000000-0005-0000-0000-000095070000}"/>
    <cellStyle name="Normal 89 9" xfId="1945" xr:uid="{00000000-0005-0000-0000-000096070000}"/>
    <cellStyle name="Normal 9" xfId="23" xr:uid="{00000000-0005-0000-0000-000097070000}"/>
    <cellStyle name="Normal 9 10" xfId="934" xr:uid="{00000000-0005-0000-0000-000098070000}"/>
    <cellStyle name="Normal 9 11" xfId="1117" xr:uid="{00000000-0005-0000-0000-000099070000}"/>
    <cellStyle name="Normal 9 12" xfId="1302" xr:uid="{00000000-0005-0000-0000-00009A070000}"/>
    <cellStyle name="Normal 9 13" xfId="1490" xr:uid="{00000000-0005-0000-0000-00009B070000}"/>
    <cellStyle name="Normal 9 14" xfId="1678" xr:uid="{00000000-0005-0000-0000-00009C070000}"/>
    <cellStyle name="Normal 9 15" xfId="1866" xr:uid="{00000000-0005-0000-0000-00009D070000}"/>
    <cellStyle name="Normal 9 2" xfId="368" xr:uid="{00000000-0005-0000-0000-00009E070000}"/>
    <cellStyle name="Normal 9 3" xfId="430" xr:uid="{00000000-0005-0000-0000-00009F070000}"/>
    <cellStyle name="Normal 9 4" xfId="452" xr:uid="{00000000-0005-0000-0000-0000A0070000}"/>
    <cellStyle name="Normal 9 5" xfId="474" xr:uid="{00000000-0005-0000-0000-0000A1070000}"/>
    <cellStyle name="Normal 9 6" xfId="507" xr:uid="{00000000-0005-0000-0000-0000A2070000}"/>
    <cellStyle name="Normal 9 7" xfId="541" xr:uid="{00000000-0005-0000-0000-0000A3070000}"/>
    <cellStyle name="Normal 9 8" xfId="570" xr:uid="{00000000-0005-0000-0000-0000A4070000}"/>
    <cellStyle name="Normal 9 9" xfId="752" xr:uid="{00000000-0005-0000-0000-0000A5070000}"/>
    <cellStyle name="Normal 90" xfId="104" xr:uid="{00000000-0005-0000-0000-0000A6070000}"/>
    <cellStyle name="Normal 90 2" xfId="650" xr:uid="{00000000-0005-0000-0000-0000A7070000}"/>
    <cellStyle name="Normal 90 3" xfId="832" xr:uid="{00000000-0005-0000-0000-0000A8070000}"/>
    <cellStyle name="Normal 90 4" xfId="1014" xr:uid="{00000000-0005-0000-0000-0000A9070000}"/>
    <cellStyle name="Normal 90 5" xfId="1197" xr:uid="{00000000-0005-0000-0000-0000AA070000}"/>
    <cellStyle name="Normal 90 6" xfId="1382" xr:uid="{00000000-0005-0000-0000-0000AB070000}"/>
    <cellStyle name="Normal 90 7" xfId="1570" xr:uid="{00000000-0005-0000-0000-0000AC070000}"/>
    <cellStyle name="Normal 90 8" xfId="1758" xr:uid="{00000000-0005-0000-0000-0000AD070000}"/>
    <cellStyle name="Normal 90 9" xfId="1946" xr:uid="{00000000-0005-0000-0000-0000AE070000}"/>
    <cellStyle name="Normal 91" xfId="105" xr:uid="{00000000-0005-0000-0000-0000AF070000}"/>
    <cellStyle name="Normal 91 2" xfId="651" xr:uid="{00000000-0005-0000-0000-0000B0070000}"/>
    <cellStyle name="Normal 91 3" xfId="833" xr:uid="{00000000-0005-0000-0000-0000B1070000}"/>
    <cellStyle name="Normal 91 4" xfId="1015" xr:uid="{00000000-0005-0000-0000-0000B2070000}"/>
    <cellStyle name="Normal 91 5" xfId="1198" xr:uid="{00000000-0005-0000-0000-0000B3070000}"/>
    <cellStyle name="Normal 91 6" xfId="1383" xr:uid="{00000000-0005-0000-0000-0000B4070000}"/>
    <cellStyle name="Normal 91 7" xfId="1571" xr:uid="{00000000-0005-0000-0000-0000B5070000}"/>
    <cellStyle name="Normal 91 8" xfId="1759" xr:uid="{00000000-0005-0000-0000-0000B6070000}"/>
    <cellStyle name="Normal 91 9" xfId="1947" xr:uid="{00000000-0005-0000-0000-0000B7070000}"/>
    <cellStyle name="Normal 92" xfId="106" xr:uid="{00000000-0005-0000-0000-0000B8070000}"/>
    <cellStyle name="Normal 92 2" xfId="652" xr:uid="{00000000-0005-0000-0000-0000B9070000}"/>
    <cellStyle name="Normal 92 3" xfId="834" xr:uid="{00000000-0005-0000-0000-0000BA070000}"/>
    <cellStyle name="Normal 92 4" xfId="1016" xr:uid="{00000000-0005-0000-0000-0000BB070000}"/>
    <cellStyle name="Normal 92 5" xfId="1199" xr:uid="{00000000-0005-0000-0000-0000BC070000}"/>
    <cellStyle name="Normal 92 6" xfId="1384" xr:uid="{00000000-0005-0000-0000-0000BD070000}"/>
    <cellStyle name="Normal 92 7" xfId="1572" xr:uid="{00000000-0005-0000-0000-0000BE070000}"/>
    <cellStyle name="Normal 92 8" xfId="1760" xr:uid="{00000000-0005-0000-0000-0000BF070000}"/>
    <cellStyle name="Normal 92 9" xfId="1948" xr:uid="{00000000-0005-0000-0000-0000C0070000}"/>
    <cellStyle name="Normal 93" xfId="107" xr:uid="{00000000-0005-0000-0000-0000C1070000}"/>
    <cellStyle name="Normal 93 2" xfId="653" xr:uid="{00000000-0005-0000-0000-0000C2070000}"/>
    <cellStyle name="Normal 93 3" xfId="835" xr:uid="{00000000-0005-0000-0000-0000C3070000}"/>
    <cellStyle name="Normal 93 4" xfId="1017" xr:uid="{00000000-0005-0000-0000-0000C4070000}"/>
    <cellStyle name="Normal 93 5" xfId="1200" xr:uid="{00000000-0005-0000-0000-0000C5070000}"/>
    <cellStyle name="Normal 93 6" xfId="1385" xr:uid="{00000000-0005-0000-0000-0000C6070000}"/>
    <cellStyle name="Normal 93 7" xfId="1573" xr:uid="{00000000-0005-0000-0000-0000C7070000}"/>
    <cellStyle name="Normal 93 8" xfId="1761" xr:uid="{00000000-0005-0000-0000-0000C8070000}"/>
    <cellStyle name="Normal 93 9" xfId="1949" xr:uid="{00000000-0005-0000-0000-0000C9070000}"/>
    <cellStyle name="Normal 94" xfId="108" xr:uid="{00000000-0005-0000-0000-0000CA070000}"/>
    <cellStyle name="Normal 94 2" xfId="654" xr:uid="{00000000-0005-0000-0000-0000CB070000}"/>
    <cellStyle name="Normal 94 3" xfId="836" xr:uid="{00000000-0005-0000-0000-0000CC070000}"/>
    <cellStyle name="Normal 94 4" xfId="1018" xr:uid="{00000000-0005-0000-0000-0000CD070000}"/>
    <cellStyle name="Normal 94 5" xfId="1201" xr:uid="{00000000-0005-0000-0000-0000CE070000}"/>
    <cellStyle name="Normal 94 6" xfId="1386" xr:uid="{00000000-0005-0000-0000-0000CF070000}"/>
    <cellStyle name="Normal 94 7" xfId="1574" xr:uid="{00000000-0005-0000-0000-0000D0070000}"/>
    <cellStyle name="Normal 94 8" xfId="1762" xr:uid="{00000000-0005-0000-0000-0000D1070000}"/>
    <cellStyle name="Normal 94 9" xfId="1950" xr:uid="{00000000-0005-0000-0000-0000D2070000}"/>
    <cellStyle name="Normal 95" xfId="109" xr:uid="{00000000-0005-0000-0000-0000D3070000}"/>
    <cellStyle name="Normal 95 2" xfId="655" xr:uid="{00000000-0005-0000-0000-0000D4070000}"/>
    <cellStyle name="Normal 95 3" xfId="837" xr:uid="{00000000-0005-0000-0000-0000D5070000}"/>
    <cellStyle name="Normal 95 4" xfId="1019" xr:uid="{00000000-0005-0000-0000-0000D6070000}"/>
    <cellStyle name="Normal 95 5" xfId="1202" xr:uid="{00000000-0005-0000-0000-0000D7070000}"/>
    <cellStyle name="Normal 95 6" xfId="1387" xr:uid="{00000000-0005-0000-0000-0000D8070000}"/>
    <cellStyle name="Normal 95 7" xfId="1575" xr:uid="{00000000-0005-0000-0000-0000D9070000}"/>
    <cellStyle name="Normal 95 8" xfId="1763" xr:uid="{00000000-0005-0000-0000-0000DA070000}"/>
    <cellStyle name="Normal 95 9" xfId="1951" xr:uid="{00000000-0005-0000-0000-0000DB070000}"/>
    <cellStyle name="Normal 96" xfId="110" xr:uid="{00000000-0005-0000-0000-0000DC070000}"/>
    <cellStyle name="Normal 96 2" xfId="656" xr:uid="{00000000-0005-0000-0000-0000DD070000}"/>
    <cellStyle name="Normal 96 3" xfId="838" xr:uid="{00000000-0005-0000-0000-0000DE070000}"/>
    <cellStyle name="Normal 96 4" xfId="1020" xr:uid="{00000000-0005-0000-0000-0000DF070000}"/>
    <cellStyle name="Normal 96 5" xfId="1203" xr:uid="{00000000-0005-0000-0000-0000E0070000}"/>
    <cellStyle name="Normal 96 6" xfId="1388" xr:uid="{00000000-0005-0000-0000-0000E1070000}"/>
    <cellStyle name="Normal 96 7" xfId="1576" xr:uid="{00000000-0005-0000-0000-0000E2070000}"/>
    <cellStyle name="Normal 96 8" xfId="1764" xr:uid="{00000000-0005-0000-0000-0000E3070000}"/>
    <cellStyle name="Normal 96 9" xfId="1952" xr:uid="{00000000-0005-0000-0000-0000E4070000}"/>
    <cellStyle name="Normal 97" xfId="111" xr:uid="{00000000-0005-0000-0000-0000E5070000}"/>
    <cellStyle name="Normal 97 2" xfId="657" xr:uid="{00000000-0005-0000-0000-0000E6070000}"/>
    <cellStyle name="Normal 97 3" xfId="839" xr:uid="{00000000-0005-0000-0000-0000E7070000}"/>
    <cellStyle name="Normal 97 4" xfId="1021" xr:uid="{00000000-0005-0000-0000-0000E8070000}"/>
    <cellStyle name="Normal 97 5" xfId="1204" xr:uid="{00000000-0005-0000-0000-0000E9070000}"/>
    <cellStyle name="Normal 97 6" xfId="1389" xr:uid="{00000000-0005-0000-0000-0000EA070000}"/>
    <cellStyle name="Normal 97 7" xfId="1577" xr:uid="{00000000-0005-0000-0000-0000EB070000}"/>
    <cellStyle name="Normal 97 8" xfId="1765" xr:uid="{00000000-0005-0000-0000-0000EC070000}"/>
    <cellStyle name="Normal 97 9" xfId="1953" xr:uid="{00000000-0005-0000-0000-0000ED070000}"/>
    <cellStyle name="Normal 98" xfId="112" xr:uid="{00000000-0005-0000-0000-0000EE070000}"/>
    <cellStyle name="Normal 98 2" xfId="658" xr:uid="{00000000-0005-0000-0000-0000EF070000}"/>
    <cellStyle name="Normal 98 3" xfId="840" xr:uid="{00000000-0005-0000-0000-0000F0070000}"/>
    <cellStyle name="Normal 98 4" xfId="1022" xr:uid="{00000000-0005-0000-0000-0000F1070000}"/>
    <cellStyle name="Normal 98 5" xfId="1205" xr:uid="{00000000-0005-0000-0000-0000F2070000}"/>
    <cellStyle name="Normal 98 6" xfId="1390" xr:uid="{00000000-0005-0000-0000-0000F3070000}"/>
    <cellStyle name="Normal 98 7" xfId="1578" xr:uid="{00000000-0005-0000-0000-0000F4070000}"/>
    <cellStyle name="Normal 98 8" xfId="1766" xr:uid="{00000000-0005-0000-0000-0000F5070000}"/>
    <cellStyle name="Normal 98 9" xfId="1954" xr:uid="{00000000-0005-0000-0000-0000F6070000}"/>
    <cellStyle name="Normal 99" xfId="113" xr:uid="{00000000-0005-0000-0000-0000F7070000}"/>
    <cellStyle name="Normal 99 2" xfId="659" xr:uid="{00000000-0005-0000-0000-0000F8070000}"/>
    <cellStyle name="Normal 99 3" xfId="841" xr:uid="{00000000-0005-0000-0000-0000F9070000}"/>
    <cellStyle name="Normal 99 4" xfId="1023" xr:uid="{00000000-0005-0000-0000-0000FA070000}"/>
    <cellStyle name="Normal 99 5" xfId="1206" xr:uid="{00000000-0005-0000-0000-0000FB070000}"/>
    <cellStyle name="Normal 99 6" xfId="1391" xr:uid="{00000000-0005-0000-0000-0000FC070000}"/>
    <cellStyle name="Normal 99 7" xfId="1579" xr:uid="{00000000-0005-0000-0000-0000FD070000}"/>
    <cellStyle name="Normal 99 8" xfId="1767" xr:uid="{00000000-0005-0000-0000-0000FE070000}"/>
    <cellStyle name="Normal 99 9" xfId="1955" xr:uid="{00000000-0005-0000-0000-0000FF070000}"/>
    <cellStyle name="Note 2" xfId="286" xr:uid="{00000000-0005-0000-0000-000000080000}"/>
    <cellStyle name="Note 2 2" xfId="418" xr:uid="{00000000-0005-0000-0000-000001080000}"/>
    <cellStyle name="Note 3" xfId="357" xr:uid="{00000000-0005-0000-0000-000002080000}"/>
    <cellStyle name="Note 4" xfId="1105" xr:uid="{00000000-0005-0000-0000-000003080000}"/>
    <cellStyle name="Output" xfId="2051" builtinId="21" customBuiltin="1"/>
    <cellStyle name="Output 2" xfId="287" xr:uid="{00000000-0005-0000-0000-000005080000}"/>
    <cellStyle name="Output 3" xfId="210" xr:uid="{00000000-0005-0000-0000-000006080000}"/>
    <cellStyle name="Percent 2" xfId="351" xr:uid="{00000000-0005-0000-0000-000007080000}"/>
    <cellStyle name="Percent 3" xfId="346" xr:uid="{00000000-0005-0000-0000-000008080000}"/>
    <cellStyle name="Satisfaisant 2" xfId="333" xr:uid="{00000000-0005-0000-0000-000009080000}"/>
    <cellStyle name="Sortie 2" xfId="334" xr:uid="{00000000-0005-0000-0000-00000A080000}"/>
    <cellStyle name="Standard 2" xfId="2084" xr:uid="{00000000-0005-0000-0000-00000B080000}"/>
    <cellStyle name="Standard 2 2" xfId="2085" xr:uid="{00000000-0005-0000-0000-00000C080000}"/>
    <cellStyle name="Tecan.At.Excel.Attenuation" xfId="9" xr:uid="{00000000-0005-0000-0000-00000D080000}"/>
    <cellStyle name="Tecan.At.Excel.AutoGain_0" xfId="10" xr:uid="{00000000-0005-0000-0000-00000E080000}"/>
    <cellStyle name="Tecan.At.Excel.Error" xfId="4" xr:uid="{00000000-0005-0000-0000-00000F080000}"/>
    <cellStyle name="Tecan.At.Excel.GFactorAndMeasurementBlank" xfId="8" xr:uid="{00000000-0005-0000-0000-000010080000}"/>
    <cellStyle name="Tecan.At.Excel.GFactorBlank" xfId="6" xr:uid="{00000000-0005-0000-0000-000011080000}"/>
    <cellStyle name="Tecan.At.Excel.GFactorReference" xfId="7" xr:uid="{00000000-0005-0000-0000-000012080000}"/>
    <cellStyle name="Tecan.At.Excel.MeasurementBlank" xfId="5" xr:uid="{00000000-0005-0000-0000-000013080000}"/>
    <cellStyle name="Tecan.At.Excel.NanoQuant" xfId="11" xr:uid="{00000000-0005-0000-0000-000014080000}"/>
    <cellStyle name="Texte explicatif 2" xfId="335" xr:uid="{00000000-0005-0000-0000-000015080000}"/>
    <cellStyle name="Title" xfId="2" builtinId="15" customBuiltin="1"/>
    <cellStyle name="Title 2" xfId="288" xr:uid="{00000000-0005-0000-0000-000017080000}"/>
    <cellStyle name="Titre 2" xfId="336" xr:uid="{00000000-0005-0000-0000-000018080000}"/>
    <cellStyle name="Titre 1 2" xfId="337" xr:uid="{00000000-0005-0000-0000-000019080000}"/>
    <cellStyle name="Titre 2 2" xfId="338" xr:uid="{00000000-0005-0000-0000-00001A080000}"/>
    <cellStyle name="Titre 3 2" xfId="339" xr:uid="{00000000-0005-0000-0000-00001B080000}"/>
    <cellStyle name="Titre 4 2" xfId="340" xr:uid="{00000000-0005-0000-0000-00001C080000}"/>
    <cellStyle name="Total" xfId="2057" builtinId="25" customBuiltin="1"/>
    <cellStyle name="Total 2" xfId="289" xr:uid="{00000000-0005-0000-0000-00001E080000}"/>
    <cellStyle name="Total 2 2" xfId="341" xr:uid="{00000000-0005-0000-0000-00001F080000}"/>
    <cellStyle name="Total 2 3" xfId="342" xr:uid="{00000000-0005-0000-0000-000020080000}"/>
    <cellStyle name="Total 3" xfId="290" xr:uid="{00000000-0005-0000-0000-000021080000}"/>
    <cellStyle name="Total 4" xfId="216" xr:uid="{00000000-0005-0000-0000-000022080000}"/>
    <cellStyle name="Vérification 2" xfId="343" xr:uid="{00000000-0005-0000-0000-000023080000}"/>
    <cellStyle name="Warning Text" xfId="2055" builtinId="11" customBuiltin="1"/>
    <cellStyle name="Warning Text 2" xfId="291" xr:uid="{00000000-0005-0000-0000-000025080000}"/>
    <cellStyle name="Warning Text 3" xfId="214" xr:uid="{00000000-0005-0000-0000-000026080000}"/>
  </cellStyles>
  <dxfs count="149">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right/>
        <top style="thin">
          <color indexed="64"/>
        </top>
        <bottom style="thin">
          <color indexed="64"/>
        </bottom>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style="medium">
          <color indexed="64"/>
        </left>
        <right/>
        <top style="thin">
          <color indexed="64"/>
        </top>
        <bottom style="thin">
          <color indexed="64"/>
        </bottom>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right/>
        <top style="thin">
          <color indexed="64"/>
        </top>
        <bottom style="thin">
          <color indexed="64"/>
        </bottom>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style="medium">
          <color indexed="64"/>
        </left>
        <right/>
        <top style="thin">
          <color indexed="64"/>
        </top>
        <bottom style="thin">
          <color indexed="64"/>
        </bottom>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right style="thin">
          <color indexed="64"/>
        </right>
        <top style="thin">
          <color indexed="64"/>
        </top>
        <bottom style="thin">
          <color indexed="64"/>
        </bottom>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style="medium">
          <color indexed="64"/>
        </left>
        <right/>
        <top style="thin">
          <color indexed="64"/>
        </top>
        <bottom style="thin">
          <color indexed="64"/>
        </bottom>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left/>
        <right style="medium">
          <color indexed="64"/>
        </right>
        <top style="thin">
          <color indexed="64"/>
        </top>
        <bottom style="thin">
          <color indexed="64"/>
        </bottom>
        <vertical/>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theme="1"/>
        <name val="Arial Narrow"/>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Narrow"/>
        <scheme val="none"/>
      </font>
      <alignment horizontal="general"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Arial Narrow"/>
        <scheme val="none"/>
      </font>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7"/>
        <color theme="1"/>
        <name val="Arial Narrow"/>
        <scheme val="none"/>
      </font>
    </dxf>
    <dxf>
      <font>
        <b val="0"/>
        <i val="0"/>
        <strike val="0"/>
        <condense val="0"/>
        <extend val="0"/>
        <outline val="0"/>
        <shadow val="0"/>
        <u val="none"/>
        <vertAlign val="baseline"/>
        <sz val="7"/>
        <color theme="1"/>
        <name val="Arial Narrow"/>
        <scheme val="none"/>
      </font>
    </dxf>
    <dxf>
      <font>
        <b val="0"/>
        <i val="0"/>
        <strike val="0"/>
        <condense val="0"/>
        <extend val="0"/>
        <outline val="0"/>
        <shadow val="0"/>
        <u val="none"/>
        <vertAlign val="baseline"/>
        <sz val="7"/>
        <color theme="1"/>
        <name val="Arial Narrow"/>
        <scheme val="none"/>
      </font>
    </dxf>
    <dxf>
      <font>
        <b val="0"/>
        <i val="0"/>
        <strike val="0"/>
        <condense val="0"/>
        <extend val="0"/>
        <outline val="0"/>
        <shadow val="0"/>
        <u val="none"/>
        <vertAlign val="baseline"/>
        <sz val="7"/>
        <color theme="1"/>
        <name val="Arial Narrow"/>
        <scheme val="none"/>
      </font>
    </dxf>
    <dxf>
      <font>
        <b val="0"/>
        <i val="0"/>
        <strike val="0"/>
        <condense val="0"/>
        <extend val="0"/>
        <outline val="0"/>
        <shadow val="0"/>
        <u val="none"/>
        <vertAlign val="baseline"/>
        <sz val="7"/>
        <color theme="1"/>
        <name val="Arial Narrow"/>
        <scheme val="none"/>
      </font>
    </dxf>
    <dxf>
      <font>
        <b val="0"/>
        <i val="0"/>
        <strike val="0"/>
        <condense val="0"/>
        <extend val="0"/>
        <outline val="0"/>
        <shadow val="0"/>
        <u val="none"/>
        <vertAlign val="baseline"/>
        <sz val="7"/>
        <color theme="1"/>
        <name val="Arial Narrow"/>
        <scheme val="none"/>
      </font>
    </dxf>
    <dxf>
      <font>
        <b val="0"/>
        <i val="0"/>
        <strike val="0"/>
        <condense val="0"/>
        <extend val="0"/>
        <outline val="0"/>
        <shadow val="0"/>
        <u val="none"/>
        <vertAlign val="baseline"/>
        <sz val="7"/>
        <color theme="1"/>
        <name val="Arial Narrow"/>
        <scheme val="none"/>
      </font>
    </dxf>
    <dxf>
      <font>
        <b val="0"/>
        <i val="0"/>
        <strike val="0"/>
        <condense val="0"/>
        <extend val="0"/>
        <outline val="0"/>
        <shadow val="0"/>
        <u val="none"/>
        <vertAlign val="baseline"/>
        <sz val="7"/>
        <color theme="1"/>
        <name val="Arial Narrow"/>
        <scheme val="none"/>
      </font>
    </dxf>
    <dxf>
      <font>
        <b val="0"/>
        <i val="0"/>
        <strike val="0"/>
        <condense val="0"/>
        <extend val="0"/>
        <outline val="0"/>
        <shadow val="0"/>
        <u val="none"/>
        <vertAlign val="baseline"/>
        <sz val="7"/>
        <color theme="1"/>
        <name val="Arial Narrow"/>
        <scheme val="none"/>
      </font>
    </dxf>
    <dxf>
      <font>
        <b val="0"/>
        <i val="0"/>
        <strike val="0"/>
        <condense val="0"/>
        <extend val="0"/>
        <outline val="0"/>
        <shadow val="0"/>
        <u val="none"/>
        <vertAlign val="baseline"/>
        <sz val="7"/>
        <color theme="1"/>
        <name val="Arial Narrow"/>
        <scheme val="none"/>
      </font>
    </dxf>
    <dxf>
      <font>
        <b val="0"/>
        <i val="0"/>
        <strike val="0"/>
        <condense val="0"/>
        <extend val="0"/>
        <outline val="0"/>
        <shadow val="0"/>
        <u val="none"/>
        <vertAlign val="baseline"/>
        <sz val="7"/>
        <color theme="1"/>
        <name val="Arial Narrow"/>
        <scheme val="none"/>
      </font>
    </dxf>
    <dxf>
      <font>
        <b val="0"/>
        <i val="0"/>
        <strike val="0"/>
        <condense val="0"/>
        <extend val="0"/>
        <outline val="0"/>
        <shadow val="0"/>
        <u val="none"/>
        <vertAlign val="baseline"/>
        <sz val="7"/>
        <color theme="1"/>
        <name val="Arial Narrow"/>
        <scheme val="none"/>
      </font>
    </dxf>
    <dxf>
      <font>
        <b val="0"/>
        <i val="0"/>
        <strike val="0"/>
        <condense val="0"/>
        <extend val="0"/>
        <outline val="0"/>
        <shadow val="0"/>
        <u val="none"/>
        <vertAlign val="baseline"/>
        <sz val="7"/>
        <color theme="1"/>
        <name val="Arial Narrow"/>
        <scheme val="none"/>
      </font>
    </dxf>
    <dxf>
      <border outline="0">
        <top style="thin">
          <color indexed="64"/>
        </top>
      </border>
    </dxf>
    <dxf>
      <font>
        <b val="0"/>
        <i val="0"/>
        <strike val="0"/>
        <condense val="0"/>
        <extend val="0"/>
        <outline val="0"/>
        <shadow val="0"/>
        <u val="none"/>
        <vertAlign val="baseline"/>
        <sz val="7"/>
        <color theme="1"/>
        <name val="Arial Narrow"/>
        <scheme val="none"/>
      </font>
    </dxf>
    <dxf>
      <border outline="0">
        <bottom style="thin">
          <color indexed="64"/>
        </bottom>
      </border>
    </dxf>
    <dxf>
      <font>
        <b val="0"/>
        <i val="0"/>
        <strike val="0"/>
        <condense val="0"/>
        <extend val="0"/>
        <outline val="0"/>
        <shadow val="0"/>
        <u val="none"/>
        <vertAlign val="baseline"/>
        <sz val="10"/>
        <color theme="1"/>
        <name val="Arial Narrow"/>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Narrow"/>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Narrow"/>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Narrow"/>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Narrow"/>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Narrow"/>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Narrow"/>
        <scheme val="none"/>
      </font>
      <numFmt numFmtId="19" formatCode="m/d/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Narrow"/>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Narrow"/>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Narrow"/>
        <scheme val="none"/>
      </font>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theme="1"/>
        <name val="Arial Narrow"/>
        <scheme val="none"/>
      </font>
      <alignment horizontal="center" vertical="bottom"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theme="1"/>
        <name val="Arial Narrow"/>
        <scheme val="none"/>
      </font>
      <numFmt numFmtId="164"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theme="1"/>
        <name val="Arial Narrow"/>
        <scheme val="none"/>
      </font>
      <numFmt numFmtId="165" formatCode="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theme="1"/>
        <name val="Arial Narrow"/>
        <scheme val="none"/>
      </font>
      <numFmt numFmtId="165" formatCode="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theme="1"/>
        <name val="Arial Narrow"/>
        <scheme val="none"/>
      </font>
      <numFmt numFmtId="164"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theme="1"/>
        <name val="Arial Narrow"/>
        <scheme val="none"/>
      </font>
      <numFmt numFmtId="164"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theme="1"/>
        <name val="Arial Narrow"/>
        <scheme val="none"/>
      </font>
      <numFmt numFmtId="164"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theme="1"/>
        <name val="Arial Narrow"/>
        <scheme val="none"/>
      </font>
      <numFmt numFmtId="164"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theme="1"/>
        <name val="Arial Narrow"/>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theme="1"/>
        <name val="Arial Narrow"/>
        <scheme val="none"/>
      </font>
      <alignment horizontal="center" vertical="center" textRotation="0" indent="0" justifyLastLine="0" shrinkToFit="0" readingOrder="0"/>
      <protection locked="1" hidden="0"/>
    </dxf>
    <dxf>
      <border>
        <bottom style="thin">
          <color indexed="64"/>
        </bottom>
      </border>
    </dxf>
    <dxf>
      <font>
        <strike val="0"/>
        <outline val="0"/>
        <shadow val="0"/>
        <u val="none"/>
        <vertAlign val="baseline"/>
        <sz val="9"/>
        <color theme="1"/>
        <name val="Arial Narrow"/>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color theme="0"/>
      </font>
      <fill>
        <patternFill>
          <bgColor rgb="FFFF0000"/>
        </patternFill>
      </fill>
    </dxf>
    <dxf>
      <font>
        <color theme="0"/>
      </font>
      <fill>
        <patternFill>
          <bgColor rgb="FF0070C0"/>
        </patternFill>
      </fill>
    </dxf>
    <dxf>
      <font>
        <color theme="0"/>
      </font>
      <fill>
        <patternFill>
          <bgColor rgb="FF00B050"/>
        </patternFill>
      </fill>
    </dxf>
    <dxf>
      <font>
        <color theme="0"/>
      </font>
      <fill>
        <patternFill>
          <bgColor theme="1"/>
        </patternFill>
      </fill>
    </dxf>
    <dxf>
      <font>
        <color theme="0"/>
      </font>
      <fill>
        <patternFill>
          <bgColor rgb="FF7030A0"/>
        </patternFill>
      </fill>
    </dxf>
    <dxf>
      <fill>
        <patternFill>
          <bgColor rgb="FFFFFF00"/>
        </patternFill>
      </fill>
    </dxf>
    <dxf>
      <font>
        <color theme="0"/>
      </font>
      <fill>
        <patternFill>
          <bgColor theme="9" tint="-0.24994659260841701"/>
        </patternFill>
      </fill>
    </dxf>
    <dxf>
      <font>
        <color theme="0"/>
      </font>
      <fill>
        <patternFill>
          <bgColor rgb="FF663300"/>
        </patternFill>
      </fill>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rial Narrow"/>
        <family val="2"/>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Arial Narrow"/>
        <scheme val="none"/>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name val="Arial Narrow"/>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Arial Narrow"/>
        <scheme val="none"/>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Arial Narrow"/>
        <scheme val="none"/>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Arial Narrow"/>
        <scheme val="none"/>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Arial Narrow"/>
        <scheme val="none"/>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Arial Narrow"/>
        <scheme val="none"/>
      </font>
      <numFmt numFmtId="19" formatCode="m/d/yyyy"/>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Arial Narrow"/>
        <scheme val="none"/>
      </font>
      <numFmt numFmtId="19" formatCode="m/d/yyyy"/>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Arial Narrow"/>
        <scheme val="none"/>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Arial Narrow"/>
        <scheme val="none"/>
      </font>
      <numFmt numFmtId="30" formatCode="@"/>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Arial Narrow"/>
        <scheme val="none"/>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Arial Narrow"/>
        <scheme val="none"/>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name val="Arial Narrow"/>
        <scheme val="none"/>
      </font>
      <fill>
        <patternFill patternType="none">
          <fgColor indexed="64"/>
          <bgColor auto="1"/>
        </patternFill>
      </fill>
    </dxf>
    <dxf>
      <font>
        <strike val="0"/>
        <outline val="0"/>
        <shadow val="0"/>
        <u val="none"/>
        <vertAlign val="baseline"/>
        <name val="Arial Narrow"/>
        <scheme val="none"/>
      </font>
      <border diagonalUp="0" diagonalDown="0" outline="0">
        <left style="thin">
          <color indexed="64"/>
        </left>
        <right style="thin">
          <color indexed="64"/>
        </right>
        <top/>
        <bottom/>
      </border>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
      <fill>
        <patternFill>
          <bgColor rgb="FFFFFF00"/>
        </patternFill>
      </fill>
    </dxf>
    <dxf>
      <font>
        <color auto="1"/>
      </font>
      <fill>
        <patternFill>
          <bgColor rgb="FFFFC000"/>
        </patternFill>
      </fill>
    </dxf>
    <dxf>
      <font>
        <color rgb="FFFF0000"/>
      </font>
      <fill>
        <patternFill>
          <bgColor rgb="FFFFCCCC"/>
        </patternFill>
      </fill>
    </dxf>
    <dxf>
      <fill>
        <patternFill>
          <bgColor rgb="FFFF0000"/>
        </patternFill>
      </fill>
    </dxf>
  </dxfs>
  <tableStyles count="3" defaultTableStyle="TableStyleMedium2" defaultPivotStyle="PivotStyleLight16">
    <tableStyle name="Blank Style" pivot="0" count="0" xr9:uid="{00000000-0011-0000-FFFF-FFFF00000000}"/>
    <tableStyle name="Clear Style" pivot="0" count="0" xr9:uid="{00000000-0011-0000-FFFF-FFFF01000000}"/>
    <tableStyle name="Plain Style" pivot="0" count="0" xr9:uid="{00000000-0011-0000-FFFF-FFFF02000000}"/>
  </tableStyles>
  <colors>
    <mruColors>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3</xdr:row>
          <xdr:rowOff>0</xdr:rowOff>
        </xdr:from>
        <xdr:to>
          <xdr:col>10</xdr:col>
          <xdr:colOff>228600</xdr:colOff>
          <xdr:row>3</xdr:row>
          <xdr:rowOff>200025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Arial Narrow"/>
                </a:rPr>
                <a:t>Select Default Save Folder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27</xdr:row>
          <xdr:rowOff>85725</xdr:rowOff>
        </xdr:from>
        <xdr:to>
          <xdr:col>9</xdr:col>
          <xdr:colOff>0</xdr:colOff>
          <xdr:row>30</xdr:row>
          <xdr:rowOff>9525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Arial Narrow"/>
                </a:rPr>
                <a:t>Create Run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7</xdr:row>
          <xdr:rowOff>66675</xdr:rowOff>
        </xdr:from>
        <xdr:to>
          <xdr:col>5</xdr:col>
          <xdr:colOff>200025</xdr:colOff>
          <xdr:row>7</xdr:row>
          <xdr:rowOff>257175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Arial Narrow"/>
                </a:rPr>
                <a:t>Select Template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10</xdr:row>
          <xdr:rowOff>95250</xdr:rowOff>
        </xdr:from>
        <xdr:to>
          <xdr:col>5</xdr:col>
          <xdr:colOff>200025</xdr:colOff>
          <xdr:row>10</xdr:row>
          <xdr:rowOff>266700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Arial Narrow"/>
                </a:rPr>
                <a:t>Select Save Folder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342900</xdr:colOff>
          <xdr:row>2</xdr:row>
          <xdr:rowOff>0</xdr:rowOff>
        </xdr:from>
        <xdr:to>
          <xdr:col>9</xdr:col>
          <xdr:colOff>333375</xdr:colOff>
          <xdr:row>3</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Arial Narrow"/>
                </a:rPr>
                <a:t>Print Bookmarks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umc.edu\data\CANCTR%20RSCH\CMOL\Sample%20Receipt%20Logs\Clinical%20Sample%20Receiving%20Log\Clinical%20Sample%20Receipt%20Lo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NA Receipt Log-MASTER"/>
      <sheetName val="DNA - Buffy Coat Receipt Log"/>
      <sheetName val="RNA Receipt Log"/>
      <sheetName val="Related DNA_RNA #s"/>
      <sheetName val="List of Providers"/>
      <sheetName val="Clinical Sample Receipt Log"/>
      <sheetName val="ICD-9 Codes and Dx"/>
      <sheetName val="Holidays, Locations, Tests"/>
      <sheetName val="Sheet1"/>
      <sheetName val="Sheet2"/>
      <sheetName val=""/>
    </sheetNames>
    <sheetDataSet>
      <sheetData sheetId="0"/>
      <sheetData sheetId="1"/>
      <sheetData sheetId="2"/>
      <sheetData sheetId="3"/>
      <sheetData sheetId="4"/>
      <sheetData sheetId="5" refreshError="1"/>
      <sheetData sheetId="6"/>
      <sheetData sheetId="7" refreshError="1"/>
      <sheetData sheetId="8"/>
      <sheetData sheetId="9"/>
      <sheetData sheetId="1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PatientList" displayName="PatientList" ref="A1:BB41" totalsRowShown="0" headerRowDxfId="125" dataDxfId="124">
  <autoFilter ref="A1:BB41" xr:uid="{00000000-0009-0000-0100-000006000000}"/>
  <tableColumns count="54">
    <tableColumn id="1" xr3:uid="{00000000-0010-0000-0000-000001000000}" name="Last Name" dataDxfId="123"/>
    <tableColumn id="2" xr3:uid="{00000000-0010-0000-0000-000002000000}" name="First Name" dataDxfId="122"/>
    <tableColumn id="3" xr3:uid="{00000000-0010-0000-0000-000003000000}" name="MRN" dataDxfId="121"/>
    <tableColumn id="4" xr3:uid="{00000000-0010-0000-0000-000004000000}" name="Accession #" dataDxfId="120"/>
    <tableColumn id="5" xr3:uid="{00000000-0010-0000-0000-000005000000}" name="Collection Date" dataDxfId="119"/>
    <tableColumn id="6" xr3:uid="{00000000-0010-0000-0000-000006000000}" name="Birth Date" dataDxfId="118"/>
    <tableColumn id="7" xr3:uid="{00000000-0010-0000-0000-000007000000}" name="Gender" dataDxfId="117"/>
    <tableColumn id="8" xr3:uid="{00000000-0010-0000-0000-000008000000}" name="Case ID" dataDxfId="116"/>
    <tableColumn id="9" xr3:uid="{00000000-0010-0000-0000-000009000000}" name="DNA Number" dataDxfId="115"/>
    <tableColumn id="10" xr3:uid="{00000000-0010-0000-0000-00000A000000}" name="Color" dataDxfId="114"/>
    <tableColumn id="11" xr3:uid="{00000000-0010-0000-0000-00000B000000}" name="Received Date" dataDxfId="113"/>
    <tableColumn id="12" xr3:uid="{00000000-0010-0000-0000-00000C000000}" name="Received Time" dataDxfId="112"/>
    <tableColumn id="13" xr3:uid="{00000000-0010-0000-0000-00000D000000}" name="Received By" dataDxfId="111"/>
    <tableColumn id="14" xr3:uid="{00000000-0010-0000-0000-00000E000000}" name="Sample Type" dataDxfId="110"/>
    <tableColumn id="15" xr3:uid="{00000000-0010-0000-0000-00000F000000}" name="Sample Amount" dataDxfId="109"/>
    <tableColumn id="16" xr3:uid="{00000000-0010-0000-0000-000010000000}" name="Ordering Location" dataDxfId="108"/>
    <tableColumn id="17" xr3:uid="{00000000-0010-0000-0000-000011000000}" name="Location Code (BMT, CCC, etc)" dataDxfId="107"/>
    <tableColumn id="18" xr3:uid="{00000000-0010-0000-0000-000012000000}" name="Provider Last Name" dataDxfId="106"/>
    <tableColumn id="19" xr3:uid="{00000000-0010-0000-0000-000013000000}" name="Provider First Name" dataDxfId="105"/>
    <tableColumn id="20" xr3:uid="{00000000-0010-0000-0000-000014000000}" name="Due Date (10 working days from receipt)" dataDxfId="104"/>
    <tableColumn id="21" xr3:uid="{00000000-0010-0000-0000-000015000000}" name="Test Requested" dataDxfId="103"/>
    <tableColumn id="22" xr3:uid="{00000000-0010-0000-0000-000016000000}" name="Assay ID" dataDxfId="102"/>
    <tableColumn id="24" xr3:uid="{00000000-0010-0000-0000-000018000000}" name="Test Run Date" dataDxfId="101"/>
    <tableColumn id="25" xr3:uid="{00000000-0010-0000-0000-000019000000}" name="Reported Date" dataDxfId="100"/>
    <tableColumn id="55" xr3:uid="{060EF34D-19AA-4522-8341-185EBF35D4BA}" name="Test Run By" dataDxfId="99"/>
    <tableColumn id="26" xr3:uid="{00000000-0010-0000-0000-00001A000000}" name="Invoice Number" dataDxfId="98"/>
    <tableColumn id="27" xr3:uid="{00000000-0010-0000-0000-00001B000000}" name="Notes" dataDxfId="97"/>
    <tableColumn id="28" xr3:uid="{00000000-0010-0000-0000-00001C000000}" name="Column1" dataDxfId="96"/>
    <tableColumn id="29" xr3:uid="{00000000-0010-0000-0000-00001D000000}" name="Column2" dataDxfId="95"/>
    <tableColumn id="30" xr3:uid="{00000000-0010-0000-0000-00001E000000}" name="Column3" dataDxfId="94"/>
    <tableColumn id="31" xr3:uid="{00000000-0010-0000-0000-00001F000000}" name="Test Requested4" dataDxfId="93"/>
    <tableColumn id="32" xr3:uid="{00000000-0010-0000-0000-000020000000}" name="Holidays (2012-2014)" dataDxfId="92"/>
    <tableColumn id="33" xr3:uid="{00000000-0010-0000-0000-000021000000}" name="Ordering Location5" dataDxfId="91"/>
    <tableColumn id="34" xr3:uid="{00000000-0010-0000-0000-000022000000}" name="Column6" dataDxfId="90"/>
    <tableColumn id="35" xr3:uid="{00000000-0010-0000-0000-000023000000}" name="Column7" dataDxfId="89"/>
    <tableColumn id="36" xr3:uid="{00000000-0010-0000-0000-000024000000}" name="Column8" dataDxfId="88"/>
    <tableColumn id="37" xr3:uid="{00000000-0010-0000-0000-000025000000}" name="Column9" dataDxfId="87"/>
    <tableColumn id="38" xr3:uid="{00000000-0010-0000-0000-000026000000}" name="Column10" dataDxfId="86"/>
    <tableColumn id="39" xr3:uid="{00000000-0010-0000-0000-000027000000}" name="Column11" dataDxfId="85"/>
    <tableColumn id="40" xr3:uid="{00000000-0010-0000-0000-000028000000}" name="Column12" dataDxfId="84"/>
    <tableColumn id="41" xr3:uid="{00000000-0010-0000-0000-000029000000}" name="Column13" dataDxfId="83"/>
    <tableColumn id="42" xr3:uid="{00000000-0010-0000-0000-00002A000000}" name="Column14" dataDxfId="82"/>
    <tableColumn id="43" xr3:uid="{00000000-0010-0000-0000-00002B000000}" name="Concentration" dataDxfId="81"/>
    <tableColumn id="44" xr3:uid="{00000000-0010-0000-0000-00002C000000}" name="A260:A280" dataDxfId="80"/>
    <tableColumn id="45" xr3:uid="{00000000-0010-0000-0000-00002D000000}" name="Column17" dataDxfId="79"/>
    <tableColumn id="46" xr3:uid="{00000000-0010-0000-0000-00002E000000}" name="Column18" dataDxfId="78"/>
    <tableColumn id="47" xr3:uid="{00000000-0010-0000-0000-00002F000000}" name="Column19" dataDxfId="77"/>
    <tableColumn id="48" xr3:uid="{00000000-0010-0000-0000-000030000000}" name="Column20" dataDxfId="76"/>
    <tableColumn id="49" xr3:uid="{00000000-0010-0000-0000-000031000000}" name="Column21" dataDxfId="75"/>
    <tableColumn id="50" xr3:uid="{00000000-0010-0000-0000-000032000000}" name="Column22" dataDxfId="74"/>
    <tableColumn id="51" xr3:uid="{00000000-0010-0000-0000-000033000000}" name="Column23" dataDxfId="73"/>
    <tableColumn id="52" xr3:uid="{00000000-0010-0000-0000-000034000000}" name="Column24" dataDxfId="72"/>
    <tableColumn id="53" xr3:uid="{00000000-0010-0000-0000-000035000000}" name="Column25" dataDxfId="71"/>
    <tableColumn id="54" xr3:uid="{00000000-0010-0000-0000-000036000000}" name="Column26" dataDxfId="7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Samples" displayName="Samples" ref="A32:H72" totalsRowShown="0" headerRowDxfId="61" dataDxfId="59" headerRowBorderDxfId="60" tableBorderDxfId="58" totalsRowBorderDxfId="57">
  <autoFilter ref="A32:H72" xr:uid="{00000000-0009-0000-0100-000001000000}"/>
  <tableColumns count="8">
    <tableColumn id="1" xr3:uid="{00000000-0010-0000-0100-000001000000}" name="#" dataDxfId="56"/>
    <tableColumn id="2" xr3:uid="{00000000-0010-0000-0100-000002000000}" name="Name" dataDxfId="55">
      <calculatedColumnFormula>IF(A33&lt;$P$16, IF('Patient List'!I2="", "", CONCATENATE('Patient List'!A2, ", ", 'Patient List'!B2)), IF('NGS Run Record'!A33='NGS Run Record'!$P$16, IF('NGS Run Record'!$I$15&lt;&gt;"OK", "", 'NGS Run Record'!$B$15), IF($J$15=0, "", OFFSET('NGS Run Record'!$B$15, MIN('NGS Run Record'!A33-'NGS Run Record'!$P$16, $J$15), 0))))</calculatedColumnFormula>
    </tableColumn>
    <tableColumn id="3" xr3:uid="{00000000-0010-0000-0100-000003000000}" name="DNA #" dataDxfId="54">
      <calculatedColumnFormula>IF(A33&lt;$P$16, IF('Patient List'!I2="", "", 'Patient List'!I2), IF('NGS Run Record'!A33='NGS Run Record'!$P$16, IF('NGS Run Record'!$I$15&lt;&gt;"OK", "", 'NGS Run Record'!$C$15), IF($J$15=0, "", OFFSET('NGS Run Record'!$C$15, MIN(ABS('NGS Run Record'!A33-'NGS Run Record'!$P$16), $J$15), 0))))</calculatedColumnFormula>
    </tableColumn>
    <tableColumn id="4" xr3:uid="{00000000-0010-0000-0100-000004000000}" name="Accession #" dataDxfId="53">
      <calculatedColumnFormula>IF(A33&lt;$P$16, IF('Patient List'!I2="", "", 'Patient List'!D2), IF('NGS Run Record'!A33='NGS Run Record'!$P$16, IF('NGS Run Record'!$I$15&lt;&gt;"OK", "", 'NGS Run Record'!$D$15), IF($J$15=0, "", OFFSET('NGS Run Record'!$D$15, MIN('NGS Run Record'!A33-'NGS Run Record'!$P$16, $J$15), 0))))</calculatedColumnFormula>
    </tableColumn>
    <tableColumn id="6" xr3:uid="{00000000-0010-0000-0100-000006000000}" name="Sample type" dataDxfId="52">
      <calculatedColumnFormula>IF(A33&lt;$P$16, IF('Patient List'!I2="", "", 'Patient List'!N2), IF('NGS Run Record'!A33='NGS Run Record'!$P$16, IF('NGS Run Record'!$I$15&lt;&gt;"OK", "", 'NGS Run Record'!$G$15), IF($J$15=0, "", OFFSET('NGS Run Record'!$G$15, MIN('NGS Run Record'!A33-'NGS Run Record'!$P$16, $J$15), 0))))</calculatedColumnFormula>
    </tableColumn>
    <tableColumn id="8" xr3:uid="{00000000-0010-0000-0100-000008000000}" name="DNA Conc. (ng/µl )" dataDxfId="51">
      <calculatedColumnFormula>IF(A33&lt;$P$16, IF('Patient List'!I2="", "", 'Patient List'!AQ2), IF('NGS Run Record'!A33='NGS Run Record'!$P$16, IF('NGS Run Record'!$I$15&lt;&gt;"OK", "", 'NGS Run Record'!$E$15), IF($J$15=0, "", OFFSET('NGS Run Record'!$E$15, MIN('NGS Run Record'!A33-'NGS Run Record'!$P$16, $J$15), 0))))</calculatedColumnFormula>
    </tableColumn>
    <tableColumn id="9" xr3:uid="{00000000-0010-0000-0100-000009000000}" name="A260/280" dataDxfId="50">
      <calculatedColumnFormula>IF(A33&lt;$P$16, IF('Patient List'!I2="", "", 'Patient List'!AR2), IF('NGS Run Record'!A33='NGS Run Record'!$P$16, IF('NGS Run Record'!$I$15&lt;&gt;"OK", "", 'NGS Run Record'!$F$15), IF($J$15=0, "", OFFSET('NGS Run Record'!$F$15, MIN('NGS Run Record'!A33-'NGS Run Record'!$P$16, $J$15), 0))))</calculatedColumnFormula>
    </tableColumn>
    <tableColumn id="5" xr3:uid="{00000000-0010-0000-0100-000005000000}" name="QC Result" dataDxfId="49">
      <calculatedColumnFormula>IF(OR(Samples[[#This Row],[DNA '#]]="", Samples[[#This Row],[DNA '#]]=0),"", "Pass / Fail")</calculatedColumnFormula>
    </tableColumn>
  </tableColumns>
  <tableStyleInfo name="Plain Sty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B_Samples" displayName="B_Samples" ref="A2:I26" totalsRowShown="0" headerRowDxfId="48" dataDxfId="46" headerRowBorderDxfId="47" tableBorderDxfId="45" totalsRowBorderDxfId="44">
  <autoFilter ref="A2:I26" xr:uid="{00000000-0009-0000-0100-000005000000}"/>
  <tableColumns count="9">
    <tableColumn id="1" xr3:uid="{00000000-0010-0000-0200-000001000000}" name="#" dataDxfId="43"/>
    <tableColumn id="2" xr3:uid="{00000000-0010-0000-0200-000002000000}" name="Name" dataDxfId="42">
      <calculatedColumnFormula array="1">IFERROR(INDEX(Samples[Name], SMALL(IF(OR(LEFT(Samples[Sample type], 1)="B", LEFT(Samples[Sample type], 1)="C"), ROW(Samples[Name])-ROW('NGS Run Record'!B$33)+1), ROWS('NGS Run Record'!B$33:'NGS Run Record'!B31))), "")</calculatedColumnFormula>
    </tableColumn>
    <tableColumn id="3" xr3:uid="{00000000-0010-0000-0200-000003000000}" name="DNA #" dataDxfId="41">
      <calculatedColumnFormula array="1">IFERROR(INDEX(Samples[DNA '#], SMALL(IF(OR(LEFT(Samples[Sample type], 1)="B", LEFT(Samples[Sample type], 1)="C"), ROW(Samples[Name])-ROW('NGS Run Record'!B$33)+1), ROWS('NGS Run Record'!B$33:'NGS Run Record'!B31))), "")</calculatedColumnFormula>
    </tableColumn>
    <tableColumn id="4" xr3:uid="{00000000-0010-0000-0200-000004000000}" name="Case # - MRN" dataDxfId="40">
      <calculatedColumnFormula array="1">IFERROR(INDEX(Samples[Accession '#], SMALL(IF(Samples[Sample type]="FFPE", ROW(Samples[Accession '#])-ROW('NGS Run Record'!D$33)+1), ROWS('NGS Run Record'!D$33:'NGS Run Record'!#REF!))), "")</calculatedColumnFormula>
    </tableColumn>
    <tableColumn id="5" xr3:uid="{00000000-0010-0000-0200-000005000000}" name="Type" dataDxfId="39">
      <calculatedColumnFormula array="1">IFERROR(INDEX(Samples[Sample type], SMALL(IF(Samples[Sample type]="FFPE", ROW(Samples[Sample type])-ROW('NGS Run Record'!E$33)+1), ROWS('NGS Run Record'!E$33:'NGS Run Record'!#REF!))), "")</calculatedColumnFormula>
    </tableColumn>
    <tableColumn id="6" xr3:uid="{00000000-0010-0000-0200-000006000000}" name="Conc. (ng/µl )" dataDxfId="38">
      <calculatedColumnFormula array="1">IFERROR(INDEX(Samples[DNA Conc. (ng/µl )], SMALL(IF(Samples[Sample type]="FFPE", ROW(Samples[DNA Conc. (ng/µl )])-ROW('NGS Run Record'!F$33)+1), ROWS('NGS Run Record'!F$33:'NGS Run Record'!#REF!))), "")</calculatedColumnFormula>
    </tableColumn>
    <tableColumn id="7" xr3:uid="{00000000-0010-0000-0200-000007000000}" name="A260/280" dataDxfId="37">
      <calculatedColumnFormula array="1">IFERROR(INDEX(Samples[A260/280], SMALL(IF(Samples[Sample type]="FFPE", ROW(Samples[A260/280])-ROW('NGS Run Record'!G$33)+1), ROWS('NGS Run Record'!G$33:'NGS Run Record'!#REF!))), "")</calculatedColumnFormula>
    </tableColumn>
    <tableColumn id="8" xr3:uid="{00000000-0010-0000-0200-000008000000}" name="Result" dataDxfId="36">
      <calculatedColumnFormula>IF(B_Samples[[#This Row],[Name]]="", "", "Pass / Fail")</calculatedColumnFormula>
    </tableColumn>
    <tableColumn id="9" xr3:uid="{00000000-0010-0000-0200-000009000000}" name="Notes" dataDxfId="35"/>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2" displayName="Table2" ref="A4:M14" totalsRowShown="0" headerRowDxfId="34" dataDxfId="32" headerRowBorderDxfId="33" tableBorderDxfId="31">
  <autoFilter ref="A4:M14" xr:uid="{00000000-0009-0000-0100-000002000000}"/>
  <tableColumns count="13">
    <tableColumn id="1" xr3:uid="{00000000-0010-0000-0300-000001000000}" name="Column1" dataDxfId="30"/>
    <tableColumn id="2" xr3:uid="{00000000-0010-0000-0300-000002000000}" name="Column2" dataDxfId="29"/>
    <tableColumn id="3" xr3:uid="{00000000-0010-0000-0300-000003000000}" name="Column3" dataDxfId="28"/>
    <tableColumn id="4" xr3:uid="{00000000-0010-0000-0300-000004000000}" name="Column4" dataDxfId="27"/>
    <tableColumn id="5" xr3:uid="{00000000-0010-0000-0300-000005000000}" name="Column5" dataDxfId="26"/>
    <tableColumn id="6" xr3:uid="{00000000-0010-0000-0300-000006000000}" name="Column6" dataDxfId="25"/>
    <tableColumn id="7" xr3:uid="{00000000-0010-0000-0300-000007000000}" name="Column7" dataDxfId="24"/>
    <tableColumn id="8" xr3:uid="{00000000-0010-0000-0300-000008000000}" name="Column8" dataDxfId="23"/>
    <tableColumn id="9" xr3:uid="{00000000-0010-0000-0300-000009000000}" name="Column9" dataDxfId="22"/>
    <tableColumn id="10" xr3:uid="{00000000-0010-0000-0300-00000A000000}" name="Column10" dataDxfId="21"/>
    <tableColumn id="11" xr3:uid="{00000000-0010-0000-0300-00000B000000}" name="Column11" dataDxfId="20"/>
    <tableColumn id="12" xr3:uid="{00000000-0010-0000-0300-00000C000000}" name="Column12" dataDxfId="19"/>
    <tableColumn id="13" xr3:uid="{00000000-0010-0000-0300-00000D000000}" name="Column13" dataDxfId="18"/>
  </tableColumns>
  <tableStyleInfo name="Blank Styl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4" displayName="Table4" ref="A2:M11" totalsRowShown="0" headerRowDxfId="17" dataDxfId="15" headerRowBorderDxfId="16" tableBorderDxfId="14" totalsRowBorderDxfId="13">
  <autoFilter ref="A2:M11" xr:uid="{00000000-0009-0000-0100-000004000000}"/>
  <tableColumns count="13">
    <tableColumn id="1" xr3:uid="{00000000-0010-0000-0400-000001000000}" name="Column1" dataDxfId="12"/>
    <tableColumn id="2" xr3:uid="{00000000-0010-0000-0400-000002000000}" name="Column2" dataDxfId="11"/>
    <tableColumn id="3" xr3:uid="{00000000-0010-0000-0400-000003000000}" name="Column3" dataDxfId="10"/>
    <tableColumn id="4" xr3:uid="{00000000-0010-0000-0400-000004000000}" name="Column4" dataDxfId="9"/>
    <tableColumn id="5" xr3:uid="{00000000-0010-0000-0400-000005000000}" name="Column5" dataDxfId="8"/>
    <tableColumn id="6" xr3:uid="{00000000-0010-0000-0400-000006000000}" name="Column6" dataDxfId="7"/>
    <tableColumn id="7" xr3:uid="{00000000-0010-0000-0400-000007000000}" name="Column7" dataDxfId="6"/>
    <tableColumn id="8" xr3:uid="{00000000-0010-0000-0400-000008000000}" name="Column8" dataDxfId="5"/>
    <tableColumn id="9" xr3:uid="{00000000-0010-0000-0400-000009000000}" name="Column9" dataDxfId="4"/>
    <tableColumn id="10" xr3:uid="{00000000-0010-0000-0400-00000A000000}" name="Column10" dataDxfId="3"/>
    <tableColumn id="11" xr3:uid="{00000000-0010-0000-0400-00000B000000}" name="Column11" dataDxfId="2"/>
    <tableColumn id="12" xr3:uid="{00000000-0010-0000-0400-00000C000000}" name="Column12" dataDxfId="1"/>
    <tableColumn id="13" xr3:uid="{00000000-0010-0000-0400-00000D000000}" name="Column13" dataDxfId="0"/>
  </tableColumns>
  <tableStyleInfo name="Blank Style"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FFFF00"/>
  </sheetPr>
  <dimension ref="A1:N26"/>
  <sheetViews>
    <sheetView workbookViewId="0">
      <selection activeCell="E11" sqref="E11"/>
    </sheetView>
  </sheetViews>
  <sheetFormatPr defaultRowHeight="16.5" x14ac:dyDescent="0.3"/>
  <cols>
    <col min="2" max="2" width="13.42578125" customWidth="1"/>
  </cols>
  <sheetData>
    <row r="1" spans="1:14" x14ac:dyDescent="0.3">
      <c r="A1" t="s">
        <v>68</v>
      </c>
    </row>
    <row r="2" spans="1:14" x14ac:dyDescent="0.3">
      <c r="A2" t="s">
        <v>48</v>
      </c>
    </row>
    <row r="3" spans="1:14" x14ac:dyDescent="0.3">
      <c r="A3" t="s">
        <v>49</v>
      </c>
    </row>
    <row r="4" spans="1:14" x14ac:dyDescent="0.3">
      <c r="A4" s="6" t="s">
        <v>70</v>
      </c>
      <c r="B4" s="6"/>
      <c r="C4" s="6"/>
      <c r="D4" s="6"/>
      <c r="E4" s="6"/>
      <c r="F4" s="6"/>
    </row>
    <row r="5" spans="1:14" ht="17.25" thickBot="1" x14ac:dyDescent="0.35">
      <c r="B5" t="s">
        <v>71</v>
      </c>
    </row>
    <row r="6" spans="1:14" ht="17.25" thickBot="1" x14ac:dyDescent="0.35">
      <c r="B6" t="s">
        <v>72</v>
      </c>
      <c r="E6" s="2" t="s">
        <v>210</v>
      </c>
      <c r="F6" s="3"/>
      <c r="G6" s="3"/>
      <c r="H6" s="3"/>
      <c r="I6" s="3"/>
      <c r="J6" s="3"/>
      <c r="K6" s="3"/>
      <c r="L6" s="3"/>
      <c r="M6" s="3"/>
      <c r="N6" s="4"/>
    </row>
    <row r="8" spans="1:14" x14ac:dyDescent="0.3">
      <c r="A8" t="s">
        <v>50</v>
      </c>
    </row>
    <row r="9" spans="1:14" x14ac:dyDescent="0.3">
      <c r="A9" t="s">
        <v>51</v>
      </c>
    </row>
    <row r="10" spans="1:14" x14ac:dyDescent="0.3">
      <c r="A10" t="s">
        <v>52</v>
      </c>
    </row>
    <row r="11" spans="1:14" x14ac:dyDescent="0.3">
      <c r="B11" t="s">
        <v>53</v>
      </c>
    </row>
    <row r="12" spans="1:14" x14ac:dyDescent="0.3">
      <c r="A12" t="s">
        <v>54</v>
      </c>
    </row>
    <row r="13" spans="1:14" x14ac:dyDescent="0.3">
      <c r="B13" t="s">
        <v>55</v>
      </c>
      <c r="C13" t="s">
        <v>56</v>
      </c>
    </row>
    <row r="14" spans="1:14" x14ac:dyDescent="0.3">
      <c r="D14" t="s">
        <v>57</v>
      </c>
    </row>
    <row r="15" spans="1:14" x14ac:dyDescent="0.3">
      <c r="D15" t="s">
        <v>58</v>
      </c>
    </row>
    <row r="16" spans="1:14" x14ac:dyDescent="0.3">
      <c r="D16" t="s">
        <v>59</v>
      </c>
    </row>
    <row r="17" spans="1:4" x14ac:dyDescent="0.3">
      <c r="D17" t="s">
        <v>60</v>
      </c>
    </row>
    <row r="18" spans="1:4" x14ac:dyDescent="0.3">
      <c r="D18" t="s">
        <v>61</v>
      </c>
    </row>
    <row r="19" spans="1:4" x14ac:dyDescent="0.3">
      <c r="D19" t="s">
        <v>62</v>
      </c>
    </row>
    <row r="20" spans="1:4" x14ac:dyDescent="0.3">
      <c r="C20" t="s">
        <v>63</v>
      </c>
    </row>
    <row r="21" spans="1:4" x14ac:dyDescent="0.3">
      <c r="D21" t="s">
        <v>64</v>
      </c>
    </row>
    <row r="22" spans="1:4" x14ac:dyDescent="0.3">
      <c r="D22" t="s">
        <v>65</v>
      </c>
    </row>
    <row r="23" spans="1:4" x14ac:dyDescent="0.3">
      <c r="D23" t="s">
        <v>66</v>
      </c>
    </row>
    <row r="24" spans="1:4" x14ac:dyDescent="0.3">
      <c r="D24" t="s">
        <v>67</v>
      </c>
    </row>
    <row r="26" spans="1:4" x14ac:dyDescent="0.3">
      <c r="A26" t="s">
        <v>69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electDefaultSaveFolder">
                <anchor moveWithCells="1" sizeWithCells="1">
                  <from>
                    <xdr:col>6</xdr:col>
                    <xdr:colOff>590550</xdr:colOff>
                    <xdr:row>3</xdr:row>
                    <xdr:rowOff>0</xdr:rowOff>
                  </from>
                  <to>
                    <xdr:col>10</xdr:col>
                    <xdr:colOff>228600</xdr:colOff>
                    <xdr:row>3</xdr:row>
                    <xdr:rowOff>200025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1:BB41"/>
  <sheetViews>
    <sheetView topLeftCell="T1" workbookViewId="0">
      <selection activeCell="W3" sqref="W3"/>
    </sheetView>
  </sheetViews>
  <sheetFormatPr defaultColWidth="9.140625" defaultRowHeight="16.5" x14ac:dyDescent="0.3"/>
  <cols>
    <col min="1" max="1" width="10.7109375" style="77" customWidth="1"/>
    <col min="2" max="2" width="13.85546875" style="77" bestFit="1" customWidth="1"/>
    <col min="3" max="3" width="9.140625" style="77"/>
    <col min="4" max="4" width="11.28515625" style="77" customWidth="1"/>
    <col min="5" max="5" width="13.85546875" style="77" customWidth="1"/>
    <col min="6" max="6" width="10.42578125" style="77" customWidth="1"/>
    <col min="7" max="7" width="9.140625" style="77"/>
    <col min="8" max="8" width="12.28515625" style="77" customWidth="1"/>
    <col min="9" max="9" width="12.5703125" style="77" customWidth="1"/>
    <col min="10" max="10" width="9.140625" style="77"/>
    <col min="11" max="11" width="13.42578125" style="77" customWidth="1"/>
    <col min="12" max="12" width="13.5703125" style="77" customWidth="1"/>
    <col min="13" max="13" width="11.85546875" style="77" customWidth="1"/>
    <col min="14" max="14" width="12.28515625" style="77" customWidth="1"/>
    <col min="15" max="15" width="14.42578125" style="77" customWidth="1"/>
    <col min="16" max="16" width="15.5703125" style="77" customWidth="1"/>
    <col min="17" max="17" width="24.140625" style="77" customWidth="1"/>
    <col min="18" max="18" width="17" style="77" customWidth="1"/>
    <col min="19" max="19" width="17.28515625" style="77" customWidth="1"/>
    <col min="20" max="20" width="32.140625" style="77" customWidth="1"/>
    <col min="21" max="21" width="14" style="77" customWidth="1"/>
    <col min="22" max="22" width="9.28515625" style="77" customWidth="1"/>
    <col min="23" max="23" width="13.140625" style="77" customWidth="1"/>
    <col min="24" max="25" width="13.42578125" style="77" customWidth="1"/>
    <col min="26" max="26" width="14.28515625" style="77" customWidth="1"/>
    <col min="27" max="27" width="9.140625" style="77"/>
    <col min="28" max="30" width="9.85546875" style="77" customWidth="1"/>
    <col min="31" max="31" width="16.140625" style="77" customWidth="1"/>
    <col min="32" max="32" width="19" style="77" customWidth="1"/>
    <col min="33" max="33" width="17.7109375" style="77" customWidth="1"/>
    <col min="34" max="37" width="10.42578125" style="77" customWidth="1"/>
    <col min="38" max="46" width="11.42578125" style="77" customWidth="1"/>
    <col min="47" max="16384" width="9.140625" style="77"/>
  </cols>
  <sheetData>
    <row r="1" spans="1:54" s="96" customFormat="1" x14ac:dyDescent="0.3">
      <c r="A1" s="85" t="s">
        <v>37</v>
      </c>
      <c r="B1" s="85" t="s">
        <v>0</v>
      </c>
      <c r="C1" s="84" t="s">
        <v>1</v>
      </c>
      <c r="D1" s="85" t="s">
        <v>2</v>
      </c>
      <c r="E1" s="85" t="s">
        <v>3</v>
      </c>
      <c r="F1" s="85" t="s">
        <v>4</v>
      </c>
      <c r="G1" s="85" t="s">
        <v>5</v>
      </c>
      <c r="H1" s="85" t="s">
        <v>6</v>
      </c>
      <c r="I1" s="85" t="s">
        <v>7</v>
      </c>
      <c r="J1" s="85" t="s">
        <v>8</v>
      </c>
      <c r="K1" s="85" t="s">
        <v>9</v>
      </c>
      <c r="L1" s="85" t="s">
        <v>10</v>
      </c>
      <c r="M1" s="85" t="s">
        <v>11</v>
      </c>
      <c r="N1" s="85" t="s">
        <v>12</v>
      </c>
      <c r="O1" s="85" t="s">
        <v>13</v>
      </c>
      <c r="P1" s="85" t="s">
        <v>14</v>
      </c>
      <c r="Q1" s="85" t="s">
        <v>15</v>
      </c>
      <c r="R1" s="85" t="s">
        <v>16</v>
      </c>
      <c r="S1" s="85" t="s">
        <v>17</v>
      </c>
      <c r="T1" s="85" t="s">
        <v>18</v>
      </c>
      <c r="U1" s="85" t="s">
        <v>19</v>
      </c>
      <c r="V1" s="85" t="s">
        <v>20</v>
      </c>
      <c r="W1" s="85" t="s">
        <v>22</v>
      </c>
      <c r="X1" s="85" t="s">
        <v>23</v>
      </c>
      <c r="Y1" s="85" t="s">
        <v>21</v>
      </c>
      <c r="Z1" s="85" t="s">
        <v>24</v>
      </c>
      <c r="AA1" s="85" t="s">
        <v>25</v>
      </c>
      <c r="AB1" s="71" t="s">
        <v>33</v>
      </c>
      <c r="AC1" s="72" t="s">
        <v>95</v>
      </c>
      <c r="AD1" s="72" t="s">
        <v>96</v>
      </c>
      <c r="AE1" s="73" t="s">
        <v>97</v>
      </c>
      <c r="AF1" s="73" t="s">
        <v>26</v>
      </c>
      <c r="AG1" s="73" t="s">
        <v>98</v>
      </c>
      <c r="AH1" s="86" t="s">
        <v>99</v>
      </c>
      <c r="AI1" s="86" t="s">
        <v>100</v>
      </c>
      <c r="AJ1" s="86" t="s">
        <v>101</v>
      </c>
      <c r="AK1" s="86" t="s">
        <v>102</v>
      </c>
      <c r="AL1" s="86" t="s">
        <v>103</v>
      </c>
      <c r="AM1" s="86" t="s">
        <v>104</v>
      </c>
      <c r="AN1" s="86" t="s">
        <v>105</v>
      </c>
      <c r="AO1" s="86" t="s">
        <v>106</v>
      </c>
      <c r="AP1" s="86" t="s">
        <v>107</v>
      </c>
      <c r="AQ1" s="86" t="s">
        <v>117</v>
      </c>
      <c r="AR1" s="86" t="s">
        <v>118</v>
      </c>
      <c r="AS1" s="86" t="s">
        <v>108</v>
      </c>
      <c r="AT1" s="86" t="s">
        <v>109</v>
      </c>
      <c r="AU1" s="96" t="s">
        <v>173</v>
      </c>
      <c r="AV1" s="96" t="s">
        <v>174</v>
      </c>
      <c r="AW1" s="96" t="s">
        <v>175</v>
      </c>
      <c r="AX1" s="96" t="s">
        <v>176</v>
      </c>
      <c r="AY1" s="96" t="s">
        <v>177</v>
      </c>
      <c r="AZ1" s="96" t="s">
        <v>178</v>
      </c>
      <c r="BA1" s="96" t="s">
        <v>179</v>
      </c>
      <c r="BB1" s="96" t="s">
        <v>180</v>
      </c>
    </row>
    <row r="2" spans="1:54" s="149" customFormat="1" ht="21.75" customHeight="1" x14ac:dyDescent="0.3">
      <c r="A2" s="137"/>
      <c r="B2" s="146"/>
      <c r="C2" s="140"/>
      <c r="D2" s="146"/>
      <c r="E2" s="141"/>
      <c r="F2" s="141"/>
      <c r="G2" s="139"/>
      <c r="H2" s="139"/>
      <c r="I2" s="139" t="s">
        <v>34</v>
      </c>
      <c r="J2" s="139"/>
      <c r="K2" s="142"/>
      <c r="L2" s="143"/>
      <c r="M2" s="144"/>
      <c r="N2" s="146"/>
      <c r="O2" s="139"/>
      <c r="P2" s="145"/>
      <c r="Q2" s="139"/>
      <c r="R2" s="139"/>
      <c r="S2" s="139"/>
      <c r="T2" s="147"/>
      <c r="U2" s="139" t="s">
        <v>217</v>
      </c>
      <c r="V2" s="139" t="s">
        <v>238</v>
      </c>
      <c r="W2" s="141">
        <v>45679</v>
      </c>
      <c r="X2" s="141"/>
      <c r="Y2" s="141" t="s">
        <v>218</v>
      </c>
      <c r="Z2" s="144"/>
      <c r="AA2" s="139"/>
      <c r="AB2" s="140"/>
      <c r="AC2" s="140"/>
      <c r="AD2" s="140"/>
      <c r="AE2" s="140"/>
      <c r="AF2" s="140"/>
      <c r="AG2" s="140"/>
      <c r="AH2" s="140"/>
      <c r="AI2" s="140"/>
      <c r="AJ2" s="140"/>
      <c r="AK2" s="140"/>
      <c r="AL2" s="140"/>
      <c r="AM2" s="140"/>
      <c r="AN2" s="140"/>
      <c r="AO2" s="147"/>
      <c r="AP2" s="146"/>
      <c r="AQ2" s="140"/>
      <c r="AR2" s="140"/>
      <c r="AS2" s="140"/>
      <c r="AT2" s="140"/>
      <c r="AU2" s="148"/>
      <c r="AV2" s="139"/>
      <c r="AW2" s="139"/>
      <c r="AX2" s="139"/>
      <c r="AY2" s="139"/>
      <c r="AZ2" s="139"/>
      <c r="BA2" s="139"/>
    </row>
    <row r="3" spans="1:54" s="150" customFormat="1" ht="21.75" customHeight="1" x14ac:dyDescent="0.2">
      <c r="A3" s="150" t="s">
        <v>219</v>
      </c>
      <c r="B3" s="150" t="s">
        <v>220</v>
      </c>
      <c r="C3" s="151" t="s">
        <v>221</v>
      </c>
      <c r="D3" s="150" t="s">
        <v>220</v>
      </c>
      <c r="E3" s="152"/>
      <c r="F3" s="152"/>
      <c r="I3" s="139" t="s">
        <v>222</v>
      </c>
      <c r="J3" s="150" t="s">
        <v>223</v>
      </c>
      <c r="K3" s="152"/>
      <c r="L3" s="153"/>
      <c r="N3" s="150" t="s">
        <v>224</v>
      </c>
      <c r="P3" s="154"/>
      <c r="T3" s="155"/>
      <c r="U3" s="139" t="s">
        <v>233</v>
      </c>
      <c r="V3" s="139" t="s">
        <v>238</v>
      </c>
      <c r="W3" s="141"/>
      <c r="X3" s="141"/>
      <c r="Y3" s="141" t="s">
        <v>218</v>
      </c>
      <c r="AA3" s="156"/>
      <c r="AB3" s="151"/>
      <c r="AC3" s="151"/>
      <c r="AD3" s="151"/>
      <c r="AE3" s="151"/>
      <c r="AF3" s="151"/>
      <c r="AG3" s="151"/>
      <c r="AH3" s="151"/>
      <c r="AI3" s="151"/>
      <c r="AJ3" s="151"/>
      <c r="AK3" s="151"/>
      <c r="AL3" s="151"/>
      <c r="AM3" s="151"/>
      <c r="AN3" s="151"/>
      <c r="AO3" s="152" t="s">
        <v>215</v>
      </c>
      <c r="AP3" s="151" t="s">
        <v>215</v>
      </c>
      <c r="AQ3" s="151" t="s">
        <v>225</v>
      </c>
      <c r="AR3" s="151"/>
      <c r="AS3" s="151"/>
      <c r="AT3" s="151"/>
      <c r="AU3" s="157" t="s">
        <v>226</v>
      </c>
      <c r="AV3" s="151" t="s">
        <v>227</v>
      </c>
    </row>
    <row r="4" spans="1:54" s="150" customFormat="1" ht="18" customHeight="1" x14ac:dyDescent="0.2">
      <c r="A4" s="150" t="s">
        <v>239</v>
      </c>
      <c r="B4" s="150" t="s">
        <v>240</v>
      </c>
      <c r="C4" s="151">
        <v>2460188</v>
      </c>
      <c r="D4" s="150" t="s">
        <v>241</v>
      </c>
      <c r="E4" s="152">
        <v>45672</v>
      </c>
      <c r="F4" s="152">
        <v>18317</v>
      </c>
      <c r="G4" s="150" t="s">
        <v>228</v>
      </c>
      <c r="H4" s="150" t="s">
        <v>215</v>
      </c>
      <c r="I4" s="139" t="s">
        <v>242</v>
      </c>
      <c r="K4" s="152">
        <v>45672</v>
      </c>
      <c r="L4" s="153"/>
      <c r="N4" s="150" t="s">
        <v>216</v>
      </c>
      <c r="P4" s="154" t="s">
        <v>229</v>
      </c>
      <c r="R4" s="150" t="s">
        <v>243</v>
      </c>
      <c r="S4" s="150" t="s">
        <v>244</v>
      </c>
      <c r="T4" s="155"/>
      <c r="U4" s="139" t="s">
        <v>233</v>
      </c>
      <c r="V4" s="139" t="s">
        <v>238</v>
      </c>
      <c r="W4" s="141"/>
      <c r="X4" s="141"/>
      <c r="Y4" s="141" t="s">
        <v>218</v>
      </c>
      <c r="AA4" s="156"/>
      <c r="AB4" s="151"/>
      <c r="AC4" s="151"/>
      <c r="AD4" s="151"/>
      <c r="AE4" s="151"/>
      <c r="AF4" s="151"/>
      <c r="AG4" s="151"/>
      <c r="AH4" s="151"/>
      <c r="AI4" s="151"/>
      <c r="AJ4" s="151"/>
      <c r="AK4" s="151"/>
      <c r="AL4" s="151"/>
      <c r="AM4" s="151"/>
      <c r="AN4" s="151"/>
      <c r="AO4" s="152"/>
      <c r="AP4" s="151"/>
      <c r="AQ4" s="151">
        <v>63.8</v>
      </c>
      <c r="AR4" s="151">
        <v>1.9</v>
      </c>
      <c r="AS4" s="151"/>
      <c r="AT4" s="151"/>
      <c r="AU4" s="157"/>
      <c r="AV4" s="151"/>
    </row>
    <row r="5" spans="1:54" s="150" customFormat="1" ht="19.5" customHeight="1" x14ac:dyDescent="0.2">
      <c r="A5" s="150" t="s">
        <v>245</v>
      </c>
      <c r="B5" s="150" t="s">
        <v>246</v>
      </c>
      <c r="C5" s="151">
        <v>1874703</v>
      </c>
      <c r="D5" s="150" t="s">
        <v>247</v>
      </c>
      <c r="E5" s="152">
        <v>45672</v>
      </c>
      <c r="F5" s="152">
        <v>19055</v>
      </c>
      <c r="G5" s="150" t="s">
        <v>228</v>
      </c>
      <c r="H5" s="150" t="s">
        <v>215</v>
      </c>
      <c r="I5" s="139" t="s">
        <v>248</v>
      </c>
      <c r="K5" s="152">
        <v>45672</v>
      </c>
      <c r="L5" s="153"/>
      <c r="N5" s="150" t="s">
        <v>216</v>
      </c>
      <c r="P5" s="154" t="s">
        <v>229</v>
      </c>
      <c r="R5" s="150" t="s">
        <v>249</v>
      </c>
      <c r="S5" s="150" t="s">
        <v>250</v>
      </c>
      <c r="T5" s="155"/>
      <c r="U5" s="139" t="s">
        <v>233</v>
      </c>
      <c r="V5" s="139" t="s">
        <v>238</v>
      </c>
      <c r="W5" s="141"/>
      <c r="X5" s="141"/>
      <c r="Y5" s="141" t="s">
        <v>218</v>
      </c>
      <c r="AA5" s="156"/>
      <c r="AB5" s="151"/>
      <c r="AC5" s="151"/>
      <c r="AD5" s="151"/>
      <c r="AE5" s="151"/>
      <c r="AF5" s="151"/>
      <c r="AG5" s="151"/>
      <c r="AH5" s="151"/>
      <c r="AI5" s="151"/>
      <c r="AJ5" s="151"/>
      <c r="AK5" s="151"/>
      <c r="AL5" s="151"/>
      <c r="AM5" s="151"/>
      <c r="AN5" s="151"/>
      <c r="AO5" s="152"/>
      <c r="AP5" s="151"/>
      <c r="AQ5" s="151">
        <v>166.7</v>
      </c>
      <c r="AR5" s="151">
        <v>1.9</v>
      </c>
      <c r="AS5" s="151"/>
      <c r="AT5" s="151"/>
      <c r="AU5" s="157"/>
      <c r="AV5" s="151"/>
    </row>
    <row r="6" spans="1:54" s="150" customFormat="1" ht="26.25" customHeight="1" x14ac:dyDescent="0.2">
      <c r="A6" s="150" t="s">
        <v>251</v>
      </c>
      <c r="B6" s="150" t="s">
        <v>252</v>
      </c>
      <c r="C6" s="151">
        <v>3034322</v>
      </c>
      <c r="D6" s="150" t="s">
        <v>253</v>
      </c>
      <c r="E6" s="152">
        <v>45673</v>
      </c>
      <c r="F6" s="152">
        <v>32417</v>
      </c>
      <c r="G6" s="150" t="s">
        <v>228</v>
      </c>
      <c r="H6" s="150" t="s">
        <v>215</v>
      </c>
      <c r="I6" s="139" t="s">
        <v>254</v>
      </c>
      <c r="K6" s="152">
        <v>45673</v>
      </c>
      <c r="L6" s="153"/>
      <c r="N6" s="150" t="s">
        <v>216</v>
      </c>
      <c r="P6" s="154" t="s">
        <v>229</v>
      </c>
      <c r="R6" s="150" t="s">
        <v>255</v>
      </c>
      <c r="S6" s="150" t="s">
        <v>256</v>
      </c>
      <c r="T6" s="155"/>
      <c r="U6" s="139" t="s">
        <v>233</v>
      </c>
      <c r="V6" s="139" t="s">
        <v>238</v>
      </c>
      <c r="W6" s="141"/>
      <c r="X6" s="141"/>
      <c r="Y6" s="141" t="s">
        <v>218</v>
      </c>
      <c r="AA6" s="156"/>
      <c r="AB6" s="151"/>
      <c r="AC6" s="151"/>
      <c r="AD6" s="151"/>
      <c r="AE6" s="151"/>
      <c r="AF6" s="151"/>
      <c r="AG6" s="151"/>
      <c r="AH6" s="151"/>
      <c r="AI6" s="151"/>
      <c r="AJ6" s="151"/>
      <c r="AK6" s="151"/>
      <c r="AL6" s="151"/>
      <c r="AM6" s="151"/>
      <c r="AN6" s="151"/>
      <c r="AO6" s="152"/>
      <c r="AP6" s="151"/>
      <c r="AQ6" s="151">
        <v>113.2</v>
      </c>
      <c r="AR6" s="151">
        <v>1.9</v>
      </c>
      <c r="AS6" s="151"/>
      <c r="AT6" s="151"/>
      <c r="AU6" s="157"/>
      <c r="AV6" s="151"/>
    </row>
    <row r="7" spans="1:54" s="150" customFormat="1" ht="21.75" customHeight="1" x14ac:dyDescent="0.2">
      <c r="A7" s="150" t="s">
        <v>257</v>
      </c>
      <c r="B7" s="150" t="s">
        <v>258</v>
      </c>
      <c r="C7" s="151">
        <v>2649616</v>
      </c>
      <c r="D7" s="150" t="s">
        <v>259</v>
      </c>
      <c r="E7" s="152">
        <v>45672</v>
      </c>
      <c r="F7" s="152">
        <v>30573</v>
      </c>
      <c r="G7" s="150" t="s">
        <v>230</v>
      </c>
      <c r="H7" s="150" t="s">
        <v>215</v>
      </c>
      <c r="I7" s="139" t="s">
        <v>260</v>
      </c>
      <c r="K7" s="152">
        <v>45672</v>
      </c>
      <c r="L7" s="153"/>
      <c r="N7" s="150" t="s">
        <v>216</v>
      </c>
      <c r="P7" s="154" t="s">
        <v>229</v>
      </c>
      <c r="R7" s="150" t="s">
        <v>231</v>
      </c>
      <c r="S7" s="150" t="s">
        <v>232</v>
      </c>
      <c r="T7" s="155"/>
      <c r="U7" s="139" t="s">
        <v>233</v>
      </c>
      <c r="V7" s="139" t="s">
        <v>238</v>
      </c>
      <c r="W7" s="141"/>
      <c r="X7" s="141"/>
      <c r="Y7" s="141" t="s">
        <v>218</v>
      </c>
      <c r="AA7" s="156"/>
      <c r="AB7" s="151"/>
      <c r="AC7" s="151"/>
      <c r="AD7" s="151"/>
      <c r="AE7" s="151"/>
      <c r="AF7" s="151"/>
      <c r="AO7" s="152"/>
      <c r="AP7" s="151"/>
      <c r="AQ7" s="151">
        <v>23</v>
      </c>
      <c r="AR7" s="151">
        <v>2</v>
      </c>
      <c r="AS7" s="151"/>
      <c r="AT7" s="151"/>
      <c r="AU7" s="157"/>
      <c r="AV7" s="151"/>
    </row>
    <row r="8" spans="1:54" s="83" customFormat="1" ht="20.100000000000001" customHeight="1" x14ac:dyDescent="0.3">
      <c r="A8" s="107" t="s">
        <v>261</v>
      </c>
      <c r="B8" s="118" t="s">
        <v>262</v>
      </c>
      <c r="C8" s="108">
        <v>9618690</v>
      </c>
      <c r="D8" s="106" t="s">
        <v>263</v>
      </c>
      <c r="E8" s="109">
        <v>45673</v>
      </c>
      <c r="F8" s="109">
        <v>18325</v>
      </c>
      <c r="G8" s="107" t="s">
        <v>228</v>
      </c>
      <c r="H8" s="107" t="s">
        <v>215</v>
      </c>
      <c r="I8" s="139" t="s">
        <v>264</v>
      </c>
      <c r="J8" s="107"/>
      <c r="K8" s="110">
        <v>45673</v>
      </c>
      <c r="L8" s="115"/>
      <c r="M8" s="111"/>
      <c r="N8" s="133" t="s">
        <v>216</v>
      </c>
      <c r="O8" s="107"/>
      <c r="P8" s="112" t="s">
        <v>229</v>
      </c>
      <c r="Q8" s="107"/>
      <c r="R8" s="107" t="s">
        <v>255</v>
      </c>
      <c r="S8" s="107" t="s">
        <v>256</v>
      </c>
      <c r="T8" s="113"/>
      <c r="U8" s="139" t="s">
        <v>233</v>
      </c>
      <c r="V8" s="139" t="s">
        <v>238</v>
      </c>
      <c r="W8" s="141"/>
      <c r="X8" s="141"/>
      <c r="Y8" s="141" t="s">
        <v>218</v>
      </c>
      <c r="Z8" s="111"/>
      <c r="AA8" s="107"/>
      <c r="AB8" s="108"/>
      <c r="AC8" s="108"/>
      <c r="AD8" s="108"/>
      <c r="AE8" s="108"/>
      <c r="AF8" s="108"/>
      <c r="AG8" s="108"/>
      <c r="AH8" s="108"/>
      <c r="AI8" s="108"/>
      <c r="AJ8" s="108"/>
      <c r="AK8" s="108"/>
      <c r="AL8" s="108"/>
      <c r="AM8" s="108"/>
      <c r="AN8" s="108"/>
      <c r="AO8" s="116"/>
      <c r="AP8" s="106"/>
      <c r="AQ8" s="108">
        <v>209.3</v>
      </c>
      <c r="AR8" s="108">
        <v>1.9</v>
      </c>
      <c r="AS8" s="108"/>
      <c r="AT8" s="108"/>
      <c r="AU8" s="114"/>
      <c r="AV8" s="114"/>
      <c r="AW8" s="114"/>
    </row>
    <row r="9" spans="1:54" s="83" customFormat="1" ht="20.100000000000001" customHeight="1" x14ac:dyDescent="0.3">
      <c r="A9" s="107" t="s">
        <v>265</v>
      </c>
      <c r="B9" s="118" t="s">
        <v>266</v>
      </c>
      <c r="C9" s="108">
        <v>2569047</v>
      </c>
      <c r="D9" s="106" t="s">
        <v>267</v>
      </c>
      <c r="E9" s="109">
        <v>45672</v>
      </c>
      <c r="F9" s="109">
        <v>37756</v>
      </c>
      <c r="G9" s="107" t="s">
        <v>228</v>
      </c>
      <c r="H9" s="107" t="s">
        <v>215</v>
      </c>
      <c r="I9" s="139" t="s">
        <v>268</v>
      </c>
      <c r="J9" s="107"/>
      <c r="K9" s="110">
        <v>45673</v>
      </c>
      <c r="L9" s="115"/>
      <c r="M9" s="111"/>
      <c r="N9" s="132" t="s">
        <v>269</v>
      </c>
      <c r="O9" s="107"/>
      <c r="P9" s="112" t="s">
        <v>229</v>
      </c>
      <c r="Q9" s="107"/>
      <c r="R9" s="107" t="s">
        <v>231</v>
      </c>
      <c r="S9" s="107" t="s">
        <v>232</v>
      </c>
      <c r="T9" s="113"/>
      <c r="U9" s="139" t="s">
        <v>233</v>
      </c>
      <c r="V9" s="139" t="s">
        <v>238</v>
      </c>
      <c r="W9" s="141"/>
      <c r="X9" s="141"/>
      <c r="Y9" s="141" t="s">
        <v>218</v>
      </c>
      <c r="Z9" s="111"/>
      <c r="AA9" s="107"/>
      <c r="AB9" s="108"/>
      <c r="AC9" s="108"/>
      <c r="AD9" s="108"/>
      <c r="AE9" s="108"/>
      <c r="AF9" s="108"/>
      <c r="AG9" s="108"/>
      <c r="AH9" s="108"/>
      <c r="AI9" s="108"/>
      <c r="AJ9" s="108"/>
      <c r="AK9" s="108"/>
      <c r="AL9" s="108"/>
      <c r="AM9" s="108"/>
      <c r="AN9" s="108"/>
      <c r="AO9" s="116"/>
      <c r="AP9" s="106"/>
      <c r="AQ9" s="108">
        <v>100.7</v>
      </c>
      <c r="AR9" s="108">
        <v>1.9</v>
      </c>
      <c r="AS9" s="108"/>
      <c r="AT9" s="108"/>
      <c r="AU9" s="114"/>
      <c r="AV9" s="114"/>
      <c r="AW9" s="114"/>
    </row>
    <row r="10" spans="1:54" s="83" customFormat="1" ht="20.100000000000001" customHeight="1" x14ac:dyDescent="0.3">
      <c r="A10" s="107" t="s">
        <v>270</v>
      </c>
      <c r="B10" s="118" t="s">
        <v>271</v>
      </c>
      <c r="C10" s="108">
        <v>6009127</v>
      </c>
      <c r="D10" s="106" t="s">
        <v>272</v>
      </c>
      <c r="E10" s="109">
        <v>45673</v>
      </c>
      <c r="F10" s="109">
        <v>15339</v>
      </c>
      <c r="G10" s="107" t="s">
        <v>228</v>
      </c>
      <c r="H10" s="107" t="s">
        <v>215</v>
      </c>
      <c r="I10" s="139" t="s">
        <v>273</v>
      </c>
      <c r="J10" s="107"/>
      <c r="K10" s="110">
        <v>45673</v>
      </c>
      <c r="L10" s="115"/>
      <c r="M10" s="111"/>
      <c r="N10" s="133" t="s">
        <v>269</v>
      </c>
      <c r="O10" s="107"/>
      <c r="P10" s="112" t="s">
        <v>229</v>
      </c>
      <c r="Q10" s="107"/>
      <c r="R10" s="107" t="s">
        <v>274</v>
      </c>
      <c r="S10" s="107" t="s">
        <v>275</v>
      </c>
      <c r="T10" s="113"/>
      <c r="U10" s="139" t="s">
        <v>233</v>
      </c>
      <c r="V10" s="139" t="s">
        <v>238</v>
      </c>
      <c r="W10" s="141"/>
      <c r="X10" s="141"/>
      <c r="Y10" s="141" t="s">
        <v>218</v>
      </c>
      <c r="Z10" s="111"/>
      <c r="AA10" s="107"/>
      <c r="AB10" s="108"/>
      <c r="AC10" s="108"/>
      <c r="AD10" s="108"/>
      <c r="AE10" s="108"/>
      <c r="AF10" s="108"/>
      <c r="AG10" s="108"/>
      <c r="AH10" s="108"/>
      <c r="AI10" s="108"/>
      <c r="AJ10" s="108"/>
      <c r="AK10" s="108"/>
      <c r="AL10" s="108"/>
      <c r="AM10" s="108"/>
      <c r="AN10" s="108"/>
      <c r="AO10" s="116"/>
      <c r="AP10" s="106"/>
      <c r="AQ10" s="108">
        <v>37.700000000000003</v>
      </c>
      <c r="AR10" s="108">
        <v>1.9</v>
      </c>
      <c r="AS10" s="108"/>
      <c r="AT10" s="108"/>
      <c r="AU10" s="114"/>
      <c r="AV10" s="114"/>
      <c r="AW10" s="114"/>
    </row>
    <row r="11" spans="1:54" s="83" customFormat="1" ht="20.100000000000001" customHeight="1" x14ac:dyDescent="0.3">
      <c r="A11" s="107" t="s">
        <v>276</v>
      </c>
      <c r="B11" s="118" t="s">
        <v>277</v>
      </c>
      <c r="C11" s="108">
        <v>3237739</v>
      </c>
      <c r="D11" s="106" t="s">
        <v>278</v>
      </c>
      <c r="E11" s="109">
        <v>45673</v>
      </c>
      <c r="F11" s="109">
        <v>18740</v>
      </c>
      <c r="G11" s="107" t="s">
        <v>230</v>
      </c>
      <c r="H11" s="107" t="s">
        <v>215</v>
      </c>
      <c r="I11" s="139" t="s">
        <v>279</v>
      </c>
      <c r="J11" s="107"/>
      <c r="K11" s="110">
        <v>45673</v>
      </c>
      <c r="L11" s="117"/>
      <c r="M11" s="111"/>
      <c r="N11" s="132" t="s">
        <v>216</v>
      </c>
      <c r="O11" s="107"/>
      <c r="P11" s="112" t="s">
        <v>229</v>
      </c>
      <c r="Q11" s="107"/>
      <c r="R11" s="107" t="s">
        <v>234</v>
      </c>
      <c r="S11" s="107" t="s">
        <v>235</v>
      </c>
      <c r="T11" s="113"/>
      <c r="U11" s="139" t="s">
        <v>233</v>
      </c>
      <c r="V11" s="139" t="s">
        <v>238</v>
      </c>
      <c r="W11" s="141"/>
      <c r="X11" s="141"/>
      <c r="Y11" s="141" t="s">
        <v>218</v>
      </c>
      <c r="Z11" s="111"/>
      <c r="AA11" s="107"/>
      <c r="AB11" s="108"/>
      <c r="AC11" s="108"/>
      <c r="AD11" s="108"/>
      <c r="AE11" s="108"/>
      <c r="AF11" s="108"/>
      <c r="AG11" s="108"/>
      <c r="AH11" s="108"/>
      <c r="AI11" s="108"/>
      <c r="AJ11" s="108"/>
      <c r="AK11" s="108"/>
      <c r="AL11" s="108"/>
      <c r="AM11" s="108"/>
      <c r="AN11" s="108"/>
      <c r="AO11" s="116"/>
      <c r="AP11" s="106"/>
      <c r="AQ11" s="108">
        <v>32.9</v>
      </c>
      <c r="AR11" s="108">
        <v>2</v>
      </c>
      <c r="AS11" s="108"/>
      <c r="AT11" s="108"/>
      <c r="AU11" s="114"/>
      <c r="AV11" s="114"/>
      <c r="AW11" s="114"/>
    </row>
    <row r="12" spans="1:54" s="83" customFormat="1" ht="20.100000000000001" customHeight="1" x14ac:dyDescent="0.3">
      <c r="A12" s="107" t="s">
        <v>280</v>
      </c>
      <c r="B12" s="118" t="s">
        <v>281</v>
      </c>
      <c r="C12" s="108">
        <v>3208334</v>
      </c>
      <c r="D12" s="106" t="s">
        <v>282</v>
      </c>
      <c r="E12" s="109">
        <v>45673</v>
      </c>
      <c r="F12" s="109">
        <v>18374</v>
      </c>
      <c r="G12" s="107" t="s">
        <v>228</v>
      </c>
      <c r="H12" s="107" t="s">
        <v>215</v>
      </c>
      <c r="I12" s="139" t="s">
        <v>283</v>
      </c>
      <c r="J12" s="107"/>
      <c r="K12" s="110">
        <v>45673</v>
      </c>
      <c r="L12" s="117"/>
      <c r="M12" s="111"/>
      <c r="N12" s="133" t="s">
        <v>216</v>
      </c>
      <c r="O12" s="107"/>
      <c r="P12" s="112" t="s">
        <v>229</v>
      </c>
      <c r="Q12" s="107"/>
      <c r="R12" s="107" t="s">
        <v>284</v>
      </c>
      <c r="S12" s="107" t="s">
        <v>285</v>
      </c>
      <c r="T12" s="113"/>
      <c r="U12" s="139" t="s">
        <v>233</v>
      </c>
      <c r="V12" s="139" t="s">
        <v>238</v>
      </c>
      <c r="W12" s="141"/>
      <c r="X12" s="141"/>
      <c r="Y12" s="141" t="s">
        <v>218</v>
      </c>
      <c r="Z12" s="111"/>
      <c r="AA12" s="107"/>
      <c r="AB12" s="108"/>
      <c r="AC12" s="108"/>
      <c r="AD12" s="108"/>
      <c r="AE12" s="108"/>
      <c r="AF12" s="108"/>
      <c r="AG12" s="108"/>
      <c r="AH12" s="108"/>
      <c r="AI12" s="108"/>
      <c r="AJ12" s="108"/>
      <c r="AK12" s="108"/>
      <c r="AL12" s="108"/>
      <c r="AM12" s="108"/>
      <c r="AN12" s="108"/>
      <c r="AO12" s="116"/>
      <c r="AP12" s="106"/>
      <c r="AQ12" s="108">
        <v>61.8</v>
      </c>
      <c r="AR12" s="108">
        <v>1.9</v>
      </c>
      <c r="AS12" s="108"/>
      <c r="AT12" s="108"/>
      <c r="AU12" s="114"/>
      <c r="AV12" s="114"/>
      <c r="AW12" s="114"/>
    </row>
    <row r="13" spans="1:54" s="83" customFormat="1" ht="20.100000000000001" customHeight="1" x14ac:dyDescent="0.3">
      <c r="A13" s="107" t="s">
        <v>286</v>
      </c>
      <c r="B13" s="118" t="s">
        <v>287</v>
      </c>
      <c r="C13" s="108">
        <v>3214113</v>
      </c>
      <c r="D13" s="106" t="s">
        <v>288</v>
      </c>
      <c r="E13" s="109">
        <v>45673</v>
      </c>
      <c r="F13" s="109">
        <v>25105</v>
      </c>
      <c r="G13" s="107" t="s">
        <v>230</v>
      </c>
      <c r="H13" s="107" t="s">
        <v>215</v>
      </c>
      <c r="I13" s="139" t="s">
        <v>289</v>
      </c>
      <c r="J13" s="107"/>
      <c r="K13" s="110">
        <v>45673</v>
      </c>
      <c r="L13" s="115"/>
      <c r="M13" s="111"/>
      <c r="N13" s="132" t="s">
        <v>216</v>
      </c>
      <c r="O13" s="107"/>
      <c r="P13" s="112" t="s">
        <v>229</v>
      </c>
      <c r="Q13" s="107"/>
      <c r="R13" s="107" t="s">
        <v>290</v>
      </c>
      <c r="S13" s="107" t="s">
        <v>291</v>
      </c>
      <c r="T13" s="113"/>
      <c r="U13" s="139" t="s">
        <v>233</v>
      </c>
      <c r="V13" s="139" t="s">
        <v>238</v>
      </c>
      <c r="W13" s="141"/>
      <c r="X13" s="141"/>
      <c r="Y13" s="141" t="s">
        <v>218</v>
      </c>
      <c r="Z13" s="111"/>
      <c r="AA13" s="107"/>
      <c r="AB13" s="108"/>
      <c r="AC13" s="108"/>
      <c r="AD13" s="108"/>
      <c r="AE13" s="108"/>
      <c r="AF13" s="108"/>
      <c r="AG13" s="108"/>
      <c r="AH13" s="108"/>
      <c r="AI13" s="108"/>
      <c r="AJ13" s="108"/>
      <c r="AK13" s="108"/>
      <c r="AL13" s="108"/>
      <c r="AM13" s="108"/>
      <c r="AN13" s="108"/>
      <c r="AO13" s="116"/>
      <c r="AP13" s="106"/>
      <c r="AQ13" s="108">
        <v>4.2</v>
      </c>
      <c r="AR13" s="108">
        <v>1.7</v>
      </c>
      <c r="AS13" s="108"/>
      <c r="AT13" s="108"/>
      <c r="AU13" s="114"/>
      <c r="AV13" s="114"/>
      <c r="AW13" s="114"/>
    </row>
    <row r="14" spans="1:54" s="75" customFormat="1" ht="20.100000000000001" customHeight="1" x14ac:dyDescent="0.25">
      <c r="A14" s="107" t="s">
        <v>292</v>
      </c>
      <c r="B14" s="118" t="s">
        <v>293</v>
      </c>
      <c r="C14" s="76">
        <v>1702706</v>
      </c>
      <c r="D14" s="75" t="s">
        <v>294</v>
      </c>
      <c r="E14" s="74">
        <v>45673</v>
      </c>
      <c r="F14" s="74">
        <v>35163</v>
      </c>
      <c r="G14" s="75" t="s">
        <v>230</v>
      </c>
      <c r="H14" s="75" t="s">
        <v>215</v>
      </c>
      <c r="I14" s="139" t="s">
        <v>295</v>
      </c>
      <c r="J14" s="74"/>
      <c r="K14" s="74">
        <v>45673</v>
      </c>
      <c r="L14" s="138"/>
      <c r="N14" s="75" t="s">
        <v>269</v>
      </c>
      <c r="P14" s="75" t="s">
        <v>229</v>
      </c>
      <c r="R14" s="75" t="s">
        <v>255</v>
      </c>
      <c r="S14" s="75" t="s">
        <v>256</v>
      </c>
      <c r="T14" s="74"/>
      <c r="U14" s="139" t="s">
        <v>233</v>
      </c>
      <c r="V14" s="139" t="s">
        <v>238</v>
      </c>
      <c r="W14" s="141"/>
      <c r="X14" s="141"/>
      <c r="Y14" s="141" t="s">
        <v>218</v>
      </c>
      <c r="AD14" s="92"/>
      <c r="AE14" s="76"/>
      <c r="AF14" s="76"/>
      <c r="AG14" s="76"/>
      <c r="AH14" s="76"/>
      <c r="AI14" s="76"/>
      <c r="AJ14" s="76"/>
      <c r="AK14" s="76"/>
      <c r="AL14" s="76"/>
      <c r="AM14" s="76"/>
      <c r="AN14" s="76"/>
      <c r="AO14" s="74"/>
      <c r="AP14" s="76"/>
      <c r="AQ14" s="78">
        <v>28.6</v>
      </c>
      <c r="AR14" s="75">
        <v>1.9</v>
      </c>
      <c r="AT14" s="76"/>
    </row>
    <row r="15" spans="1:54" s="83" customFormat="1" ht="20.100000000000001" customHeight="1" x14ac:dyDescent="0.3">
      <c r="A15" s="75" t="s">
        <v>296</v>
      </c>
      <c r="B15" s="82" t="s">
        <v>297</v>
      </c>
      <c r="C15" s="76">
        <v>2191425</v>
      </c>
      <c r="D15" s="83" t="s">
        <v>298</v>
      </c>
      <c r="E15" s="74">
        <v>45673</v>
      </c>
      <c r="F15" s="74">
        <v>18261</v>
      </c>
      <c r="G15" s="75" t="s">
        <v>230</v>
      </c>
      <c r="H15" s="75" t="s">
        <v>215</v>
      </c>
      <c r="I15" s="139" t="s">
        <v>299</v>
      </c>
      <c r="J15" s="74"/>
      <c r="K15" s="74">
        <v>45673</v>
      </c>
      <c r="N15" s="75" t="s">
        <v>216</v>
      </c>
      <c r="O15" s="75"/>
      <c r="P15" s="75" t="s">
        <v>229</v>
      </c>
      <c r="R15" s="83" t="s">
        <v>284</v>
      </c>
      <c r="S15" s="83" t="s">
        <v>285</v>
      </c>
      <c r="U15" s="139" t="s">
        <v>233</v>
      </c>
      <c r="V15" s="139" t="s">
        <v>238</v>
      </c>
      <c r="W15" s="141"/>
      <c r="X15" s="141"/>
      <c r="Y15" s="141" t="s">
        <v>218</v>
      </c>
      <c r="AQ15" s="83">
        <v>63.1</v>
      </c>
      <c r="AR15" s="83">
        <v>1.9</v>
      </c>
    </row>
    <row r="16" spans="1:54" s="83" customFormat="1" ht="20.100000000000001" customHeight="1" x14ac:dyDescent="0.3">
      <c r="A16" s="75" t="s">
        <v>300</v>
      </c>
      <c r="B16" s="82" t="s">
        <v>301</v>
      </c>
      <c r="C16" s="76">
        <v>2566189</v>
      </c>
      <c r="D16" s="83" t="s">
        <v>302</v>
      </c>
      <c r="E16" s="74">
        <v>45673</v>
      </c>
      <c r="F16" s="74">
        <v>23017</v>
      </c>
      <c r="G16" s="75" t="s">
        <v>230</v>
      </c>
      <c r="H16" s="75" t="s">
        <v>215</v>
      </c>
      <c r="I16" s="139" t="s">
        <v>303</v>
      </c>
      <c r="J16" s="74"/>
      <c r="K16" s="74">
        <v>45673</v>
      </c>
      <c r="N16" s="75" t="s">
        <v>216</v>
      </c>
      <c r="O16" s="75"/>
      <c r="P16" s="75" t="s">
        <v>229</v>
      </c>
      <c r="R16" s="83" t="s">
        <v>304</v>
      </c>
      <c r="S16" s="83" t="s">
        <v>305</v>
      </c>
      <c r="U16" s="139" t="s">
        <v>233</v>
      </c>
      <c r="V16" s="139" t="s">
        <v>238</v>
      </c>
      <c r="W16" s="141"/>
      <c r="X16" s="141"/>
      <c r="Y16" s="141" t="s">
        <v>218</v>
      </c>
      <c r="AQ16" s="83">
        <v>5.8</v>
      </c>
      <c r="AR16" s="83">
        <v>1.6</v>
      </c>
    </row>
    <row r="17" spans="1:54" s="83" customFormat="1" ht="20.100000000000001" customHeight="1" x14ac:dyDescent="0.3">
      <c r="A17" s="75" t="s">
        <v>306</v>
      </c>
      <c r="B17" s="82" t="s">
        <v>307</v>
      </c>
      <c r="C17" s="76">
        <v>435786</v>
      </c>
      <c r="D17" s="83" t="s">
        <v>308</v>
      </c>
      <c r="E17" s="74">
        <v>45673</v>
      </c>
      <c r="F17" s="74">
        <v>21277</v>
      </c>
      <c r="G17" s="75" t="s">
        <v>228</v>
      </c>
      <c r="H17" s="75" t="s">
        <v>215</v>
      </c>
      <c r="I17" s="139" t="s">
        <v>309</v>
      </c>
      <c r="J17" s="74"/>
      <c r="K17" s="74">
        <v>45673</v>
      </c>
      <c r="N17" s="75" t="s">
        <v>269</v>
      </c>
      <c r="O17" s="75"/>
      <c r="P17" s="75" t="s">
        <v>229</v>
      </c>
      <c r="R17" s="83" t="s">
        <v>236</v>
      </c>
      <c r="S17" s="83" t="s">
        <v>237</v>
      </c>
      <c r="U17" s="139" t="s">
        <v>233</v>
      </c>
      <c r="V17" s="139" t="s">
        <v>238</v>
      </c>
      <c r="W17" s="141"/>
      <c r="X17" s="141"/>
      <c r="Y17" s="141" t="s">
        <v>218</v>
      </c>
      <c r="AQ17" s="83">
        <v>5.8</v>
      </c>
      <c r="AR17" s="83">
        <v>1.8</v>
      </c>
    </row>
    <row r="18" spans="1:54" s="83" customFormat="1" ht="20.100000000000001" customHeight="1" x14ac:dyDescent="0.3">
      <c r="A18" s="75" t="s">
        <v>310</v>
      </c>
      <c r="B18" s="82" t="s">
        <v>311</v>
      </c>
      <c r="C18" s="76">
        <v>9709303</v>
      </c>
      <c r="D18" s="83" t="s">
        <v>312</v>
      </c>
      <c r="E18" s="74">
        <v>45674</v>
      </c>
      <c r="F18" s="74">
        <v>20831</v>
      </c>
      <c r="G18" s="75" t="s">
        <v>228</v>
      </c>
      <c r="H18" s="75" t="s">
        <v>215</v>
      </c>
      <c r="I18" s="139" t="s">
        <v>313</v>
      </c>
      <c r="J18" s="74"/>
      <c r="K18" s="74">
        <v>45674</v>
      </c>
      <c r="N18" s="75" t="s">
        <v>216</v>
      </c>
      <c r="O18" s="75"/>
      <c r="P18" s="75" t="s">
        <v>229</v>
      </c>
      <c r="R18" s="83" t="s">
        <v>314</v>
      </c>
      <c r="S18" s="83" t="s">
        <v>315</v>
      </c>
      <c r="U18" s="139" t="s">
        <v>233</v>
      </c>
      <c r="V18" s="139" t="s">
        <v>238</v>
      </c>
      <c r="W18" s="141"/>
      <c r="X18" s="141"/>
      <c r="Y18" s="141" t="s">
        <v>218</v>
      </c>
      <c r="AQ18" s="83">
        <v>25.6</v>
      </c>
      <c r="AR18" s="83">
        <v>1.9</v>
      </c>
    </row>
    <row r="19" spans="1:54" s="83" customFormat="1" ht="20.100000000000001" customHeight="1" x14ac:dyDescent="0.3">
      <c r="A19" s="75" t="s">
        <v>316</v>
      </c>
      <c r="B19" s="82" t="s">
        <v>317</v>
      </c>
      <c r="C19" s="76">
        <v>1636383</v>
      </c>
      <c r="D19" s="83" t="s">
        <v>318</v>
      </c>
      <c r="E19" s="74">
        <v>45674</v>
      </c>
      <c r="F19" s="74">
        <v>18222</v>
      </c>
      <c r="G19" s="75" t="s">
        <v>230</v>
      </c>
      <c r="H19" s="75" t="s">
        <v>215</v>
      </c>
      <c r="I19" s="139" t="s">
        <v>319</v>
      </c>
      <c r="J19" s="74"/>
      <c r="K19" s="74">
        <v>45674</v>
      </c>
      <c r="N19" s="75" t="s">
        <v>216</v>
      </c>
      <c r="O19" s="75"/>
      <c r="P19" s="75" t="s">
        <v>229</v>
      </c>
      <c r="R19" s="83" t="s">
        <v>243</v>
      </c>
      <c r="S19" s="83" t="s">
        <v>244</v>
      </c>
      <c r="U19" s="139" t="s">
        <v>233</v>
      </c>
      <c r="V19" s="139" t="s">
        <v>238</v>
      </c>
      <c r="W19" s="141"/>
      <c r="X19" s="141"/>
      <c r="Y19" s="141" t="s">
        <v>218</v>
      </c>
      <c r="AQ19" s="83">
        <v>45.8</v>
      </c>
      <c r="AR19" s="83">
        <v>2</v>
      </c>
    </row>
    <row r="20" spans="1:54" s="83" customFormat="1" ht="20.100000000000001" customHeight="1" x14ac:dyDescent="0.3">
      <c r="A20" s="75"/>
      <c r="B20" s="82"/>
      <c r="C20" s="76"/>
      <c r="E20" s="74"/>
      <c r="F20" s="74"/>
      <c r="G20" s="75"/>
      <c r="H20" s="75"/>
      <c r="I20" s="139"/>
      <c r="J20" s="74"/>
      <c r="K20" s="74"/>
      <c r="N20" s="75"/>
      <c r="O20" s="75"/>
      <c r="P20" s="75"/>
      <c r="U20" s="139"/>
      <c r="V20" s="139"/>
      <c r="W20" s="141"/>
      <c r="X20" s="141"/>
      <c r="Y20" s="141"/>
    </row>
    <row r="21" spans="1:54" s="83" customFormat="1" ht="20.100000000000001" customHeight="1" x14ac:dyDescent="0.3">
      <c r="A21" s="75"/>
      <c r="B21" s="82"/>
      <c r="C21" s="76"/>
      <c r="E21" s="74"/>
      <c r="F21" s="74"/>
      <c r="G21" s="75"/>
      <c r="H21" s="75"/>
      <c r="I21" s="139"/>
      <c r="J21" s="74"/>
      <c r="K21" s="74"/>
      <c r="N21" s="75"/>
      <c r="O21" s="75"/>
      <c r="P21" s="75"/>
      <c r="U21" s="139"/>
      <c r="V21" s="139"/>
      <c r="W21" s="141"/>
      <c r="X21" s="141"/>
      <c r="Y21" s="141"/>
    </row>
    <row r="22" spans="1:54" s="83" customFormat="1" ht="20.100000000000001" customHeight="1" x14ac:dyDescent="0.3">
      <c r="A22" s="75"/>
      <c r="B22" s="82"/>
      <c r="C22" s="76"/>
      <c r="E22" s="74"/>
      <c r="F22" s="74"/>
      <c r="G22" s="75"/>
      <c r="H22" s="75"/>
      <c r="I22" s="139"/>
      <c r="J22" s="74"/>
      <c r="K22" s="74"/>
      <c r="N22" s="75"/>
      <c r="O22" s="75"/>
      <c r="P22" s="75"/>
      <c r="U22" s="75"/>
      <c r="V22" s="75"/>
      <c r="W22" s="74"/>
    </row>
    <row r="23" spans="1:54" s="83" customFormat="1" ht="20.100000000000001" customHeight="1" x14ac:dyDescent="0.3">
      <c r="A23" s="75"/>
      <c r="B23" s="82"/>
      <c r="C23" s="76"/>
      <c r="D23" s="75"/>
      <c r="E23" s="74"/>
      <c r="F23" s="74"/>
      <c r="G23" s="75"/>
      <c r="H23" s="75"/>
      <c r="I23" s="139"/>
      <c r="J23" s="74"/>
      <c r="K23" s="74"/>
      <c r="L23" s="75"/>
      <c r="M23" s="75"/>
      <c r="N23" s="75"/>
      <c r="O23" s="75"/>
      <c r="S23" s="75"/>
      <c r="V23" s="75"/>
    </row>
    <row r="24" spans="1:54" s="83" customFormat="1" ht="20.100000000000001" customHeight="1" x14ac:dyDescent="0.3">
      <c r="A24" s="75"/>
      <c r="B24" s="82"/>
      <c r="C24" s="76"/>
      <c r="D24" s="75"/>
      <c r="E24" s="74"/>
      <c r="F24" s="74"/>
      <c r="G24" s="75"/>
      <c r="H24" s="75"/>
      <c r="I24" s="139"/>
      <c r="J24" s="75"/>
      <c r="N24" s="75"/>
      <c r="V24" s="75"/>
    </row>
    <row r="25" spans="1:54" s="95" customFormat="1" x14ac:dyDescent="0.3">
      <c r="A25" s="75"/>
      <c r="B25" s="82"/>
      <c r="C25" s="76"/>
      <c r="D25" s="75"/>
      <c r="E25" s="74"/>
      <c r="F25" s="74"/>
      <c r="G25" s="75"/>
      <c r="H25" s="75"/>
      <c r="I25" s="139"/>
      <c r="J25" s="75"/>
      <c r="K25" s="83"/>
      <c r="L25" s="83"/>
      <c r="M25" s="83"/>
      <c r="N25" s="75"/>
      <c r="O25" s="83"/>
      <c r="P25" s="83"/>
      <c r="Q25" s="83"/>
      <c r="R25" s="83"/>
      <c r="S25" s="83"/>
      <c r="T25" s="83"/>
      <c r="U25" s="83"/>
      <c r="V25" s="75"/>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row>
    <row r="26" spans="1:54" x14ac:dyDescent="0.3">
      <c r="A26" s="75"/>
      <c r="B26" s="82"/>
      <c r="C26" s="76"/>
      <c r="D26" s="75"/>
      <c r="E26" s="74"/>
      <c r="F26" s="74"/>
      <c r="G26" s="75"/>
      <c r="H26" s="75"/>
      <c r="I26" s="75"/>
      <c r="J26" s="75"/>
      <c r="K26" s="83"/>
      <c r="L26" s="83"/>
      <c r="M26" s="83"/>
      <c r="N26" s="75"/>
      <c r="O26" s="83"/>
      <c r="P26" s="83"/>
      <c r="Q26" s="83"/>
      <c r="R26" s="83"/>
      <c r="S26" s="83"/>
      <c r="T26" s="83"/>
      <c r="U26" s="83"/>
      <c r="V26" s="75"/>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row>
    <row r="27" spans="1:54" x14ac:dyDescent="0.3">
      <c r="A27" s="75"/>
      <c r="B27" s="82"/>
      <c r="C27" s="76"/>
      <c r="D27" s="75"/>
      <c r="E27" s="74"/>
      <c r="F27" s="74"/>
      <c r="G27" s="75"/>
      <c r="H27" s="75"/>
      <c r="I27" s="75"/>
      <c r="J27" s="75"/>
      <c r="K27" s="83"/>
      <c r="L27" s="83"/>
      <c r="M27" s="83"/>
      <c r="N27" s="75"/>
      <c r="O27" s="83"/>
      <c r="P27" s="83"/>
      <c r="Q27" s="83"/>
      <c r="R27" s="83"/>
      <c r="S27" s="83"/>
      <c r="T27" s="83"/>
      <c r="U27" s="83"/>
      <c r="V27" s="75"/>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row>
    <row r="28" spans="1:54" x14ac:dyDescent="0.3">
      <c r="A28" s="75"/>
      <c r="B28" s="82"/>
      <c r="C28" s="76"/>
      <c r="D28" s="75"/>
      <c r="E28" s="74"/>
      <c r="F28" s="74"/>
      <c r="G28" s="75"/>
      <c r="H28" s="75"/>
      <c r="I28" s="75"/>
      <c r="J28" s="75"/>
      <c r="K28" s="83"/>
      <c r="L28" s="83"/>
      <c r="M28" s="83"/>
      <c r="N28" s="75"/>
      <c r="O28" s="83"/>
      <c r="P28" s="83"/>
      <c r="Q28" s="83"/>
      <c r="R28" s="83"/>
      <c r="S28" s="83"/>
      <c r="T28" s="83"/>
      <c r="U28" s="83"/>
      <c r="V28" s="75"/>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row>
    <row r="29" spans="1:54" x14ac:dyDescent="0.3">
      <c r="A29" s="75"/>
      <c r="B29" s="82"/>
      <c r="C29" s="76"/>
      <c r="D29" s="75"/>
      <c r="E29" s="74"/>
      <c r="F29" s="74"/>
      <c r="G29" s="75"/>
      <c r="H29" s="75"/>
      <c r="I29" s="75"/>
      <c r="J29" s="75"/>
      <c r="K29" s="83"/>
      <c r="L29" s="83"/>
      <c r="M29" s="83"/>
      <c r="N29" s="75"/>
      <c r="O29" s="83"/>
      <c r="P29" s="83"/>
      <c r="Q29" s="83"/>
      <c r="R29" s="83"/>
      <c r="S29" s="83"/>
      <c r="T29" s="83"/>
      <c r="U29" s="83"/>
      <c r="V29" s="75"/>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row>
    <row r="30" spans="1:54" x14ac:dyDescent="0.3">
      <c r="A30" s="75"/>
      <c r="B30" s="82"/>
      <c r="C30" s="76"/>
      <c r="D30" s="75"/>
      <c r="E30" s="74"/>
      <c r="F30" s="74"/>
      <c r="G30" s="75"/>
      <c r="H30" s="75"/>
      <c r="I30" s="75"/>
      <c r="J30" s="75"/>
      <c r="K30" s="83"/>
      <c r="L30" s="83"/>
      <c r="M30" s="83"/>
      <c r="N30" s="75"/>
      <c r="O30" s="83"/>
      <c r="P30" s="83"/>
      <c r="Q30" s="83"/>
      <c r="R30" s="83"/>
      <c r="S30" s="83"/>
      <c r="T30" s="83"/>
      <c r="U30" s="83"/>
      <c r="V30" s="75"/>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row>
    <row r="31" spans="1:54" x14ac:dyDescent="0.3">
      <c r="A31" s="75"/>
      <c r="B31" s="82"/>
      <c r="C31" s="76"/>
      <c r="D31" s="75"/>
      <c r="E31" s="74"/>
      <c r="F31" s="74"/>
      <c r="G31" s="75"/>
      <c r="H31" s="75"/>
      <c r="I31" s="75"/>
      <c r="J31" s="75"/>
      <c r="K31" s="83"/>
      <c r="L31" s="83"/>
      <c r="M31" s="83"/>
      <c r="N31" s="75"/>
      <c r="O31" s="83"/>
      <c r="P31" s="83"/>
      <c r="Q31" s="83"/>
      <c r="R31" s="83"/>
      <c r="S31" s="83"/>
      <c r="T31" s="83"/>
      <c r="U31" s="83"/>
      <c r="V31" s="75"/>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row>
    <row r="32" spans="1:54" x14ac:dyDescent="0.3">
      <c r="A32" s="75"/>
      <c r="B32" s="82"/>
      <c r="C32" s="76"/>
      <c r="D32" s="75"/>
      <c r="E32" s="74"/>
      <c r="F32" s="74"/>
      <c r="G32" s="75"/>
      <c r="H32" s="75"/>
      <c r="I32" s="75"/>
      <c r="J32" s="75"/>
      <c r="K32" s="83"/>
      <c r="L32" s="83"/>
      <c r="M32" s="83"/>
      <c r="N32" s="75"/>
      <c r="O32" s="83"/>
      <c r="P32" s="83"/>
      <c r="Q32" s="83"/>
      <c r="R32" s="83"/>
      <c r="S32" s="83"/>
      <c r="T32" s="83"/>
      <c r="U32" s="83"/>
      <c r="V32" s="75"/>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row>
    <row r="33" spans="1:54" x14ac:dyDescent="0.3">
      <c r="A33" s="75"/>
      <c r="B33" s="82"/>
      <c r="C33" s="76"/>
      <c r="D33" s="75"/>
      <c r="E33" s="74"/>
      <c r="F33" s="74"/>
      <c r="G33" s="75"/>
      <c r="H33" s="75"/>
      <c r="I33" s="75"/>
      <c r="J33" s="75"/>
      <c r="K33" s="83"/>
      <c r="L33" s="83"/>
      <c r="M33" s="83"/>
      <c r="N33" s="75"/>
      <c r="O33" s="83"/>
      <c r="P33" s="83"/>
      <c r="Q33" s="83"/>
      <c r="R33" s="83"/>
      <c r="S33" s="83"/>
      <c r="T33" s="83"/>
      <c r="U33" s="83"/>
      <c r="V33" s="75"/>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row>
    <row r="34" spans="1:54" x14ac:dyDescent="0.3">
      <c r="A34" s="75"/>
      <c r="B34" s="82"/>
      <c r="C34" s="76"/>
      <c r="D34" s="75"/>
      <c r="E34" s="74"/>
      <c r="F34" s="74"/>
      <c r="G34" s="75"/>
      <c r="H34" s="75"/>
      <c r="I34" s="75"/>
      <c r="J34" s="75"/>
      <c r="K34" s="83"/>
      <c r="L34" s="83"/>
      <c r="M34" s="83"/>
      <c r="N34" s="75"/>
      <c r="O34" s="83"/>
      <c r="P34" s="83"/>
      <c r="Q34" s="83"/>
      <c r="R34" s="83"/>
      <c r="S34" s="83"/>
      <c r="T34" s="83"/>
      <c r="U34" s="83"/>
      <c r="V34" s="75"/>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row>
    <row r="35" spans="1:54" x14ac:dyDescent="0.3">
      <c r="A35" s="75"/>
      <c r="B35" s="82"/>
      <c r="C35" s="76"/>
      <c r="D35" s="75"/>
      <c r="E35" s="74"/>
      <c r="F35" s="74"/>
      <c r="G35" s="75"/>
      <c r="H35" s="75"/>
      <c r="I35" s="75"/>
      <c r="J35" s="75"/>
      <c r="K35" s="83"/>
      <c r="L35" s="83"/>
      <c r="M35" s="83"/>
      <c r="N35" s="75"/>
      <c r="O35" s="83"/>
      <c r="P35" s="83"/>
      <c r="Q35" s="83"/>
      <c r="R35" s="83"/>
      <c r="S35" s="83"/>
      <c r="T35" s="83"/>
      <c r="U35" s="83"/>
      <c r="V35" s="75"/>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row>
    <row r="36" spans="1:54" x14ac:dyDescent="0.3">
      <c r="A36" s="75"/>
      <c r="B36" s="82"/>
      <c r="C36" s="76"/>
      <c r="D36" s="75"/>
      <c r="E36" s="74"/>
      <c r="F36" s="74"/>
      <c r="G36" s="75"/>
      <c r="H36" s="75"/>
      <c r="I36" s="75"/>
      <c r="J36" s="75"/>
      <c r="K36" s="83"/>
      <c r="L36" s="83"/>
      <c r="M36" s="83"/>
      <c r="N36" s="75"/>
      <c r="O36" s="83"/>
      <c r="P36" s="83"/>
      <c r="Q36" s="83"/>
      <c r="R36" s="83"/>
      <c r="S36" s="83"/>
      <c r="T36" s="83"/>
      <c r="U36" s="83"/>
      <c r="V36" s="75"/>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row>
    <row r="37" spans="1:54" x14ac:dyDescent="0.3">
      <c r="A37" s="75"/>
      <c r="B37" s="82"/>
      <c r="C37" s="76"/>
      <c r="D37" s="75"/>
      <c r="E37" s="74"/>
      <c r="F37" s="74"/>
      <c r="G37" s="75"/>
      <c r="H37" s="75"/>
      <c r="I37" s="75"/>
      <c r="J37" s="75"/>
      <c r="K37" s="83"/>
      <c r="L37" s="83"/>
      <c r="M37" s="83"/>
      <c r="N37" s="75"/>
      <c r="O37" s="83"/>
      <c r="P37" s="83"/>
      <c r="Q37" s="83"/>
      <c r="R37" s="83"/>
      <c r="S37" s="83"/>
      <c r="T37" s="83"/>
      <c r="U37" s="83"/>
      <c r="V37" s="75"/>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row>
    <row r="38" spans="1:54" x14ac:dyDescent="0.3">
      <c r="A38" s="75"/>
      <c r="B38" s="82"/>
      <c r="C38" s="76"/>
      <c r="D38" s="75"/>
      <c r="E38" s="74"/>
      <c r="F38" s="74"/>
      <c r="G38" s="75"/>
      <c r="H38" s="75"/>
      <c r="I38" s="75"/>
      <c r="J38" s="75"/>
      <c r="K38" s="83"/>
      <c r="L38" s="83"/>
      <c r="M38" s="83"/>
      <c r="N38" s="75"/>
      <c r="O38" s="83"/>
      <c r="P38" s="83"/>
      <c r="Q38" s="83"/>
      <c r="R38" s="83"/>
      <c r="S38" s="83"/>
      <c r="T38" s="83"/>
      <c r="U38" s="83"/>
      <c r="V38" s="75"/>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row>
    <row r="39" spans="1:54" x14ac:dyDescent="0.3">
      <c r="A39" s="75"/>
      <c r="B39" s="82"/>
      <c r="C39" s="76"/>
      <c r="D39" s="75"/>
      <c r="E39" s="74"/>
      <c r="F39" s="74"/>
      <c r="G39" s="75"/>
      <c r="H39" s="75"/>
      <c r="I39" s="75"/>
      <c r="J39" s="75"/>
      <c r="K39" s="83"/>
      <c r="L39" s="83"/>
      <c r="M39" s="83"/>
      <c r="N39" s="75"/>
      <c r="O39" s="83"/>
      <c r="P39" s="83"/>
      <c r="Q39" s="83"/>
      <c r="R39" s="83"/>
      <c r="S39" s="83"/>
      <c r="T39" s="83"/>
      <c r="U39" s="83"/>
      <c r="V39" s="75"/>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row>
    <row r="40" spans="1:54" x14ac:dyDescent="0.3">
      <c r="A40" s="75"/>
      <c r="B40" s="82"/>
      <c r="C40" s="76"/>
      <c r="D40" s="75"/>
      <c r="E40" s="74"/>
      <c r="F40" s="74"/>
      <c r="G40" s="75"/>
      <c r="H40" s="75"/>
      <c r="I40" s="75"/>
      <c r="J40" s="75"/>
      <c r="K40" s="83"/>
      <c r="L40" s="83"/>
      <c r="M40" s="83"/>
      <c r="N40" s="75"/>
      <c r="O40" s="83"/>
      <c r="P40" s="83"/>
      <c r="Q40" s="83"/>
      <c r="R40" s="83"/>
      <c r="S40" s="83"/>
      <c r="T40" s="83"/>
      <c r="U40" s="83"/>
      <c r="V40" s="75"/>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row>
    <row r="41" spans="1:54" x14ac:dyDescent="0.3">
      <c r="A41" s="75"/>
      <c r="B41" s="82"/>
      <c r="C41" s="76"/>
      <c r="D41" s="75"/>
      <c r="E41" s="74"/>
      <c r="F41" s="74"/>
      <c r="G41" s="75"/>
      <c r="H41" s="75"/>
      <c r="I41" s="75"/>
      <c r="J41" s="75"/>
      <c r="K41" s="83"/>
      <c r="L41" s="83"/>
      <c r="M41" s="83"/>
      <c r="N41" s="75"/>
      <c r="O41" s="83"/>
      <c r="P41" s="83"/>
      <c r="Q41" s="83"/>
      <c r="R41" s="83"/>
      <c r="S41" s="83"/>
      <c r="T41" s="83"/>
      <c r="U41" s="83"/>
      <c r="V41" s="75"/>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row>
  </sheetData>
  <phoneticPr fontId="48" type="noConversion"/>
  <conditionalFormatting sqref="A7:H7 Z3:AV7 J3:T7">
    <cfRule type="expression" dxfId="148" priority="20">
      <formula>$Z3="Canceled"</formula>
    </cfRule>
  </conditionalFormatting>
  <conditionalFormatting sqref="T7">
    <cfRule type="expression" dxfId="147" priority="21">
      <formula>AND(ISBLANK(W7), T7&lt;=TODAY(), Z7&lt;&gt;"Canceled")</formula>
    </cfRule>
    <cfRule type="expression" dxfId="146" priority="22">
      <formula>AND(ISBLANK(W7), T7&lt;=TODAY()+3, Z7&lt;&gt;"Canceled")</formula>
    </cfRule>
    <cfRule type="expression" dxfId="145" priority="23">
      <formula>AND(ISBLANK(W7), T7&lt;=TODAY()+5, Z7&lt;&gt;"Canceled")</formula>
    </cfRule>
  </conditionalFormatting>
  <conditionalFormatting sqref="P7">
    <cfRule type="expression" dxfId="144" priority="15">
      <formula>$Z7="Canceled"</formula>
    </cfRule>
  </conditionalFormatting>
  <conditionalFormatting sqref="T7">
    <cfRule type="expression" dxfId="143" priority="17">
      <formula>AND(ISBLANK(W7), T7&lt;=TODAY(), Z7&lt;&gt;"Canceled")</formula>
    </cfRule>
    <cfRule type="expression" dxfId="142" priority="18">
      <formula>AND(ISBLANK(W7), T7&lt;=TODAY()+3, Z7&lt;&gt;"Canceled")</formula>
    </cfRule>
    <cfRule type="expression" dxfId="141" priority="19">
      <formula>AND(ISBLANK(W7), T7&lt;=TODAY()+5, Z7&lt;&gt;"Canceled")</formula>
    </cfRule>
  </conditionalFormatting>
  <conditionalFormatting sqref="A7:H7">
    <cfRule type="expression" dxfId="140" priority="16">
      <formula>$Z7="Canceled"</formula>
    </cfRule>
  </conditionalFormatting>
  <conditionalFormatting sqref="P7">
    <cfRule type="expression" dxfId="139" priority="14">
      <formula>$Z7="Canceled"</formula>
    </cfRule>
  </conditionalFormatting>
  <conditionalFormatting sqref="T3:T5">
    <cfRule type="expression" dxfId="138" priority="11">
      <formula>AND(ISBLANK(W3), T3&lt;=TODAY(), Z3&lt;&gt;"Canceled")</formula>
    </cfRule>
    <cfRule type="expression" dxfId="137" priority="12">
      <formula>AND(ISBLANK(W3), T3&lt;=TODAY()+3, Z3&lt;&gt;"Canceled")</formula>
    </cfRule>
    <cfRule type="expression" dxfId="136" priority="13">
      <formula>AND(ISBLANK(W3), T3&lt;=TODAY()+5, Z3&lt;&gt;"Canceled")</formula>
    </cfRule>
  </conditionalFormatting>
  <conditionalFormatting sqref="A3:H5">
    <cfRule type="expression" dxfId="135" priority="10">
      <formula>$Z3="Canceled"</formula>
    </cfRule>
  </conditionalFormatting>
  <conditionalFormatting sqref="A6:H6">
    <cfRule type="expression" dxfId="134" priority="5">
      <formula>$Z6="Canceled"</formula>
    </cfRule>
  </conditionalFormatting>
  <conditionalFormatting sqref="AA3">
    <cfRule type="expression" dxfId="133" priority="9">
      <formula>$Z3="Canceled"</formula>
    </cfRule>
  </conditionalFormatting>
  <conditionalFormatting sqref="T6">
    <cfRule type="expression" dxfId="132" priority="6">
      <formula>AND(ISBLANK(W6), T6&lt;=TODAY(), Z6&lt;&gt;"Canceled")</formula>
    </cfRule>
    <cfRule type="expression" dxfId="131" priority="7">
      <formula>AND(ISBLANK(W6), T6&lt;=TODAY()+3, Z6&lt;&gt;"Canceled")</formula>
    </cfRule>
    <cfRule type="expression" dxfId="130" priority="8">
      <formula>AND(ISBLANK(W6), T6&lt;=TODAY()+5, Z6&lt;&gt;"Canceled")</formula>
    </cfRule>
  </conditionalFormatting>
  <conditionalFormatting sqref="T6">
    <cfRule type="expression" dxfId="129" priority="2">
      <formula>AND(ISBLANK(W6), T6&lt;=TODAY(), Z6&lt;&gt;"Canceled")</formula>
    </cfRule>
    <cfRule type="expression" dxfId="128" priority="3">
      <formula>AND(ISBLANK(W6), T6&lt;=TODAY()+3, Z6&lt;&gt;"Canceled")</formula>
    </cfRule>
    <cfRule type="expression" dxfId="127" priority="4">
      <formula>AND(ISBLANK(W6), T6&lt;=TODAY()+5, Z6&lt;&gt;"Canceled")</formula>
    </cfRule>
  </conditionalFormatting>
  <conditionalFormatting sqref="A6:H6">
    <cfRule type="expression" dxfId="126" priority="1">
      <formula>$Z6="Canceled"</formula>
    </cfRule>
  </conditionalFormatting>
  <dataValidations count="2">
    <dataValidation type="list" allowBlank="1" showInputMessage="1" showErrorMessage="1" sqref="S7:S10 S24:S41 AJ7:AJ41 AL7:AL41 AH7:AH41 AN7:AN41" xr:uid="{00000000-0002-0000-0100-000000000000}">
      <formula1>rPhysFirstName_DNA</formula1>
    </dataValidation>
    <dataValidation type="list" allowBlank="1" showInputMessage="1" showErrorMessage="1" sqref="R7:R10 R24:R41 AI7:AI41 AK7:AK41 AG7:AG41 AM7:AM41" xr:uid="{00000000-0002-0000-0100-000001000000}">
      <formula1>rPhysLastName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ErrorMessage="1" error="Please select from the dropdown" xr:uid="{00000000-0002-0000-0100-000002000000}">
          <x14:formula1>
            <xm:f>'\\kumc.edu\data\CANCTR RSCH\CMOL\Sample Receipt Logs\Clinical Sample Receiving Log\[Clinical Sample Receipt Log.xlsx]Holidays, Locations, Tests'!#REF!</xm:f>
          </x14:formula1>
          <xm:sqref>AD11:AD22 U23 P8:P10 P24:P41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S75"/>
  <sheetViews>
    <sheetView tabSelected="1" workbookViewId="0">
      <selection activeCell="F51" sqref="F51:G51"/>
    </sheetView>
  </sheetViews>
  <sheetFormatPr defaultColWidth="9.140625" defaultRowHeight="12.75" x14ac:dyDescent="0.2"/>
  <cols>
    <col min="1" max="1" width="11.5703125" style="7" customWidth="1"/>
    <col min="2" max="2" width="16.28515625" style="7" hidden="1" customWidth="1"/>
    <col min="3" max="3" width="12.42578125" style="7" customWidth="1"/>
    <col min="4" max="4" width="15.140625" style="7" customWidth="1"/>
    <col min="5" max="5" width="13.7109375" style="7" bestFit="1" customWidth="1"/>
    <col min="6" max="6" width="12.85546875" style="7" bestFit="1" customWidth="1"/>
    <col min="7" max="7" width="11.28515625" style="7" bestFit="1" customWidth="1"/>
    <col min="8" max="8" width="15.42578125" style="7" customWidth="1"/>
    <col min="9" max="9" width="16.140625" style="7" customWidth="1"/>
    <col min="10" max="10" width="28.85546875" style="7" customWidth="1"/>
    <col min="11" max="11" width="9.140625" style="7" customWidth="1"/>
    <col min="12" max="14" width="13.28515625" style="7" customWidth="1"/>
    <col min="15" max="15" width="34.140625" style="7" customWidth="1"/>
    <col min="16" max="16" width="13.28515625" style="7" customWidth="1"/>
    <col min="17" max="17" width="7.5703125" style="7" customWidth="1"/>
    <col min="18" max="18" width="9.140625" style="7" customWidth="1"/>
    <col min="19" max="21" width="9.140625" style="7"/>
    <col min="22" max="22" width="10.28515625" style="7" customWidth="1"/>
    <col min="23" max="16384" width="9.140625" style="7"/>
  </cols>
  <sheetData>
    <row r="1" spans="1:19" ht="13.5" thickBot="1" x14ac:dyDescent="0.25">
      <c r="A1" s="176" t="s">
        <v>36</v>
      </c>
      <c r="B1" s="177"/>
      <c r="C1" s="177"/>
      <c r="D1" s="177"/>
      <c r="E1" s="177"/>
      <c r="F1" s="177"/>
      <c r="G1" s="177"/>
      <c r="H1" s="9"/>
      <c r="I1" s="9"/>
      <c r="J1" s="10"/>
    </row>
    <row r="2" spans="1:19" ht="13.5" thickBot="1" x14ac:dyDescent="0.25"/>
    <row r="3" spans="1:19" ht="13.5" thickBot="1" x14ac:dyDescent="0.25">
      <c r="A3" s="87" t="s">
        <v>44</v>
      </c>
      <c r="B3" s="9"/>
      <c r="C3" s="9"/>
      <c r="D3" s="9"/>
      <c r="E3" s="9"/>
      <c r="F3" s="9"/>
      <c r="G3" s="9"/>
      <c r="H3" s="9"/>
      <c r="I3" s="9"/>
      <c r="J3" s="10"/>
    </row>
    <row r="4" spans="1:19" ht="13.5" thickBot="1" x14ac:dyDescent="0.25">
      <c r="A4" s="81" t="s">
        <v>27</v>
      </c>
      <c r="C4" s="64">
        <v>45679</v>
      </c>
      <c r="D4" s="11" t="s">
        <v>142</v>
      </c>
      <c r="E4" s="66" t="s">
        <v>211</v>
      </c>
    </row>
    <row r="5" spans="1:19" x14ac:dyDescent="0.2">
      <c r="A5" s="11"/>
      <c r="B5" s="28"/>
      <c r="D5" s="11"/>
      <c r="E5" s="67"/>
    </row>
    <row r="6" spans="1:19" ht="13.5" thickBot="1" x14ac:dyDescent="0.25">
      <c r="A6" s="13"/>
      <c r="B6" s="14"/>
      <c r="D6" s="13"/>
      <c r="E6" s="15"/>
    </row>
    <row r="7" spans="1:19" ht="13.5" thickBot="1" x14ac:dyDescent="0.25">
      <c r="A7" s="87" t="s">
        <v>38</v>
      </c>
      <c r="B7" s="9"/>
      <c r="C7" s="9"/>
      <c r="D7" s="9"/>
      <c r="E7" s="9"/>
      <c r="F7" s="9"/>
      <c r="G7" s="9"/>
      <c r="H7" s="9"/>
      <c r="I7" s="9"/>
      <c r="J7" s="10"/>
    </row>
    <row r="8" spans="1:19" ht="26.25" customHeight="1" x14ac:dyDescent="0.2">
      <c r="D8" s="13"/>
      <c r="E8" s="15"/>
    </row>
    <row r="9" spans="1:19" ht="13.5" thickBot="1" x14ac:dyDescent="0.25">
      <c r="B9" s="11" t="s">
        <v>39</v>
      </c>
      <c r="C9" s="131" t="s">
        <v>212</v>
      </c>
      <c r="D9" s="13"/>
      <c r="E9" s="15"/>
      <c r="O9" s="134" t="s">
        <v>47</v>
      </c>
      <c r="P9" s="131" t="str">
        <f ca="1">RIGHT(CELL("filename",A1),LEN(CELL("filename",A1))-FIND("]",CELL("filename",A1)))</f>
        <v>NGS Run Record</v>
      </c>
    </row>
    <row r="10" spans="1:19" ht="13.5" thickBot="1" x14ac:dyDescent="0.25">
      <c r="A10" s="87" t="s">
        <v>40</v>
      </c>
      <c r="B10" s="9"/>
      <c r="C10" s="9"/>
      <c r="D10" s="9"/>
      <c r="E10" s="9"/>
      <c r="F10" s="9"/>
      <c r="G10" s="9"/>
      <c r="H10" s="9"/>
      <c r="I10" s="9"/>
      <c r="J10" s="10"/>
    </row>
    <row r="11" spans="1:19" ht="24.75" customHeight="1" x14ac:dyDescent="0.2">
      <c r="D11" s="13"/>
      <c r="E11" s="15"/>
    </row>
    <row r="12" spans="1:19" ht="13.5" thickBot="1" x14ac:dyDescent="0.25">
      <c r="A12" s="16"/>
      <c r="B12" s="11" t="s">
        <v>41</v>
      </c>
      <c r="C12" s="131" t="s">
        <v>320</v>
      </c>
      <c r="D12" s="13"/>
      <c r="E12" s="15"/>
    </row>
    <row r="13" spans="1:19" ht="13.5" thickBot="1" x14ac:dyDescent="0.25">
      <c r="A13" s="8" t="s">
        <v>125</v>
      </c>
      <c r="B13" s="9"/>
      <c r="C13" s="9"/>
      <c r="D13" s="9"/>
      <c r="E13" s="9"/>
      <c r="F13" s="9"/>
      <c r="G13" s="10"/>
      <c r="H13" s="9"/>
      <c r="I13" s="9"/>
      <c r="J13" s="10"/>
    </row>
    <row r="14" spans="1:19" ht="0.75" customHeight="1" x14ac:dyDescent="0.2">
      <c r="A14" s="12"/>
      <c r="B14" s="35" t="s">
        <v>42</v>
      </c>
      <c r="C14" s="35" t="s">
        <v>7</v>
      </c>
      <c r="D14" s="35" t="s">
        <v>45</v>
      </c>
      <c r="E14" s="36" t="s">
        <v>124</v>
      </c>
      <c r="F14" s="36" t="s">
        <v>127</v>
      </c>
      <c r="G14" s="36" t="s">
        <v>12</v>
      </c>
      <c r="H14" s="36" t="s">
        <v>8</v>
      </c>
      <c r="I14" s="35" t="s">
        <v>43</v>
      </c>
      <c r="J14" s="18" t="s">
        <v>116</v>
      </c>
      <c r="O14" s="7" t="s">
        <v>121</v>
      </c>
      <c r="P14" s="7">
        <v>1</v>
      </c>
      <c r="R14" s="7" t="s">
        <v>131</v>
      </c>
      <c r="S14" s="7">
        <f>COUNTIFS(I15:I16, "OK", G15:G16, "ffpe")</f>
        <v>0</v>
      </c>
    </row>
    <row r="15" spans="1:19" ht="4.5" hidden="1" customHeight="1" thickBot="1" x14ac:dyDescent="0.25">
      <c r="A15" s="51" t="s">
        <v>141</v>
      </c>
      <c r="B15" s="47"/>
      <c r="C15" s="48"/>
      <c r="D15" s="46"/>
      <c r="E15" s="25"/>
      <c r="F15" s="57"/>
      <c r="G15" s="59"/>
      <c r="H15" s="58"/>
      <c r="I15" s="29" t="str">
        <f>IF(AND(B15&lt;&gt;"", C15&lt;&gt;"", G15&lt;&gt;""), "OK", IF(B15="", "Enter Name", IF(C15="", "Enter ID", IF(G15="", "Enter Sample Type", "--"))))</f>
        <v>Enter Name</v>
      </c>
      <c r="J15" s="23">
        <f>COUNTIF(I15:I22, "OK")</f>
        <v>0</v>
      </c>
      <c r="O15" s="7" t="s">
        <v>122</v>
      </c>
      <c r="P15" s="26">
        <f>MIN(COUNTA(PatientList[DNA Number]),COUNTA(Samples['#])-$J$15)</f>
        <v>18</v>
      </c>
      <c r="R15" s="7" t="s">
        <v>132</v>
      </c>
      <c r="S15" s="7">
        <f>COUNTIFS(I15:I16, "OK", G15:G16, "&lt;&gt;FFPE")</f>
        <v>0</v>
      </c>
    </row>
    <row r="16" spans="1:19" ht="13.5" hidden="1" thickBot="1" x14ac:dyDescent="0.25">
      <c r="A16" s="52" t="s">
        <v>140</v>
      </c>
      <c r="B16" s="49"/>
      <c r="C16" s="50"/>
      <c r="D16" s="46"/>
      <c r="E16" s="25"/>
      <c r="F16" s="57"/>
      <c r="G16" s="60"/>
      <c r="H16" s="58"/>
      <c r="I16" s="29" t="str">
        <f>IF(I15&lt;&gt;"OK", "Enter Sample in QC #1", IF(AND(B16&lt;&gt;"", C16&lt;&gt;"", G16&lt;&gt;""), "OK", IF(B16="", "Enter Name", IF(C16="", "Enter ID", IF(G16="", "Enter Sample Type", "--")))))</f>
        <v>Enter Sample in QC #1</v>
      </c>
      <c r="J16" s="30"/>
      <c r="O16" s="7" t="s">
        <v>123</v>
      </c>
      <c r="P16" s="26">
        <f xml:space="preserve"> $P$15+1</f>
        <v>19</v>
      </c>
    </row>
    <row r="17" spans="1:16" ht="13.5" hidden="1" thickBot="1" x14ac:dyDescent="0.25">
      <c r="A17" s="52" t="s">
        <v>134</v>
      </c>
      <c r="B17" s="49"/>
      <c r="C17" s="50"/>
      <c r="D17" s="24"/>
      <c r="E17" s="25"/>
      <c r="F17" s="57"/>
      <c r="G17" s="60"/>
      <c r="H17" s="58"/>
      <c r="I17" s="29" t="str">
        <f>IF(I16&lt;&gt;"OK", "Enter Sample in QC #2", IF(AND(B17&lt;&gt;"", C17&lt;&gt;"", G17&lt;&gt;""), "OK", IF(B17="", "Enter Name", IF(C17="", "Enter ID", IF(G17="", "Enter Sample Type", "--")))))</f>
        <v>Enter Sample in QC #2</v>
      </c>
      <c r="J17" s="30"/>
      <c r="O17" s="7" t="s">
        <v>120</v>
      </c>
      <c r="P17" s="26">
        <f>$P$16+$J$15</f>
        <v>19</v>
      </c>
    </row>
    <row r="18" spans="1:16" ht="13.5" hidden="1" thickBot="1" x14ac:dyDescent="0.25">
      <c r="A18" s="52" t="s">
        <v>135</v>
      </c>
      <c r="B18" s="49"/>
      <c r="C18" s="50"/>
      <c r="D18" s="24"/>
      <c r="E18" s="25"/>
      <c r="F18" s="57"/>
      <c r="G18" s="60"/>
      <c r="H18" s="58"/>
      <c r="I18" s="29" t="str">
        <f>IF(I17&lt;&gt;"OK", "Enter Sample in QC #3", IF(AND(B18&lt;&gt;"", C18&lt;&gt;"", G18&lt;&gt;""), "OK", IF(B18="", "Enter Name", IF(C18="", "Enter ID", IF(G18="", "Enter Sample Type", "--")))))</f>
        <v>Enter Sample in QC #3</v>
      </c>
      <c r="J18" s="30"/>
      <c r="M18" s="26"/>
    </row>
    <row r="19" spans="1:16" ht="13.5" hidden="1" thickBot="1" x14ac:dyDescent="0.25">
      <c r="A19" s="52" t="s">
        <v>136</v>
      </c>
      <c r="B19" s="49"/>
      <c r="C19" s="50"/>
      <c r="D19" s="24"/>
      <c r="E19" s="25"/>
      <c r="F19" s="57"/>
      <c r="G19" s="60"/>
      <c r="H19" s="58"/>
      <c r="I19" s="29" t="str">
        <f>IF(I18&lt;&gt;"OK", "Enter Sample in QC #4", IF(AND(B19&lt;&gt;"", C19&lt;&gt;"", G19&lt;&gt;""), "OK", IF(B19="", "Enter Name", IF(C19="", "Enter ID", IF(G19="", "Enter Sample Type", "--")))))</f>
        <v>Enter Sample in QC #4</v>
      </c>
      <c r="J19" s="30"/>
      <c r="M19" s="26"/>
    </row>
    <row r="20" spans="1:16" ht="13.5" hidden="1" thickBot="1" x14ac:dyDescent="0.25">
      <c r="A20" s="52" t="s">
        <v>137</v>
      </c>
      <c r="B20" s="49"/>
      <c r="C20" s="50"/>
      <c r="D20" s="24"/>
      <c r="E20" s="25"/>
      <c r="F20" s="57"/>
      <c r="G20" s="60"/>
      <c r="H20" s="58"/>
      <c r="I20" s="29" t="str">
        <f>IF(I19&lt;&gt;"OK", "Enter Sample in QC #5", IF(AND(B20&lt;&gt;"", C20&lt;&gt;"", G20&lt;&gt;""), "OK", IF(B20="", "Enter Name", IF(C20="", "Enter ID", IF(G20="", "Enter Sample Type", "--")))))</f>
        <v>Enter Sample in QC #5</v>
      </c>
      <c r="J20" s="30"/>
      <c r="M20" s="26"/>
    </row>
    <row r="21" spans="1:16" ht="13.5" hidden="1" thickBot="1" x14ac:dyDescent="0.25">
      <c r="A21" s="52" t="s">
        <v>138</v>
      </c>
      <c r="B21" s="49"/>
      <c r="C21" s="50"/>
      <c r="D21" s="24"/>
      <c r="E21" s="25"/>
      <c r="F21" s="57"/>
      <c r="G21" s="60"/>
      <c r="H21" s="58"/>
      <c r="I21" s="29" t="str">
        <f>IF(I20&lt;&gt;"OK", "Enter Sample in QC #6", IF(AND(B21&lt;&gt;"", C21&lt;&gt;"", G21&lt;&gt;""), "OK", IF(B21="", "Enter Name", IF(C21="", "Enter ID", IF(G21="", "Enter Sample Type", "--")))))</f>
        <v>Enter Sample in QC #6</v>
      </c>
      <c r="J21" s="30"/>
    </row>
    <row r="22" spans="1:16" ht="13.5" hidden="1" thickBot="1" x14ac:dyDescent="0.25">
      <c r="A22" s="53" t="s">
        <v>139</v>
      </c>
      <c r="B22" s="49"/>
      <c r="C22" s="50"/>
      <c r="D22" s="24"/>
      <c r="E22" s="25"/>
      <c r="F22" s="57"/>
      <c r="G22" s="60"/>
      <c r="H22" s="58"/>
      <c r="I22" s="29" t="str">
        <f>IF(I21&lt;&gt;"OK", "Enter Sample in QC #7", IF(AND(B22&lt;&gt;"", C22&lt;&gt;"", G22&lt;&gt;""), "OK", IF(B22="", "Enter Name", IF(C22="", "Enter ID", IF(G22="", "Enter Sample Type", "--")))))</f>
        <v>Enter Sample in QC #7</v>
      </c>
      <c r="J22" s="30"/>
    </row>
    <row r="23" spans="1:16" ht="13.5" hidden="1" thickBot="1" x14ac:dyDescent="0.25">
      <c r="A23" s="87" t="s">
        <v>145</v>
      </c>
      <c r="B23" s="93"/>
      <c r="C23" s="9"/>
      <c r="D23" s="9"/>
      <c r="E23" s="9"/>
      <c r="F23" s="9"/>
      <c r="G23" s="9"/>
      <c r="H23" s="9"/>
      <c r="I23" s="9"/>
      <c r="J23" s="10"/>
    </row>
    <row r="24" spans="1:16" x14ac:dyDescent="0.2">
      <c r="A24" s="89" t="s">
        <v>146</v>
      </c>
      <c r="C24" s="135"/>
      <c r="D24" s="1"/>
      <c r="E24" s="1"/>
      <c r="F24" s="1"/>
      <c r="G24" s="1"/>
      <c r="H24" s="1"/>
      <c r="I24" s="91"/>
      <c r="J24" s="14"/>
    </row>
    <row r="25" spans="1:16" ht="13.5" thickBot="1" x14ac:dyDescent="0.25">
      <c r="A25" s="18"/>
      <c r="B25" s="19"/>
      <c r="C25" s="20"/>
      <c r="D25" s="21"/>
      <c r="G25" s="17"/>
    </row>
    <row r="26" spans="1:16" ht="13.5" thickBot="1" x14ac:dyDescent="0.25">
      <c r="A26" s="87" t="s">
        <v>147</v>
      </c>
      <c r="B26" s="9"/>
      <c r="C26" s="9"/>
      <c r="D26" s="9"/>
      <c r="E26" s="9"/>
      <c r="F26" s="9"/>
      <c r="G26" s="9"/>
      <c r="H26" s="9"/>
      <c r="I26" s="9"/>
      <c r="J26" s="10"/>
    </row>
    <row r="27" spans="1:16" ht="17.25" customHeight="1" thickBot="1" x14ac:dyDescent="0.25">
      <c r="B27" s="11" t="s">
        <v>46</v>
      </c>
      <c r="C27" s="178" t="str">
        <f>IF(COUNTA(PatientList[DNA Number])&lt;&gt;COUNTA(PatientList[Assay ID]), "The # of DNA numbers and the # of Assay IDs do not match, recheck the patient list.", IF(COUNTA(PatientList[Assay ID])&lt;&gt;COUNTIF(PatientList[Assay ID], "NGS*"), "At least one assay ID is not the same, recheck the patient list.", 'Patient List'!V2&amp;" Library QC"&amp;C24&amp;"_"&amp;"_"&amp;LEFT(E4)&amp;IF(ISNUMBER(FIND(" ",E4)),MID(E4,FIND(" ",E4)+1,1),"")&amp;IF(ISNUMBER(FIND(" ",E4,FIND(" ",E4)+1)),MID(E4,FIND(" ",E4,FIND(" ",E4)+1)+1,1),"")))</f>
        <v>NGS 25-CM13  Library QC__CL</v>
      </c>
      <c r="D27" s="179"/>
      <c r="E27" s="62"/>
      <c r="F27" s="63"/>
      <c r="G27" s="63"/>
      <c r="H27" s="63"/>
    </row>
    <row r="28" spans="1:16" x14ac:dyDescent="0.2">
      <c r="A28" s="11"/>
      <c r="B28" s="22"/>
      <c r="C28" s="22"/>
      <c r="D28" s="22"/>
      <c r="E28" s="22"/>
      <c r="F28" s="22"/>
      <c r="G28" s="22"/>
    </row>
    <row r="29" spans="1:16" ht="13.5" thickBot="1" x14ac:dyDescent="0.25"/>
    <row r="30" spans="1:16" ht="13.5" thickBot="1" x14ac:dyDescent="0.25">
      <c r="A30" s="87" t="s">
        <v>148</v>
      </c>
      <c r="B30" s="9"/>
      <c r="C30" s="9"/>
      <c r="D30" s="9"/>
      <c r="E30" s="9"/>
      <c r="F30" s="9"/>
      <c r="G30" s="10"/>
    </row>
    <row r="32" spans="1:16" ht="40.5" customHeight="1" x14ac:dyDescent="0.2">
      <c r="A32" s="31" t="s">
        <v>114</v>
      </c>
      <c r="B32" s="34" t="s">
        <v>29</v>
      </c>
      <c r="C32" s="34" t="s">
        <v>115</v>
      </c>
      <c r="D32" s="34" t="s">
        <v>2</v>
      </c>
      <c r="E32" s="34" t="s">
        <v>89</v>
      </c>
      <c r="F32" s="34" t="s">
        <v>90</v>
      </c>
      <c r="G32" s="79" t="s">
        <v>91</v>
      </c>
      <c r="H32" s="32" t="s">
        <v>92</v>
      </c>
    </row>
    <row r="33" spans="1:8" ht="13.5" x14ac:dyDescent="0.2">
      <c r="A33" s="80">
        <v>1</v>
      </c>
      <c r="B33" s="54" t="str">
        <f ca="1">IF(A33&lt;$P$16, IF('Patient List'!I2="", "", CONCATENATE('Patient List'!A2, ", ", 'Patient List'!B2)), IF('NGS Run Record'!A33='NGS Run Record'!$P$16, IF('NGS Run Record'!$I$15&lt;&gt;"OK", "", 'NGS Run Record'!$B$15), IF($J$15=0, "", OFFSET('NGS Run Record'!$B$15, MIN('NGS Run Record'!A33-'NGS Run Record'!$P$16, $J$15), 0))))</f>
        <v xml:space="preserve">, </v>
      </c>
      <c r="C33" s="55" t="str">
        <f ca="1">IF(A33&lt;$P$16, IF('Patient List'!I2="", "", 'Patient List'!I2), IF('NGS Run Record'!A33='NGS Run Record'!$P$16, IF('NGS Run Record'!$I$15&lt;&gt;"OK", "", 'NGS Run Record'!$C$15), IF($J$15=0, "", OFFSET('NGS Run Record'!$C$15, MIN(ABS('NGS Run Record'!A33-'NGS Run Record'!$P$16), $J$15), 0))))</f>
        <v>NTC</v>
      </c>
      <c r="D33" s="55">
        <f ca="1">IF(A33&lt;$P$16, IF('Patient List'!I2="", "", 'Patient List'!D2), IF('NGS Run Record'!A33='NGS Run Record'!$P$16, IF('NGS Run Record'!$I$15&lt;&gt;"OK", "", 'NGS Run Record'!$D$15), IF($J$15=0, "", OFFSET('NGS Run Record'!$D$15, MIN('NGS Run Record'!A33-'NGS Run Record'!$P$16, $J$15), 0))))</f>
        <v>0</v>
      </c>
      <c r="E33" s="54">
        <f ca="1">IF(A33&lt;$P$16, IF('Patient List'!I2="", "", 'Patient List'!N2), IF('NGS Run Record'!A33='NGS Run Record'!$P$16, IF('NGS Run Record'!$I$15&lt;&gt;"OK", "", 'NGS Run Record'!$G$15), IF($J$15=0, "", OFFSET('NGS Run Record'!$G$15, MIN('NGS Run Record'!A33-'NGS Run Record'!$P$16, $J$15), 0))))</f>
        <v>0</v>
      </c>
      <c r="F33" s="56">
        <f ca="1">IF(A33&lt;$P$16, IF('Patient List'!I2="", "", 'Patient List'!AQ2), IF('NGS Run Record'!A33='NGS Run Record'!$P$16, IF('NGS Run Record'!$I$15&lt;&gt;"OK", "", 'NGS Run Record'!$E$15), IF($J$15=0, "", OFFSET('NGS Run Record'!$E$15, MIN('NGS Run Record'!A33-'NGS Run Record'!$P$16, $J$15), 0))))</f>
        <v>0</v>
      </c>
      <c r="G33" s="56">
        <f ca="1">IF(A33&lt;$P$16, IF('Patient List'!I2="", "", 'Patient List'!AR2), IF('NGS Run Record'!A33='NGS Run Record'!$P$16, IF('NGS Run Record'!$I$15&lt;&gt;"OK", "", 'NGS Run Record'!$F$15), IF($J$15=0, "", OFFSET('NGS Run Record'!$F$15, MIN('NGS Run Record'!A33-'NGS Run Record'!$P$16, $J$15), 0))))</f>
        <v>0</v>
      </c>
      <c r="H33" s="54" t="str">
        <f ca="1">IF(OR(Samples[[#This Row],[DNA '#]]="", Samples[[#This Row],[DNA '#]]=0),"", "Pass / Fail")</f>
        <v>Pass / Fail</v>
      </c>
    </row>
    <row r="34" spans="1:8" ht="13.5" x14ac:dyDescent="0.2">
      <c r="A34" s="80">
        <v>2</v>
      </c>
      <c r="B34" s="54" t="str">
        <f ca="1">IF(A34&lt;$P$16, IF('Patient List'!I3="", "", CONCATENATE('Patient List'!A3, ", ", 'Patient List'!B3)), IF('NGS Run Record'!A34='NGS Run Record'!$P$16, IF('NGS Run Record'!$I$15&lt;&gt;"OK", "", 'NGS Run Record'!$B$15), IF($J$15=0, "", OFFSET('NGS Run Record'!$B$15, MIN('NGS Run Record'!A34-'NGS Run Record'!$P$16, $J$15), 0))))</f>
        <v>Horizon, Tru-Q 1 (5% Tier)</v>
      </c>
      <c r="C34" s="55" t="str">
        <f ca="1">IF(A34&lt;$P$16, IF('Patient List'!I3="", "", 'Patient List'!I3), IF('NGS Run Record'!A34='NGS Run Record'!$P$16, IF('NGS Run Record'!$I$15&lt;&gt;"OK", "", 'NGS Run Record'!$C$15), IF($J$15=0, "", OFFSET('NGS Run Record'!$C$15, MIN(ABS('NGS Run Record'!A34-'NGS Run Record'!$P$16), $J$15), 0))))</f>
        <v>C00026B</v>
      </c>
      <c r="D34" s="55" t="str">
        <f ca="1">IF(A34&lt;$P$16, IF('Patient List'!I3="", "", 'Patient List'!D3), IF('NGS Run Record'!A34='NGS Run Record'!$P$16, IF('NGS Run Record'!$I$15&lt;&gt;"OK", "", 'NGS Run Record'!$D$15), IF($J$15=0, "", OFFSET('NGS Run Record'!$D$15, MIN('NGS Run Record'!A34-'NGS Run Record'!$P$16, $J$15), 0))))</f>
        <v>Tru-Q 1 (5% Tier)</v>
      </c>
      <c r="E34" s="54" t="str">
        <f ca="1">IF(A34&lt;$P$16, IF('Patient List'!I3="", "", 'Patient List'!N3), IF('NGS Run Record'!A34='NGS Run Record'!$P$16, IF('NGS Run Record'!$I$15&lt;&gt;"OK", "", 'NGS Run Record'!$G$15), IF($J$15=0, "", OFFSET('NGS Run Record'!$G$15, MIN('NGS Run Record'!A34-'NGS Run Record'!$P$16, $J$15), 0))))</f>
        <v>DNA</v>
      </c>
      <c r="F34" s="56" t="str">
        <f ca="1">IF(A34&lt;$P$16, IF('Patient List'!I3="", "", 'Patient List'!AQ3), IF('NGS Run Record'!A34='NGS Run Record'!$P$16, IF('NGS Run Record'!$I$15&lt;&gt;"OK", "", 'NGS Run Record'!$E$15), IF($J$15=0, "", OFFSET('NGS Run Record'!$E$15, MIN('NGS Run Record'!A34-'NGS Run Record'!$P$16, $J$15), 0))))</f>
        <v>5.0</v>
      </c>
      <c r="G34" s="56">
        <f ca="1">IF(A34&lt;$P$16, IF('Patient List'!I3="", "", 'Patient List'!AR3), IF('NGS Run Record'!A34='NGS Run Record'!$P$16, IF('NGS Run Record'!$I$15&lt;&gt;"OK", "", 'NGS Run Record'!$F$15), IF($J$15=0, "", OFFSET('NGS Run Record'!$F$15, MIN('NGS Run Record'!A34-'NGS Run Record'!$P$16, $J$15), 0))))</f>
        <v>0</v>
      </c>
      <c r="H34" s="54" t="str">
        <f ca="1">IF(OR(Samples[[#This Row],[DNA '#]]="", Samples[[#This Row],[DNA '#]]=0),"", "Pass / Fail")</f>
        <v>Pass / Fail</v>
      </c>
    </row>
    <row r="35" spans="1:8" ht="13.5" x14ac:dyDescent="0.2">
      <c r="A35" s="80">
        <v>3</v>
      </c>
      <c r="B35" s="54" t="str">
        <f ca="1">IF(A35&lt;$P$16, IF('Patient List'!I4="", "", CONCATENATE('Patient List'!A4, ", ", 'Patient List'!B4)), IF('NGS Run Record'!A35='NGS Run Record'!$P$16, IF('NGS Run Record'!$I$15&lt;&gt;"OK", "", 'NGS Run Record'!$B$15), IF($J$15=0, "", OFFSET('NGS Run Record'!$B$15, MIN('NGS Run Record'!A35-'NGS Run Record'!$P$16, $J$15), 0))))</f>
        <v>Gaston,  Anita</v>
      </c>
      <c r="C35" s="55" t="str">
        <f ca="1">IF(A35&lt;$P$16, IF('Patient List'!I4="", "", 'Patient List'!I4), IF('NGS Run Record'!A35='NGS Run Record'!$P$16, IF('NGS Run Record'!$I$15&lt;&gt;"OK", "", 'NGS Run Record'!$C$15), IF($J$15=0, "", OFFSET('NGS Run Record'!$C$15, MIN(ABS('NGS Run Record'!A35-'NGS Run Record'!$P$16), $J$15), 0))))</f>
        <v>25BH-015MP0030</v>
      </c>
      <c r="D35" s="55" t="str">
        <f ca="1">IF(A35&lt;$P$16, IF('Patient List'!I4="", "", 'Patient List'!D4), IF('NGS Run Record'!A35='NGS Run Record'!$P$16, IF('NGS Run Record'!$I$15&lt;&gt;"OK", "", 'NGS Run Record'!$D$15), IF($J$15=0, "", OFFSET('NGS Run Record'!$D$15, MIN('NGS Run Record'!A35-'NGS Run Record'!$P$16, $J$15), 0))))</f>
        <v>CMOL DNA 305_D-1</v>
      </c>
      <c r="E35" s="54" t="str">
        <f ca="1">IF(A35&lt;$P$16, IF('Patient List'!I4="", "", 'Patient List'!N4), IF('NGS Run Record'!A35='NGS Run Record'!$P$16, IF('NGS Run Record'!$I$15&lt;&gt;"OK", "", 'NGS Run Record'!$G$15), IF($J$15=0, "", OFFSET('NGS Run Record'!$G$15, MIN('NGS Run Record'!A35-'NGS Run Record'!$P$16, $J$15), 0))))</f>
        <v>Bone Marrow</v>
      </c>
      <c r="F35" s="56">
        <f ca="1">IF(A35&lt;$P$16, IF('Patient List'!I4="", "", 'Patient List'!AQ4), IF('NGS Run Record'!A35='NGS Run Record'!$P$16, IF('NGS Run Record'!$I$15&lt;&gt;"OK", "", 'NGS Run Record'!$E$15), IF($J$15=0, "", OFFSET('NGS Run Record'!$E$15, MIN('NGS Run Record'!A35-'NGS Run Record'!$P$16, $J$15), 0))))</f>
        <v>63.8</v>
      </c>
      <c r="G35" s="56">
        <f ca="1">IF(A35&lt;$P$16, IF('Patient List'!I4="", "", 'Patient List'!AR4), IF('NGS Run Record'!A35='NGS Run Record'!$P$16, IF('NGS Run Record'!$I$15&lt;&gt;"OK", "", 'NGS Run Record'!$F$15), IF($J$15=0, "", OFFSET('NGS Run Record'!$F$15, MIN('NGS Run Record'!A35-'NGS Run Record'!$P$16, $J$15), 0))))</f>
        <v>1.9</v>
      </c>
      <c r="H35" s="54" t="str">
        <f ca="1">IF(OR(Samples[[#This Row],[DNA '#]]="", Samples[[#This Row],[DNA '#]]=0),"", "Pass / Fail")</f>
        <v>Pass / Fail</v>
      </c>
    </row>
    <row r="36" spans="1:8" ht="13.5" x14ac:dyDescent="0.2">
      <c r="A36" s="80">
        <v>4</v>
      </c>
      <c r="B36" s="54" t="str">
        <f ca="1">IF(A36&lt;$P$16, IF('Patient List'!I5="", "", CONCATENATE('Patient List'!A5, ", ", 'Patient List'!B5)), IF('NGS Run Record'!A36='NGS Run Record'!$P$16, IF('NGS Run Record'!$I$15&lt;&gt;"OK", "", 'NGS Run Record'!$B$15), IF($J$15=0, "", OFFSET('NGS Run Record'!$B$15, MIN('NGS Run Record'!A36-'NGS Run Record'!$P$16, $J$15), 0))))</f>
        <v>Young,  Susan Marie</v>
      </c>
      <c r="C36" s="55" t="str">
        <f ca="1">IF(A36&lt;$P$16, IF('Patient List'!I5="", "", 'Patient List'!I5), IF('NGS Run Record'!A36='NGS Run Record'!$P$16, IF('NGS Run Record'!$I$15&lt;&gt;"OK", "", 'NGS Run Record'!$C$15), IF($J$15=0, "", OFFSET('NGS Run Record'!$C$15, MIN(ABS('NGS Run Record'!A36-'NGS Run Record'!$P$16), $J$15), 0))))</f>
        <v>25BH-015MP0025</v>
      </c>
      <c r="D36" s="55" t="str">
        <f ca="1">IF(A36&lt;$P$16, IF('Patient List'!I5="", "", 'Patient List'!D5), IF('NGS Run Record'!A36='NGS Run Record'!$P$16, IF('NGS Run Record'!$I$15&lt;&gt;"OK", "", 'NGS Run Record'!$D$15), IF($J$15=0, "", OFFSET('NGS Run Record'!$D$15, MIN('NGS Run Record'!A36-'NGS Run Record'!$P$16, $J$15), 0))))</f>
        <v>CMOL DNA 305_D-3</v>
      </c>
      <c r="E36" s="54" t="str">
        <f ca="1">IF(A36&lt;$P$16, IF('Patient List'!I5="", "", 'Patient List'!N5), IF('NGS Run Record'!A36='NGS Run Record'!$P$16, IF('NGS Run Record'!$I$15&lt;&gt;"OK", "", 'NGS Run Record'!$G$15), IF($J$15=0, "", OFFSET('NGS Run Record'!$G$15, MIN('NGS Run Record'!A36-'NGS Run Record'!$P$16, $J$15), 0))))</f>
        <v>Bone Marrow</v>
      </c>
      <c r="F36" s="56">
        <f ca="1">IF(A36&lt;$P$16, IF('Patient List'!I5="", "", 'Patient List'!AQ5), IF('NGS Run Record'!A36='NGS Run Record'!$P$16, IF('NGS Run Record'!$I$15&lt;&gt;"OK", "", 'NGS Run Record'!$E$15), IF($J$15=0, "", OFFSET('NGS Run Record'!$E$15, MIN('NGS Run Record'!A36-'NGS Run Record'!$P$16, $J$15), 0))))</f>
        <v>166.7</v>
      </c>
      <c r="G36" s="56">
        <f ca="1">IF(A36&lt;$P$16, IF('Patient List'!I5="", "", 'Patient List'!AR5), IF('NGS Run Record'!A36='NGS Run Record'!$P$16, IF('NGS Run Record'!$I$15&lt;&gt;"OK", "", 'NGS Run Record'!$F$15), IF($J$15=0, "", OFFSET('NGS Run Record'!$F$15, MIN('NGS Run Record'!A36-'NGS Run Record'!$P$16, $J$15), 0))))</f>
        <v>1.9</v>
      </c>
      <c r="H36" s="54" t="str">
        <f ca="1">IF(OR(Samples[[#This Row],[DNA '#]]="", Samples[[#This Row],[DNA '#]]=0),"", "Pass / Fail")</f>
        <v>Pass / Fail</v>
      </c>
    </row>
    <row r="37" spans="1:8" ht="13.5" x14ac:dyDescent="0.2">
      <c r="A37" s="80">
        <v>5</v>
      </c>
      <c r="B37" s="54" t="str">
        <f ca="1">IF(A37&lt;$P$16, IF('Patient List'!I6="", "", CONCATENATE('Patient List'!A6, ", ", 'Patient List'!B6)), IF('NGS Run Record'!A37='NGS Run Record'!$P$16, IF('NGS Run Record'!$I$15&lt;&gt;"OK", "", 'NGS Run Record'!$B$15), IF($J$15=0, "", OFFSET('NGS Run Record'!$B$15, MIN('NGS Run Record'!A37-'NGS Run Record'!$P$16, $J$15), 0))))</f>
        <v>Stumbo,  Ashley Ann</v>
      </c>
      <c r="C37" s="55" t="str">
        <f ca="1">IF(A37&lt;$P$16, IF('Patient List'!I6="", "", 'Patient List'!I6), IF('NGS Run Record'!A37='NGS Run Record'!$P$16, IF('NGS Run Record'!$I$15&lt;&gt;"OK", "", 'NGS Run Record'!$C$15), IF($J$15=0, "", OFFSET('NGS Run Record'!$C$15, MIN(ABS('NGS Run Record'!A37-'NGS Run Record'!$P$16), $J$15), 0))))</f>
        <v>25BH-016MP0005</v>
      </c>
      <c r="D37" s="55" t="str">
        <f ca="1">IF(A37&lt;$P$16, IF('Patient List'!I6="", "", 'Patient List'!D6), IF('NGS Run Record'!A37='NGS Run Record'!$P$16, IF('NGS Run Record'!$I$15&lt;&gt;"OK", "", 'NGS Run Record'!$D$15), IF($J$15=0, "", OFFSET('NGS Run Record'!$D$15, MIN('NGS Run Record'!A37-'NGS Run Record'!$P$16, $J$15), 0))))</f>
        <v>CMOL DNA 305_D-4</v>
      </c>
      <c r="E37" s="54" t="str">
        <f ca="1">IF(A37&lt;$P$16, IF('Patient List'!I6="", "", 'Patient List'!N6), IF('NGS Run Record'!A37='NGS Run Record'!$P$16, IF('NGS Run Record'!$I$15&lt;&gt;"OK", "", 'NGS Run Record'!$G$15), IF($J$15=0, "", OFFSET('NGS Run Record'!$G$15, MIN('NGS Run Record'!A37-'NGS Run Record'!$P$16, $J$15), 0))))</f>
        <v>Bone Marrow</v>
      </c>
      <c r="F37" s="56">
        <f ca="1">IF(A37&lt;$P$16, IF('Patient List'!I6="", "", 'Patient List'!AQ6), IF('NGS Run Record'!A37='NGS Run Record'!$P$16, IF('NGS Run Record'!$I$15&lt;&gt;"OK", "", 'NGS Run Record'!$E$15), IF($J$15=0, "", OFFSET('NGS Run Record'!$E$15, MIN('NGS Run Record'!A37-'NGS Run Record'!$P$16, $J$15), 0))))</f>
        <v>113.2</v>
      </c>
      <c r="G37" s="56">
        <f ca="1">IF(A37&lt;$P$16, IF('Patient List'!I6="", "", 'Patient List'!AR6), IF('NGS Run Record'!A37='NGS Run Record'!$P$16, IF('NGS Run Record'!$I$15&lt;&gt;"OK", "", 'NGS Run Record'!$F$15), IF($J$15=0, "", OFFSET('NGS Run Record'!$F$15, MIN('NGS Run Record'!A37-'NGS Run Record'!$P$16, $J$15), 0))))</f>
        <v>1.9</v>
      </c>
      <c r="H37" s="54" t="str">
        <f ca="1">IF(OR(Samples[[#This Row],[DNA '#]]="", Samples[[#This Row],[DNA '#]]=0),"", "Pass / Fail")</f>
        <v>Pass / Fail</v>
      </c>
    </row>
    <row r="38" spans="1:8" ht="13.5" x14ac:dyDescent="0.2">
      <c r="A38" s="80">
        <v>6</v>
      </c>
      <c r="B38" s="54" t="str">
        <f ca="1">IF(A38&lt;$P$16, IF('Patient List'!I7="", "", CONCATENATE('Patient List'!A7, ", ", 'Patient List'!B7)), IF('NGS Run Record'!A38='NGS Run Record'!$P$16, IF('NGS Run Record'!$I$15&lt;&gt;"OK", "", 'NGS Run Record'!$B$15), IF($J$15=0, "", OFFSET('NGS Run Record'!$B$15, MIN('NGS Run Record'!A38-'NGS Run Record'!$P$16, $J$15), 0))))</f>
        <v>Frizell,  Eric Brandon</v>
      </c>
      <c r="C38" s="55" t="str">
        <f ca="1">IF(A38&lt;$P$16, IF('Patient List'!I7="", "", 'Patient List'!I7), IF('NGS Run Record'!A38='NGS Run Record'!$P$16, IF('NGS Run Record'!$I$15&lt;&gt;"OK", "", 'NGS Run Record'!$C$15), IF($J$15=0, "", OFFSET('NGS Run Record'!$C$15, MIN(ABS('NGS Run Record'!A38-'NGS Run Record'!$P$16), $J$15), 0))))</f>
        <v>25BH-015MP0031</v>
      </c>
      <c r="D38" s="55" t="str">
        <f ca="1">IF(A38&lt;$P$16, IF('Patient List'!I7="", "", 'Patient List'!D7), IF('NGS Run Record'!A38='NGS Run Record'!$P$16, IF('NGS Run Record'!$I$15&lt;&gt;"OK", "", 'NGS Run Record'!$D$15), IF($J$15=0, "", OFFSET('NGS Run Record'!$D$15, MIN('NGS Run Record'!A38-'NGS Run Record'!$P$16, $J$15), 0))))</f>
        <v>CMOL DNA 305_D-5</v>
      </c>
      <c r="E38" s="54" t="str">
        <f ca="1">IF(A38&lt;$P$16, IF('Patient List'!I7="", "", 'Patient List'!N7), IF('NGS Run Record'!A38='NGS Run Record'!$P$16, IF('NGS Run Record'!$I$15&lt;&gt;"OK", "", 'NGS Run Record'!$G$15), IF($J$15=0, "", OFFSET('NGS Run Record'!$G$15, MIN('NGS Run Record'!A38-'NGS Run Record'!$P$16, $J$15), 0))))</f>
        <v>Bone Marrow</v>
      </c>
      <c r="F38" s="56">
        <f ca="1">IF(A38&lt;$P$16, IF('Patient List'!I7="", "", 'Patient List'!AQ7), IF('NGS Run Record'!A38='NGS Run Record'!$P$16, IF('NGS Run Record'!$I$15&lt;&gt;"OK", "", 'NGS Run Record'!$E$15), IF($J$15=0, "", OFFSET('NGS Run Record'!$E$15, MIN('NGS Run Record'!A38-'NGS Run Record'!$P$16, $J$15), 0))))</f>
        <v>23</v>
      </c>
      <c r="G38" s="56">
        <f ca="1">IF(A38&lt;$P$16, IF('Patient List'!I7="", "", 'Patient List'!AR7), IF('NGS Run Record'!A38='NGS Run Record'!$P$16, IF('NGS Run Record'!$I$15&lt;&gt;"OK", "", 'NGS Run Record'!$F$15), IF($J$15=0, "", OFFSET('NGS Run Record'!$F$15, MIN('NGS Run Record'!A38-'NGS Run Record'!$P$16, $J$15), 0))))</f>
        <v>2</v>
      </c>
      <c r="H38" s="54" t="str">
        <f ca="1">IF(OR(Samples[[#This Row],[DNA '#]]="", Samples[[#This Row],[DNA '#]]=0),"", "Pass / Fail")</f>
        <v>Pass / Fail</v>
      </c>
    </row>
    <row r="39" spans="1:8" ht="13.5" x14ac:dyDescent="0.2">
      <c r="A39" s="80">
        <v>7</v>
      </c>
      <c r="B39" s="54" t="str">
        <f ca="1">IF(A39&lt;$P$16, IF('Patient List'!I8="", "", CONCATENATE('Patient List'!A8, ", ", 'Patient List'!B8)), IF('NGS Run Record'!A39='NGS Run Record'!$P$16, IF('NGS Run Record'!$I$15&lt;&gt;"OK", "", 'NGS Run Record'!$B$15), IF($J$15=0, "", OFFSET('NGS Run Record'!$B$15, MIN('NGS Run Record'!A39-'NGS Run Record'!$P$16, $J$15), 0))))</f>
        <v>King,  Janet Elaine</v>
      </c>
      <c r="C39" s="55" t="str">
        <f ca="1">IF(A39&lt;$P$16, IF('Patient List'!I8="", "", 'Patient List'!I8), IF('NGS Run Record'!A39='NGS Run Record'!$P$16, IF('NGS Run Record'!$I$15&lt;&gt;"OK", "", 'NGS Run Record'!$C$15), IF($J$15=0, "", OFFSET('NGS Run Record'!$C$15, MIN(ABS('NGS Run Record'!A39-'NGS Run Record'!$P$16), $J$15), 0))))</f>
        <v>25BH-016MP0003</v>
      </c>
      <c r="D39" s="55" t="str">
        <f ca="1">IF(A39&lt;$P$16, IF('Patient List'!I8="", "", 'Patient List'!D8), IF('NGS Run Record'!A39='NGS Run Record'!$P$16, IF('NGS Run Record'!$I$15&lt;&gt;"OK", "", 'NGS Run Record'!$D$15), IF($J$15=0, "", OFFSET('NGS Run Record'!$D$15, MIN('NGS Run Record'!A39-'NGS Run Record'!$P$16, $J$15), 0))))</f>
        <v>CMOL DNA 305_D-6</v>
      </c>
      <c r="E39" s="54" t="str">
        <f ca="1">IF(A39&lt;$P$16, IF('Patient List'!I8="", "", 'Patient List'!N8), IF('NGS Run Record'!A39='NGS Run Record'!$P$16, IF('NGS Run Record'!$I$15&lt;&gt;"OK", "", 'NGS Run Record'!$G$15), IF($J$15=0, "", OFFSET('NGS Run Record'!$G$15, MIN('NGS Run Record'!A39-'NGS Run Record'!$P$16, $J$15), 0))))</f>
        <v>Bone Marrow</v>
      </c>
      <c r="F39" s="56">
        <f ca="1">IF(A39&lt;$P$16, IF('Patient List'!I8="", "", 'Patient List'!AQ8), IF('NGS Run Record'!A39='NGS Run Record'!$P$16, IF('NGS Run Record'!$I$15&lt;&gt;"OK", "", 'NGS Run Record'!$E$15), IF($J$15=0, "", OFFSET('NGS Run Record'!$E$15, MIN('NGS Run Record'!A39-'NGS Run Record'!$P$16, $J$15), 0))))</f>
        <v>209.3</v>
      </c>
      <c r="G39" s="56">
        <f ca="1">IF(A39&lt;$P$16, IF('Patient List'!I8="", "", 'Patient List'!AR8), IF('NGS Run Record'!A39='NGS Run Record'!$P$16, IF('NGS Run Record'!$I$15&lt;&gt;"OK", "", 'NGS Run Record'!$F$15), IF($J$15=0, "", OFFSET('NGS Run Record'!$F$15, MIN('NGS Run Record'!A39-'NGS Run Record'!$P$16, $J$15), 0))))</f>
        <v>1.9</v>
      </c>
      <c r="H39" s="54" t="str">
        <f ca="1">IF(OR(Samples[[#This Row],[DNA '#]]="", Samples[[#This Row],[DNA '#]]=0),"", "Pass / Fail")</f>
        <v>Pass / Fail</v>
      </c>
    </row>
    <row r="40" spans="1:8" ht="13.5" x14ac:dyDescent="0.2">
      <c r="A40" s="80">
        <v>8</v>
      </c>
      <c r="B40" s="54" t="str">
        <f ca="1">IF(A40&lt;$P$16, IF('Patient List'!I9="", "", CONCATENATE('Patient List'!A9, ", ", 'Patient List'!B9)), IF('NGS Run Record'!A40='NGS Run Record'!$P$16, IF('NGS Run Record'!$I$15&lt;&gt;"OK", "", 'NGS Run Record'!$B$15), IF($J$15=0, "", OFFSET('NGS Run Record'!$B$15, MIN('NGS Run Record'!A40-'NGS Run Record'!$P$16, $J$15), 0))))</f>
        <v>Thomas,  Madison Mine</v>
      </c>
      <c r="C40" s="55" t="str">
        <f ca="1">IF(A40&lt;$P$16, IF('Patient List'!I9="", "", 'Patient List'!I9), IF('NGS Run Record'!A40='NGS Run Record'!$P$16, IF('NGS Run Record'!$I$15&lt;&gt;"OK", "", 'NGS Run Record'!$C$15), IF($J$15=0, "", OFFSET('NGS Run Record'!$C$15, MIN(ABS('NGS Run Record'!A40-'NGS Run Record'!$P$16), $J$15), 0))))</f>
        <v>25BH-016MP0015</v>
      </c>
      <c r="D40" s="55" t="str">
        <f ca="1">IF(A40&lt;$P$16, IF('Patient List'!I9="", "", 'Patient List'!D9), IF('NGS Run Record'!A40='NGS Run Record'!$P$16, IF('NGS Run Record'!$I$15&lt;&gt;"OK", "", 'NGS Run Record'!$D$15), IF($J$15=0, "", OFFSET('NGS Run Record'!$D$15, MIN('NGS Run Record'!A40-'NGS Run Record'!$P$16, $J$15), 0))))</f>
        <v>CMOL DNA 305_D-7</v>
      </c>
      <c r="E40" s="54" t="str">
        <f ca="1">IF(A40&lt;$P$16, IF('Patient List'!I9="", "", 'Patient List'!N9), IF('NGS Run Record'!A40='NGS Run Record'!$P$16, IF('NGS Run Record'!$I$15&lt;&gt;"OK", "", 'NGS Run Record'!$G$15), IF($J$15=0, "", OFFSET('NGS Run Record'!$G$15, MIN('NGS Run Record'!A40-'NGS Run Record'!$P$16, $J$15), 0))))</f>
        <v>Blood</v>
      </c>
      <c r="F40" s="56">
        <f ca="1">IF(A40&lt;$P$16, IF('Patient List'!I9="", "", 'Patient List'!AQ9), IF('NGS Run Record'!A40='NGS Run Record'!$P$16, IF('NGS Run Record'!$I$15&lt;&gt;"OK", "", 'NGS Run Record'!$E$15), IF($J$15=0, "", OFFSET('NGS Run Record'!$E$15, MIN('NGS Run Record'!A40-'NGS Run Record'!$P$16, $J$15), 0))))</f>
        <v>100.7</v>
      </c>
      <c r="G40" s="56">
        <f ca="1">IF(A40&lt;$P$16, IF('Patient List'!I9="", "", 'Patient List'!AR9), IF('NGS Run Record'!A40='NGS Run Record'!$P$16, IF('NGS Run Record'!$I$15&lt;&gt;"OK", "", 'NGS Run Record'!$F$15), IF($J$15=0, "", OFFSET('NGS Run Record'!$F$15, MIN('NGS Run Record'!A40-'NGS Run Record'!$P$16, $J$15), 0))))</f>
        <v>1.9</v>
      </c>
      <c r="H40" s="54" t="str">
        <f ca="1">IF(OR(Samples[[#This Row],[DNA '#]]="", Samples[[#This Row],[DNA '#]]=0),"", "Pass / Fail")</f>
        <v>Pass / Fail</v>
      </c>
    </row>
    <row r="41" spans="1:8" ht="13.5" x14ac:dyDescent="0.2">
      <c r="A41" s="80">
        <v>9</v>
      </c>
      <c r="B41" s="54" t="str">
        <f ca="1">IF(A41&lt;$P$16, IF('Patient List'!I10="", "", CONCATENATE('Patient List'!A10, ", ", 'Patient List'!B10)), IF('NGS Run Record'!A41='NGS Run Record'!$P$16, IF('NGS Run Record'!$I$15&lt;&gt;"OK", "", 'NGS Run Record'!$B$15), IF($J$15=0, "", OFFSET('NGS Run Record'!$B$15, MIN('NGS Run Record'!A41-'NGS Run Record'!$P$16, $J$15), 0))))</f>
        <v>Tucker,  Rita S</v>
      </c>
      <c r="C41" s="55" t="str">
        <f ca="1">IF(A41&lt;$P$16, IF('Patient List'!I10="", "", 'Patient List'!I10), IF('NGS Run Record'!A41='NGS Run Record'!$P$16, IF('NGS Run Record'!$I$15&lt;&gt;"OK", "", 'NGS Run Record'!$C$15), IF($J$15=0, "", OFFSET('NGS Run Record'!$C$15, MIN(ABS('NGS Run Record'!A41-'NGS Run Record'!$P$16), $J$15), 0))))</f>
        <v>25BH-016MP0014</v>
      </c>
      <c r="D41" s="55" t="str">
        <f ca="1">IF(A41&lt;$P$16, IF('Patient List'!I10="", "", 'Patient List'!D10), IF('NGS Run Record'!A41='NGS Run Record'!$P$16, IF('NGS Run Record'!$I$15&lt;&gt;"OK", "", 'NGS Run Record'!$D$15), IF($J$15=0, "", OFFSET('NGS Run Record'!$D$15, MIN('NGS Run Record'!A41-'NGS Run Record'!$P$16, $J$15), 0))))</f>
        <v>CMOL DNA 305_D-8</v>
      </c>
      <c r="E41" s="54" t="str">
        <f ca="1">IF(A41&lt;$P$16, IF('Patient List'!I10="", "", 'Patient List'!N10), IF('NGS Run Record'!A41='NGS Run Record'!$P$16, IF('NGS Run Record'!$I$15&lt;&gt;"OK", "", 'NGS Run Record'!$G$15), IF($J$15=0, "", OFFSET('NGS Run Record'!$G$15, MIN('NGS Run Record'!A41-'NGS Run Record'!$P$16, $J$15), 0))))</f>
        <v>Blood</v>
      </c>
      <c r="F41" s="56">
        <f ca="1">IF(A41&lt;$P$16, IF('Patient List'!I10="", "", 'Patient List'!AQ10), IF('NGS Run Record'!A41='NGS Run Record'!$P$16, IF('NGS Run Record'!$I$15&lt;&gt;"OK", "", 'NGS Run Record'!$E$15), IF($J$15=0, "", OFFSET('NGS Run Record'!$E$15, MIN('NGS Run Record'!A41-'NGS Run Record'!$P$16, $J$15), 0))))</f>
        <v>37.700000000000003</v>
      </c>
      <c r="G41" s="56">
        <f ca="1">IF(A41&lt;$P$16, IF('Patient List'!I10="", "", 'Patient List'!AR10), IF('NGS Run Record'!A41='NGS Run Record'!$P$16, IF('NGS Run Record'!$I$15&lt;&gt;"OK", "", 'NGS Run Record'!$F$15), IF($J$15=0, "", OFFSET('NGS Run Record'!$F$15, MIN('NGS Run Record'!A41-'NGS Run Record'!$P$16, $J$15), 0))))</f>
        <v>1.9</v>
      </c>
      <c r="H41" s="54" t="str">
        <f ca="1">IF(OR(Samples[[#This Row],[DNA '#]]="", Samples[[#This Row],[DNA '#]]=0),"", "Pass / Fail")</f>
        <v>Pass / Fail</v>
      </c>
    </row>
    <row r="42" spans="1:8" ht="13.5" x14ac:dyDescent="0.2">
      <c r="A42" s="80">
        <v>10</v>
      </c>
      <c r="B42" s="54" t="str">
        <f ca="1">IF(A42&lt;$P$16, IF('Patient List'!I11="", "", CONCATENATE('Patient List'!A11, ", ", 'Patient List'!B11)), IF('NGS Run Record'!A42='NGS Run Record'!$P$16, IF('NGS Run Record'!$I$15&lt;&gt;"OK", "", 'NGS Run Record'!$B$15), IF($J$15=0, "", OFFSET('NGS Run Record'!$B$15, MIN('NGS Run Record'!A42-'NGS Run Record'!$P$16, $J$15), 0))))</f>
        <v>Verburg,  Robert Martin</v>
      </c>
      <c r="C42" s="55" t="str">
        <f ca="1">IF(A42&lt;$P$16, IF('Patient List'!I11="", "", 'Patient List'!I11), IF('NGS Run Record'!A42='NGS Run Record'!$P$16, IF('NGS Run Record'!$I$15&lt;&gt;"OK", "", 'NGS Run Record'!$C$15), IF($J$15=0, "", OFFSET('NGS Run Record'!$C$15, MIN(ABS('NGS Run Record'!A42-'NGS Run Record'!$P$16), $J$15), 0))))</f>
        <v>25BH-016MP0016</v>
      </c>
      <c r="D42" s="55" t="str">
        <f ca="1">IF(A42&lt;$P$16, IF('Patient List'!I11="", "", 'Patient List'!D11), IF('NGS Run Record'!A42='NGS Run Record'!$P$16, IF('NGS Run Record'!$I$15&lt;&gt;"OK", "", 'NGS Run Record'!$D$15), IF($J$15=0, "", OFFSET('NGS Run Record'!$D$15, MIN('NGS Run Record'!A42-'NGS Run Record'!$P$16, $J$15), 0))))</f>
        <v>CMOL DNA 305_D-9</v>
      </c>
      <c r="E42" s="54" t="str">
        <f ca="1">IF(A42&lt;$P$16, IF('Patient List'!I11="", "", 'Patient List'!N11), IF('NGS Run Record'!A42='NGS Run Record'!$P$16, IF('NGS Run Record'!$I$15&lt;&gt;"OK", "", 'NGS Run Record'!$G$15), IF($J$15=0, "", OFFSET('NGS Run Record'!$G$15, MIN('NGS Run Record'!A42-'NGS Run Record'!$P$16, $J$15), 0))))</f>
        <v>Bone Marrow</v>
      </c>
      <c r="F42" s="56">
        <f ca="1">IF(A42&lt;$P$16, IF('Patient List'!I11="", "", 'Patient List'!AQ11), IF('NGS Run Record'!A42='NGS Run Record'!$P$16, IF('NGS Run Record'!$I$15&lt;&gt;"OK", "", 'NGS Run Record'!$E$15), IF($J$15=0, "", OFFSET('NGS Run Record'!$E$15, MIN('NGS Run Record'!A42-'NGS Run Record'!$P$16, $J$15), 0))))</f>
        <v>32.9</v>
      </c>
      <c r="G42" s="56">
        <f ca="1">IF(A42&lt;$P$16, IF('Patient List'!I11="", "", 'Patient List'!AR11), IF('NGS Run Record'!A42='NGS Run Record'!$P$16, IF('NGS Run Record'!$I$15&lt;&gt;"OK", "", 'NGS Run Record'!$F$15), IF($J$15=0, "", OFFSET('NGS Run Record'!$F$15, MIN('NGS Run Record'!A42-'NGS Run Record'!$P$16, $J$15), 0))))</f>
        <v>2</v>
      </c>
      <c r="H42" s="54" t="str">
        <f ca="1">IF(OR(Samples[[#This Row],[DNA '#]]="", Samples[[#This Row],[DNA '#]]=0),"", "Pass / Fail")</f>
        <v>Pass / Fail</v>
      </c>
    </row>
    <row r="43" spans="1:8" ht="13.5" x14ac:dyDescent="0.2">
      <c r="A43" s="80">
        <v>11</v>
      </c>
      <c r="B43" s="54" t="str">
        <f ca="1">IF(A43&lt;$P$16, IF('Patient List'!I12="", "", CONCATENATE('Patient List'!A12, ", ", 'Patient List'!B12)), IF('NGS Run Record'!A43='NGS Run Record'!$P$16, IF('NGS Run Record'!$I$15&lt;&gt;"OK", "", 'NGS Run Record'!$B$15), IF($J$15=0, "", OFFSET('NGS Run Record'!$B$15, MIN('NGS Run Record'!A43-'NGS Run Record'!$P$16, $J$15), 0))))</f>
        <v>Baker,  Judith Elaine</v>
      </c>
      <c r="C43" s="55" t="str">
        <f ca="1">IF(A43&lt;$P$16, IF('Patient List'!I12="", "", 'Patient List'!I12), IF('NGS Run Record'!A43='NGS Run Record'!$P$16, IF('NGS Run Record'!$I$15&lt;&gt;"OK", "", 'NGS Run Record'!$C$15), IF($J$15=0, "", OFFSET('NGS Run Record'!$C$15, MIN(ABS('NGS Run Record'!A43-'NGS Run Record'!$P$16), $J$15), 0))))</f>
        <v>25BH-016MP0022</v>
      </c>
      <c r="D43" s="55" t="str">
        <f ca="1">IF(A43&lt;$P$16, IF('Patient List'!I12="", "", 'Patient List'!D12), IF('NGS Run Record'!A43='NGS Run Record'!$P$16, IF('NGS Run Record'!$I$15&lt;&gt;"OK", "", 'NGS Run Record'!$D$15), IF($J$15=0, "", OFFSET('NGS Run Record'!$D$15, MIN('NGS Run Record'!A43-'NGS Run Record'!$P$16, $J$15), 0))))</f>
        <v>CMOL DNA 305_E-1</v>
      </c>
      <c r="E43" s="54" t="str">
        <f ca="1">IF(A43&lt;$P$16, IF('Patient List'!I12="", "", 'Patient List'!N12), IF('NGS Run Record'!A43='NGS Run Record'!$P$16, IF('NGS Run Record'!$I$15&lt;&gt;"OK", "", 'NGS Run Record'!$G$15), IF($J$15=0, "", OFFSET('NGS Run Record'!$G$15, MIN('NGS Run Record'!A43-'NGS Run Record'!$P$16, $J$15), 0))))</f>
        <v>Bone Marrow</v>
      </c>
      <c r="F43" s="56">
        <f ca="1">IF(A43&lt;$P$16, IF('Patient List'!I12="", "", 'Patient List'!AQ12), IF('NGS Run Record'!A43='NGS Run Record'!$P$16, IF('NGS Run Record'!$I$15&lt;&gt;"OK", "", 'NGS Run Record'!$E$15), IF($J$15=0, "", OFFSET('NGS Run Record'!$E$15, MIN('NGS Run Record'!A43-'NGS Run Record'!$P$16, $J$15), 0))))</f>
        <v>61.8</v>
      </c>
      <c r="G43" s="56">
        <f ca="1">IF(A43&lt;$P$16, IF('Patient List'!I12="", "", 'Patient List'!AR12), IF('NGS Run Record'!A43='NGS Run Record'!$P$16, IF('NGS Run Record'!$I$15&lt;&gt;"OK", "", 'NGS Run Record'!$F$15), IF($J$15=0, "", OFFSET('NGS Run Record'!$F$15, MIN('NGS Run Record'!A43-'NGS Run Record'!$P$16, $J$15), 0))))</f>
        <v>1.9</v>
      </c>
      <c r="H43" s="54" t="str">
        <f ca="1">IF(OR(Samples[[#This Row],[DNA '#]]="", Samples[[#This Row],[DNA '#]]=0),"", "Pass / Fail")</f>
        <v>Pass / Fail</v>
      </c>
    </row>
    <row r="44" spans="1:8" ht="13.5" x14ac:dyDescent="0.2">
      <c r="A44" s="80">
        <v>12</v>
      </c>
      <c r="B44" s="54" t="str">
        <f ca="1">IF(A44&lt;$P$16, IF('Patient List'!I13="", "", CONCATENATE('Patient List'!A13, ", ", 'Patient List'!B13)), IF('NGS Run Record'!A44='NGS Run Record'!$P$16, IF('NGS Run Record'!$I$15&lt;&gt;"OK", "", 'NGS Run Record'!$B$15), IF($J$15=0, "", OFFSET('NGS Run Record'!$B$15, MIN('NGS Run Record'!A44-'NGS Run Record'!$P$16, $J$15), 0))))</f>
        <v>Huynh,  Chau Van</v>
      </c>
      <c r="C44" s="55" t="str">
        <f ca="1">IF(A44&lt;$P$16, IF('Patient List'!I13="", "", 'Patient List'!I13), IF('NGS Run Record'!A44='NGS Run Record'!$P$16, IF('NGS Run Record'!$I$15&lt;&gt;"OK", "", 'NGS Run Record'!$C$15), IF($J$15=0, "", OFFSET('NGS Run Record'!$C$15, MIN(ABS('NGS Run Record'!A44-'NGS Run Record'!$P$16), $J$15), 0))))</f>
        <v>25BH-016MP0018</v>
      </c>
      <c r="D44" s="55" t="str">
        <f ca="1">IF(A44&lt;$P$16, IF('Patient List'!I13="", "", 'Patient List'!D13), IF('NGS Run Record'!A44='NGS Run Record'!$P$16, IF('NGS Run Record'!$I$15&lt;&gt;"OK", "", 'NGS Run Record'!$D$15), IF($J$15=0, "", OFFSET('NGS Run Record'!$D$15, MIN('NGS Run Record'!A44-'NGS Run Record'!$P$16, $J$15), 0))))</f>
        <v>CMOL DNA 305_E-2</v>
      </c>
      <c r="E44" s="54" t="str">
        <f ca="1">IF(A44&lt;$P$16, IF('Patient List'!I13="", "", 'Patient List'!N13), IF('NGS Run Record'!A44='NGS Run Record'!$P$16, IF('NGS Run Record'!$I$15&lt;&gt;"OK", "", 'NGS Run Record'!$G$15), IF($J$15=0, "", OFFSET('NGS Run Record'!$G$15, MIN('NGS Run Record'!A44-'NGS Run Record'!$P$16, $J$15), 0))))</f>
        <v>Bone Marrow</v>
      </c>
      <c r="F44" s="56">
        <f ca="1">IF(A44&lt;$P$16, IF('Patient List'!I13="", "", 'Patient List'!AQ13), IF('NGS Run Record'!A44='NGS Run Record'!$P$16, IF('NGS Run Record'!$I$15&lt;&gt;"OK", "", 'NGS Run Record'!$E$15), IF($J$15=0, "", OFFSET('NGS Run Record'!$E$15, MIN('NGS Run Record'!A44-'NGS Run Record'!$P$16, $J$15), 0))))</f>
        <v>4.2</v>
      </c>
      <c r="G44" s="56">
        <f ca="1">IF(A44&lt;$P$16, IF('Patient List'!I13="", "", 'Patient List'!AR13), IF('NGS Run Record'!A44='NGS Run Record'!$P$16, IF('NGS Run Record'!$I$15&lt;&gt;"OK", "", 'NGS Run Record'!$F$15), IF($J$15=0, "", OFFSET('NGS Run Record'!$F$15, MIN('NGS Run Record'!A44-'NGS Run Record'!$P$16, $J$15), 0))))</f>
        <v>1.7</v>
      </c>
      <c r="H44" s="54" t="str">
        <f ca="1">IF(OR(Samples[[#This Row],[DNA '#]]="", Samples[[#This Row],[DNA '#]]=0),"", "Pass / Fail")</f>
        <v>Pass / Fail</v>
      </c>
    </row>
    <row r="45" spans="1:8" ht="13.5" x14ac:dyDescent="0.2">
      <c r="A45" s="80">
        <v>13</v>
      </c>
      <c r="B45" s="54" t="str">
        <f ca="1">IF(A45&lt;$P$16, IF('Patient List'!I14="", "", CONCATENATE('Patient List'!A14, ", ", 'Patient List'!B14)), IF('NGS Run Record'!A45='NGS Run Record'!$P$16, IF('NGS Run Record'!$I$15&lt;&gt;"OK", "", 'NGS Run Record'!$B$15), IF($J$15=0, "", OFFSET('NGS Run Record'!$B$15, MIN('NGS Run Record'!A45-'NGS Run Record'!$P$16, $J$15), 0))))</f>
        <v>Linquist,  Zachary Connor</v>
      </c>
      <c r="C45" s="55" t="str">
        <f ca="1">IF(A45&lt;$P$16, IF('Patient List'!I14="", "", 'Patient List'!I14), IF('NGS Run Record'!A45='NGS Run Record'!$P$16, IF('NGS Run Record'!$I$15&lt;&gt;"OK", "", 'NGS Run Record'!$C$15), IF($J$15=0, "", OFFSET('NGS Run Record'!$C$15, MIN(ABS('NGS Run Record'!A45-'NGS Run Record'!$P$16), $J$15), 0))))</f>
        <v>25BH-016MP0036</v>
      </c>
      <c r="D45" s="55" t="str">
        <f ca="1">IF(A45&lt;$P$16, IF('Patient List'!I14="", "", 'Patient List'!D14), IF('NGS Run Record'!A45='NGS Run Record'!$P$16, IF('NGS Run Record'!$I$15&lt;&gt;"OK", "", 'NGS Run Record'!$D$15), IF($J$15=0, "", OFFSET('NGS Run Record'!$D$15, MIN('NGS Run Record'!A45-'NGS Run Record'!$P$16, $J$15), 0))))</f>
        <v>CMOL DNA 305_F-2</v>
      </c>
      <c r="E45" s="54" t="str">
        <f ca="1">IF(A45&lt;$P$16, IF('Patient List'!I14="", "", 'Patient List'!N14), IF('NGS Run Record'!A45='NGS Run Record'!$P$16, IF('NGS Run Record'!$I$15&lt;&gt;"OK", "", 'NGS Run Record'!$G$15), IF($J$15=0, "", OFFSET('NGS Run Record'!$G$15, MIN('NGS Run Record'!A45-'NGS Run Record'!$P$16, $J$15), 0))))</f>
        <v>Blood</v>
      </c>
      <c r="F45" s="56">
        <f ca="1">IF(A45&lt;$P$16, IF('Patient List'!I14="", "", 'Patient List'!AQ14), IF('NGS Run Record'!A45='NGS Run Record'!$P$16, IF('NGS Run Record'!$I$15&lt;&gt;"OK", "", 'NGS Run Record'!$E$15), IF($J$15=0, "", OFFSET('NGS Run Record'!$E$15, MIN('NGS Run Record'!A45-'NGS Run Record'!$P$16, $J$15), 0))))</f>
        <v>28.6</v>
      </c>
      <c r="G45" s="56">
        <f ca="1">IF(A45&lt;$P$16, IF('Patient List'!I14="", "", 'Patient List'!AR14), IF('NGS Run Record'!A45='NGS Run Record'!$P$16, IF('NGS Run Record'!$I$15&lt;&gt;"OK", "", 'NGS Run Record'!$F$15), IF($J$15=0, "", OFFSET('NGS Run Record'!$F$15, MIN('NGS Run Record'!A45-'NGS Run Record'!$P$16, $J$15), 0))))</f>
        <v>1.9</v>
      </c>
      <c r="H45" s="54" t="str">
        <f ca="1">IF(OR(Samples[[#This Row],[DNA '#]]="", Samples[[#This Row],[DNA '#]]=0),"", "Pass / Fail")</f>
        <v>Pass / Fail</v>
      </c>
    </row>
    <row r="46" spans="1:8" ht="13.5" x14ac:dyDescent="0.2">
      <c r="A46" s="80">
        <v>14</v>
      </c>
      <c r="B46" s="54" t="str">
        <f ca="1">IF(A46&lt;$P$16, IF('Patient List'!I15="", "", CONCATENATE('Patient List'!A15, ", ", 'Patient List'!B15)), IF('NGS Run Record'!A46='NGS Run Record'!$P$16, IF('NGS Run Record'!$I$15&lt;&gt;"OK", "", 'NGS Run Record'!$B$15), IF($J$15=0, "", OFFSET('NGS Run Record'!$B$15, MIN('NGS Run Record'!A46-'NGS Run Record'!$P$16, $J$15), 0))))</f>
        <v>Lull,  Dennis Scott</v>
      </c>
      <c r="C46" s="55" t="str">
        <f ca="1">IF(A46&lt;$P$16, IF('Patient List'!I15="", "", 'Patient List'!I15), IF('NGS Run Record'!A46='NGS Run Record'!$P$16, IF('NGS Run Record'!$I$15&lt;&gt;"OK", "", 'NGS Run Record'!$C$15), IF($J$15=0, "", OFFSET('NGS Run Record'!$C$15, MIN(ABS('NGS Run Record'!A46-'NGS Run Record'!$P$16), $J$15), 0))))</f>
        <v>25BH-016MP0029</v>
      </c>
      <c r="D46" s="55" t="str">
        <f ca="1">IF(A46&lt;$P$16, IF('Patient List'!I15="", "", 'Patient List'!D15), IF('NGS Run Record'!A46='NGS Run Record'!$P$16, IF('NGS Run Record'!$I$15&lt;&gt;"OK", "", 'NGS Run Record'!$D$15), IF($J$15=0, "", OFFSET('NGS Run Record'!$D$15, MIN('NGS Run Record'!A46-'NGS Run Record'!$P$16, $J$15), 0))))</f>
        <v>CMOL DNA 305_F-4</v>
      </c>
      <c r="E46" s="54" t="str">
        <f ca="1">IF(A46&lt;$P$16, IF('Patient List'!I15="", "", 'Patient List'!N15), IF('NGS Run Record'!A46='NGS Run Record'!$P$16, IF('NGS Run Record'!$I$15&lt;&gt;"OK", "", 'NGS Run Record'!$G$15), IF($J$15=0, "", OFFSET('NGS Run Record'!$G$15, MIN('NGS Run Record'!A46-'NGS Run Record'!$P$16, $J$15), 0))))</f>
        <v>Bone Marrow</v>
      </c>
      <c r="F46" s="56">
        <f ca="1">IF(A46&lt;$P$16, IF('Patient List'!I15="", "", 'Patient List'!AQ15), IF('NGS Run Record'!A46='NGS Run Record'!$P$16, IF('NGS Run Record'!$I$15&lt;&gt;"OK", "", 'NGS Run Record'!$E$15), IF($J$15=0, "", OFFSET('NGS Run Record'!$E$15, MIN('NGS Run Record'!A46-'NGS Run Record'!$P$16, $J$15), 0))))</f>
        <v>63.1</v>
      </c>
      <c r="G46" s="56">
        <f ca="1">IF(A46&lt;$P$16, IF('Patient List'!I15="", "", 'Patient List'!AR15), IF('NGS Run Record'!A46='NGS Run Record'!$P$16, IF('NGS Run Record'!$I$15&lt;&gt;"OK", "", 'NGS Run Record'!$F$15), IF($J$15=0, "", OFFSET('NGS Run Record'!$F$15, MIN('NGS Run Record'!A46-'NGS Run Record'!$P$16, $J$15), 0))))</f>
        <v>1.9</v>
      </c>
      <c r="H46" s="54" t="str">
        <f ca="1">IF(OR(Samples[[#This Row],[DNA '#]]="", Samples[[#This Row],[DNA '#]]=0),"", "Pass / Fail")</f>
        <v>Pass / Fail</v>
      </c>
    </row>
    <row r="47" spans="1:8" ht="13.5" x14ac:dyDescent="0.2">
      <c r="A47" s="80">
        <v>15</v>
      </c>
      <c r="B47" s="54" t="str">
        <f ca="1">IF(A47&lt;$P$16, IF('Patient List'!I16="", "", CONCATENATE('Patient List'!A16, ", ", 'Patient List'!B16)), IF('NGS Run Record'!A47='NGS Run Record'!$P$16, IF('NGS Run Record'!$I$15&lt;&gt;"OK", "", 'NGS Run Record'!$B$15), IF($J$15=0, "", OFFSET('NGS Run Record'!$B$15, MIN('NGS Run Record'!A47-'NGS Run Record'!$P$16, $J$15), 0))))</f>
        <v>Owens,  Andrew Jordan</v>
      </c>
      <c r="C47" s="55" t="str">
        <f ca="1">IF(A47&lt;$P$16, IF('Patient List'!I16="", "", 'Patient List'!I16), IF('NGS Run Record'!A47='NGS Run Record'!$P$16, IF('NGS Run Record'!$I$15&lt;&gt;"OK", "", 'NGS Run Record'!$C$15), IF($J$15=0, "", OFFSET('NGS Run Record'!$C$15, MIN(ABS('NGS Run Record'!A47-'NGS Run Record'!$P$16), $J$15), 0))))</f>
        <v>25BH-016MP0034</v>
      </c>
      <c r="D47" s="55" t="str">
        <f ca="1">IF(A47&lt;$P$16, IF('Patient List'!I16="", "", 'Patient List'!D16), IF('NGS Run Record'!A47='NGS Run Record'!$P$16, IF('NGS Run Record'!$I$15&lt;&gt;"OK", "", 'NGS Run Record'!$D$15), IF($J$15=0, "", OFFSET('NGS Run Record'!$D$15, MIN('NGS Run Record'!A47-'NGS Run Record'!$P$16, $J$15), 0))))</f>
        <v>CMOL DNA 305_F-5</v>
      </c>
      <c r="E47" s="54" t="str">
        <f ca="1">IF(A47&lt;$P$16, IF('Patient List'!I16="", "", 'Patient List'!N16), IF('NGS Run Record'!A47='NGS Run Record'!$P$16, IF('NGS Run Record'!$I$15&lt;&gt;"OK", "", 'NGS Run Record'!$G$15), IF($J$15=0, "", OFFSET('NGS Run Record'!$G$15, MIN('NGS Run Record'!A47-'NGS Run Record'!$P$16, $J$15), 0))))</f>
        <v>Bone Marrow</v>
      </c>
      <c r="F47" s="56">
        <f ca="1">IF(A47&lt;$P$16, IF('Patient List'!I16="", "", 'Patient List'!AQ16), IF('NGS Run Record'!A47='NGS Run Record'!$P$16, IF('NGS Run Record'!$I$15&lt;&gt;"OK", "", 'NGS Run Record'!$E$15), IF($J$15=0, "", OFFSET('NGS Run Record'!$E$15, MIN('NGS Run Record'!A47-'NGS Run Record'!$P$16, $J$15), 0))))</f>
        <v>5.8</v>
      </c>
      <c r="G47" s="56">
        <f ca="1">IF(A47&lt;$P$16, IF('Patient List'!I16="", "", 'Patient List'!AR16), IF('NGS Run Record'!A47='NGS Run Record'!$P$16, IF('NGS Run Record'!$I$15&lt;&gt;"OK", "", 'NGS Run Record'!$F$15), IF($J$15=0, "", OFFSET('NGS Run Record'!$F$15, MIN('NGS Run Record'!A47-'NGS Run Record'!$P$16, $J$15), 0))))</f>
        <v>1.6</v>
      </c>
      <c r="H47" s="54" t="str">
        <f ca="1">IF(OR(Samples[[#This Row],[DNA '#]]="", Samples[[#This Row],[DNA '#]]=0),"", "Pass / Fail")</f>
        <v>Pass / Fail</v>
      </c>
    </row>
    <row r="48" spans="1:8" ht="13.5" x14ac:dyDescent="0.2">
      <c r="A48" s="80">
        <v>16</v>
      </c>
      <c r="B48" s="54" t="str">
        <f ca="1">IF(A48&lt;$P$16, IF('Patient List'!I17="", "", CONCATENATE('Patient List'!A17, ", ", 'Patient List'!B17)), IF('NGS Run Record'!A48='NGS Run Record'!$P$16, IF('NGS Run Record'!$I$15&lt;&gt;"OK", "", 'NGS Run Record'!$B$15), IF($J$15=0, "", OFFSET('NGS Run Record'!$B$15, MIN('NGS Run Record'!A48-'NGS Run Record'!$P$16, $J$15), 0))))</f>
        <v>Buehler,  Virginia A</v>
      </c>
      <c r="C48" s="55" t="str">
        <f ca="1">IF(A48&lt;$P$16, IF('Patient List'!I17="", "", 'Patient List'!I17), IF('NGS Run Record'!A48='NGS Run Record'!$P$16, IF('NGS Run Record'!$I$15&lt;&gt;"OK", "", 'NGS Run Record'!$C$15), IF($J$15=0, "", OFFSET('NGS Run Record'!$C$15, MIN(ABS('NGS Run Record'!A48-'NGS Run Record'!$P$16), $J$15), 0))))</f>
        <v>25BH-016MP0031</v>
      </c>
      <c r="D48" s="55" t="str">
        <f ca="1">IF(A48&lt;$P$16, IF('Patient List'!I17="", "", 'Patient List'!D17), IF('NGS Run Record'!A48='NGS Run Record'!$P$16, IF('NGS Run Record'!$I$15&lt;&gt;"OK", "", 'NGS Run Record'!$D$15), IF($J$15=0, "", OFFSET('NGS Run Record'!$D$15, MIN('NGS Run Record'!A48-'NGS Run Record'!$P$16, $J$15), 0))))</f>
        <v>CMOL DNA 305_F-6</v>
      </c>
      <c r="E48" s="54" t="str">
        <f ca="1">IF(A48&lt;$P$16, IF('Patient List'!I17="", "", 'Patient List'!N17), IF('NGS Run Record'!A48='NGS Run Record'!$P$16, IF('NGS Run Record'!$I$15&lt;&gt;"OK", "", 'NGS Run Record'!$G$15), IF($J$15=0, "", OFFSET('NGS Run Record'!$G$15, MIN('NGS Run Record'!A48-'NGS Run Record'!$P$16, $J$15), 0))))</f>
        <v>Blood</v>
      </c>
      <c r="F48" s="56">
        <f ca="1">IF(A48&lt;$P$16, IF('Patient List'!I17="", "", 'Patient List'!AQ17), IF('NGS Run Record'!A48='NGS Run Record'!$P$16, IF('NGS Run Record'!$I$15&lt;&gt;"OK", "", 'NGS Run Record'!$E$15), IF($J$15=0, "", OFFSET('NGS Run Record'!$E$15, MIN('NGS Run Record'!A48-'NGS Run Record'!$P$16, $J$15), 0))))</f>
        <v>5.8</v>
      </c>
      <c r="G48" s="56">
        <f ca="1">IF(A48&lt;$P$16, IF('Patient List'!I17="", "", 'Patient List'!AR17), IF('NGS Run Record'!A48='NGS Run Record'!$P$16, IF('NGS Run Record'!$I$15&lt;&gt;"OK", "", 'NGS Run Record'!$F$15), IF($J$15=0, "", OFFSET('NGS Run Record'!$F$15, MIN('NGS Run Record'!A48-'NGS Run Record'!$P$16, $J$15), 0))))</f>
        <v>1.8</v>
      </c>
      <c r="H48" s="54" t="str">
        <f ca="1">IF(OR(Samples[[#This Row],[DNA '#]]="", Samples[[#This Row],[DNA '#]]=0),"", "Pass / Fail")</f>
        <v>Pass / Fail</v>
      </c>
    </row>
    <row r="49" spans="1:8" ht="13.5" x14ac:dyDescent="0.2">
      <c r="A49" s="80">
        <v>17</v>
      </c>
      <c r="B49" s="54" t="str">
        <f ca="1">IF(A49&lt;$P$16, IF('Patient List'!I18="", "", CONCATENATE('Patient List'!A18, ", ", 'Patient List'!B18)), IF('NGS Run Record'!A49='NGS Run Record'!$P$16, IF('NGS Run Record'!$I$15&lt;&gt;"OK", "", 'NGS Run Record'!$B$15), IF($J$15=0, "", OFFSET('NGS Run Record'!$B$15, MIN('NGS Run Record'!A49-'NGS Run Record'!$P$16, $J$15), 0))))</f>
        <v>Sjerven,  Linda Jordan</v>
      </c>
      <c r="C49" s="55" t="str">
        <f ca="1">IF(A49&lt;$P$16, IF('Patient List'!I18="", "", 'Patient List'!I18), IF('NGS Run Record'!A49='NGS Run Record'!$P$16, IF('NGS Run Record'!$I$15&lt;&gt;"OK", "", 'NGS Run Record'!$C$15), IF($J$15=0, "", OFFSET('NGS Run Record'!$C$15, MIN(ABS('NGS Run Record'!A49-'NGS Run Record'!$P$16), $J$15), 0))))</f>
        <v>25BH-017MP0002</v>
      </c>
      <c r="D49" s="55" t="str">
        <f ca="1">IF(A49&lt;$P$16, IF('Patient List'!I18="", "", 'Patient List'!D18), IF('NGS Run Record'!A49='NGS Run Record'!$P$16, IF('NGS Run Record'!$I$15&lt;&gt;"OK", "", 'NGS Run Record'!$D$15), IF($J$15=0, "", OFFSET('NGS Run Record'!$D$15, MIN('NGS Run Record'!A49-'NGS Run Record'!$P$16, $J$15), 0))))</f>
        <v>CMOL DNA 305_F-7</v>
      </c>
      <c r="E49" s="54" t="str">
        <f ca="1">IF(A49&lt;$P$16, IF('Patient List'!I18="", "", 'Patient List'!N18), IF('NGS Run Record'!A49='NGS Run Record'!$P$16, IF('NGS Run Record'!$I$15&lt;&gt;"OK", "", 'NGS Run Record'!$G$15), IF($J$15=0, "", OFFSET('NGS Run Record'!$G$15, MIN('NGS Run Record'!A49-'NGS Run Record'!$P$16, $J$15), 0))))</f>
        <v>Bone Marrow</v>
      </c>
      <c r="F49" s="56">
        <f ca="1">IF(A49&lt;$P$16, IF('Patient List'!I18="", "", 'Patient List'!AQ18), IF('NGS Run Record'!A49='NGS Run Record'!$P$16, IF('NGS Run Record'!$I$15&lt;&gt;"OK", "", 'NGS Run Record'!$E$15), IF($J$15=0, "", OFFSET('NGS Run Record'!$E$15, MIN('NGS Run Record'!A49-'NGS Run Record'!$P$16, $J$15), 0))))</f>
        <v>25.6</v>
      </c>
      <c r="G49" s="56">
        <f ca="1">IF(A49&lt;$P$16, IF('Patient List'!I18="", "", 'Patient List'!AR18), IF('NGS Run Record'!A49='NGS Run Record'!$P$16, IF('NGS Run Record'!$I$15&lt;&gt;"OK", "", 'NGS Run Record'!$F$15), IF($J$15=0, "", OFFSET('NGS Run Record'!$F$15, MIN('NGS Run Record'!A49-'NGS Run Record'!$P$16, $J$15), 0))))</f>
        <v>1.9</v>
      </c>
      <c r="H49" s="54" t="str">
        <f ca="1">IF(OR(Samples[[#This Row],[DNA '#]]="", Samples[[#This Row],[DNA '#]]=0),"", "Pass / Fail")</f>
        <v>Pass / Fail</v>
      </c>
    </row>
    <row r="50" spans="1:8" ht="13.5" x14ac:dyDescent="0.2">
      <c r="A50" s="80">
        <v>18</v>
      </c>
      <c r="B50" s="54" t="str">
        <f ca="1">IF(A50&lt;$P$16, IF('Patient List'!I19="", "", CONCATENATE('Patient List'!A19, ", ", 'Patient List'!B19)), IF('NGS Run Record'!A50='NGS Run Record'!$P$16, IF('NGS Run Record'!$I$15&lt;&gt;"OK", "", 'NGS Run Record'!$B$15), IF($J$15=0, "", OFFSET('NGS Run Record'!$B$15, MIN('NGS Run Record'!A50-'NGS Run Record'!$P$16, $J$15), 0))))</f>
        <v>Roberts,  Max Owen</v>
      </c>
      <c r="C50" s="55" t="str">
        <f ca="1">IF(A50&lt;$P$16, IF('Patient List'!I19="", "", 'Patient List'!I19), IF('NGS Run Record'!A50='NGS Run Record'!$P$16, IF('NGS Run Record'!$I$15&lt;&gt;"OK", "", 'NGS Run Record'!$C$15), IF($J$15=0, "", OFFSET('NGS Run Record'!$C$15, MIN(ABS('NGS Run Record'!A50-'NGS Run Record'!$P$16), $J$15), 0))))</f>
        <v>25BH-017MP0005</v>
      </c>
      <c r="D50" s="55" t="str">
        <f ca="1">IF(A50&lt;$P$16, IF('Patient List'!I19="", "", 'Patient List'!D19), IF('NGS Run Record'!A50='NGS Run Record'!$P$16, IF('NGS Run Record'!$I$15&lt;&gt;"OK", "", 'NGS Run Record'!$D$15), IF($J$15=0, "", OFFSET('NGS Run Record'!$D$15, MIN('NGS Run Record'!A50-'NGS Run Record'!$P$16, $J$15), 0))))</f>
        <v>CMOL DNA 305_F-9</v>
      </c>
      <c r="E50" s="54" t="str">
        <f ca="1">IF(A50&lt;$P$16, IF('Patient List'!I19="", "", 'Patient List'!N19), IF('NGS Run Record'!A50='NGS Run Record'!$P$16, IF('NGS Run Record'!$I$15&lt;&gt;"OK", "", 'NGS Run Record'!$G$15), IF($J$15=0, "", OFFSET('NGS Run Record'!$G$15, MIN('NGS Run Record'!A50-'NGS Run Record'!$P$16, $J$15), 0))))</f>
        <v>Bone Marrow</v>
      </c>
      <c r="F50" s="56">
        <f ca="1">IF(A50&lt;$P$16, IF('Patient List'!I19="", "", 'Patient List'!AQ19), IF('NGS Run Record'!A50='NGS Run Record'!$P$16, IF('NGS Run Record'!$I$15&lt;&gt;"OK", "", 'NGS Run Record'!$E$15), IF($J$15=0, "", OFFSET('NGS Run Record'!$E$15, MIN('NGS Run Record'!A50-'NGS Run Record'!$P$16, $J$15), 0))))</f>
        <v>45.8</v>
      </c>
      <c r="G50" s="56">
        <f ca="1">IF(A50&lt;$P$16, IF('Patient List'!I19="", "", 'Patient List'!AR19), IF('NGS Run Record'!A50='NGS Run Record'!$P$16, IF('NGS Run Record'!$I$15&lt;&gt;"OK", "", 'NGS Run Record'!$F$15), IF($J$15=0, "", OFFSET('NGS Run Record'!$F$15, MIN('NGS Run Record'!A50-'NGS Run Record'!$P$16, $J$15), 0))))</f>
        <v>2</v>
      </c>
      <c r="H50" s="54" t="str">
        <f ca="1">IF(OR(Samples[[#This Row],[DNA '#]]="", Samples[[#This Row],[DNA '#]]=0),"", "Pass / Fail")</f>
        <v>Pass / Fail</v>
      </c>
    </row>
    <row r="51" spans="1:8" ht="13.5" x14ac:dyDescent="0.2">
      <c r="A51" s="80">
        <v>19</v>
      </c>
      <c r="B51" s="54" t="str">
        <f ca="1">IF(A51&lt;$P$16, IF('Patient List'!I20="", "", CONCATENATE('Patient List'!A20, ", ", 'Patient List'!B20)), IF('NGS Run Record'!A51='NGS Run Record'!$P$16, IF('NGS Run Record'!$I$15&lt;&gt;"OK", "", 'NGS Run Record'!$B$15), IF($J$15=0, "", OFFSET('NGS Run Record'!$B$15, MIN('NGS Run Record'!A51-'NGS Run Record'!$P$16, $J$15), 0))))</f>
        <v/>
      </c>
      <c r="C51" s="55" t="str">
        <f ca="1">IF(A51&lt;$P$16, IF('Patient List'!I20="", "", 'Patient List'!I20), IF('NGS Run Record'!A51='NGS Run Record'!$P$16, IF('NGS Run Record'!$I$15&lt;&gt;"OK", "", 'NGS Run Record'!$C$15), IF($J$15=0, "", OFFSET('NGS Run Record'!$C$15, MIN(ABS('NGS Run Record'!A51-'NGS Run Record'!$P$16), $J$15), 0))))</f>
        <v/>
      </c>
      <c r="D51" s="55" t="str">
        <f ca="1">IF(A51&lt;$P$16, IF('Patient List'!I20="", "", 'Patient List'!D20), IF('NGS Run Record'!A51='NGS Run Record'!$P$16, IF('NGS Run Record'!$I$15&lt;&gt;"OK", "", 'NGS Run Record'!$D$15), IF($J$15=0, "", OFFSET('NGS Run Record'!$D$15, MIN('NGS Run Record'!A51-'NGS Run Record'!$P$16, $J$15), 0))))</f>
        <v/>
      </c>
      <c r="E51" s="54" t="str">
        <f ca="1">IF(A51&lt;$P$16, IF('Patient List'!I20="", "", 'Patient List'!N20), IF('NGS Run Record'!A51='NGS Run Record'!$P$16, IF('NGS Run Record'!$I$15&lt;&gt;"OK", "", 'NGS Run Record'!$G$15), IF($J$15=0, "", OFFSET('NGS Run Record'!$G$15, MIN('NGS Run Record'!A51-'NGS Run Record'!$P$16, $J$15), 0))))</f>
        <v/>
      </c>
      <c r="F51" s="56"/>
      <c r="G51" s="56"/>
      <c r="H51" s="54" t="str">
        <f ca="1">IF(OR(Samples[[#This Row],[DNA '#]]="", Samples[[#This Row],[DNA '#]]=0),"", "Pass / Fail")</f>
        <v/>
      </c>
    </row>
    <row r="52" spans="1:8" ht="13.5" x14ac:dyDescent="0.2">
      <c r="A52" s="80">
        <v>20</v>
      </c>
      <c r="B52" s="54" t="str">
        <f ca="1">IF(A52&lt;$P$16, IF('Patient List'!I21="", "", CONCATENATE('Patient List'!A21, ", ", 'Patient List'!B21)), IF('NGS Run Record'!A52='NGS Run Record'!$P$16, IF('NGS Run Record'!$I$15&lt;&gt;"OK", "", 'NGS Run Record'!$B$15), IF($J$15=0, "", OFFSET('NGS Run Record'!$B$15, MIN('NGS Run Record'!A52-'NGS Run Record'!$P$16, $J$15), 0))))</f>
        <v/>
      </c>
      <c r="C52" s="55" t="str">
        <f ca="1">IF(A52&lt;$P$16, IF('Patient List'!I21="", "", 'Patient List'!I21), IF('NGS Run Record'!A52='NGS Run Record'!$P$16, IF('NGS Run Record'!$I$15&lt;&gt;"OK", "", 'NGS Run Record'!$C$15), IF($J$15=0, "", OFFSET('NGS Run Record'!$C$15, MIN(ABS('NGS Run Record'!A52-'NGS Run Record'!$P$16), $J$15), 0))))</f>
        <v/>
      </c>
      <c r="D52" s="55" t="str">
        <f ca="1">IF(A52&lt;$P$16, IF('Patient List'!I21="", "", 'Patient List'!D21), IF('NGS Run Record'!A52='NGS Run Record'!$P$16, IF('NGS Run Record'!$I$15&lt;&gt;"OK", "", 'NGS Run Record'!$D$15), IF($J$15=0, "", OFFSET('NGS Run Record'!$D$15, MIN('NGS Run Record'!A52-'NGS Run Record'!$P$16, $J$15), 0))))</f>
        <v/>
      </c>
      <c r="E52" s="54" t="str">
        <f ca="1">IF(A52&lt;$P$16, IF('Patient List'!I21="", "", 'Patient List'!N21), IF('NGS Run Record'!A52='NGS Run Record'!$P$16, IF('NGS Run Record'!$I$15&lt;&gt;"OK", "", 'NGS Run Record'!$G$15), IF($J$15=0, "", OFFSET('NGS Run Record'!$G$15, MIN('NGS Run Record'!A52-'NGS Run Record'!$P$16, $J$15), 0))))</f>
        <v/>
      </c>
      <c r="F52" s="56" t="str">
        <f ca="1">IF(A52&lt;$P$16, IF('Patient List'!I21="", "", 'Patient List'!AQ21), IF('NGS Run Record'!A52='NGS Run Record'!$P$16, IF('NGS Run Record'!$I$15&lt;&gt;"OK", "", 'NGS Run Record'!$E$15), IF($J$15=0, "", OFFSET('NGS Run Record'!$E$15, MIN('NGS Run Record'!A52-'NGS Run Record'!$P$16, $J$15), 0))))</f>
        <v/>
      </c>
      <c r="G52" s="56" t="str">
        <f ca="1">IF(A52&lt;$P$16, IF('Patient List'!I21="", "", 'Patient List'!AR21), IF('NGS Run Record'!A52='NGS Run Record'!$P$16, IF('NGS Run Record'!$I$15&lt;&gt;"OK", "", 'NGS Run Record'!$F$15), IF($J$15=0, "", OFFSET('NGS Run Record'!$F$15, MIN('NGS Run Record'!A52-'NGS Run Record'!$P$16, $J$15), 0))))</f>
        <v/>
      </c>
      <c r="H52" s="54" t="str">
        <f ca="1">IF(OR(Samples[[#This Row],[DNA '#]]="", Samples[[#This Row],[DNA '#]]=0),"", "Pass / Fail")</f>
        <v/>
      </c>
    </row>
    <row r="53" spans="1:8" ht="13.5" x14ac:dyDescent="0.2">
      <c r="A53" s="80">
        <v>21</v>
      </c>
      <c r="B53" s="54" t="str">
        <f ca="1">IF(A53&lt;$P$16, IF('Patient List'!I22="", "", CONCATENATE('Patient List'!A22, ", ", 'Patient List'!B22)), IF('NGS Run Record'!A53='NGS Run Record'!$P$16, IF('NGS Run Record'!$I$15&lt;&gt;"OK", "", 'NGS Run Record'!$B$15), IF($J$15=0, "", OFFSET('NGS Run Record'!$B$15, MIN('NGS Run Record'!A53-'NGS Run Record'!$P$16, $J$15), 0))))</f>
        <v/>
      </c>
      <c r="C53" s="55" t="str">
        <f ca="1">IF(A53&lt;$P$16, IF('Patient List'!I22="", "", 'Patient List'!I22), IF('NGS Run Record'!A53='NGS Run Record'!$P$16, IF('NGS Run Record'!$I$15&lt;&gt;"OK", "", 'NGS Run Record'!$C$15), IF($J$15=0, "", OFFSET('NGS Run Record'!$C$15, MIN(ABS('NGS Run Record'!A53-'NGS Run Record'!$P$16), $J$15), 0))))</f>
        <v/>
      </c>
      <c r="D53" s="55" t="str">
        <f ca="1">IF(A53&lt;$P$16, IF('Patient List'!I22="", "", 'Patient List'!D22), IF('NGS Run Record'!A53='NGS Run Record'!$P$16, IF('NGS Run Record'!$I$15&lt;&gt;"OK", "", 'NGS Run Record'!$D$15), IF($J$15=0, "", OFFSET('NGS Run Record'!$D$15, MIN('NGS Run Record'!A53-'NGS Run Record'!$P$16, $J$15), 0))))</f>
        <v/>
      </c>
      <c r="E53" s="54" t="str">
        <f ca="1">IF(A53&lt;$P$16, IF('Patient List'!I22="", "", 'Patient List'!N22), IF('NGS Run Record'!A53='NGS Run Record'!$P$16, IF('NGS Run Record'!$I$15&lt;&gt;"OK", "", 'NGS Run Record'!$G$15), IF($J$15=0, "", OFFSET('NGS Run Record'!$G$15, MIN('NGS Run Record'!A53-'NGS Run Record'!$P$16, $J$15), 0))))</f>
        <v/>
      </c>
      <c r="F53" s="56" t="str">
        <f ca="1">IF(A53&lt;$P$16, IF('Patient List'!I22="", "", 'Patient List'!AQ22), IF('NGS Run Record'!A53='NGS Run Record'!$P$16, IF('NGS Run Record'!$I$15&lt;&gt;"OK", "", 'NGS Run Record'!$E$15), IF($J$15=0, "", OFFSET('NGS Run Record'!$E$15, MIN('NGS Run Record'!A53-'NGS Run Record'!$P$16, $J$15), 0))))</f>
        <v/>
      </c>
      <c r="G53" s="56" t="str">
        <f ca="1">IF(A53&lt;$P$16, IF('Patient List'!I22="", "", 'Patient List'!AR22), IF('NGS Run Record'!A53='NGS Run Record'!$P$16, IF('NGS Run Record'!$I$15&lt;&gt;"OK", "", 'NGS Run Record'!$F$15), IF($J$15=0, "", OFFSET('NGS Run Record'!$F$15, MIN('NGS Run Record'!A53-'NGS Run Record'!$P$16, $J$15), 0))))</f>
        <v/>
      </c>
      <c r="H53" s="54" t="str">
        <f ca="1">IF(OR(Samples[[#This Row],[DNA '#]]="", Samples[[#This Row],[DNA '#]]=0),"", "Pass / Fail")</f>
        <v/>
      </c>
    </row>
    <row r="54" spans="1:8" ht="13.5" x14ac:dyDescent="0.2">
      <c r="A54" s="80">
        <v>22</v>
      </c>
      <c r="B54" s="54" t="str">
        <f ca="1">IF(A54&lt;$P$16, IF('Patient List'!I23="", "", CONCATENATE('Patient List'!A23, ", ", 'Patient List'!B23)), IF('NGS Run Record'!A54='NGS Run Record'!$P$16, IF('NGS Run Record'!$I$15&lt;&gt;"OK", "", 'NGS Run Record'!$B$15), IF($J$15=0, "", OFFSET('NGS Run Record'!$B$15, MIN('NGS Run Record'!A54-'NGS Run Record'!$P$16, $J$15), 0))))</f>
        <v/>
      </c>
      <c r="C54" s="55" t="str">
        <f ca="1">IF(A54&lt;$P$16, IF('Patient List'!I23="", "", 'Patient List'!I23), IF('NGS Run Record'!A54='NGS Run Record'!$P$16, IF('NGS Run Record'!$I$15&lt;&gt;"OK", "", 'NGS Run Record'!$C$15), IF($J$15=0, "", OFFSET('NGS Run Record'!$C$15, MIN(ABS('NGS Run Record'!A54-'NGS Run Record'!$P$16), $J$15), 0))))</f>
        <v/>
      </c>
      <c r="D54" s="55" t="str">
        <f ca="1">IF(A54&lt;$P$16, IF('Patient List'!I23="", "", 'Patient List'!D23), IF('NGS Run Record'!A54='NGS Run Record'!$P$16, IF('NGS Run Record'!$I$15&lt;&gt;"OK", "", 'NGS Run Record'!$D$15), IF($J$15=0, "", OFFSET('NGS Run Record'!$D$15, MIN('NGS Run Record'!A54-'NGS Run Record'!$P$16, $J$15), 0))))</f>
        <v/>
      </c>
      <c r="E54" s="54" t="str">
        <f ca="1">IF(A54&lt;$P$16, IF('Patient List'!I23="", "", 'Patient List'!N23), IF('NGS Run Record'!A54='NGS Run Record'!$P$16, IF('NGS Run Record'!$I$15&lt;&gt;"OK", "", 'NGS Run Record'!$G$15), IF($J$15=0, "", OFFSET('NGS Run Record'!$G$15, MIN('NGS Run Record'!A54-'NGS Run Record'!$P$16, $J$15), 0))))</f>
        <v/>
      </c>
      <c r="F54" s="56" t="str">
        <f ca="1">IF(A54&lt;$P$16, IF('Patient List'!I23="", "", 'Patient List'!AQ23), IF('NGS Run Record'!A54='NGS Run Record'!$P$16, IF('NGS Run Record'!$I$15&lt;&gt;"OK", "", 'NGS Run Record'!$E$15), IF($J$15=0, "", OFFSET('NGS Run Record'!$E$15, MIN('NGS Run Record'!A54-'NGS Run Record'!$P$16, $J$15), 0))))</f>
        <v/>
      </c>
      <c r="G54" s="56" t="str">
        <f ca="1">IF(A54&lt;$P$16, IF('Patient List'!I23="", "", 'Patient List'!AR23), IF('NGS Run Record'!A54='NGS Run Record'!$P$16, IF('NGS Run Record'!$I$15&lt;&gt;"OK", "", 'NGS Run Record'!$F$15), IF($J$15=0, "", OFFSET('NGS Run Record'!$F$15, MIN('NGS Run Record'!A54-'NGS Run Record'!$P$16, $J$15), 0))))</f>
        <v/>
      </c>
      <c r="H54" s="54" t="str">
        <f ca="1">IF(OR(Samples[[#This Row],[DNA '#]]="", Samples[[#This Row],[DNA '#]]=0),"", "Pass / Fail")</f>
        <v/>
      </c>
    </row>
    <row r="55" spans="1:8" ht="13.5" x14ac:dyDescent="0.2">
      <c r="A55" s="80">
        <v>23</v>
      </c>
      <c r="B55" s="54" t="str">
        <f ca="1">IF(A55&lt;$P$16, IF('Patient List'!I24="", "", CONCATENATE('Patient List'!A24, ", ", 'Patient List'!B24)), IF('NGS Run Record'!A55='NGS Run Record'!$P$16, IF('NGS Run Record'!$I$15&lt;&gt;"OK", "", 'NGS Run Record'!$B$15), IF($J$15=0, "", OFFSET('NGS Run Record'!$B$15, MIN('NGS Run Record'!A55-'NGS Run Record'!$P$16, $J$15), 0))))</f>
        <v/>
      </c>
      <c r="C55" s="55" t="str">
        <f ca="1">IF(A55&lt;$P$16, IF('Patient List'!I24="", "", 'Patient List'!I24), IF('NGS Run Record'!A55='NGS Run Record'!$P$16, IF('NGS Run Record'!$I$15&lt;&gt;"OK", "", 'NGS Run Record'!$C$15), IF($J$15=0, "", OFFSET('NGS Run Record'!$C$15, MIN(ABS('NGS Run Record'!A55-'NGS Run Record'!$P$16), $J$15), 0))))</f>
        <v/>
      </c>
      <c r="D55" s="55" t="str">
        <f ca="1">IF(A55&lt;$P$16, IF('Patient List'!I24="", "", 'Patient List'!D24), IF('NGS Run Record'!A55='NGS Run Record'!$P$16, IF('NGS Run Record'!$I$15&lt;&gt;"OK", "", 'NGS Run Record'!$D$15), IF($J$15=0, "", OFFSET('NGS Run Record'!$D$15, MIN('NGS Run Record'!A55-'NGS Run Record'!$P$16, $J$15), 0))))</f>
        <v/>
      </c>
      <c r="E55" s="54" t="str">
        <f ca="1">IF(A55&lt;$P$16, IF('Patient List'!I24="", "", 'Patient List'!N24), IF('NGS Run Record'!A55='NGS Run Record'!$P$16, IF('NGS Run Record'!$I$15&lt;&gt;"OK", "", 'NGS Run Record'!$G$15), IF($J$15=0, "", OFFSET('NGS Run Record'!$G$15, MIN('NGS Run Record'!A55-'NGS Run Record'!$P$16, $J$15), 0))))</f>
        <v/>
      </c>
      <c r="F55" s="56" t="str">
        <f ca="1">IF(A55&lt;$P$16, IF('Patient List'!I24="", "", 'Patient List'!AQ24), IF('NGS Run Record'!A55='NGS Run Record'!$P$16, IF('NGS Run Record'!$I$15&lt;&gt;"OK", "", 'NGS Run Record'!$E$15), IF($J$15=0, "", OFFSET('NGS Run Record'!$E$15, MIN('NGS Run Record'!A55-'NGS Run Record'!$P$16, $J$15), 0))))</f>
        <v/>
      </c>
      <c r="G55" s="56" t="str">
        <f ca="1">IF(A55&lt;$P$16, IF('Patient List'!I24="", "", 'Patient List'!AR24), IF('NGS Run Record'!A55='NGS Run Record'!$P$16, IF('NGS Run Record'!$I$15&lt;&gt;"OK", "", 'NGS Run Record'!$F$15), IF($J$15=0, "", OFFSET('NGS Run Record'!$F$15, MIN('NGS Run Record'!A55-'NGS Run Record'!$P$16, $J$15), 0))))</f>
        <v/>
      </c>
      <c r="H55" s="54" t="str">
        <f ca="1">IF(OR(Samples[[#This Row],[DNA '#]]="", Samples[[#This Row],[DNA '#]]=0),"", "Pass / Fail")</f>
        <v/>
      </c>
    </row>
    <row r="56" spans="1:8" ht="13.5" x14ac:dyDescent="0.2">
      <c r="A56" s="80">
        <v>24</v>
      </c>
      <c r="B56" s="54" t="str">
        <f ca="1">IF(A56&lt;$P$16, IF('Patient List'!I25="", "", CONCATENATE('Patient List'!A25, ", ", 'Patient List'!B25)), IF('NGS Run Record'!A56='NGS Run Record'!$P$16, IF('NGS Run Record'!$I$15&lt;&gt;"OK", "", 'NGS Run Record'!$B$15), IF($J$15=0, "", OFFSET('NGS Run Record'!$B$15, MIN('NGS Run Record'!A56-'NGS Run Record'!$P$16, $J$15), 0))))</f>
        <v/>
      </c>
      <c r="C56" s="55" t="str">
        <f ca="1">IF(A56&lt;$P$16, IF('Patient List'!I25="", "", 'Patient List'!I25), IF('NGS Run Record'!A56='NGS Run Record'!$P$16, IF('NGS Run Record'!$I$15&lt;&gt;"OK", "", 'NGS Run Record'!$C$15), IF($J$15=0, "", OFFSET('NGS Run Record'!$C$15, MIN(ABS('NGS Run Record'!A56-'NGS Run Record'!$P$16), $J$15), 0))))</f>
        <v/>
      </c>
      <c r="D56" s="55" t="str">
        <f ca="1">IF(A56&lt;$P$16, IF('Patient List'!I25="", "", 'Patient List'!D25), IF('NGS Run Record'!A56='NGS Run Record'!$P$16, IF('NGS Run Record'!$I$15&lt;&gt;"OK", "", 'NGS Run Record'!$D$15), IF($J$15=0, "", OFFSET('NGS Run Record'!$D$15, MIN('NGS Run Record'!A56-'NGS Run Record'!$P$16, $J$15), 0))))</f>
        <v/>
      </c>
      <c r="E56" s="54" t="str">
        <f ca="1">IF(A56&lt;$P$16, IF('Patient List'!I25="", "", 'Patient List'!N25), IF('NGS Run Record'!A56='NGS Run Record'!$P$16, IF('NGS Run Record'!$I$15&lt;&gt;"OK", "", 'NGS Run Record'!$G$15), IF($J$15=0, "", OFFSET('NGS Run Record'!$G$15, MIN('NGS Run Record'!A56-'NGS Run Record'!$P$16, $J$15), 0))))</f>
        <v/>
      </c>
      <c r="F56" s="56" t="str">
        <f ca="1">IF(A56&lt;$P$16, IF('Patient List'!I25="", "", 'Patient List'!AQ25), IF('NGS Run Record'!A56='NGS Run Record'!$P$16, IF('NGS Run Record'!$I$15&lt;&gt;"OK", "", 'NGS Run Record'!$E$15), IF($J$15=0, "", OFFSET('NGS Run Record'!$E$15, MIN('NGS Run Record'!A56-'NGS Run Record'!$P$16, $J$15), 0))))</f>
        <v/>
      </c>
      <c r="G56" s="56" t="str">
        <f ca="1">IF(A56&lt;$P$16, IF('Patient List'!I25="", "", 'Patient List'!AR25), IF('NGS Run Record'!A56='NGS Run Record'!$P$16, IF('NGS Run Record'!$I$15&lt;&gt;"OK", "", 'NGS Run Record'!$F$15), IF($J$15=0, "", OFFSET('NGS Run Record'!$F$15, MIN('NGS Run Record'!A56-'NGS Run Record'!$P$16, $J$15), 0))))</f>
        <v/>
      </c>
      <c r="H56" s="54" t="str">
        <f ca="1">IF(OR(Samples[[#This Row],[DNA '#]]="", Samples[[#This Row],[DNA '#]]=0),"", "Pass / Fail")</f>
        <v/>
      </c>
    </row>
    <row r="57" spans="1:8" ht="13.5" x14ac:dyDescent="0.2">
      <c r="A57" s="80">
        <v>25</v>
      </c>
      <c r="B57" s="54" t="str">
        <f ca="1">IF(A57&lt;$P$16, IF('Patient List'!I26="", "", CONCATENATE('Patient List'!A26, ", ", 'Patient List'!B26)), IF('NGS Run Record'!A57='NGS Run Record'!$P$16, IF('NGS Run Record'!$I$15&lt;&gt;"OK", "", 'NGS Run Record'!$B$15), IF($J$15=0, "", OFFSET('NGS Run Record'!$B$15, MIN('NGS Run Record'!A57-'NGS Run Record'!$P$16, $J$15), 0))))</f>
        <v/>
      </c>
      <c r="C57" s="55" t="str">
        <f ca="1">IF(A57&lt;$P$16, IF('Patient List'!I26="", "", 'Patient List'!I26), IF('NGS Run Record'!A57='NGS Run Record'!$P$16, IF('NGS Run Record'!$I$15&lt;&gt;"OK", "", 'NGS Run Record'!$C$15), IF($J$15=0, "", OFFSET('NGS Run Record'!$C$15, MIN(ABS('NGS Run Record'!A57-'NGS Run Record'!$P$16), $J$15), 0))))</f>
        <v/>
      </c>
      <c r="D57" s="55" t="str">
        <f ca="1">IF(A57&lt;$P$16, IF('Patient List'!I26="", "", 'Patient List'!D26), IF('NGS Run Record'!A57='NGS Run Record'!$P$16, IF('NGS Run Record'!$I$15&lt;&gt;"OK", "", 'NGS Run Record'!$D$15), IF($J$15=0, "", OFFSET('NGS Run Record'!$D$15, MIN('NGS Run Record'!A57-'NGS Run Record'!$P$16, $J$15), 0))))</f>
        <v/>
      </c>
      <c r="E57" s="54" t="str">
        <f ca="1">IF(A57&lt;$P$16, IF('Patient List'!I26="", "", 'Patient List'!N26), IF('NGS Run Record'!A57='NGS Run Record'!$P$16, IF('NGS Run Record'!$I$15&lt;&gt;"OK", "", 'NGS Run Record'!$G$15), IF($J$15=0, "", OFFSET('NGS Run Record'!$G$15, MIN('NGS Run Record'!A57-'NGS Run Record'!$P$16, $J$15), 0))))</f>
        <v/>
      </c>
      <c r="F57" s="56" t="str">
        <f ca="1">IF(A57&lt;$P$16, IF('Patient List'!I26="", "", 'Patient List'!AQ26), IF('NGS Run Record'!A57='NGS Run Record'!$P$16, IF('NGS Run Record'!$I$15&lt;&gt;"OK", "", 'NGS Run Record'!$E$15), IF($J$15=0, "", OFFSET('NGS Run Record'!$E$15, MIN('NGS Run Record'!A57-'NGS Run Record'!$P$16, $J$15), 0))))</f>
        <v/>
      </c>
      <c r="G57" s="56" t="str">
        <f ca="1">IF(A57&lt;$P$16, IF('Patient List'!I26="", "", 'Patient List'!AR26), IF('NGS Run Record'!A57='NGS Run Record'!$P$16, IF('NGS Run Record'!$I$15&lt;&gt;"OK", "", 'NGS Run Record'!$F$15), IF($J$15=0, "", OFFSET('NGS Run Record'!$F$15, MIN('NGS Run Record'!A57-'NGS Run Record'!$P$16, $J$15), 0))))</f>
        <v/>
      </c>
      <c r="H57" s="54" t="str">
        <f ca="1">IF(OR(Samples[[#This Row],[DNA '#]]="", Samples[[#This Row],[DNA '#]]=0),"", "Pass / Fail")</f>
        <v/>
      </c>
    </row>
    <row r="58" spans="1:8" ht="13.5" x14ac:dyDescent="0.2">
      <c r="A58" s="80">
        <v>26</v>
      </c>
      <c r="B58" s="54" t="str">
        <f ca="1">IF(A58&lt;$P$16, IF('Patient List'!I27="", "", CONCATENATE('Patient List'!A27, ", ", 'Patient List'!B27)), IF('NGS Run Record'!A58='NGS Run Record'!$P$16, IF('NGS Run Record'!$I$15&lt;&gt;"OK", "", 'NGS Run Record'!$B$15), IF($J$15=0, "", OFFSET('NGS Run Record'!$B$15, MIN('NGS Run Record'!A58-'NGS Run Record'!$P$16, $J$15), 0))))</f>
        <v/>
      </c>
      <c r="C58" s="55" t="str">
        <f ca="1">IF(A58&lt;$P$16, IF('Patient List'!I27="", "", 'Patient List'!I27), IF('NGS Run Record'!A58='NGS Run Record'!$P$16, IF('NGS Run Record'!$I$15&lt;&gt;"OK", "", 'NGS Run Record'!$C$15), IF($J$15=0, "", OFFSET('NGS Run Record'!$C$15, MIN(ABS('NGS Run Record'!A58-'NGS Run Record'!$P$16), $J$15), 0))))</f>
        <v/>
      </c>
      <c r="D58" s="55" t="str">
        <f ca="1">IF(A58&lt;$P$16, IF('Patient List'!I27="", "", 'Patient List'!D27), IF('NGS Run Record'!A58='NGS Run Record'!$P$16, IF('NGS Run Record'!$I$15&lt;&gt;"OK", "", 'NGS Run Record'!$D$15), IF($J$15=0, "", OFFSET('NGS Run Record'!$D$15, MIN('NGS Run Record'!A58-'NGS Run Record'!$P$16, $J$15), 0))))</f>
        <v/>
      </c>
      <c r="E58" s="54" t="str">
        <f ca="1">IF(A58&lt;$P$16, IF('Patient List'!I27="", "", 'Patient List'!N27), IF('NGS Run Record'!A58='NGS Run Record'!$P$16, IF('NGS Run Record'!$I$15&lt;&gt;"OK", "", 'NGS Run Record'!$G$15), IF($J$15=0, "", OFFSET('NGS Run Record'!$G$15, MIN('NGS Run Record'!A58-'NGS Run Record'!$P$16, $J$15), 0))))</f>
        <v/>
      </c>
      <c r="F58" s="56" t="str">
        <f ca="1">IF(A58&lt;$P$16, IF('Patient List'!I27="", "", 'Patient List'!AQ27), IF('NGS Run Record'!A58='NGS Run Record'!$P$16, IF('NGS Run Record'!$I$15&lt;&gt;"OK", "", 'NGS Run Record'!$E$15), IF($J$15=0, "", OFFSET('NGS Run Record'!$E$15, MIN('NGS Run Record'!A58-'NGS Run Record'!$P$16, $J$15), 0))))</f>
        <v/>
      </c>
      <c r="G58" s="56" t="str">
        <f ca="1">IF(A58&lt;$P$16, IF('Patient List'!I27="", "", 'Patient List'!AR27), IF('NGS Run Record'!A58='NGS Run Record'!$P$16, IF('NGS Run Record'!$I$15&lt;&gt;"OK", "", 'NGS Run Record'!$F$15), IF($J$15=0, "", OFFSET('NGS Run Record'!$F$15, MIN('NGS Run Record'!A58-'NGS Run Record'!$P$16, $J$15), 0))))</f>
        <v/>
      </c>
      <c r="H58" s="54" t="str">
        <f ca="1">IF(OR(Samples[[#This Row],[DNA '#]]="", Samples[[#This Row],[DNA '#]]=0),"", "Pass / Fail")</f>
        <v/>
      </c>
    </row>
    <row r="59" spans="1:8" ht="13.5" x14ac:dyDescent="0.2">
      <c r="A59" s="80">
        <v>27</v>
      </c>
      <c r="B59" s="54" t="str">
        <f ca="1">IF(A59&lt;$P$16, IF('Patient List'!I28="", "", CONCATENATE('Patient List'!A28, ", ", 'Patient List'!B28)), IF('NGS Run Record'!A59='NGS Run Record'!$P$16, IF('NGS Run Record'!$I$15&lt;&gt;"OK", "", 'NGS Run Record'!$B$15), IF($J$15=0, "", OFFSET('NGS Run Record'!$B$15, MIN('NGS Run Record'!A59-'NGS Run Record'!$P$16, $J$15), 0))))</f>
        <v/>
      </c>
      <c r="C59" s="55" t="str">
        <f ca="1">IF(A59&lt;$P$16, IF('Patient List'!I28="", "", 'Patient List'!I28), IF('NGS Run Record'!A59='NGS Run Record'!$P$16, IF('NGS Run Record'!$I$15&lt;&gt;"OK", "", 'NGS Run Record'!$C$15), IF($J$15=0, "", OFFSET('NGS Run Record'!$C$15, MIN(ABS('NGS Run Record'!A59-'NGS Run Record'!$P$16), $J$15), 0))))</f>
        <v/>
      </c>
      <c r="D59" s="55" t="str">
        <f ca="1">IF(A59&lt;$P$16, IF('Patient List'!I28="", "", 'Patient List'!D28), IF('NGS Run Record'!A59='NGS Run Record'!$P$16, IF('NGS Run Record'!$I$15&lt;&gt;"OK", "", 'NGS Run Record'!$D$15), IF($J$15=0, "", OFFSET('NGS Run Record'!$D$15, MIN('NGS Run Record'!A59-'NGS Run Record'!$P$16, $J$15), 0))))</f>
        <v/>
      </c>
      <c r="E59" s="54" t="str">
        <f ca="1">IF(A59&lt;$P$16, IF('Patient List'!I28="", "", 'Patient List'!N28), IF('NGS Run Record'!A59='NGS Run Record'!$P$16, IF('NGS Run Record'!$I$15&lt;&gt;"OK", "", 'NGS Run Record'!$G$15), IF($J$15=0, "", OFFSET('NGS Run Record'!$G$15, MIN('NGS Run Record'!A59-'NGS Run Record'!$P$16, $J$15), 0))))</f>
        <v/>
      </c>
      <c r="F59" s="56" t="str">
        <f ca="1">IF(A59&lt;$P$16, IF('Patient List'!I28="", "", 'Patient List'!AQ28), IF('NGS Run Record'!A59='NGS Run Record'!$P$16, IF('NGS Run Record'!$I$15&lt;&gt;"OK", "", 'NGS Run Record'!$E$15), IF($J$15=0, "", OFFSET('NGS Run Record'!$E$15, MIN('NGS Run Record'!A59-'NGS Run Record'!$P$16, $J$15), 0))))</f>
        <v/>
      </c>
      <c r="G59" s="56" t="str">
        <f ca="1">IF(A59&lt;$P$16, IF('Patient List'!I28="", "", 'Patient List'!AR28), IF('NGS Run Record'!A59='NGS Run Record'!$P$16, IF('NGS Run Record'!$I$15&lt;&gt;"OK", "", 'NGS Run Record'!$F$15), IF($J$15=0, "", OFFSET('NGS Run Record'!$F$15, MIN('NGS Run Record'!A59-'NGS Run Record'!$P$16, $J$15), 0))))</f>
        <v/>
      </c>
      <c r="H59" s="54" t="str">
        <f ca="1">IF(OR(Samples[[#This Row],[DNA '#]]="", Samples[[#This Row],[DNA '#]]=0),"", "Pass / Fail")</f>
        <v/>
      </c>
    </row>
    <row r="60" spans="1:8" ht="13.5" x14ac:dyDescent="0.2">
      <c r="A60" s="80">
        <v>28</v>
      </c>
      <c r="B60" s="54" t="str">
        <f ca="1">IF(A60&lt;$P$16, IF('Patient List'!I29="", "", CONCATENATE('Patient List'!A29, ", ", 'Patient List'!B29)), IF('NGS Run Record'!A60='NGS Run Record'!$P$16, IF('NGS Run Record'!$I$15&lt;&gt;"OK", "", 'NGS Run Record'!$B$15), IF($J$15=0, "", OFFSET('NGS Run Record'!$B$15, MIN('NGS Run Record'!A60-'NGS Run Record'!$P$16, $J$15), 0))))</f>
        <v/>
      </c>
      <c r="C60" s="55" t="str">
        <f ca="1">IF(A60&lt;$P$16, IF('Patient List'!I29="", "", 'Patient List'!I29), IF('NGS Run Record'!A60='NGS Run Record'!$P$16, IF('NGS Run Record'!$I$15&lt;&gt;"OK", "", 'NGS Run Record'!$C$15), IF($J$15=0, "", OFFSET('NGS Run Record'!$C$15, MIN(ABS('NGS Run Record'!A60-'NGS Run Record'!$P$16), $J$15), 0))))</f>
        <v/>
      </c>
      <c r="D60" s="55" t="str">
        <f ca="1">IF(A60&lt;$P$16, IF('Patient List'!I29="", "", 'Patient List'!D29), IF('NGS Run Record'!A60='NGS Run Record'!$P$16, IF('NGS Run Record'!$I$15&lt;&gt;"OK", "", 'NGS Run Record'!$D$15), IF($J$15=0, "", OFFSET('NGS Run Record'!$D$15, MIN('NGS Run Record'!A60-'NGS Run Record'!$P$16, $J$15), 0))))</f>
        <v/>
      </c>
      <c r="E60" s="54" t="str">
        <f ca="1">IF(A60&lt;$P$16, IF('Patient List'!I29="", "", 'Patient List'!N29), IF('NGS Run Record'!A60='NGS Run Record'!$P$16, IF('NGS Run Record'!$I$15&lt;&gt;"OK", "", 'NGS Run Record'!$G$15), IF($J$15=0, "", OFFSET('NGS Run Record'!$G$15, MIN('NGS Run Record'!A60-'NGS Run Record'!$P$16, $J$15), 0))))</f>
        <v/>
      </c>
      <c r="F60" s="56" t="str">
        <f ca="1">IF(A60&lt;$P$16, IF('Patient List'!I29="", "", 'Patient List'!AQ29), IF('NGS Run Record'!A60='NGS Run Record'!$P$16, IF('NGS Run Record'!$I$15&lt;&gt;"OK", "", 'NGS Run Record'!$E$15), IF($J$15=0, "", OFFSET('NGS Run Record'!$E$15, MIN('NGS Run Record'!A60-'NGS Run Record'!$P$16, $J$15), 0))))</f>
        <v/>
      </c>
      <c r="G60" s="56" t="str">
        <f ca="1">IF(A60&lt;$P$16, IF('Patient List'!I29="", "", 'Patient List'!AR29), IF('NGS Run Record'!A60='NGS Run Record'!$P$16, IF('NGS Run Record'!$I$15&lt;&gt;"OK", "", 'NGS Run Record'!$F$15), IF($J$15=0, "", OFFSET('NGS Run Record'!$F$15, MIN('NGS Run Record'!A60-'NGS Run Record'!$P$16, $J$15), 0))))</f>
        <v/>
      </c>
      <c r="H60" s="54" t="str">
        <f ca="1">IF(OR(Samples[[#This Row],[DNA '#]]="", Samples[[#This Row],[DNA '#]]=0),"", "Pass / Fail")</f>
        <v/>
      </c>
    </row>
    <row r="61" spans="1:8" ht="13.5" x14ac:dyDescent="0.2">
      <c r="A61" s="80">
        <v>29</v>
      </c>
      <c r="B61" s="54" t="str">
        <f ca="1">IF(A61&lt;$P$16, IF('Patient List'!I30="", "", CONCATENATE('Patient List'!A30, ", ", 'Patient List'!B30)), IF('NGS Run Record'!A61='NGS Run Record'!$P$16, IF('NGS Run Record'!$I$15&lt;&gt;"OK", "", 'NGS Run Record'!$B$15), IF($J$15=0, "", OFFSET('NGS Run Record'!$B$15, MIN('NGS Run Record'!A61-'NGS Run Record'!$P$16, $J$15), 0))))</f>
        <v/>
      </c>
      <c r="C61" s="55" t="str">
        <f ca="1">IF(A61&lt;$P$16, IF('Patient List'!I30="", "", 'Patient List'!I30), IF('NGS Run Record'!A61='NGS Run Record'!$P$16, IF('NGS Run Record'!$I$15&lt;&gt;"OK", "", 'NGS Run Record'!$C$15), IF($J$15=0, "", OFFSET('NGS Run Record'!$C$15, MIN(ABS('NGS Run Record'!A61-'NGS Run Record'!$P$16), $J$15), 0))))</f>
        <v/>
      </c>
      <c r="D61" s="55" t="str">
        <f ca="1">IF(A61&lt;$P$16, IF('Patient List'!I30="", "", 'Patient List'!D30), IF('NGS Run Record'!A61='NGS Run Record'!$P$16, IF('NGS Run Record'!$I$15&lt;&gt;"OK", "", 'NGS Run Record'!$D$15), IF($J$15=0, "", OFFSET('NGS Run Record'!$D$15, MIN('NGS Run Record'!A61-'NGS Run Record'!$P$16, $J$15), 0))))</f>
        <v/>
      </c>
      <c r="E61" s="54" t="str">
        <f ca="1">IF(A61&lt;$P$16, IF('Patient List'!I30="", "", 'Patient List'!N30), IF('NGS Run Record'!A61='NGS Run Record'!$P$16, IF('NGS Run Record'!$I$15&lt;&gt;"OK", "", 'NGS Run Record'!$G$15), IF($J$15=0, "", OFFSET('NGS Run Record'!$G$15, MIN('NGS Run Record'!A61-'NGS Run Record'!$P$16, $J$15), 0))))</f>
        <v/>
      </c>
      <c r="F61" s="56" t="str">
        <f ca="1">IF(A61&lt;$P$16, IF('Patient List'!I30="", "", 'Patient List'!AQ30), IF('NGS Run Record'!A61='NGS Run Record'!$P$16, IF('NGS Run Record'!$I$15&lt;&gt;"OK", "", 'NGS Run Record'!$E$15), IF($J$15=0, "", OFFSET('NGS Run Record'!$E$15, MIN('NGS Run Record'!A61-'NGS Run Record'!$P$16, $J$15), 0))))</f>
        <v/>
      </c>
      <c r="G61" s="56" t="str">
        <f ca="1">IF(A61&lt;$P$16, IF('Patient List'!I30="", "", 'Patient List'!AR30), IF('NGS Run Record'!A61='NGS Run Record'!$P$16, IF('NGS Run Record'!$I$15&lt;&gt;"OK", "", 'NGS Run Record'!$F$15), IF($J$15=0, "", OFFSET('NGS Run Record'!$F$15, MIN('NGS Run Record'!A61-'NGS Run Record'!$P$16, $J$15), 0))))</f>
        <v/>
      </c>
      <c r="H61" s="54" t="str">
        <f ca="1">IF(OR(Samples[[#This Row],[DNA '#]]="", Samples[[#This Row],[DNA '#]]=0),"", "Pass / Fail")</f>
        <v/>
      </c>
    </row>
    <row r="62" spans="1:8" ht="13.5" x14ac:dyDescent="0.2">
      <c r="A62" s="80">
        <v>30</v>
      </c>
      <c r="B62" s="54" t="str">
        <f ca="1">IF(A62&lt;$P$16, IF('Patient List'!I31="", "", CONCATENATE('Patient List'!A31, ", ", 'Patient List'!B31)), IF('NGS Run Record'!A62='NGS Run Record'!$P$16, IF('NGS Run Record'!$I$15&lt;&gt;"OK", "", 'NGS Run Record'!$B$15), IF($J$15=0, "", OFFSET('NGS Run Record'!$B$15, MIN('NGS Run Record'!A62-'NGS Run Record'!$P$16, $J$15), 0))))</f>
        <v/>
      </c>
      <c r="C62" s="55" t="str">
        <f ca="1">IF(A62&lt;$P$16, IF('Patient List'!I31="", "", 'Patient List'!I31), IF('NGS Run Record'!A62='NGS Run Record'!$P$16, IF('NGS Run Record'!$I$15&lt;&gt;"OK", "", 'NGS Run Record'!$C$15), IF($J$15=0, "", OFFSET('NGS Run Record'!$C$15, MIN(ABS('NGS Run Record'!A62-'NGS Run Record'!$P$16), $J$15), 0))))</f>
        <v/>
      </c>
      <c r="D62" s="55" t="str">
        <f ca="1">IF(A62&lt;$P$16, IF('Patient List'!I31="", "", 'Patient List'!D31), IF('NGS Run Record'!A62='NGS Run Record'!$P$16, IF('NGS Run Record'!$I$15&lt;&gt;"OK", "", 'NGS Run Record'!$D$15), IF($J$15=0, "", OFFSET('NGS Run Record'!$D$15, MIN('NGS Run Record'!A62-'NGS Run Record'!$P$16, $J$15), 0))))</f>
        <v/>
      </c>
      <c r="E62" s="54" t="str">
        <f ca="1">IF(A62&lt;$P$16, IF('Patient List'!I31="", "", 'Patient List'!N31), IF('NGS Run Record'!A62='NGS Run Record'!$P$16, IF('NGS Run Record'!$I$15&lt;&gt;"OK", "", 'NGS Run Record'!$G$15), IF($J$15=0, "", OFFSET('NGS Run Record'!$G$15, MIN('NGS Run Record'!A62-'NGS Run Record'!$P$16, $J$15), 0))))</f>
        <v/>
      </c>
      <c r="F62" s="56" t="str">
        <f ca="1">IF(A62&lt;$P$16, IF('Patient List'!I31="", "", 'Patient List'!AQ31), IF('NGS Run Record'!A62='NGS Run Record'!$P$16, IF('NGS Run Record'!$I$15&lt;&gt;"OK", "", 'NGS Run Record'!$E$15), IF($J$15=0, "", OFFSET('NGS Run Record'!$E$15, MIN('NGS Run Record'!A62-'NGS Run Record'!$P$16, $J$15), 0))))</f>
        <v/>
      </c>
      <c r="G62" s="56" t="str">
        <f ca="1">IF(A62&lt;$P$16, IF('Patient List'!I31="", "", 'Patient List'!AR31), IF('NGS Run Record'!A62='NGS Run Record'!$P$16, IF('NGS Run Record'!$I$15&lt;&gt;"OK", "", 'NGS Run Record'!$F$15), IF($J$15=0, "", OFFSET('NGS Run Record'!$F$15, MIN('NGS Run Record'!A62-'NGS Run Record'!$P$16, $J$15), 0))))</f>
        <v/>
      </c>
      <c r="H62" s="54" t="str">
        <f ca="1">IF(OR(Samples[[#This Row],[DNA '#]]="", Samples[[#This Row],[DNA '#]]=0),"", "Pass / Fail")</f>
        <v/>
      </c>
    </row>
    <row r="63" spans="1:8" ht="13.5" x14ac:dyDescent="0.2">
      <c r="A63" s="80">
        <v>31</v>
      </c>
      <c r="B63" s="54" t="str">
        <f ca="1">IF(A63&lt;$P$16, IF('Patient List'!I32="", "", CONCATENATE('Patient List'!A32, ", ", 'Patient List'!B32)), IF('NGS Run Record'!A63='NGS Run Record'!$P$16, IF('NGS Run Record'!$I$15&lt;&gt;"OK", "", 'NGS Run Record'!$B$15), IF($J$15=0, "", OFFSET('NGS Run Record'!$B$15, MIN('NGS Run Record'!A63-'NGS Run Record'!$P$16, $J$15), 0))))</f>
        <v/>
      </c>
      <c r="C63" s="55" t="str">
        <f ca="1">IF(A63&lt;$P$16, IF('Patient List'!I32="", "", 'Patient List'!I32), IF('NGS Run Record'!A63='NGS Run Record'!$P$16, IF('NGS Run Record'!$I$15&lt;&gt;"OK", "", 'NGS Run Record'!$C$15), IF($J$15=0, "", OFFSET('NGS Run Record'!$C$15, MIN(ABS('NGS Run Record'!A63-'NGS Run Record'!$P$16), $J$15), 0))))</f>
        <v/>
      </c>
      <c r="D63" s="55" t="str">
        <f ca="1">IF(A63&lt;$P$16, IF('Patient List'!I32="", "", 'Patient List'!D32), IF('NGS Run Record'!A63='NGS Run Record'!$P$16, IF('NGS Run Record'!$I$15&lt;&gt;"OK", "", 'NGS Run Record'!$D$15), IF($J$15=0, "", OFFSET('NGS Run Record'!$D$15, MIN('NGS Run Record'!A63-'NGS Run Record'!$P$16, $J$15), 0))))</f>
        <v/>
      </c>
      <c r="E63" s="54" t="str">
        <f ca="1">IF(A63&lt;$P$16, IF('Patient List'!I32="", "", 'Patient List'!N32), IF('NGS Run Record'!A63='NGS Run Record'!$P$16, IF('NGS Run Record'!$I$15&lt;&gt;"OK", "", 'NGS Run Record'!$G$15), IF($J$15=0, "", OFFSET('NGS Run Record'!$G$15, MIN('NGS Run Record'!A63-'NGS Run Record'!$P$16, $J$15), 0))))</f>
        <v/>
      </c>
      <c r="F63" s="56" t="str">
        <f ca="1">IF(A63&lt;$P$16, IF('Patient List'!I32="", "", 'Patient List'!AQ32), IF('NGS Run Record'!A63='NGS Run Record'!$P$16, IF('NGS Run Record'!$I$15&lt;&gt;"OK", "", 'NGS Run Record'!$E$15), IF($J$15=0, "", OFFSET('NGS Run Record'!$E$15, MIN('NGS Run Record'!A63-'NGS Run Record'!$P$16, $J$15), 0))))</f>
        <v/>
      </c>
      <c r="G63" s="56" t="str">
        <f ca="1">IF(A63&lt;$P$16, IF('Patient List'!I32="", "", 'Patient List'!AR32), IF('NGS Run Record'!A63='NGS Run Record'!$P$16, IF('NGS Run Record'!$I$15&lt;&gt;"OK", "", 'NGS Run Record'!$F$15), IF($J$15=0, "", OFFSET('NGS Run Record'!$F$15, MIN('NGS Run Record'!A63-'NGS Run Record'!$P$16, $J$15), 0))))</f>
        <v/>
      </c>
      <c r="H63" s="54" t="str">
        <f ca="1">IF(OR(Samples[[#This Row],[DNA '#]]="", Samples[[#This Row],[DNA '#]]=0),"", "Pass / Fail")</f>
        <v/>
      </c>
    </row>
    <row r="64" spans="1:8" ht="13.5" x14ac:dyDescent="0.2">
      <c r="A64" s="80">
        <v>32</v>
      </c>
      <c r="B64" s="54" t="str">
        <f ca="1">IF(A64&lt;$P$16, IF('Patient List'!I33="", "", CONCATENATE('Patient List'!A33, ", ", 'Patient List'!B33)), IF('NGS Run Record'!A64='NGS Run Record'!$P$16, IF('NGS Run Record'!$I$15&lt;&gt;"OK", "", 'NGS Run Record'!$B$15), IF($J$15=0, "", OFFSET('NGS Run Record'!$B$15, MIN('NGS Run Record'!A64-'NGS Run Record'!$P$16, $J$15), 0))))</f>
        <v/>
      </c>
      <c r="C64" s="55" t="str">
        <f ca="1">IF(A64&lt;$P$16, IF('Patient List'!I33="", "", 'Patient List'!I33), IF('NGS Run Record'!A64='NGS Run Record'!$P$16, IF('NGS Run Record'!$I$15&lt;&gt;"OK", "", 'NGS Run Record'!$C$15), IF($J$15=0, "", OFFSET('NGS Run Record'!$C$15, MIN(ABS('NGS Run Record'!A64-'NGS Run Record'!$P$16), $J$15), 0))))</f>
        <v/>
      </c>
      <c r="D64" s="55" t="str">
        <f ca="1">IF(A64&lt;$P$16, IF('Patient List'!I33="", "", 'Patient List'!D33), IF('NGS Run Record'!A64='NGS Run Record'!$P$16, IF('NGS Run Record'!$I$15&lt;&gt;"OK", "", 'NGS Run Record'!$D$15), IF($J$15=0, "", OFFSET('NGS Run Record'!$D$15, MIN('NGS Run Record'!A64-'NGS Run Record'!$P$16, $J$15), 0))))</f>
        <v/>
      </c>
      <c r="E64" s="54" t="str">
        <f ca="1">IF(A64&lt;$P$16, IF('Patient List'!I33="", "", 'Patient List'!N33), IF('NGS Run Record'!A64='NGS Run Record'!$P$16, IF('NGS Run Record'!$I$15&lt;&gt;"OK", "", 'NGS Run Record'!$G$15), IF($J$15=0, "", OFFSET('NGS Run Record'!$G$15, MIN('NGS Run Record'!A64-'NGS Run Record'!$P$16, $J$15), 0))))</f>
        <v/>
      </c>
      <c r="F64" s="56" t="str">
        <f ca="1">IF(A64&lt;$P$16, IF('Patient List'!I33="", "", 'Patient List'!AQ33), IF('NGS Run Record'!A64='NGS Run Record'!$P$16, IF('NGS Run Record'!$I$15&lt;&gt;"OK", "", 'NGS Run Record'!$E$15), IF($J$15=0, "", OFFSET('NGS Run Record'!$E$15, MIN('NGS Run Record'!A64-'NGS Run Record'!$P$16, $J$15), 0))))</f>
        <v/>
      </c>
      <c r="G64" s="56" t="str">
        <f ca="1">IF(A64&lt;$P$16, IF('Patient List'!I33="", "", 'Patient List'!AR33), IF('NGS Run Record'!A64='NGS Run Record'!$P$16, IF('NGS Run Record'!$I$15&lt;&gt;"OK", "", 'NGS Run Record'!$F$15), IF($J$15=0, "", OFFSET('NGS Run Record'!$F$15, MIN('NGS Run Record'!A64-'NGS Run Record'!$P$16, $J$15), 0))))</f>
        <v/>
      </c>
      <c r="H64" s="54" t="str">
        <f ca="1">IF(OR(Samples[[#This Row],[DNA '#]]="", Samples[[#This Row],[DNA '#]]=0),"", "Pass / Fail")</f>
        <v/>
      </c>
    </row>
    <row r="65" spans="1:8" ht="13.5" x14ac:dyDescent="0.2">
      <c r="A65" s="80">
        <v>33</v>
      </c>
      <c r="B65" s="54" t="str">
        <f ca="1">IF(A65&lt;$P$16, IF('Patient List'!I34="", "", CONCATENATE('Patient List'!A34, ", ", 'Patient List'!B34)), IF('NGS Run Record'!A65='NGS Run Record'!$P$16, IF('NGS Run Record'!$I$15&lt;&gt;"OK", "", 'NGS Run Record'!$B$15), IF($J$15=0, "", OFFSET('NGS Run Record'!$B$15, MIN('NGS Run Record'!A65-'NGS Run Record'!$P$16, $J$15), 0))))</f>
        <v/>
      </c>
      <c r="C65" s="55" t="str">
        <f ca="1">IF(A65&lt;$P$16, IF('Patient List'!I34="", "", 'Patient List'!I34), IF('NGS Run Record'!A65='NGS Run Record'!$P$16, IF('NGS Run Record'!$I$15&lt;&gt;"OK", "", 'NGS Run Record'!$C$15), IF($J$15=0, "", OFFSET('NGS Run Record'!$C$15, MIN(ABS('NGS Run Record'!A65-'NGS Run Record'!$P$16), $J$15), 0))))</f>
        <v/>
      </c>
      <c r="D65" s="55" t="str">
        <f ca="1">IF(A65&lt;$P$16, IF('Patient List'!I34="", "", 'Patient List'!D34), IF('NGS Run Record'!A65='NGS Run Record'!$P$16, IF('NGS Run Record'!$I$15&lt;&gt;"OK", "", 'NGS Run Record'!$D$15), IF($J$15=0, "", OFFSET('NGS Run Record'!$D$15, MIN('NGS Run Record'!A65-'NGS Run Record'!$P$16, $J$15), 0))))</f>
        <v/>
      </c>
      <c r="E65" s="54" t="str">
        <f ca="1">IF(A65&lt;$P$16, IF('Patient List'!I34="", "", 'Patient List'!N34), IF('NGS Run Record'!A65='NGS Run Record'!$P$16, IF('NGS Run Record'!$I$15&lt;&gt;"OK", "", 'NGS Run Record'!$G$15), IF($J$15=0, "", OFFSET('NGS Run Record'!$G$15, MIN('NGS Run Record'!A65-'NGS Run Record'!$P$16, $J$15), 0))))</f>
        <v/>
      </c>
      <c r="F65" s="56" t="str">
        <f ca="1">IF(A65&lt;$P$16, IF('Patient List'!I34="", "", 'Patient List'!AQ34), IF('NGS Run Record'!A65='NGS Run Record'!$P$16, IF('NGS Run Record'!$I$15&lt;&gt;"OK", "", 'NGS Run Record'!$E$15), IF($J$15=0, "", OFFSET('NGS Run Record'!$E$15, MIN('NGS Run Record'!A65-'NGS Run Record'!$P$16, $J$15), 0))))</f>
        <v/>
      </c>
      <c r="G65" s="56" t="str">
        <f ca="1">IF(A65&lt;$P$16, IF('Patient List'!I34="", "", 'Patient List'!AR34), IF('NGS Run Record'!A65='NGS Run Record'!$P$16, IF('NGS Run Record'!$I$15&lt;&gt;"OK", "", 'NGS Run Record'!$F$15), IF($J$15=0, "", OFFSET('NGS Run Record'!$F$15, MIN('NGS Run Record'!A65-'NGS Run Record'!$P$16, $J$15), 0))))</f>
        <v/>
      </c>
      <c r="H65" s="54" t="str">
        <f ca="1">IF(OR(Samples[[#This Row],[DNA '#]]="", Samples[[#This Row],[DNA '#]]=0),"", "Pass / Fail")</f>
        <v/>
      </c>
    </row>
    <row r="66" spans="1:8" ht="13.5" x14ac:dyDescent="0.2">
      <c r="A66" s="80">
        <v>34</v>
      </c>
      <c r="B66" s="54" t="str">
        <f ca="1">IF(A66&lt;$P$16, IF('Patient List'!I35="", "", CONCATENATE('Patient List'!A35, ", ", 'Patient List'!B35)), IF('NGS Run Record'!A66='NGS Run Record'!$P$16, IF('NGS Run Record'!$I$15&lt;&gt;"OK", "", 'NGS Run Record'!$B$15), IF($J$15=0, "", OFFSET('NGS Run Record'!$B$15, MIN('NGS Run Record'!A66-'NGS Run Record'!$P$16, $J$15), 0))))</f>
        <v/>
      </c>
      <c r="C66" s="55" t="str">
        <f ca="1">IF(A66&lt;$P$16, IF('Patient List'!I35="", "", 'Patient List'!I35), IF('NGS Run Record'!A66='NGS Run Record'!$P$16, IF('NGS Run Record'!$I$15&lt;&gt;"OK", "", 'NGS Run Record'!$C$15), IF($J$15=0, "", OFFSET('NGS Run Record'!$C$15, MIN(ABS('NGS Run Record'!A66-'NGS Run Record'!$P$16), $J$15), 0))))</f>
        <v/>
      </c>
      <c r="D66" s="55" t="str">
        <f ca="1">IF(A66&lt;$P$16, IF('Patient List'!I35="", "", 'Patient List'!D35), IF('NGS Run Record'!A66='NGS Run Record'!$P$16, IF('NGS Run Record'!$I$15&lt;&gt;"OK", "", 'NGS Run Record'!$D$15), IF($J$15=0, "", OFFSET('NGS Run Record'!$D$15, MIN('NGS Run Record'!A66-'NGS Run Record'!$P$16, $J$15), 0))))</f>
        <v/>
      </c>
      <c r="E66" s="54" t="str">
        <f ca="1">IF(A66&lt;$P$16, IF('Patient List'!I35="", "", 'Patient List'!N35), IF('NGS Run Record'!A66='NGS Run Record'!$P$16, IF('NGS Run Record'!$I$15&lt;&gt;"OK", "", 'NGS Run Record'!$G$15), IF($J$15=0, "", OFFSET('NGS Run Record'!$G$15, MIN('NGS Run Record'!A66-'NGS Run Record'!$P$16, $J$15), 0))))</f>
        <v/>
      </c>
      <c r="F66" s="56" t="str">
        <f ca="1">IF(A66&lt;$P$16, IF('Patient List'!I35="", "", 'Patient List'!AQ35), IF('NGS Run Record'!A66='NGS Run Record'!$P$16, IF('NGS Run Record'!$I$15&lt;&gt;"OK", "", 'NGS Run Record'!$E$15), IF($J$15=0, "", OFFSET('NGS Run Record'!$E$15, MIN('NGS Run Record'!A66-'NGS Run Record'!$P$16, $J$15), 0))))</f>
        <v/>
      </c>
      <c r="G66" s="56" t="str">
        <f ca="1">IF(A66&lt;$P$16, IF('Patient List'!I35="", "", 'Patient List'!AR35), IF('NGS Run Record'!A66='NGS Run Record'!$P$16, IF('NGS Run Record'!$I$15&lt;&gt;"OK", "", 'NGS Run Record'!$F$15), IF($J$15=0, "", OFFSET('NGS Run Record'!$F$15, MIN('NGS Run Record'!A66-'NGS Run Record'!$P$16, $J$15), 0))))</f>
        <v/>
      </c>
      <c r="H66" s="54" t="str">
        <f ca="1">IF(OR(Samples[[#This Row],[DNA '#]]="", Samples[[#This Row],[DNA '#]]=0),"", "Pass / Fail")</f>
        <v/>
      </c>
    </row>
    <row r="67" spans="1:8" ht="13.5" x14ac:dyDescent="0.2">
      <c r="A67" s="80">
        <v>35</v>
      </c>
      <c r="B67" s="54" t="str">
        <f ca="1">IF(A67&lt;$P$16, IF('Patient List'!I36="", "", CONCATENATE('Patient List'!A36, ", ", 'Patient List'!B36)), IF('NGS Run Record'!A67='NGS Run Record'!$P$16, IF('NGS Run Record'!$I$15&lt;&gt;"OK", "", 'NGS Run Record'!$B$15), IF($J$15=0, "", OFFSET('NGS Run Record'!$B$15, MIN('NGS Run Record'!A67-'NGS Run Record'!$P$16, $J$15), 0))))</f>
        <v/>
      </c>
      <c r="C67" s="55" t="str">
        <f ca="1">IF(A67&lt;$P$16, IF('Patient List'!I36="", "", 'Patient List'!I36), IF('NGS Run Record'!A67='NGS Run Record'!$P$16, IF('NGS Run Record'!$I$15&lt;&gt;"OK", "", 'NGS Run Record'!$C$15), IF($J$15=0, "", OFFSET('NGS Run Record'!$C$15, MIN(ABS('NGS Run Record'!A67-'NGS Run Record'!$P$16), $J$15), 0))))</f>
        <v/>
      </c>
      <c r="D67" s="55" t="str">
        <f ca="1">IF(A67&lt;$P$16, IF('Patient List'!I36="", "", 'Patient List'!D36), IF('NGS Run Record'!A67='NGS Run Record'!$P$16, IF('NGS Run Record'!$I$15&lt;&gt;"OK", "", 'NGS Run Record'!$D$15), IF($J$15=0, "", OFFSET('NGS Run Record'!$D$15, MIN('NGS Run Record'!A67-'NGS Run Record'!$P$16, $J$15), 0))))</f>
        <v/>
      </c>
      <c r="E67" s="54" t="str">
        <f ca="1">IF(A67&lt;$P$16, IF('Patient List'!I36="", "", 'Patient List'!N36), IF('NGS Run Record'!A67='NGS Run Record'!$P$16, IF('NGS Run Record'!$I$15&lt;&gt;"OK", "", 'NGS Run Record'!$G$15), IF($J$15=0, "", OFFSET('NGS Run Record'!$G$15, MIN('NGS Run Record'!A67-'NGS Run Record'!$P$16, $J$15), 0))))</f>
        <v/>
      </c>
      <c r="F67" s="56" t="str">
        <f ca="1">IF(A67&lt;$P$16, IF('Patient List'!I36="", "", 'Patient List'!AQ36), IF('NGS Run Record'!A67='NGS Run Record'!$P$16, IF('NGS Run Record'!$I$15&lt;&gt;"OK", "", 'NGS Run Record'!$E$15), IF($J$15=0, "", OFFSET('NGS Run Record'!$E$15, MIN('NGS Run Record'!A67-'NGS Run Record'!$P$16, $J$15), 0))))</f>
        <v/>
      </c>
      <c r="G67" s="56" t="str">
        <f ca="1">IF(A67&lt;$P$16, IF('Patient List'!I36="", "", 'Patient List'!AR36), IF('NGS Run Record'!A67='NGS Run Record'!$P$16, IF('NGS Run Record'!$I$15&lt;&gt;"OK", "", 'NGS Run Record'!$F$15), IF($J$15=0, "", OFFSET('NGS Run Record'!$F$15, MIN('NGS Run Record'!A67-'NGS Run Record'!$P$16, $J$15), 0))))</f>
        <v/>
      </c>
      <c r="H67" s="54" t="str">
        <f ca="1">IF(OR(Samples[[#This Row],[DNA '#]]="", Samples[[#This Row],[DNA '#]]=0),"", "Pass / Fail")</f>
        <v/>
      </c>
    </row>
    <row r="68" spans="1:8" ht="13.5" x14ac:dyDescent="0.2">
      <c r="A68" s="80">
        <v>36</v>
      </c>
      <c r="B68" s="54" t="str">
        <f ca="1">IF(A68&lt;$P$16, IF('Patient List'!I37="", "", CONCATENATE('Patient List'!A37, ", ", 'Patient List'!B37)), IF('NGS Run Record'!A68='NGS Run Record'!$P$16, IF('NGS Run Record'!$I$15&lt;&gt;"OK", "", 'NGS Run Record'!$B$15), IF($J$15=0, "", OFFSET('NGS Run Record'!$B$15, MIN('NGS Run Record'!A68-'NGS Run Record'!$P$16, $J$15), 0))))</f>
        <v/>
      </c>
      <c r="C68" s="55" t="str">
        <f ca="1">IF(A68&lt;$P$16, IF('Patient List'!I37="", "", 'Patient List'!I37), IF('NGS Run Record'!A68='NGS Run Record'!$P$16, IF('NGS Run Record'!$I$15&lt;&gt;"OK", "", 'NGS Run Record'!$C$15), IF($J$15=0, "", OFFSET('NGS Run Record'!$C$15, MIN(ABS('NGS Run Record'!A68-'NGS Run Record'!$P$16), $J$15), 0))))</f>
        <v/>
      </c>
      <c r="D68" s="55" t="str">
        <f ca="1">IF(A68&lt;$P$16, IF('Patient List'!I37="", "", 'Patient List'!D37), IF('NGS Run Record'!A68='NGS Run Record'!$P$16, IF('NGS Run Record'!$I$15&lt;&gt;"OK", "", 'NGS Run Record'!$D$15), IF($J$15=0, "", OFFSET('NGS Run Record'!$D$15, MIN('NGS Run Record'!A68-'NGS Run Record'!$P$16, $J$15), 0))))</f>
        <v/>
      </c>
      <c r="E68" s="54" t="str">
        <f ca="1">IF(A68&lt;$P$16, IF('Patient List'!I37="", "", 'Patient List'!N37), IF('NGS Run Record'!A68='NGS Run Record'!$P$16, IF('NGS Run Record'!$I$15&lt;&gt;"OK", "", 'NGS Run Record'!$G$15), IF($J$15=0, "", OFFSET('NGS Run Record'!$G$15, MIN('NGS Run Record'!A68-'NGS Run Record'!$P$16, $J$15), 0))))</f>
        <v/>
      </c>
      <c r="F68" s="56" t="str">
        <f ca="1">IF(A68&lt;$P$16, IF('Patient List'!I37="", "", 'Patient List'!AQ37), IF('NGS Run Record'!A68='NGS Run Record'!$P$16, IF('NGS Run Record'!$I$15&lt;&gt;"OK", "", 'NGS Run Record'!$E$15), IF($J$15=0, "", OFFSET('NGS Run Record'!$E$15, MIN('NGS Run Record'!A68-'NGS Run Record'!$P$16, $J$15), 0))))</f>
        <v/>
      </c>
      <c r="G68" s="56" t="str">
        <f ca="1">IF(A68&lt;$P$16, IF('Patient List'!I37="", "", 'Patient List'!AR37), IF('NGS Run Record'!A68='NGS Run Record'!$P$16, IF('NGS Run Record'!$I$15&lt;&gt;"OK", "", 'NGS Run Record'!$F$15), IF($J$15=0, "", OFFSET('NGS Run Record'!$F$15, MIN('NGS Run Record'!A68-'NGS Run Record'!$P$16, $J$15), 0))))</f>
        <v/>
      </c>
      <c r="H68" s="54" t="str">
        <f ca="1">IF(OR(Samples[[#This Row],[DNA '#]]="", Samples[[#This Row],[DNA '#]]=0),"", "Pass / Fail")</f>
        <v/>
      </c>
    </row>
    <row r="69" spans="1:8" ht="13.5" x14ac:dyDescent="0.2">
      <c r="A69" s="80">
        <v>37</v>
      </c>
      <c r="B69" s="54" t="str">
        <f ca="1">IF(A69&lt;$P$16, IF('Patient List'!I38="", "", CONCATENATE('Patient List'!A38, ", ", 'Patient List'!B38)), IF('NGS Run Record'!A69='NGS Run Record'!$P$16, IF('NGS Run Record'!$I$15&lt;&gt;"OK", "", 'NGS Run Record'!$B$15), IF($J$15=0, "", OFFSET('NGS Run Record'!$B$15, MIN('NGS Run Record'!A69-'NGS Run Record'!$P$16, $J$15), 0))))</f>
        <v/>
      </c>
      <c r="C69" s="55" t="str">
        <f ca="1">IF(A69&lt;$P$16, IF('Patient List'!I38="", "", 'Patient List'!I38), IF('NGS Run Record'!A69='NGS Run Record'!$P$16, IF('NGS Run Record'!$I$15&lt;&gt;"OK", "", 'NGS Run Record'!$C$15), IF($J$15=0, "", OFFSET('NGS Run Record'!$C$15, MIN(ABS('NGS Run Record'!A69-'NGS Run Record'!$P$16), $J$15), 0))))</f>
        <v/>
      </c>
      <c r="D69" s="55" t="str">
        <f ca="1">IF(A69&lt;$P$16, IF('Patient List'!I38="", "", 'Patient List'!D38), IF('NGS Run Record'!A69='NGS Run Record'!$P$16, IF('NGS Run Record'!$I$15&lt;&gt;"OK", "", 'NGS Run Record'!$D$15), IF($J$15=0, "", OFFSET('NGS Run Record'!$D$15, MIN('NGS Run Record'!A69-'NGS Run Record'!$P$16, $J$15), 0))))</f>
        <v/>
      </c>
      <c r="E69" s="54" t="str">
        <f ca="1">IF(A69&lt;$P$16, IF('Patient List'!I38="", "", 'Patient List'!N38), IF('NGS Run Record'!A69='NGS Run Record'!$P$16, IF('NGS Run Record'!$I$15&lt;&gt;"OK", "", 'NGS Run Record'!$G$15), IF($J$15=0, "", OFFSET('NGS Run Record'!$G$15, MIN('NGS Run Record'!A69-'NGS Run Record'!$P$16, $J$15), 0))))</f>
        <v/>
      </c>
      <c r="F69" s="56" t="str">
        <f ca="1">IF(A69&lt;$P$16, IF('Patient List'!I38="", "", 'Patient List'!AQ38), IF('NGS Run Record'!A69='NGS Run Record'!$P$16, IF('NGS Run Record'!$I$15&lt;&gt;"OK", "", 'NGS Run Record'!$E$15), IF($J$15=0, "", OFFSET('NGS Run Record'!$E$15, MIN('NGS Run Record'!A69-'NGS Run Record'!$P$16, $J$15), 0))))</f>
        <v/>
      </c>
      <c r="G69" s="56" t="str">
        <f ca="1">IF(A69&lt;$P$16, IF('Patient List'!I38="", "", 'Patient List'!AR38), IF('NGS Run Record'!A69='NGS Run Record'!$P$16, IF('NGS Run Record'!$I$15&lt;&gt;"OK", "", 'NGS Run Record'!$F$15), IF($J$15=0, "", OFFSET('NGS Run Record'!$F$15, MIN('NGS Run Record'!A69-'NGS Run Record'!$P$16, $J$15), 0))))</f>
        <v/>
      </c>
      <c r="H69" s="54" t="str">
        <f ca="1">IF(OR(Samples[[#This Row],[DNA '#]]="", Samples[[#This Row],[DNA '#]]=0),"", "Pass / Fail")</f>
        <v/>
      </c>
    </row>
    <row r="70" spans="1:8" ht="13.5" x14ac:dyDescent="0.2">
      <c r="A70" s="80">
        <v>38</v>
      </c>
      <c r="B70" s="54" t="str">
        <f ca="1">IF(A70&lt;$P$16, IF('Patient List'!I39="", "", CONCATENATE('Patient List'!A39, ", ", 'Patient List'!B39)), IF('NGS Run Record'!A70='NGS Run Record'!$P$16, IF('NGS Run Record'!$I$15&lt;&gt;"OK", "", 'NGS Run Record'!$B$15), IF($J$15=0, "", OFFSET('NGS Run Record'!$B$15, MIN('NGS Run Record'!A70-'NGS Run Record'!$P$16, $J$15), 0))))</f>
        <v/>
      </c>
      <c r="C70" s="55" t="str">
        <f ca="1">IF(A70&lt;$P$16, IF('Patient List'!I39="", "", 'Patient List'!I39), IF('NGS Run Record'!A70='NGS Run Record'!$P$16, IF('NGS Run Record'!$I$15&lt;&gt;"OK", "", 'NGS Run Record'!$C$15), IF($J$15=0, "", OFFSET('NGS Run Record'!$C$15, MIN(ABS('NGS Run Record'!A70-'NGS Run Record'!$P$16), $J$15), 0))))</f>
        <v/>
      </c>
      <c r="D70" s="55" t="str">
        <f ca="1">IF(A70&lt;$P$16, IF('Patient List'!I39="", "", 'Patient List'!D39), IF('NGS Run Record'!A70='NGS Run Record'!$P$16, IF('NGS Run Record'!$I$15&lt;&gt;"OK", "", 'NGS Run Record'!$D$15), IF($J$15=0, "", OFFSET('NGS Run Record'!$D$15, MIN('NGS Run Record'!A70-'NGS Run Record'!$P$16, $J$15), 0))))</f>
        <v/>
      </c>
      <c r="E70" s="54" t="str">
        <f ca="1">IF(A70&lt;$P$16, IF('Patient List'!I39="", "", 'Patient List'!N39), IF('NGS Run Record'!A70='NGS Run Record'!$P$16, IF('NGS Run Record'!$I$15&lt;&gt;"OK", "", 'NGS Run Record'!$G$15), IF($J$15=0, "", OFFSET('NGS Run Record'!$G$15, MIN('NGS Run Record'!A70-'NGS Run Record'!$P$16, $J$15), 0))))</f>
        <v/>
      </c>
      <c r="F70" s="56" t="str">
        <f ca="1">IF(A70&lt;$P$16, IF('Patient List'!I39="", "", 'Patient List'!AQ39), IF('NGS Run Record'!A70='NGS Run Record'!$P$16, IF('NGS Run Record'!$I$15&lt;&gt;"OK", "", 'NGS Run Record'!$E$15), IF($J$15=0, "", OFFSET('NGS Run Record'!$E$15, MIN('NGS Run Record'!A70-'NGS Run Record'!$P$16, $J$15), 0))))</f>
        <v/>
      </c>
      <c r="G70" s="56" t="str">
        <f ca="1">IF(A70&lt;$P$16, IF('Patient List'!I39="", "", 'Patient List'!AR39), IF('NGS Run Record'!A70='NGS Run Record'!$P$16, IF('NGS Run Record'!$I$15&lt;&gt;"OK", "", 'NGS Run Record'!$F$15), IF($J$15=0, "", OFFSET('NGS Run Record'!$F$15, MIN('NGS Run Record'!A70-'NGS Run Record'!$P$16, $J$15), 0))))</f>
        <v/>
      </c>
      <c r="H70" s="54" t="str">
        <f ca="1">IF(OR(Samples[[#This Row],[DNA '#]]="", Samples[[#This Row],[DNA '#]]=0),"", "Pass / Fail")</f>
        <v/>
      </c>
    </row>
    <row r="71" spans="1:8" ht="13.5" x14ac:dyDescent="0.2">
      <c r="A71" s="80">
        <v>39</v>
      </c>
      <c r="B71" s="54" t="str">
        <f ca="1">IF(A71&lt;$P$16, IF('Patient List'!I40="", "", CONCATENATE('Patient List'!A40, ", ", 'Patient List'!B40)), IF('NGS Run Record'!A71='NGS Run Record'!$P$16, IF('NGS Run Record'!$I$15&lt;&gt;"OK", "", 'NGS Run Record'!$B$15), IF($J$15=0, "", OFFSET('NGS Run Record'!$B$15, MIN('NGS Run Record'!A71-'NGS Run Record'!$P$16, $J$15), 0))))</f>
        <v/>
      </c>
      <c r="C71" s="55" t="str">
        <f ca="1">IF(A71&lt;$P$16, IF('Patient List'!I40="", "", 'Patient List'!I40), IF('NGS Run Record'!A71='NGS Run Record'!$P$16, IF('NGS Run Record'!$I$15&lt;&gt;"OK", "", 'NGS Run Record'!$C$15), IF($J$15=0, "", OFFSET('NGS Run Record'!$C$15, MIN(ABS('NGS Run Record'!A71-'NGS Run Record'!$P$16), $J$15), 0))))</f>
        <v/>
      </c>
      <c r="D71" s="55" t="str">
        <f ca="1">IF(A71&lt;$P$16, IF('Patient List'!I40="", "", 'Patient List'!D40), IF('NGS Run Record'!A71='NGS Run Record'!$P$16, IF('NGS Run Record'!$I$15&lt;&gt;"OK", "", 'NGS Run Record'!$D$15), IF($J$15=0, "", OFFSET('NGS Run Record'!$D$15, MIN('NGS Run Record'!A71-'NGS Run Record'!$P$16, $J$15), 0))))</f>
        <v/>
      </c>
      <c r="E71" s="54" t="str">
        <f ca="1">IF(A71&lt;$P$16, IF('Patient List'!I40="", "", 'Patient List'!N40), IF('NGS Run Record'!A71='NGS Run Record'!$P$16, IF('NGS Run Record'!$I$15&lt;&gt;"OK", "", 'NGS Run Record'!$G$15), IF($J$15=0, "", OFFSET('NGS Run Record'!$G$15, MIN('NGS Run Record'!A71-'NGS Run Record'!$P$16, $J$15), 0))))</f>
        <v/>
      </c>
      <c r="F71" s="56" t="str">
        <f ca="1">IF(A71&lt;$P$16, IF('Patient List'!I40="", "", 'Patient List'!AQ40), IF('NGS Run Record'!A71='NGS Run Record'!$P$16, IF('NGS Run Record'!$I$15&lt;&gt;"OK", "", 'NGS Run Record'!$E$15), IF($J$15=0, "", OFFSET('NGS Run Record'!$E$15, MIN('NGS Run Record'!A71-'NGS Run Record'!$P$16, $J$15), 0))))</f>
        <v/>
      </c>
      <c r="G71" s="56" t="str">
        <f ca="1">IF(A71&lt;$P$16, IF('Patient List'!I40="", "", 'Patient List'!AR40), IF('NGS Run Record'!A71='NGS Run Record'!$P$16, IF('NGS Run Record'!$I$15&lt;&gt;"OK", "", 'NGS Run Record'!$F$15), IF($J$15=0, "", OFFSET('NGS Run Record'!$F$15, MIN('NGS Run Record'!A71-'NGS Run Record'!$P$16, $J$15), 0))))</f>
        <v/>
      </c>
      <c r="H71" s="54" t="str">
        <f ca="1">IF(OR(Samples[[#This Row],[DNA '#]]="", Samples[[#This Row],[DNA '#]]=0),"", "Pass / Fail")</f>
        <v/>
      </c>
    </row>
    <row r="72" spans="1:8" ht="13.5" x14ac:dyDescent="0.2">
      <c r="A72" s="80">
        <v>40</v>
      </c>
      <c r="B72" s="54" t="str">
        <f ca="1">IF(A72&lt;$P$16, IF('Patient List'!I41="", "", CONCATENATE('Patient List'!A41, ", ", 'Patient List'!B41)), IF('NGS Run Record'!A72='NGS Run Record'!$P$16, IF('NGS Run Record'!$I$15&lt;&gt;"OK", "", 'NGS Run Record'!$B$15), IF($J$15=0, "", OFFSET('NGS Run Record'!$B$15, MIN('NGS Run Record'!A72-'NGS Run Record'!$P$16, $J$15), 0))))</f>
        <v/>
      </c>
      <c r="C72" s="55" t="str">
        <f ca="1">IF(A72&lt;$P$16, IF('Patient List'!I41="", "", 'Patient List'!I41), IF('NGS Run Record'!A72='NGS Run Record'!$P$16, IF('NGS Run Record'!$I$15&lt;&gt;"OK", "", 'NGS Run Record'!$C$15), IF($J$15=0, "", OFFSET('NGS Run Record'!$C$15, MIN(ABS('NGS Run Record'!A72-'NGS Run Record'!$P$16), $J$15), 0))))</f>
        <v/>
      </c>
      <c r="D72" s="55" t="str">
        <f ca="1">IF(A72&lt;$P$16, IF('Patient List'!I41="", "", 'Patient List'!D41), IF('NGS Run Record'!A72='NGS Run Record'!$P$16, IF('NGS Run Record'!$I$15&lt;&gt;"OK", "", 'NGS Run Record'!$D$15), IF($J$15=0, "", OFFSET('NGS Run Record'!$D$15, MIN('NGS Run Record'!A72-'NGS Run Record'!$P$16, $J$15), 0))))</f>
        <v/>
      </c>
      <c r="E72" s="54" t="str">
        <f ca="1">IF(A72&lt;$P$16, IF('Patient List'!I41="", "", 'Patient List'!N41), IF('NGS Run Record'!A72='NGS Run Record'!$P$16, IF('NGS Run Record'!$I$15&lt;&gt;"OK", "", 'NGS Run Record'!$G$15), IF($J$15=0, "", OFFSET('NGS Run Record'!$G$15, MIN('NGS Run Record'!A72-'NGS Run Record'!$P$16, $J$15), 0))))</f>
        <v/>
      </c>
      <c r="F72" s="56" t="str">
        <f ca="1">IF(A72&lt;$P$16, IF('Patient List'!I41="", "", 'Patient List'!AQ41), IF('NGS Run Record'!A72='NGS Run Record'!$P$16, IF('NGS Run Record'!$I$15&lt;&gt;"OK", "", 'NGS Run Record'!$E$15), IF($J$15=0, "", OFFSET('NGS Run Record'!$E$15, MIN('NGS Run Record'!A72-'NGS Run Record'!$P$16, $J$15), 0))))</f>
        <v/>
      </c>
      <c r="G72" s="56" t="str">
        <f ca="1">IF(A72&lt;$P$16, IF('Patient List'!I41="", "", 'Patient List'!AR41), IF('NGS Run Record'!A72='NGS Run Record'!$P$16, IF('NGS Run Record'!$I$15&lt;&gt;"OK", "", 'NGS Run Record'!$F$15), IF($J$15=0, "", OFFSET('NGS Run Record'!$F$15, MIN('NGS Run Record'!A72-'NGS Run Record'!$P$16, $J$15), 0))))</f>
        <v/>
      </c>
      <c r="H72" s="54" t="str">
        <f ca="1">IF(OR(Samples[[#This Row],[DNA '#]]="", Samples[[#This Row],[DNA '#]]=0),"", "Pass / Fail")</f>
        <v/>
      </c>
    </row>
    <row r="73" spans="1:8" x14ac:dyDescent="0.2">
      <c r="A73" s="126"/>
      <c r="B73" s="127"/>
      <c r="C73" s="127"/>
      <c r="D73" s="128"/>
      <c r="E73" s="128"/>
      <c r="F73" s="129"/>
      <c r="G73" s="129"/>
      <c r="H73" s="26"/>
    </row>
    <row r="74" spans="1:8" x14ac:dyDescent="0.2">
      <c r="A74" s="130" t="s">
        <v>30</v>
      </c>
      <c r="C74" s="130">
        <f ca="1">YEAR(TODAY())</f>
        <v>2025</v>
      </c>
      <c r="D74" s="130" t="s">
        <v>31</v>
      </c>
      <c r="E74" s="130">
        <f ca="1">COUNTA(Samples[DNA '#])-COUNTIF(Samples[DNA '#], "")</f>
        <v>18</v>
      </c>
      <c r="F74" s="26"/>
      <c r="G74" s="26"/>
      <c r="H74" s="26"/>
    </row>
    <row r="75" spans="1:8" x14ac:dyDescent="0.2">
      <c r="A75" s="130" t="s">
        <v>32</v>
      </c>
      <c r="C75" s="130" t="str">
        <f ca="1">TEXT(MONTH(TODAY()), "00")</f>
        <v>01</v>
      </c>
      <c r="D75" s="130"/>
      <c r="E75" s="130"/>
      <c r="F75" s="26"/>
      <c r="G75" s="26"/>
      <c r="H75" s="26"/>
    </row>
  </sheetData>
  <sheetProtection selectLockedCells="1"/>
  <dataConsolidate/>
  <mergeCells count="2">
    <mergeCell ref="A1:G1"/>
    <mergeCell ref="C27:D27"/>
  </mergeCells>
  <dataValidations count="4">
    <dataValidation type="list" allowBlank="1" showInputMessage="1" showErrorMessage="1" sqref="B10 B6 B23" xr:uid="{00000000-0002-0000-0200-000000000000}">
      <formula1>"Min Yang, Leesa Rorstrom, Sarah Schmitt, Ziyan Pessetto, Stephen Hyter"</formula1>
    </dataValidation>
    <dataValidation type="list" allowBlank="1" showInputMessage="1" showErrorMessage="1" sqref="G15:G22 G24" xr:uid="{00000000-0002-0000-0200-000001000000}">
      <formula1>"FFPE, Blood/BM, Cell Line"</formula1>
    </dataValidation>
    <dataValidation type="list" allowBlank="1" showInputMessage="1" showErrorMessage="1" sqref="C24" xr:uid="{00000000-0002-0000-0200-000002000000}">
      <formula1>"a, b, c, d, e, f"</formula1>
    </dataValidation>
    <dataValidation type="list" allowBlank="1" showInputMessage="1" showErrorMessage="1" sqref="E4" xr:uid="{00000000-0002-0000-0200-000003000000}">
      <formula1>"Sarah Schmitt,Chunhua Li, Stephen Hyter, Megan Neill"</formula1>
    </dataValidation>
  </dataValidations>
  <hyperlinks>
    <hyperlink ref="A1" location="'Patient List'!A2" display="Step 1: Enter Patient List from the Sample Receipt Log on the Patient List Tab (click to enter)" xr:uid="{00000000-0004-0000-0200-00000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teRecord">
                <anchor moveWithCells="1" sizeWithCells="1">
                  <from>
                    <xdr:col>7</xdr:col>
                    <xdr:colOff>104775</xdr:colOff>
                    <xdr:row>27</xdr:row>
                    <xdr:rowOff>85725</xdr:rowOff>
                  </from>
                  <to>
                    <xdr:col>9</xdr:col>
                    <xdr:colOff>0</xdr:colOff>
                    <xdr:row>30</xdr:row>
                    <xdr:rowOff>9525</xdr:rowOff>
                  </to>
                </anchor>
              </controlPr>
            </control>
          </mc:Choice>
        </mc:AlternateContent>
        <mc:AlternateContent xmlns:mc="http://schemas.openxmlformats.org/markup-compatibility/2006">
          <mc:Choice Requires="x14">
            <control shapeId="2051" r:id="rId5" name="Button 3">
              <controlPr defaultSize="0" print="0" autoFill="0" autoPict="0" macro="[0]!SelectTemplateFile">
                <anchor moveWithCells="1" sizeWithCells="1">
                  <from>
                    <xdr:col>0</xdr:col>
                    <xdr:colOff>304800</xdr:colOff>
                    <xdr:row>7</xdr:row>
                    <xdr:rowOff>66675</xdr:rowOff>
                  </from>
                  <to>
                    <xdr:col>5</xdr:col>
                    <xdr:colOff>200025</xdr:colOff>
                    <xdr:row>7</xdr:row>
                    <xdr:rowOff>257175</xdr:rowOff>
                  </to>
                </anchor>
              </controlPr>
            </control>
          </mc:Choice>
        </mc:AlternateContent>
        <mc:AlternateContent xmlns:mc="http://schemas.openxmlformats.org/markup-compatibility/2006">
          <mc:Choice Requires="x14">
            <control shapeId="2052" r:id="rId6" name="Button 4">
              <controlPr defaultSize="0" print="0" autoFill="0" autoPict="0" macro="[0]!SelectSaveFolder">
                <anchor moveWithCells="1" sizeWithCells="1">
                  <from>
                    <xdr:col>0</xdr:col>
                    <xdr:colOff>304800</xdr:colOff>
                    <xdr:row>10</xdr:row>
                    <xdr:rowOff>95250</xdr:rowOff>
                  </from>
                  <to>
                    <xdr:col>5</xdr:col>
                    <xdr:colOff>200025</xdr:colOff>
                    <xdr:row>10</xdr:row>
                    <xdr:rowOff>266700</xdr:rowOff>
                  </to>
                </anchor>
              </controlPr>
            </control>
          </mc:Choice>
        </mc:AlternateContent>
      </controls>
    </mc:Choice>
  </mc:AlternateContent>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7" stopIfTrue="1" id="{369019BE-823E-4FC4-8CFB-067043CE3658}">
            <xm:f>'Patient List'!$J2="Brown"</xm:f>
            <x14:dxf>
              <font>
                <color theme="0"/>
              </font>
              <fill>
                <patternFill>
                  <bgColor rgb="FF663300"/>
                </patternFill>
              </fill>
            </x14:dxf>
          </x14:cfRule>
          <x14:cfRule type="expression" priority="88" stopIfTrue="1" id="{82636743-BB3E-4A89-B38D-19AE1E245652}">
            <xm:f>'Patient List'!$J2="Orange"</xm:f>
            <x14:dxf>
              <font>
                <color theme="0"/>
              </font>
              <fill>
                <patternFill>
                  <bgColor theme="9" tint="-0.24994659260841701"/>
                </patternFill>
              </fill>
            </x14:dxf>
          </x14:cfRule>
          <x14:cfRule type="expression" priority="89" stopIfTrue="1" id="{ED20730E-87B5-4682-9362-1E3780B4CFF5}">
            <xm:f>'Patient List'!$J2="Yellow"</xm:f>
            <x14:dxf>
              <fill>
                <patternFill>
                  <bgColor rgb="FFFFFF00"/>
                </patternFill>
              </fill>
            </x14:dxf>
          </x14:cfRule>
          <x14:cfRule type="expression" priority="90" stopIfTrue="1" id="{536BBF8E-4144-4CE2-83EB-191AAC2AAE7A}">
            <xm:f>'Patient List'!$J2="Purple"</xm:f>
            <x14:dxf>
              <font>
                <color theme="0"/>
              </font>
              <fill>
                <patternFill>
                  <bgColor rgb="FF7030A0"/>
                </patternFill>
              </fill>
            </x14:dxf>
          </x14:cfRule>
          <x14:cfRule type="expression" priority="91" stopIfTrue="1" id="{305AE655-BEE9-42C2-8C7B-A22313A5794A}">
            <xm:f>'Patient List'!$J2="Black"</xm:f>
            <x14:dxf>
              <font>
                <color theme="0"/>
              </font>
              <fill>
                <patternFill>
                  <bgColor theme="1"/>
                </patternFill>
              </fill>
            </x14:dxf>
          </x14:cfRule>
          <x14:cfRule type="expression" priority="92" stopIfTrue="1" id="{BAF83B05-FECE-405A-9CCB-3D53F11BEE75}">
            <xm:f>'Patient List'!$J2="Green"</xm:f>
            <x14:dxf>
              <font>
                <color theme="0"/>
              </font>
              <fill>
                <patternFill>
                  <bgColor rgb="FF00B050"/>
                </patternFill>
              </fill>
            </x14:dxf>
          </x14:cfRule>
          <x14:cfRule type="expression" priority="93" stopIfTrue="1" id="{D4FFA436-E592-4900-B1C0-45415E7B6E08}">
            <xm:f>'Patient List'!$J2="Blue"</xm:f>
            <x14:dxf>
              <font>
                <color theme="0"/>
              </font>
              <fill>
                <patternFill>
                  <bgColor rgb="FF0070C0"/>
                </patternFill>
              </fill>
            </x14:dxf>
          </x14:cfRule>
          <x14:cfRule type="expression" priority="94" stopIfTrue="1" id="{A7EE4D5C-2305-4437-A4A2-E6864E5995BC}">
            <xm:f>'Patient List'!$J2="Red"</xm:f>
            <x14:dxf>
              <font>
                <color theme="0"/>
              </font>
              <fill>
                <patternFill>
                  <bgColor rgb="FFFF0000"/>
                </patternFill>
              </fill>
            </x14:dxf>
          </x14:cfRule>
          <xm:sqref>A33:A72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5" tint="-0.249977111117893"/>
  </sheetPr>
  <dimension ref="A1:I26"/>
  <sheetViews>
    <sheetView workbookViewId="0">
      <selection activeCell="O17" sqref="O17"/>
    </sheetView>
  </sheetViews>
  <sheetFormatPr defaultRowHeight="16.5" x14ac:dyDescent="0.3"/>
  <cols>
    <col min="1" max="1" width="5.85546875" customWidth="1"/>
    <col min="2" max="2" width="19.85546875" customWidth="1"/>
    <col min="4" max="4" width="13.140625" customWidth="1"/>
    <col min="6" max="6" width="13.42578125" customWidth="1"/>
    <col min="7" max="7" width="9.7109375" customWidth="1"/>
    <col min="9" max="9" width="12.85546875" customWidth="1"/>
  </cols>
  <sheetData>
    <row r="1" spans="1:9" x14ac:dyDescent="0.3">
      <c r="A1" t="s">
        <v>133</v>
      </c>
    </row>
    <row r="2" spans="1:9" x14ac:dyDescent="0.3">
      <c r="A2" s="39" t="s">
        <v>114</v>
      </c>
      <c r="B2" s="40" t="s">
        <v>29</v>
      </c>
      <c r="C2" s="40" t="s">
        <v>115</v>
      </c>
      <c r="D2" s="40" t="s">
        <v>88</v>
      </c>
      <c r="E2" s="40" t="s">
        <v>129</v>
      </c>
      <c r="F2" s="40" t="s">
        <v>130</v>
      </c>
      <c r="G2" s="40" t="s">
        <v>91</v>
      </c>
      <c r="H2" s="40" t="s">
        <v>111</v>
      </c>
      <c r="I2" s="41" t="s">
        <v>25</v>
      </c>
    </row>
    <row r="3" spans="1:9" x14ac:dyDescent="0.3">
      <c r="A3" s="37">
        <v>1</v>
      </c>
      <c r="B3" s="27" t="s">
        <v>34</v>
      </c>
      <c r="C3" s="27"/>
      <c r="D3" s="27"/>
      <c r="E3" s="27" t="s">
        <v>192</v>
      </c>
      <c r="F3" s="27" t="s">
        <v>192</v>
      </c>
      <c r="G3" s="27" t="s">
        <v>192</v>
      </c>
      <c r="H3" s="27" t="str">
        <f>IF(B_Samples[[#This Row],[Name]]="", "", "Pass / Fail")</f>
        <v>Pass / Fail</v>
      </c>
      <c r="I3" s="38"/>
    </row>
    <row r="4" spans="1:9" x14ac:dyDescent="0.3">
      <c r="A4" s="37">
        <v>2</v>
      </c>
      <c r="B4" s="27" t="s">
        <v>128</v>
      </c>
      <c r="C4" s="27"/>
      <c r="D4" s="27"/>
      <c r="E4" s="27" t="s">
        <v>192</v>
      </c>
      <c r="F4" s="27" t="s">
        <v>192</v>
      </c>
      <c r="G4" s="27" t="s">
        <v>192</v>
      </c>
      <c r="H4" s="27" t="str">
        <f>IF(B_Samples[[#This Row],[Name]]="", "", "Pass / Fail")</f>
        <v>Pass / Fail</v>
      </c>
      <c r="I4" s="38"/>
    </row>
    <row r="5" spans="1:9" x14ac:dyDescent="0.3">
      <c r="A5" s="37">
        <v>3</v>
      </c>
      <c r="B5" s="27" t="str">
        <f t="array" ref="B5">IFERROR(INDEX(Samples[Name], SMALL(IF(#REF!="Targeted Enrichment", ROW(Samples[Name])-ROW('NGS Run Record'!B$33)+1), ROWS('NGS Run Record'!B$33:'NGS Run Record'!B33))), "")</f>
        <v/>
      </c>
      <c r="C5" s="33" t="str">
        <f t="array" ref="C5">IFERROR(INDEX(Samples[DNA '#], SMALL(IF(#REF!="Targeted Enrichment", ROW(Samples[Name])-ROW('NGS Run Record'!B$33)+1), ROWS('NGS Run Record'!B$33:'NGS Run Record'!B33))), "")</f>
        <v/>
      </c>
      <c r="D5" s="33" t="str">
        <f t="array" ref="D5">IFERROR(INDEX(Samples[Accession '#], SMALL(IF(#REF!="Targeted Enrichment", ROW(Samples[Name])-ROW('NGS Run Record'!C$33)+1), ROWS('NGS Run Record'!C$33:'NGS Run Record'!C33))), "")</f>
        <v/>
      </c>
      <c r="E5" s="33" t="str">
        <f t="array" ref="E5">IFERROR(INDEX(Samples[Sample type], SMALL(IF(#REF!="Targeted Enrichment", ROW(Samples[Name])-ROW('NGS Run Record'!D$33)+1), ROWS('NGS Run Record'!D$33:'NGS Run Record'!D33))), "")</f>
        <v/>
      </c>
      <c r="F5" s="45" t="str">
        <f t="array" ref="F5">IFERROR(INDEX(Samples[DNA Conc. (ng/µl )], SMALL(IF(#REF!="Targeted Enrichment", ROW(Samples[Name])-ROW('NGS Run Record'!E$33)+1), ROWS('NGS Run Record'!E$33:'NGS Run Record'!E33))), "")</f>
        <v/>
      </c>
      <c r="G5" s="45" t="str">
        <f t="array" ref="G5">IFERROR(INDEX(Samples[A260/280], SMALL(IF(#REF!="Targeted Enrichment", ROW(Samples[Name])-ROW('NGS Run Record'!F$33)+1), ROWS('NGS Run Record'!F$33:'NGS Run Record'!F33))), "")</f>
        <v/>
      </c>
      <c r="H5" s="27" t="str">
        <f>IF(B_Samples[[#This Row],[Name]]="", "", "Pass / Fail")</f>
        <v/>
      </c>
      <c r="I5" s="38"/>
    </row>
    <row r="6" spans="1:9" x14ac:dyDescent="0.3">
      <c r="A6" s="37">
        <v>4</v>
      </c>
      <c r="B6" s="27" t="str">
        <f t="array" ref="B6">IFERROR(INDEX(Samples[Name], SMALL(IF(#REF!="Targeted Enrichment", ROW(Samples[Name])-ROW('NGS Run Record'!B$33)+1), ROWS('NGS Run Record'!B$33:'NGS Run Record'!B34))), "")</f>
        <v/>
      </c>
      <c r="C6" s="33" t="str">
        <f t="array" ref="C6">IFERROR(INDEX(Samples[DNA '#], SMALL(IF(#REF!="Targeted Enrichment", ROW(Samples[Name])-ROW('NGS Run Record'!B$33)+1), ROWS('NGS Run Record'!B$33:'NGS Run Record'!B34))), "")</f>
        <v/>
      </c>
      <c r="D6" s="33" t="str">
        <f t="array" ref="D6">IFERROR(INDEX(Samples[Accession '#], SMALL(IF(#REF!="Targeted Enrichment", ROW(Samples[Name])-ROW('NGS Run Record'!C$33)+1), ROWS('NGS Run Record'!C$33:'NGS Run Record'!C34))), "")</f>
        <v/>
      </c>
      <c r="E6" s="33" t="str">
        <f t="array" ref="E6">IFERROR(INDEX(Samples[Sample type], SMALL(IF(#REF!="Targeted Enrichment", ROW(Samples[Name])-ROW('NGS Run Record'!D$33)+1), ROWS('NGS Run Record'!D$33:'NGS Run Record'!D34))), "")</f>
        <v/>
      </c>
      <c r="F6" s="45" t="str">
        <f t="array" ref="F6">IFERROR(INDEX(Samples[DNA Conc. (ng/µl )], SMALL(IF(#REF!="Targeted Enrichment", ROW(Samples[Name])-ROW('NGS Run Record'!E$33)+1), ROWS('NGS Run Record'!E$33:'NGS Run Record'!E34))), "")</f>
        <v/>
      </c>
      <c r="G6" s="45" t="str">
        <f t="array" ref="G6">IFERROR(INDEX(Samples[A260/280], SMALL(IF(#REF!="Targeted Enrichment", ROW(Samples[Name])-ROW('NGS Run Record'!F$33)+1), ROWS('NGS Run Record'!F$33:'NGS Run Record'!F34))), "")</f>
        <v/>
      </c>
      <c r="H6" s="27" t="str">
        <f>IF(B_Samples[[#This Row],[Name]]="", "", "Pass / Fail")</f>
        <v/>
      </c>
      <c r="I6" s="38"/>
    </row>
    <row r="7" spans="1:9" x14ac:dyDescent="0.3">
      <c r="A7" s="37">
        <v>5</v>
      </c>
      <c r="B7" s="27" t="str">
        <f t="array" ref="B7">IFERROR(INDEX(Samples[Name], SMALL(IF(#REF!="Targeted Enrichment", ROW(Samples[Name])-ROW('NGS Run Record'!B$33)+1), ROWS('NGS Run Record'!B$33:'NGS Run Record'!B35))), "")</f>
        <v/>
      </c>
      <c r="C7" s="33" t="str">
        <f t="array" ref="C7">IFERROR(INDEX(Samples[DNA '#], SMALL(IF(#REF!="Targeted Enrichment", ROW(Samples[Name])-ROW('NGS Run Record'!B$33)+1), ROWS('NGS Run Record'!B$33:'NGS Run Record'!B35))), "")</f>
        <v/>
      </c>
      <c r="D7" s="33" t="str">
        <f t="array" ref="D7">IFERROR(INDEX(Samples[Accession '#], SMALL(IF(#REF!="Targeted Enrichment", ROW(Samples[Name])-ROW('NGS Run Record'!C$33)+1), ROWS('NGS Run Record'!C$33:'NGS Run Record'!C35))), "")</f>
        <v/>
      </c>
      <c r="E7" s="33" t="str">
        <f t="array" ref="E7">IFERROR(INDEX(Samples[Sample type], SMALL(IF(#REF!="Targeted Enrichment", ROW(Samples[Name])-ROW('NGS Run Record'!D$33)+1), ROWS('NGS Run Record'!D$33:'NGS Run Record'!D35))), "")</f>
        <v/>
      </c>
      <c r="F7" s="45" t="str">
        <f t="array" ref="F7">IFERROR(INDEX(Samples[DNA Conc. (ng/µl )], SMALL(IF(#REF!="Targeted Enrichment", ROW(Samples[Name])-ROW('NGS Run Record'!E$33)+1), ROWS('NGS Run Record'!E$33:'NGS Run Record'!E35))), "")</f>
        <v/>
      </c>
      <c r="G7" s="45" t="str">
        <f t="array" ref="G7">IFERROR(INDEX(Samples[A260/280], SMALL(IF(#REF!="Targeted Enrichment", ROW(Samples[Name])-ROW('NGS Run Record'!F$33)+1), ROWS('NGS Run Record'!F$33:'NGS Run Record'!F35))), "")</f>
        <v/>
      </c>
      <c r="H7" s="27" t="str">
        <f>IF(B_Samples[[#This Row],[Name]]="", "", "Pass / Fail")</f>
        <v/>
      </c>
      <c r="I7" s="38"/>
    </row>
    <row r="8" spans="1:9" x14ac:dyDescent="0.3">
      <c r="A8" s="37">
        <v>6</v>
      </c>
      <c r="B8" s="27" t="str">
        <f t="array" ref="B8">IFERROR(INDEX(Samples[Name], SMALL(IF(#REF!="Targeted Enrichment", ROW(Samples[Name])-ROW('NGS Run Record'!B$33)+1), ROWS('NGS Run Record'!B$33:'NGS Run Record'!B36))), "")</f>
        <v/>
      </c>
      <c r="C8" s="33" t="str">
        <f t="array" ref="C8">IFERROR(INDEX(Samples[DNA '#], SMALL(IF(#REF!="Targeted Enrichment", ROW(Samples[Name])-ROW('NGS Run Record'!B$33)+1), ROWS('NGS Run Record'!B$33:'NGS Run Record'!B36))), "")</f>
        <v/>
      </c>
      <c r="D8" s="33" t="str">
        <f t="array" ref="D8">IFERROR(INDEX(Samples[Accession '#], SMALL(IF(#REF!="Targeted Enrichment", ROW(Samples[Name])-ROW('NGS Run Record'!C$33)+1), ROWS('NGS Run Record'!C$33:'NGS Run Record'!C36))), "")</f>
        <v/>
      </c>
      <c r="E8" s="33" t="str">
        <f t="array" ref="E8">IFERROR(INDEX(Samples[Sample type], SMALL(IF(#REF!="Targeted Enrichment", ROW(Samples[Name])-ROW('NGS Run Record'!D$33)+1), ROWS('NGS Run Record'!D$33:'NGS Run Record'!D36))), "")</f>
        <v/>
      </c>
      <c r="F8" s="45" t="str">
        <f t="array" ref="F8">IFERROR(INDEX(Samples[DNA Conc. (ng/µl )], SMALL(IF(#REF!="Targeted Enrichment", ROW(Samples[Name])-ROW('NGS Run Record'!E$33)+1), ROWS('NGS Run Record'!E$33:'NGS Run Record'!E36))), "")</f>
        <v/>
      </c>
      <c r="G8" s="45" t="str">
        <f t="array" ref="G8">IFERROR(INDEX(Samples[A260/280], SMALL(IF(#REF!="Targeted Enrichment", ROW(Samples[Name])-ROW('NGS Run Record'!F$33)+1), ROWS('NGS Run Record'!F$33:'NGS Run Record'!F36))), "")</f>
        <v/>
      </c>
      <c r="H8" s="27" t="str">
        <f>IF(B_Samples[[#This Row],[Name]]="", "", "Pass / Fail")</f>
        <v/>
      </c>
      <c r="I8" s="38"/>
    </row>
    <row r="9" spans="1:9" x14ac:dyDescent="0.3">
      <c r="A9" s="37">
        <v>7</v>
      </c>
      <c r="B9" s="27" t="str">
        <f t="array" ref="B9">IFERROR(INDEX(Samples[Name], SMALL(IF(#REF!="Targeted Enrichment", ROW(Samples[Name])-ROW('NGS Run Record'!B$33)+1), ROWS('NGS Run Record'!B$33:'NGS Run Record'!B37))), "")</f>
        <v/>
      </c>
      <c r="C9" s="33" t="str">
        <f t="array" ref="C9">IFERROR(INDEX(Samples[DNA '#], SMALL(IF(#REF!="Targeted Enrichment", ROW(Samples[Name])-ROW('NGS Run Record'!B$33)+1), ROWS('NGS Run Record'!B$33:'NGS Run Record'!B37))), "")</f>
        <v/>
      </c>
      <c r="D9" s="33" t="str">
        <f t="array" ref="D9">IFERROR(INDEX(Samples[Accession '#], SMALL(IF(#REF!="Targeted Enrichment", ROW(Samples[Name])-ROW('NGS Run Record'!C$33)+1), ROWS('NGS Run Record'!C$33:'NGS Run Record'!C37))), "")</f>
        <v/>
      </c>
      <c r="E9" s="33" t="str">
        <f t="array" ref="E9">IFERROR(INDEX(Samples[Sample type], SMALL(IF(#REF!="Targeted Enrichment", ROW(Samples[Name])-ROW('NGS Run Record'!D$33)+1), ROWS('NGS Run Record'!D$33:'NGS Run Record'!D37))), "")</f>
        <v/>
      </c>
      <c r="F9" s="45" t="str">
        <f t="array" ref="F9">IFERROR(INDEX(Samples[DNA Conc. (ng/µl )], SMALL(IF(#REF!="Targeted Enrichment", ROW(Samples[Name])-ROW('NGS Run Record'!E$33)+1), ROWS('NGS Run Record'!E$33:'NGS Run Record'!E37))), "")</f>
        <v/>
      </c>
      <c r="G9" s="45" t="str">
        <f t="array" ref="G9">IFERROR(INDEX(Samples[A260/280], SMALL(IF(#REF!="Targeted Enrichment", ROW(Samples[Name])-ROW('NGS Run Record'!F$33)+1), ROWS('NGS Run Record'!F$33:'NGS Run Record'!F37))), "")</f>
        <v/>
      </c>
      <c r="H9" s="27" t="str">
        <f>IF(B_Samples[[#This Row],[Name]]="", "", "Pass / Fail")</f>
        <v/>
      </c>
      <c r="I9" s="38"/>
    </row>
    <row r="10" spans="1:9" x14ac:dyDescent="0.3">
      <c r="A10" s="37">
        <v>8</v>
      </c>
      <c r="B10" s="27" t="str">
        <f t="array" ref="B10">IFERROR(INDEX(Samples[Name], SMALL(IF(#REF!="Targeted Enrichment", ROW(Samples[Name])-ROW('NGS Run Record'!B$33)+1), ROWS('NGS Run Record'!B$33:'NGS Run Record'!B38))), "")</f>
        <v/>
      </c>
      <c r="C10" s="33" t="str">
        <f t="array" ref="C10">IFERROR(INDEX(Samples[DNA '#], SMALL(IF(#REF!="Targeted Enrichment", ROW(Samples[Name])-ROW('NGS Run Record'!B$33)+1), ROWS('NGS Run Record'!B$33:'NGS Run Record'!B38))), "")</f>
        <v/>
      </c>
      <c r="D10" s="33" t="str">
        <f t="array" ref="D10">IFERROR(INDEX(Samples[Accession '#], SMALL(IF(#REF!="Targeted Enrichment", ROW(Samples[Name])-ROW('NGS Run Record'!C$33)+1), ROWS('NGS Run Record'!C$33:'NGS Run Record'!C38))), "")</f>
        <v/>
      </c>
      <c r="E10" s="33" t="str">
        <f t="array" ref="E10">IFERROR(INDEX(Samples[Sample type], SMALL(IF(#REF!="Targeted Enrichment", ROW(Samples[Name])-ROW('NGS Run Record'!D$33)+1), ROWS('NGS Run Record'!D$33:'NGS Run Record'!D38))), "")</f>
        <v/>
      </c>
      <c r="F10" s="45" t="str">
        <f t="array" ref="F10">IFERROR(INDEX(Samples[DNA Conc. (ng/µl )], SMALL(IF(#REF!="Targeted Enrichment", ROW(Samples[Name])-ROW('NGS Run Record'!E$33)+1), ROWS('NGS Run Record'!E$33:'NGS Run Record'!E38))), "")</f>
        <v/>
      </c>
      <c r="G10" s="45" t="str">
        <f t="array" ref="G10">IFERROR(INDEX(Samples[A260/280], SMALL(IF(#REF!="Targeted Enrichment", ROW(Samples[Name])-ROW('NGS Run Record'!F$33)+1), ROWS('NGS Run Record'!F$33:'NGS Run Record'!F38))), "")</f>
        <v/>
      </c>
      <c r="H10" s="27" t="str">
        <f>IF(B_Samples[[#This Row],[Name]]="", "", "Pass / Fail")</f>
        <v/>
      </c>
      <c r="I10" s="38"/>
    </row>
    <row r="11" spans="1:9" x14ac:dyDescent="0.3">
      <c r="A11" s="37">
        <v>9</v>
      </c>
      <c r="B11" s="27" t="str">
        <f t="array" ref="B11">IFERROR(INDEX(Samples[Name], SMALL(IF(#REF!="Targeted Enrichment", ROW(Samples[Name])-ROW('NGS Run Record'!B$33)+1), ROWS('NGS Run Record'!B$33:'NGS Run Record'!B39))), "")</f>
        <v/>
      </c>
      <c r="C11" s="33" t="str">
        <f t="array" ref="C11">IFERROR(INDEX(Samples[DNA '#], SMALL(IF(#REF!="Targeted Enrichment", ROW(Samples[Name])-ROW('NGS Run Record'!B$33)+1), ROWS('NGS Run Record'!B$33:'NGS Run Record'!B39))), "")</f>
        <v/>
      </c>
      <c r="D11" s="33" t="str">
        <f t="array" ref="D11">IFERROR(INDEX(Samples[Accession '#], SMALL(IF(#REF!="Targeted Enrichment", ROW(Samples[Name])-ROW('NGS Run Record'!C$33)+1), ROWS('NGS Run Record'!C$33:'NGS Run Record'!C39))), "")</f>
        <v/>
      </c>
      <c r="E11" s="33" t="str">
        <f t="array" ref="E11">IFERROR(INDEX(Samples[Sample type], SMALL(IF(#REF!="Targeted Enrichment", ROW(Samples[Name])-ROW('NGS Run Record'!D$33)+1), ROWS('NGS Run Record'!D$33:'NGS Run Record'!D39))), "")</f>
        <v/>
      </c>
      <c r="F11" s="45" t="str">
        <f t="array" ref="F11">IFERROR(INDEX(Samples[DNA Conc. (ng/µl )], SMALL(IF(#REF!="Targeted Enrichment", ROW(Samples[Name])-ROW('NGS Run Record'!E$33)+1), ROWS('NGS Run Record'!E$33:'NGS Run Record'!E39))), "")</f>
        <v/>
      </c>
      <c r="G11" s="45" t="str">
        <f t="array" ref="G11">IFERROR(INDEX(Samples[A260/280], SMALL(IF(#REF!="Targeted Enrichment", ROW(Samples[Name])-ROW('NGS Run Record'!F$33)+1), ROWS('NGS Run Record'!F$33:'NGS Run Record'!F39))), "")</f>
        <v/>
      </c>
      <c r="H11" s="27" t="str">
        <f>IF(B_Samples[[#This Row],[Name]]="", "", "Pass / Fail")</f>
        <v/>
      </c>
      <c r="I11" s="38"/>
    </row>
    <row r="12" spans="1:9" x14ac:dyDescent="0.3">
      <c r="A12" s="37">
        <v>10</v>
      </c>
      <c r="B12" s="27" t="str">
        <f t="array" ref="B12">IFERROR(INDEX(Samples[Name], SMALL(IF(#REF!="Targeted Enrichment", ROW(Samples[Name])-ROW('NGS Run Record'!B$33)+1), ROWS('NGS Run Record'!B$33:'NGS Run Record'!B40))), "")</f>
        <v/>
      </c>
      <c r="C12" s="33" t="str">
        <f t="array" ref="C12">IFERROR(INDEX(Samples[DNA '#], SMALL(IF(#REF!="Targeted Enrichment", ROW(Samples[Name])-ROW('NGS Run Record'!B$33)+1), ROWS('NGS Run Record'!B$33:'NGS Run Record'!B40))), "")</f>
        <v/>
      </c>
      <c r="D12" s="33" t="str">
        <f t="array" ref="D12">IFERROR(INDEX(Samples[Accession '#], SMALL(IF(#REF!="Targeted Enrichment", ROW(Samples[Name])-ROW('NGS Run Record'!C$33)+1), ROWS('NGS Run Record'!C$33:'NGS Run Record'!C40))), "")</f>
        <v/>
      </c>
      <c r="E12" s="33" t="str">
        <f t="array" ref="E12">IFERROR(INDEX(Samples[Sample type], SMALL(IF(#REF!="Targeted Enrichment", ROW(Samples[Name])-ROW('NGS Run Record'!D$33)+1), ROWS('NGS Run Record'!D$33:'NGS Run Record'!D40))), "")</f>
        <v/>
      </c>
      <c r="F12" s="45" t="str">
        <f t="array" ref="F12">IFERROR(INDEX(Samples[DNA Conc. (ng/µl )], SMALL(IF(#REF!="Targeted Enrichment", ROW(Samples[Name])-ROW('NGS Run Record'!E$33)+1), ROWS('NGS Run Record'!E$33:'NGS Run Record'!E40))), "")</f>
        <v/>
      </c>
      <c r="G12" s="45" t="str">
        <f t="array" ref="G12">IFERROR(INDEX(Samples[A260/280], SMALL(IF(#REF!="Targeted Enrichment", ROW(Samples[Name])-ROW('NGS Run Record'!F$33)+1), ROWS('NGS Run Record'!F$33:'NGS Run Record'!F40))), "")</f>
        <v/>
      </c>
      <c r="H12" s="27" t="str">
        <f>IF(B_Samples[[#This Row],[Name]]="", "", "Pass / Fail")</f>
        <v/>
      </c>
      <c r="I12" s="38"/>
    </row>
    <row r="13" spans="1:9" x14ac:dyDescent="0.3">
      <c r="A13" s="37">
        <v>11</v>
      </c>
      <c r="B13" s="27" t="str">
        <f t="array" ref="B13">IFERROR(INDEX(Samples[Name], SMALL(IF(#REF!="Targeted Enrichment", ROW(Samples[Name])-ROW('NGS Run Record'!B$33)+1), ROWS('NGS Run Record'!B$33:'NGS Run Record'!B41))), "")</f>
        <v/>
      </c>
      <c r="C13" s="33" t="str">
        <f t="array" ref="C13">IFERROR(INDEX(Samples[DNA '#], SMALL(IF(#REF!="Targeted Enrichment", ROW(Samples[Name])-ROW('NGS Run Record'!B$33)+1), ROWS('NGS Run Record'!B$33:'NGS Run Record'!B41))), "")</f>
        <v/>
      </c>
      <c r="D13" s="33" t="str">
        <f t="array" ref="D13">IFERROR(INDEX(Samples[Accession '#], SMALL(IF(#REF!="Targeted Enrichment", ROW(Samples[Name])-ROW('NGS Run Record'!C$33)+1), ROWS('NGS Run Record'!C$33:'NGS Run Record'!C41))), "")</f>
        <v/>
      </c>
      <c r="E13" s="33" t="str">
        <f t="array" ref="E13">IFERROR(INDEX(Samples[Sample type], SMALL(IF(#REF!="Targeted Enrichment", ROW(Samples[Name])-ROW('NGS Run Record'!D$33)+1), ROWS('NGS Run Record'!D$33:'NGS Run Record'!D41))), "")</f>
        <v/>
      </c>
      <c r="F13" s="45" t="str">
        <f t="array" ref="F13">IFERROR(INDEX(Samples[DNA Conc. (ng/µl )], SMALL(IF(#REF!="Targeted Enrichment", ROW(Samples[Name])-ROW('NGS Run Record'!E$33)+1), ROWS('NGS Run Record'!E$33:'NGS Run Record'!E41))), "")</f>
        <v/>
      </c>
      <c r="G13" s="45" t="str">
        <f t="array" ref="G13">IFERROR(INDEX(Samples[A260/280], SMALL(IF(#REF!="Targeted Enrichment", ROW(Samples[Name])-ROW('NGS Run Record'!F$33)+1), ROWS('NGS Run Record'!F$33:'NGS Run Record'!F41))), "")</f>
        <v/>
      </c>
      <c r="H13" s="27" t="str">
        <f>IF(B_Samples[[#This Row],[Name]]="", "", "Pass / Fail")</f>
        <v/>
      </c>
      <c r="I13" s="38"/>
    </row>
    <row r="14" spans="1:9" x14ac:dyDescent="0.3">
      <c r="A14" s="37">
        <v>12</v>
      </c>
      <c r="B14" s="27" t="str">
        <f t="array" ref="B14">IFERROR(INDEX(Samples[Name], SMALL(IF(#REF!="Targeted Enrichment", ROW(Samples[Name])-ROW('NGS Run Record'!B$33)+1), ROWS('NGS Run Record'!B$33:'NGS Run Record'!B42))), "")</f>
        <v/>
      </c>
      <c r="C14" s="33" t="str">
        <f t="array" ref="C14">IFERROR(INDEX(Samples[DNA '#], SMALL(IF(#REF!="Targeted Enrichment", ROW(Samples[Name])-ROW('NGS Run Record'!B$33)+1), ROWS('NGS Run Record'!B$33:'NGS Run Record'!B42))), "")</f>
        <v/>
      </c>
      <c r="D14" s="33" t="str">
        <f t="array" ref="D14">IFERROR(INDEX(Samples[Accession '#], SMALL(IF(#REF!="Targeted Enrichment", ROW(Samples[Name])-ROW('NGS Run Record'!C$33)+1), ROWS('NGS Run Record'!C$33:'NGS Run Record'!C42))), "")</f>
        <v/>
      </c>
      <c r="E14" s="33" t="str">
        <f t="array" ref="E14">IFERROR(INDEX(Samples[Sample type], SMALL(IF(#REF!="Targeted Enrichment", ROW(Samples[Name])-ROW('NGS Run Record'!D$33)+1), ROWS('NGS Run Record'!D$33:'NGS Run Record'!D42))), "")</f>
        <v/>
      </c>
      <c r="F14" s="45" t="str">
        <f t="array" ref="F14">IFERROR(INDEX(Samples[DNA Conc. (ng/µl )], SMALL(IF(#REF!="Targeted Enrichment", ROW(Samples[Name])-ROW('NGS Run Record'!E$33)+1), ROWS('NGS Run Record'!E$33:'NGS Run Record'!E42))), "")</f>
        <v/>
      </c>
      <c r="G14" s="45" t="str">
        <f t="array" ref="G14">IFERROR(INDEX(Samples[A260/280], SMALL(IF(#REF!="Targeted Enrichment", ROW(Samples[Name])-ROW('NGS Run Record'!F$33)+1), ROWS('NGS Run Record'!F$33:'NGS Run Record'!F42))), "")</f>
        <v/>
      </c>
      <c r="H14" s="27" t="str">
        <f>IF(B_Samples[[#This Row],[Name]]="", "", "Pass / Fail")</f>
        <v/>
      </c>
      <c r="I14" s="38"/>
    </row>
    <row r="15" spans="1:9" x14ac:dyDescent="0.3">
      <c r="A15" s="37">
        <v>13</v>
      </c>
      <c r="B15" s="27" t="str">
        <f t="array" ref="B15">IFERROR(INDEX(Samples[Name], SMALL(IF(#REF!="Targeted Enrichment", ROW(Samples[Name])-ROW('NGS Run Record'!B$33)+1), ROWS('NGS Run Record'!B$33:'NGS Run Record'!B43))), "")</f>
        <v/>
      </c>
      <c r="C15" s="33" t="str">
        <f t="array" ref="C15">IFERROR(INDEX(Samples[DNA '#], SMALL(IF(#REF!="Targeted Enrichment", ROW(Samples[Name])-ROW('NGS Run Record'!B$33)+1), ROWS('NGS Run Record'!B$33:'NGS Run Record'!B43))), "")</f>
        <v/>
      </c>
      <c r="D15" s="33" t="str">
        <f t="array" ref="D15">IFERROR(INDEX(Samples[Accession '#], SMALL(IF(#REF!="Targeted Enrichment", ROW(Samples[Name])-ROW('NGS Run Record'!C$33)+1), ROWS('NGS Run Record'!C$33:'NGS Run Record'!C43))), "")</f>
        <v/>
      </c>
      <c r="E15" s="33" t="str">
        <f t="array" ref="E15">IFERROR(INDEX(Samples[Sample type], SMALL(IF(#REF!="Targeted Enrichment", ROW(Samples[Name])-ROW('NGS Run Record'!D$33)+1), ROWS('NGS Run Record'!D$33:'NGS Run Record'!D43))), "")</f>
        <v/>
      </c>
      <c r="F15" s="45" t="str">
        <f t="array" ref="F15">IFERROR(INDEX(Samples[DNA Conc. (ng/µl )], SMALL(IF(#REF!="Targeted Enrichment", ROW(Samples[Name])-ROW('NGS Run Record'!E$33)+1), ROWS('NGS Run Record'!E$33:'NGS Run Record'!E43))), "")</f>
        <v/>
      </c>
      <c r="G15" s="45" t="str">
        <f t="array" ref="G15">IFERROR(INDEX(Samples[A260/280], SMALL(IF(#REF!="Targeted Enrichment", ROW(Samples[Name])-ROW('NGS Run Record'!F$33)+1), ROWS('NGS Run Record'!F$33:'NGS Run Record'!F43))), "")</f>
        <v/>
      </c>
      <c r="H15" s="27" t="str">
        <f>IF(B_Samples[[#This Row],[Name]]="", "", "Pass / Fail")</f>
        <v/>
      </c>
      <c r="I15" s="38"/>
    </row>
    <row r="16" spans="1:9" x14ac:dyDescent="0.3">
      <c r="A16" s="37">
        <v>14</v>
      </c>
      <c r="B16" s="27" t="str">
        <f t="array" ref="B16">IFERROR(INDEX(Samples[Name], SMALL(IF(#REF!="Targeted Enrichment", ROW(Samples[Name])-ROW('NGS Run Record'!B$33)+1), ROWS('NGS Run Record'!B$33:'NGS Run Record'!B44))), "")</f>
        <v/>
      </c>
      <c r="C16" s="33" t="str">
        <f t="array" ref="C16">IFERROR(INDEX(Samples[DNA '#], SMALL(IF(#REF!="Targeted Enrichment", ROW(Samples[Name])-ROW('NGS Run Record'!B$33)+1), ROWS('NGS Run Record'!B$33:'NGS Run Record'!B44))), "")</f>
        <v/>
      </c>
      <c r="D16" s="33" t="str">
        <f t="array" ref="D16">IFERROR(INDEX(Samples[Accession '#], SMALL(IF(#REF!="Targeted Enrichment", ROW(Samples[Name])-ROW('NGS Run Record'!C$33)+1), ROWS('NGS Run Record'!C$33:'NGS Run Record'!C44))), "")</f>
        <v/>
      </c>
      <c r="E16" s="33" t="str">
        <f t="array" ref="E16">IFERROR(INDEX(Samples[Sample type], SMALL(IF(#REF!="Targeted Enrichment", ROW(Samples[Name])-ROW('NGS Run Record'!D$33)+1), ROWS('NGS Run Record'!D$33:'NGS Run Record'!D44))), "")</f>
        <v/>
      </c>
      <c r="F16" s="45" t="str">
        <f t="array" ref="F16">IFERROR(INDEX(Samples[DNA Conc. (ng/µl )], SMALL(IF(#REF!="Targeted Enrichment", ROW(Samples[Name])-ROW('NGS Run Record'!E$33)+1), ROWS('NGS Run Record'!E$33:'NGS Run Record'!E44))), "")</f>
        <v/>
      </c>
      <c r="G16" s="45" t="str">
        <f t="array" ref="G16">IFERROR(INDEX(Samples[A260/280], SMALL(IF(#REF!="Targeted Enrichment", ROW(Samples[Name])-ROW('NGS Run Record'!F$33)+1), ROWS('NGS Run Record'!F$33:'NGS Run Record'!F44))), "")</f>
        <v/>
      </c>
      <c r="H16" s="27" t="str">
        <f>IF(B_Samples[[#This Row],[Name]]="", "", "Pass / Fail")</f>
        <v/>
      </c>
      <c r="I16" s="38"/>
    </row>
    <row r="17" spans="1:9" x14ac:dyDescent="0.3">
      <c r="A17" s="37">
        <v>15</v>
      </c>
      <c r="B17" s="27" t="str">
        <f t="array" ref="B17">IFERROR(INDEX(Samples[Name], SMALL(IF(#REF!="Targeted Enrichment", ROW(Samples[Name])-ROW('NGS Run Record'!B$33)+1), ROWS('NGS Run Record'!B$33:'NGS Run Record'!B45))), "")</f>
        <v/>
      </c>
      <c r="C17" s="33" t="str">
        <f t="array" ref="C17">IFERROR(INDEX(Samples[DNA '#], SMALL(IF(#REF!="Targeted Enrichment", ROW(Samples[Name])-ROW('NGS Run Record'!B$33)+1), ROWS('NGS Run Record'!B$33:'NGS Run Record'!B45))), "")</f>
        <v/>
      </c>
      <c r="D17" s="33" t="str">
        <f t="array" ref="D17">IFERROR(INDEX(Samples[Accession '#], SMALL(IF(#REF!="Targeted Enrichment", ROW(Samples[Name])-ROW('NGS Run Record'!C$33)+1), ROWS('NGS Run Record'!C$33:'NGS Run Record'!C45))), "")</f>
        <v/>
      </c>
      <c r="E17" s="33" t="str">
        <f t="array" ref="E17">IFERROR(INDEX(Samples[Sample type], SMALL(IF(#REF!="Targeted Enrichment", ROW(Samples[Name])-ROW('NGS Run Record'!D$33)+1), ROWS('NGS Run Record'!D$33:'NGS Run Record'!D45))), "")</f>
        <v/>
      </c>
      <c r="F17" s="45" t="str">
        <f t="array" ref="F17">IFERROR(INDEX(Samples[DNA Conc. (ng/µl )], SMALL(IF(#REF!="Targeted Enrichment", ROW(Samples[Name])-ROW('NGS Run Record'!E$33)+1), ROWS('NGS Run Record'!E$33:'NGS Run Record'!E45))), "")</f>
        <v/>
      </c>
      <c r="G17" s="45" t="str">
        <f t="array" ref="G17">IFERROR(INDEX(Samples[A260/280], SMALL(IF(#REF!="Targeted Enrichment", ROW(Samples[Name])-ROW('NGS Run Record'!F$33)+1), ROWS('NGS Run Record'!F$33:'NGS Run Record'!F45))), "")</f>
        <v/>
      </c>
      <c r="H17" s="27" t="str">
        <f>IF(B_Samples[[#This Row],[Name]]="", "", "Pass / Fail")</f>
        <v/>
      </c>
      <c r="I17" s="38"/>
    </row>
    <row r="18" spans="1:9" x14ac:dyDescent="0.3">
      <c r="A18" s="42">
        <v>16</v>
      </c>
      <c r="B18" s="27" t="str">
        <f t="array" ref="B18">IFERROR(INDEX(Samples[Name], SMALL(IF(#REF!="Targeted Enrichment", ROW(Samples[Name])-ROW('NGS Run Record'!B$33)+1), ROWS('NGS Run Record'!B$33:'NGS Run Record'!#REF!))), "")</f>
        <v/>
      </c>
      <c r="C18" s="33" t="str">
        <f t="array" ref="C18">IFERROR(INDEX(Samples[DNA '#], SMALL(IF(#REF!="Targeted Enrichment", ROW(Samples[Name])-ROW('NGS Run Record'!B$33)+1), ROWS('NGS Run Record'!B$33:'NGS Run Record'!#REF!))), "")</f>
        <v/>
      </c>
      <c r="D18" s="33" t="str">
        <f t="array" ref="D18">IFERROR(INDEX(Samples[Accession '#], SMALL(IF(#REF!="Targeted Enrichment", ROW(Samples[Name])-ROW('NGS Run Record'!C$33)+1), ROWS('NGS Run Record'!C$33:'NGS Run Record'!#REF!))), "")</f>
        <v/>
      </c>
      <c r="E18" s="33" t="str">
        <f t="array" ref="E18">IFERROR(INDEX(Samples[Sample type], SMALL(IF(#REF!="Targeted Enrichment", ROW(Samples[Name])-ROW('NGS Run Record'!D$33)+1), ROWS('NGS Run Record'!D$33:'NGS Run Record'!#REF!))), "")</f>
        <v/>
      </c>
      <c r="F18" s="45" t="str">
        <f t="array" ref="F18">IFERROR(INDEX(Samples[DNA Conc. (ng/µl )], SMALL(IF(#REF!="Targeted Enrichment", ROW(Samples[Name])-ROW('NGS Run Record'!E$33)+1), ROWS('NGS Run Record'!E$33:'NGS Run Record'!#REF!))), "")</f>
        <v/>
      </c>
      <c r="G18" s="45" t="str">
        <f t="array" ref="G18">IFERROR(INDEX(Samples[A260/280], SMALL(IF(#REF!="Targeted Enrichment", ROW(Samples[Name])-ROW('NGS Run Record'!F$33)+1), ROWS('NGS Run Record'!F$33:'NGS Run Record'!#REF!))), "")</f>
        <v/>
      </c>
      <c r="H18" s="43" t="str">
        <f>IF(B_Samples[[#This Row],[Name]]="", "", "Pass / Fail")</f>
        <v/>
      </c>
      <c r="I18" s="44"/>
    </row>
    <row r="19" spans="1:9" x14ac:dyDescent="0.3">
      <c r="A19" s="37">
        <v>17</v>
      </c>
      <c r="B19" s="65" t="str">
        <f t="array" aca="1" ref="B19" ca="1">IFERROR(INDEX(Samples[Name], SMALL(IF(OR(LEFT(Samples[Sample type], 1)="B", LEFT(Samples[Sample type], 1)="C"), ROW(Samples[Name])-ROW('NGS Run Record'!B$33)+1), ROWS('NGS Run Record'!B$33:'NGS Run Record'!#REF!))), "")</f>
        <v/>
      </c>
      <c r="C19" s="33" t="str">
        <f t="array" aca="1" ref="C19" ca="1">IFERROR(INDEX(Samples[DNA '#], SMALL(IF(OR(LEFT(Samples[Sample type], 1)="B", LEFT(Samples[Sample type], 1)="C"), ROW(Samples[Name])-ROW('NGS Run Record'!B$33)+1), ROWS('NGS Run Record'!B$33:'NGS Run Record'!#REF!))), "")</f>
        <v/>
      </c>
      <c r="D19" s="33" t="str">
        <f t="array" aca="1" ref="D19" ca="1">IFERROR(INDEX(Samples[Accession '#], SMALL(IF(Samples[Sample type]="FFPE", ROW(Samples[Accession '#])-ROW('NGS Run Record'!D$33)+1), ROWS('NGS Run Record'!D$33:'NGS Run Record'!D20))), "")</f>
        <v/>
      </c>
      <c r="E19" s="33" t="str">
        <f t="array" aca="1" ref="E19" ca="1">IFERROR(INDEX(Samples[Sample type], SMALL(IF(Samples[Sample type]="FFPE", ROW(Samples[Sample type])-ROW('NGS Run Record'!E$33)+1), ROWS('NGS Run Record'!E$33:'NGS Run Record'!E20))), "")</f>
        <v/>
      </c>
      <c r="F19" s="45" t="str">
        <f t="array" aca="1" ref="F19" ca="1">IFERROR(INDEX(Samples[DNA Conc. (ng/µl )], SMALL(IF(Samples[Sample type]="FFPE", ROW(Samples[DNA Conc. (ng/µl )])-ROW('NGS Run Record'!F$33)+1), ROWS('NGS Run Record'!F$33:'NGS Run Record'!F20))), "")</f>
        <v/>
      </c>
      <c r="G19" s="45" t="str">
        <f t="array" aca="1" ref="G19" ca="1">IFERROR(INDEX(Samples[A260/280], SMALL(IF(Samples[Sample type]="FFPE", ROW(Samples[A260/280])-ROW('NGS Run Record'!G$33)+1), ROWS('NGS Run Record'!G$33:'NGS Run Record'!G20))), "")</f>
        <v/>
      </c>
      <c r="H19" s="65" t="str">
        <f ca="1">IF(B_Samples[[#This Row],[Name]]="", "", "Pass / Fail")</f>
        <v/>
      </c>
      <c r="I19" s="38"/>
    </row>
    <row r="20" spans="1:9" x14ac:dyDescent="0.3">
      <c r="A20" s="42">
        <v>18</v>
      </c>
      <c r="B20" s="65" t="str">
        <f t="array" aca="1" ref="B20" ca="1">IFERROR(INDEX(Samples[Name], SMALL(IF(OR(LEFT(Samples[Sample type], 1)="B", LEFT(Samples[Sample type], 1)="C"), ROW(Samples[Name])-ROW('NGS Run Record'!B$33)+1), ROWS('NGS Run Record'!B$33:'NGS Run Record'!#REF!))), "")</f>
        <v/>
      </c>
      <c r="C20" s="33" t="str">
        <f t="array" aca="1" ref="C20" ca="1">IFERROR(INDEX(Samples[DNA '#], SMALL(IF(OR(LEFT(Samples[Sample type], 1)="B", LEFT(Samples[Sample type], 1)="C"), ROW(Samples[Name])-ROW('NGS Run Record'!B$33)+1), ROWS('NGS Run Record'!B$33:'NGS Run Record'!#REF!))), "")</f>
        <v/>
      </c>
      <c r="D20" s="27" t="str">
        <f t="array" aca="1" ref="D20" ca="1">IFERROR(INDEX(Samples[Accession '#], SMALL(IF(Samples[Sample type]="FFPE", ROW(Samples[Accession '#])-ROW('NGS Run Record'!D$33)+1), ROWS('NGS Run Record'!D$33:'NGS Run Record'!D21))), "")</f>
        <v/>
      </c>
      <c r="E20" s="27" t="str">
        <f t="array" aca="1" ref="E20" ca="1">IFERROR(INDEX(Samples[Sample type], SMALL(IF(Samples[Sample type]="FFPE", ROW(Samples[Sample type])-ROW('NGS Run Record'!E$33)+1), ROWS('NGS Run Record'!E$33:'NGS Run Record'!E21))), "")</f>
        <v/>
      </c>
      <c r="F20" s="27" t="str">
        <f t="array" aca="1" ref="F20" ca="1">IFERROR(INDEX(Samples[DNA Conc. (ng/µl )], SMALL(IF(Samples[Sample type]="FFPE", ROW(Samples[DNA Conc. (ng/µl )])-ROW('NGS Run Record'!F$33)+1), ROWS('NGS Run Record'!F$33:'NGS Run Record'!F21))), "")</f>
        <v/>
      </c>
      <c r="G20" s="27" t="str">
        <f t="array" aca="1" ref="G20" ca="1">IFERROR(INDEX(Samples[A260/280], SMALL(IF(Samples[Sample type]="FFPE", ROW(Samples[A260/280])-ROW('NGS Run Record'!G$33)+1), ROWS('NGS Run Record'!G$33:'NGS Run Record'!G21))), "")</f>
        <v/>
      </c>
      <c r="H20" s="65" t="str">
        <f ca="1">IF(B_Samples[[#This Row],[Name]]="", "", "Pass / Fail")</f>
        <v/>
      </c>
      <c r="I20" s="38"/>
    </row>
    <row r="21" spans="1:9" x14ac:dyDescent="0.3">
      <c r="A21" s="37">
        <v>19</v>
      </c>
      <c r="B21" s="65" t="str">
        <f t="array" aca="1" ref="B21" ca="1">IFERROR(INDEX(Samples[Name], SMALL(IF(OR(LEFT(Samples[Sample type], 1)="B", LEFT(Samples[Sample type], 1)="C"), ROW(Samples[Name])-ROW('NGS Run Record'!B$33)+1), ROWS('NGS Run Record'!B$33:'NGS Run Record'!#REF!))), "")</f>
        <v/>
      </c>
      <c r="C21" s="33" t="str">
        <f t="array" aca="1" ref="C21" ca="1">IFERROR(INDEX(Samples[DNA '#], SMALL(IF(OR(LEFT(Samples[Sample type], 1)="B", LEFT(Samples[Sample type], 1)="C"), ROW(Samples[Name])-ROW('NGS Run Record'!B$33)+1), ROWS('NGS Run Record'!B$33:'NGS Run Record'!#REF!))), "")</f>
        <v/>
      </c>
      <c r="D21" s="27" t="str">
        <f t="array" aca="1" ref="D21" ca="1">IFERROR(INDEX(Samples[Accession '#], SMALL(IF(Samples[Sample type]="FFPE", ROW(Samples[Accession '#])-ROW('NGS Run Record'!D$33)+1), ROWS('NGS Run Record'!D$33:'NGS Run Record'!D22))), "")</f>
        <v/>
      </c>
      <c r="E21" s="27" t="str">
        <f t="array" aca="1" ref="E21" ca="1">IFERROR(INDEX(Samples[Sample type], SMALL(IF(Samples[Sample type]="FFPE", ROW(Samples[Sample type])-ROW('NGS Run Record'!E$33)+1), ROWS('NGS Run Record'!E$33:'NGS Run Record'!E22))), "")</f>
        <v/>
      </c>
      <c r="F21" s="27" t="str">
        <f t="array" aca="1" ref="F21" ca="1">IFERROR(INDEX(Samples[DNA Conc. (ng/µl )], SMALL(IF(Samples[Sample type]="FFPE", ROW(Samples[DNA Conc. (ng/µl )])-ROW('NGS Run Record'!F$33)+1), ROWS('NGS Run Record'!F$33:'NGS Run Record'!F22))), "")</f>
        <v/>
      </c>
      <c r="G21" s="27" t="str">
        <f t="array" aca="1" ref="G21" ca="1">IFERROR(INDEX(Samples[A260/280], SMALL(IF(Samples[Sample type]="FFPE", ROW(Samples[A260/280])-ROW('NGS Run Record'!G$33)+1), ROWS('NGS Run Record'!G$33:'NGS Run Record'!G22))), "")</f>
        <v/>
      </c>
      <c r="H21" s="65" t="str">
        <f ca="1">IF(B_Samples[[#This Row],[Name]]="", "", "Pass / Fail")</f>
        <v/>
      </c>
      <c r="I21" s="38"/>
    </row>
    <row r="22" spans="1:9" x14ac:dyDescent="0.3">
      <c r="A22" s="42">
        <v>20</v>
      </c>
      <c r="B22" s="65" t="str">
        <f t="array" aca="1" ref="B22" ca="1">IFERROR(INDEX(Samples[Name], SMALL(IF(OR(LEFT(Samples[Sample type], 1)="B", LEFT(Samples[Sample type], 1)="C"), ROW(Samples[Name])-ROW('NGS Run Record'!B$33)+1), ROWS('NGS Run Record'!B$33:'NGS Run Record'!#REF!))), "")</f>
        <v/>
      </c>
      <c r="C22" s="33" t="str">
        <f t="array" aca="1" ref="C22" ca="1">IFERROR(INDEX(Samples[DNA '#], SMALL(IF(OR(LEFT(Samples[Sample type], 1)="B", LEFT(Samples[Sample type], 1)="C"), ROW(Samples[Name])-ROW('NGS Run Record'!B$33)+1), ROWS('NGS Run Record'!B$33:'NGS Run Record'!#REF!))), "")</f>
        <v/>
      </c>
      <c r="D22" s="27" t="str">
        <f t="array" aca="1" ref="D22" ca="1">IFERROR(INDEX(Samples[Accession '#], SMALL(IF(Samples[Sample type]="FFPE", ROW(Samples[Accession '#])-ROW('NGS Run Record'!D$33)+1), ROWS('NGS Run Record'!D$33:'NGS Run Record'!D25))), "")</f>
        <v/>
      </c>
      <c r="E22" s="27" t="str">
        <f t="array" aca="1" ref="E22" ca="1">IFERROR(INDEX(Samples[Sample type], SMALL(IF(Samples[Sample type]="FFPE", ROW(Samples[Sample type])-ROW('NGS Run Record'!E$33)+1), ROWS('NGS Run Record'!E$33:'NGS Run Record'!E25))), "")</f>
        <v/>
      </c>
      <c r="F22" s="27" t="str">
        <f t="array" aca="1" ref="F22" ca="1">IFERROR(INDEX(Samples[DNA Conc. (ng/µl )], SMALL(IF(Samples[Sample type]="FFPE", ROW(Samples[DNA Conc. (ng/µl )])-ROW('NGS Run Record'!F$33)+1), ROWS('NGS Run Record'!F$33:'NGS Run Record'!F25))), "")</f>
        <v/>
      </c>
      <c r="G22" s="27" t="str">
        <f t="array" aca="1" ref="G22" ca="1">IFERROR(INDEX(Samples[A260/280], SMALL(IF(Samples[Sample type]="FFPE", ROW(Samples[A260/280])-ROW('NGS Run Record'!G$33)+1), ROWS('NGS Run Record'!G$33:'NGS Run Record'!G25))), "")</f>
        <v/>
      </c>
      <c r="H22" s="65" t="str">
        <f ca="1">IF(B_Samples[[#This Row],[Name]]="", "", "Pass / Fail")</f>
        <v/>
      </c>
      <c r="I22" s="38"/>
    </row>
    <row r="23" spans="1:9" x14ac:dyDescent="0.3">
      <c r="A23" s="37">
        <v>21</v>
      </c>
      <c r="B23" s="65" t="str">
        <f t="array" aca="1" ref="B23" ca="1">IFERROR(INDEX(Samples[Name], SMALL(IF(OR(LEFT(Samples[Sample type], 1)="B", LEFT(Samples[Sample type], 1)="C"), ROW(Samples[Name])-ROW('NGS Run Record'!B$33)+1), ROWS('NGS Run Record'!B$33:'NGS Run Record'!#REF!))), "")</f>
        <v/>
      </c>
      <c r="C23" s="33" t="str">
        <f t="array" aca="1" ref="C23" ca="1">IFERROR(INDEX(Samples[DNA '#], SMALL(IF(OR(LEFT(Samples[Sample type], 1)="B", LEFT(Samples[Sample type], 1)="C"), ROW(Samples[Name])-ROW('NGS Run Record'!B$33)+1), ROWS('NGS Run Record'!B$33:'NGS Run Record'!#REF!))), "")</f>
        <v/>
      </c>
      <c r="D23" s="27" t="str">
        <f t="array" aca="1" ref="D23" ca="1">IFERROR(INDEX(Samples[Accession '#], SMALL(IF(Samples[Sample type]="FFPE", ROW(Samples[Accession '#])-ROW('NGS Run Record'!D$33)+1), ROWS('NGS Run Record'!D$33:'NGS Run Record'!D26))), "")</f>
        <v/>
      </c>
      <c r="E23" s="27" t="str">
        <f t="array" aca="1" ref="E23" ca="1">IFERROR(INDEX(Samples[Sample type], SMALL(IF(Samples[Sample type]="FFPE", ROW(Samples[Sample type])-ROW('NGS Run Record'!E$33)+1), ROWS('NGS Run Record'!E$33:'NGS Run Record'!E26))), "")</f>
        <v/>
      </c>
      <c r="F23" s="27" t="str">
        <f t="array" aca="1" ref="F23" ca="1">IFERROR(INDEX(Samples[DNA Conc. (ng/µl )], SMALL(IF(Samples[Sample type]="FFPE", ROW(Samples[DNA Conc. (ng/µl )])-ROW('NGS Run Record'!F$33)+1), ROWS('NGS Run Record'!F$33:'NGS Run Record'!F26))), "")</f>
        <v/>
      </c>
      <c r="G23" s="27" t="str">
        <f t="array" aca="1" ref="G23" ca="1">IFERROR(INDEX(Samples[A260/280], SMALL(IF(Samples[Sample type]="FFPE", ROW(Samples[A260/280])-ROW('NGS Run Record'!G$33)+1), ROWS('NGS Run Record'!G$33:'NGS Run Record'!G26))), "")</f>
        <v/>
      </c>
      <c r="H23" s="65" t="str">
        <f ca="1">IF(B_Samples[[#This Row],[Name]]="", "", "Pass / Fail")</f>
        <v/>
      </c>
      <c r="I23" s="38"/>
    </row>
    <row r="24" spans="1:9" x14ac:dyDescent="0.3">
      <c r="A24" s="42">
        <v>22</v>
      </c>
      <c r="B24" s="65" t="str">
        <f t="array" aca="1" ref="B24" ca="1">IFERROR(INDEX(Samples[Name], SMALL(IF(OR(LEFT(Samples[Sample type], 1)="B", LEFT(Samples[Sample type], 1)="C"), ROW(Samples[Name])-ROW('NGS Run Record'!B$33)+1), ROWS('NGS Run Record'!B$33:'NGS Run Record'!#REF!))), "")</f>
        <v/>
      </c>
      <c r="C24" s="33" t="str">
        <f t="array" aca="1" ref="C24" ca="1">IFERROR(INDEX(Samples[DNA '#], SMALL(IF(OR(LEFT(Samples[Sample type], 1)="B", LEFT(Samples[Sample type], 1)="C"), ROW(Samples[Name])-ROW('NGS Run Record'!B$33)+1), ROWS('NGS Run Record'!B$33:'NGS Run Record'!#REF!))), "")</f>
        <v/>
      </c>
      <c r="D24" s="27" t="str">
        <f t="array" aca="1" ref="D24" ca="1">IFERROR(INDEX(Samples[Accession '#], SMALL(IF(Samples[Sample type]="FFPE", ROW(Samples[Accession '#])-ROW('NGS Run Record'!D$33)+1), ROWS('NGS Run Record'!D$33:'NGS Run Record'!D27))), "")</f>
        <v/>
      </c>
      <c r="E24" s="27" t="str">
        <f t="array" aca="1" ref="E24" ca="1">IFERROR(INDEX(Samples[Sample type], SMALL(IF(Samples[Sample type]="FFPE", ROW(Samples[Sample type])-ROW('NGS Run Record'!E$33)+1), ROWS('NGS Run Record'!E$33:'NGS Run Record'!E27))), "")</f>
        <v/>
      </c>
      <c r="F24" s="27" t="str">
        <f t="array" aca="1" ref="F24" ca="1">IFERROR(INDEX(Samples[DNA Conc. (ng/µl )], SMALL(IF(Samples[Sample type]="FFPE", ROW(Samples[DNA Conc. (ng/µl )])-ROW('NGS Run Record'!F$33)+1), ROWS('NGS Run Record'!F$33:'NGS Run Record'!F27))), "")</f>
        <v/>
      </c>
      <c r="G24" s="27" t="str">
        <f t="array" aca="1" ref="G24" ca="1">IFERROR(INDEX(Samples[A260/280], SMALL(IF(Samples[Sample type]="FFPE", ROW(Samples[A260/280])-ROW('NGS Run Record'!G$33)+1), ROWS('NGS Run Record'!G$33:'NGS Run Record'!G27))), "")</f>
        <v/>
      </c>
      <c r="H24" s="65" t="str">
        <f ca="1">IF(B_Samples[[#This Row],[Name]]="", "", "Pass / Fail")</f>
        <v/>
      </c>
      <c r="I24" s="38"/>
    </row>
    <row r="25" spans="1:9" x14ac:dyDescent="0.3">
      <c r="A25" s="37">
        <v>23</v>
      </c>
      <c r="B25" s="65" t="str">
        <f t="array" aca="1" ref="B25" ca="1">IFERROR(INDEX(Samples[Name], SMALL(IF(OR(LEFT(Samples[Sample type], 1)="B", LEFT(Samples[Sample type], 1)="C"), ROW(Samples[Name])-ROW('NGS Run Record'!B$33)+1), ROWS('NGS Run Record'!B$33:'NGS Run Record'!#REF!))), "")</f>
        <v/>
      </c>
      <c r="C25" s="33" t="str">
        <f t="array" aca="1" ref="C25" ca="1">IFERROR(INDEX(Samples[DNA '#], SMALL(IF(OR(LEFT(Samples[Sample type], 1)="B", LEFT(Samples[Sample type], 1)="C"), ROW(Samples[Name])-ROW('NGS Run Record'!B$33)+1), ROWS('NGS Run Record'!B$33:'NGS Run Record'!#REF!))), "")</f>
        <v/>
      </c>
      <c r="D25" s="27" t="str">
        <f t="array" aca="1" ref="D25" ca="1">IFERROR(INDEX(Samples[Accession '#], SMALL(IF(Samples[Sample type]="FFPE", ROW(Samples[Accession '#])-ROW('NGS Run Record'!D$33)+1), ROWS('NGS Run Record'!D$33:'NGS Run Record'!D28))), "")</f>
        <v/>
      </c>
      <c r="E25" s="27" t="str">
        <f t="array" aca="1" ref="E25" ca="1">IFERROR(INDEX(Samples[Sample type], SMALL(IF(Samples[Sample type]="FFPE", ROW(Samples[Sample type])-ROW('NGS Run Record'!E$33)+1), ROWS('NGS Run Record'!E$33:'NGS Run Record'!E28))), "")</f>
        <v/>
      </c>
      <c r="F25" s="27" t="str">
        <f t="array" aca="1" ref="F25" ca="1">IFERROR(INDEX(Samples[DNA Conc. (ng/µl )], SMALL(IF(Samples[Sample type]="FFPE", ROW(Samples[DNA Conc. (ng/µl )])-ROW('NGS Run Record'!F$33)+1), ROWS('NGS Run Record'!F$33:'NGS Run Record'!F28))), "")</f>
        <v/>
      </c>
      <c r="G25" s="27" t="str">
        <f t="array" aca="1" ref="G25" ca="1">IFERROR(INDEX(Samples[A260/280], SMALL(IF(Samples[Sample type]="FFPE", ROW(Samples[A260/280])-ROW('NGS Run Record'!G$33)+1), ROWS('NGS Run Record'!G$33:'NGS Run Record'!G28))), "")</f>
        <v/>
      </c>
      <c r="H25" s="65" t="str">
        <f ca="1">IF(B_Samples[[#This Row],[Name]]="", "", "Pass / Fail")</f>
        <v/>
      </c>
      <c r="I25" s="38"/>
    </row>
    <row r="26" spans="1:9" x14ac:dyDescent="0.3">
      <c r="A26" s="42">
        <v>24</v>
      </c>
      <c r="B26" s="65" t="str">
        <f t="array" aca="1" ref="B26" ca="1">IFERROR(INDEX(Samples[Name], SMALL(IF(OR(LEFT(Samples[Sample type], 1)="B", LEFT(Samples[Sample type], 1)="C"), ROW(Samples[Name])-ROW('NGS Run Record'!B$33)+1), ROWS('NGS Run Record'!B$33:'NGS Run Record'!#REF!))), "")</f>
        <v/>
      </c>
      <c r="C26" s="33" t="str">
        <f t="array" aca="1" ref="C26" ca="1">IFERROR(INDEX(Samples[DNA '#], SMALL(IF(OR(LEFT(Samples[Sample type], 1)="B", LEFT(Samples[Sample type], 1)="C"), ROW(Samples[Name])-ROW('NGS Run Record'!B$33)+1), ROWS('NGS Run Record'!B$33:'NGS Run Record'!#REF!))), "")</f>
        <v/>
      </c>
      <c r="D26" s="27" t="str">
        <f t="array" aca="1" ref="D26" ca="1">IFERROR(INDEX(Samples[Accession '#], SMALL(IF(Samples[Sample type]="FFPE", ROW(Samples[Accession '#])-ROW('NGS Run Record'!D$33)+1), ROWS('NGS Run Record'!D$33:'NGS Run Record'!D29))), "")</f>
        <v/>
      </c>
      <c r="E26" s="27" t="str">
        <f t="array" aca="1" ref="E26" ca="1">IFERROR(INDEX(Samples[Sample type], SMALL(IF(Samples[Sample type]="FFPE", ROW(Samples[Sample type])-ROW('NGS Run Record'!E$33)+1), ROWS('NGS Run Record'!E$33:'NGS Run Record'!E29))), "")</f>
        <v/>
      </c>
      <c r="F26" s="27" t="str">
        <f t="array" aca="1" ref="F26" ca="1">IFERROR(INDEX(Samples[DNA Conc. (ng/µl )], SMALL(IF(Samples[Sample type]="FFPE", ROW(Samples[DNA Conc. (ng/µl )])-ROW('NGS Run Record'!F$33)+1), ROWS('NGS Run Record'!F$33:'NGS Run Record'!F29))), "")</f>
        <v/>
      </c>
      <c r="G26" s="27" t="str">
        <f t="array" aca="1" ref="G26" ca="1">IFERROR(INDEX(Samples[A260/280], SMALL(IF(Samples[Sample type]="FFPE", ROW(Samples[A260/280])-ROW('NGS Run Record'!G$33)+1), ROWS('NGS Run Record'!G$33:'NGS Run Record'!G29))), "")</f>
        <v/>
      </c>
      <c r="H26" s="65" t="str">
        <f ca="1">IF(B_Samples[[#This Row],[Name]]="", "", "Pass / Fail")</f>
        <v/>
      </c>
      <c r="I26" s="38"/>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2"/>
  <sheetViews>
    <sheetView workbookViewId="0">
      <selection activeCell="I10" sqref="I10"/>
    </sheetView>
  </sheetViews>
  <sheetFormatPr defaultRowHeight="16.5" x14ac:dyDescent="0.3"/>
  <cols>
    <col min="1" max="1" width="13.7109375" bestFit="1" customWidth="1"/>
    <col min="2" max="2" width="20.85546875" bestFit="1" customWidth="1"/>
  </cols>
  <sheetData>
    <row r="1" spans="1:1" x14ac:dyDescent="0.3">
      <c r="A1">
        <v>5</v>
      </c>
    </row>
    <row r="2" spans="1:1" x14ac:dyDescent="0.3">
      <c r="A2" t="s">
        <v>119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E12"/>
  <sheetViews>
    <sheetView workbookViewId="0">
      <selection activeCell="G27" sqref="G27"/>
    </sheetView>
  </sheetViews>
  <sheetFormatPr defaultRowHeight="16.5" x14ac:dyDescent="0.3"/>
  <cols>
    <col min="1" max="1" width="14.5703125" bestFit="1" customWidth="1"/>
    <col min="2" max="2" width="21.7109375" bestFit="1" customWidth="1"/>
    <col min="4" max="4" width="17.7109375" bestFit="1" customWidth="1"/>
  </cols>
  <sheetData>
    <row r="1" spans="1:5" s="5" customFormat="1" x14ac:dyDescent="0.3">
      <c r="A1" s="5" t="s">
        <v>73</v>
      </c>
      <c r="B1" s="5" t="s">
        <v>86</v>
      </c>
      <c r="D1" s="5" t="s">
        <v>82</v>
      </c>
      <c r="E1" s="5" t="s">
        <v>112</v>
      </c>
    </row>
    <row r="2" spans="1:5" x14ac:dyDescent="0.3">
      <c r="A2" t="s">
        <v>74</v>
      </c>
      <c r="B2" t="s">
        <v>83</v>
      </c>
      <c r="D2" t="s">
        <v>80</v>
      </c>
    </row>
    <row r="3" spans="1:5" x14ac:dyDescent="0.3">
      <c r="A3" t="s">
        <v>76</v>
      </c>
      <c r="B3" t="s">
        <v>83</v>
      </c>
      <c r="D3" t="s">
        <v>78</v>
      </c>
    </row>
    <row r="4" spans="1:5" x14ac:dyDescent="0.3">
      <c r="A4" t="s">
        <v>35</v>
      </c>
      <c r="B4" t="s">
        <v>83</v>
      </c>
      <c r="D4" t="s">
        <v>75</v>
      </c>
    </row>
    <row r="5" spans="1:5" x14ac:dyDescent="0.3">
      <c r="A5" t="s">
        <v>77</v>
      </c>
      <c r="B5" t="s">
        <v>83</v>
      </c>
      <c r="D5" t="s">
        <v>35</v>
      </c>
    </row>
    <row r="6" spans="1:5" x14ac:dyDescent="0.3">
      <c r="A6" t="s">
        <v>78</v>
      </c>
      <c r="B6" t="s">
        <v>83</v>
      </c>
      <c r="D6" t="s">
        <v>84</v>
      </c>
    </row>
    <row r="7" spans="1:5" x14ac:dyDescent="0.3">
      <c r="A7" t="s">
        <v>79</v>
      </c>
      <c r="B7" t="s">
        <v>83</v>
      </c>
      <c r="D7" t="s">
        <v>85</v>
      </c>
    </row>
    <row r="8" spans="1:5" x14ac:dyDescent="0.3">
      <c r="A8" t="s">
        <v>80</v>
      </c>
      <c r="B8" t="s">
        <v>83</v>
      </c>
      <c r="D8" t="s">
        <v>113</v>
      </c>
    </row>
    <row r="9" spans="1:5" x14ac:dyDescent="0.3">
      <c r="A9" t="s">
        <v>81</v>
      </c>
      <c r="B9" t="s">
        <v>83</v>
      </c>
    </row>
    <row r="10" spans="1:5" x14ac:dyDescent="0.3">
      <c r="A10" t="s">
        <v>110</v>
      </c>
      <c r="B10" t="s">
        <v>87</v>
      </c>
    </row>
    <row r="11" spans="1:5" x14ac:dyDescent="0.3">
      <c r="A11" t="s">
        <v>75</v>
      </c>
      <c r="B11" t="s">
        <v>87</v>
      </c>
    </row>
    <row r="12" spans="1:5" x14ac:dyDescent="0.3">
      <c r="A12" t="s">
        <v>84</v>
      </c>
      <c r="B12" t="s">
        <v>87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PrintBookmarks">
                <anchor moveWithCells="1" sizeWithCells="1">
                  <from>
                    <xdr:col>5</xdr:col>
                    <xdr:colOff>342900</xdr:colOff>
                    <xdr:row>2</xdr:row>
                    <xdr:rowOff>0</xdr:rowOff>
                  </from>
                  <to>
                    <xdr:col>9</xdr:col>
                    <xdr:colOff>333375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J1"/>
  <sheetViews>
    <sheetView workbookViewId="0">
      <selection sqref="A1:J1"/>
    </sheetView>
  </sheetViews>
  <sheetFormatPr defaultRowHeight="16.5" x14ac:dyDescent="0.3"/>
  <sheetData>
    <row r="1" spans="1:10" x14ac:dyDescent="0.3">
      <c r="A1" t="s">
        <v>28</v>
      </c>
      <c r="B1" t="s">
        <v>29</v>
      </c>
      <c r="C1" t="s">
        <v>7</v>
      </c>
      <c r="D1" t="s">
        <v>88</v>
      </c>
      <c r="E1" t="s">
        <v>89</v>
      </c>
      <c r="F1" t="s">
        <v>90</v>
      </c>
      <c r="G1" t="s">
        <v>91</v>
      </c>
      <c r="H1" t="s">
        <v>92</v>
      </c>
      <c r="I1" t="s">
        <v>93</v>
      </c>
      <c r="J1" t="s">
        <v>94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H25"/>
  <sheetViews>
    <sheetView workbookViewId="0">
      <selection activeCell="K10" sqref="K10"/>
    </sheetView>
  </sheetViews>
  <sheetFormatPr defaultColWidth="9.140625" defaultRowHeight="12.75" x14ac:dyDescent="0.2"/>
  <cols>
    <col min="1" max="1" width="19.7109375" style="61" bestFit="1" customWidth="1"/>
    <col min="2" max="2" width="9.140625" style="61"/>
    <col min="3" max="3" width="13.28515625" style="61" bestFit="1" customWidth="1"/>
    <col min="4" max="16384" width="9.140625" style="61"/>
  </cols>
  <sheetData>
    <row r="1" spans="1:8" ht="27" x14ac:dyDescent="0.2">
      <c r="A1" s="69" t="s">
        <v>29</v>
      </c>
      <c r="B1" s="69" t="s">
        <v>115</v>
      </c>
      <c r="C1" s="70" t="s">
        <v>126</v>
      </c>
      <c r="D1" s="70" t="s">
        <v>89</v>
      </c>
      <c r="E1" s="70" t="s">
        <v>90</v>
      </c>
      <c r="F1" s="70" t="s">
        <v>91</v>
      </c>
      <c r="G1" s="69" t="s">
        <v>8</v>
      </c>
      <c r="H1" s="69" t="s">
        <v>20</v>
      </c>
    </row>
    <row r="2" spans="1:8" x14ac:dyDescent="0.2">
      <c r="A2" s="68" t="str">
        <f ca="1">'NGS Run Record'!B33</f>
        <v xml:space="preserve">, </v>
      </c>
      <c r="B2" s="68" t="str">
        <f ca="1">'NGS Run Record'!C33</f>
        <v>NTC</v>
      </c>
      <c r="C2" s="68">
        <f ca="1">'NGS Run Record'!D33</f>
        <v>0</v>
      </c>
      <c r="D2" s="68">
        <f ca="1">'NGS Run Record'!E33</f>
        <v>0</v>
      </c>
      <c r="E2" s="68">
        <f ca="1">'NGS Run Record'!F33</f>
        <v>0</v>
      </c>
      <c r="F2" s="68">
        <f ca="1">'NGS Run Record'!G33</f>
        <v>0</v>
      </c>
      <c r="G2" s="68" t="e">
        <f>'NGS Run Record'!#REF!</f>
        <v>#REF!</v>
      </c>
      <c r="H2" s="68" t="str">
        <f t="shared" ref="H2:H25" ca="1" si="0">IF(A2=0, "", AssayID)</f>
        <v>NGS 25-CM13  Library QC__CL</v>
      </c>
    </row>
    <row r="3" spans="1:8" x14ac:dyDescent="0.2">
      <c r="A3" s="68" t="str">
        <f ca="1">'NGS Run Record'!B34</f>
        <v>Horizon, Tru-Q 1 (5% Tier)</v>
      </c>
      <c r="B3" s="68" t="str">
        <f ca="1">'NGS Run Record'!C34</f>
        <v>C00026B</v>
      </c>
      <c r="C3" s="68" t="str">
        <f ca="1">'NGS Run Record'!D34</f>
        <v>Tru-Q 1 (5% Tier)</v>
      </c>
      <c r="D3" s="68" t="str">
        <f ca="1">'NGS Run Record'!E34</f>
        <v>DNA</v>
      </c>
      <c r="E3" s="68" t="str">
        <f ca="1">'NGS Run Record'!F34</f>
        <v>5.0</v>
      </c>
      <c r="F3" s="68">
        <f ca="1">'NGS Run Record'!G34</f>
        <v>0</v>
      </c>
      <c r="G3" s="68" t="e">
        <f>'NGS Run Record'!#REF!</f>
        <v>#REF!</v>
      </c>
      <c r="H3" s="68" t="str">
        <f t="shared" ca="1" si="0"/>
        <v>NGS 25-CM13  Library QC__CL</v>
      </c>
    </row>
    <row r="4" spans="1:8" x14ac:dyDescent="0.2">
      <c r="A4" s="68" t="str">
        <f ca="1">'NGS Run Record'!B35</f>
        <v>Gaston,  Anita</v>
      </c>
      <c r="B4" s="68" t="str">
        <f ca="1">'NGS Run Record'!C35</f>
        <v>25BH-015MP0030</v>
      </c>
      <c r="C4" s="68" t="str">
        <f ca="1">'NGS Run Record'!D35</f>
        <v>CMOL DNA 305_D-1</v>
      </c>
      <c r="D4" s="68" t="str">
        <f ca="1">'NGS Run Record'!E35</f>
        <v>Bone Marrow</v>
      </c>
      <c r="E4" s="68">
        <f ca="1">'NGS Run Record'!F35</f>
        <v>63.8</v>
      </c>
      <c r="F4" s="68">
        <f ca="1">'NGS Run Record'!G35</f>
        <v>1.9</v>
      </c>
      <c r="G4" s="68" t="e">
        <f>'NGS Run Record'!#REF!</f>
        <v>#REF!</v>
      </c>
      <c r="H4" s="68" t="str">
        <f t="shared" ca="1" si="0"/>
        <v>NGS 25-CM13  Library QC__CL</v>
      </c>
    </row>
    <row r="5" spans="1:8" x14ac:dyDescent="0.2">
      <c r="A5" s="68" t="str">
        <f ca="1">'NGS Run Record'!B36</f>
        <v>Young,  Susan Marie</v>
      </c>
      <c r="B5" s="68" t="str">
        <f ca="1">'NGS Run Record'!C36</f>
        <v>25BH-015MP0025</v>
      </c>
      <c r="C5" s="68" t="str">
        <f ca="1">'NGS Run Record'!D36</f>
        <v>CMOL DNA 305_D-3</v>
      </c>
      <c r="D5" s="68" t="str">
        <f ca="1">'NGS Run Record'!E36</f>
        <v>Bone Marrow</v>
      </c>
      <c r="E5" s="68">
        <f ca="1">'NGS Run Record'!F36</f>
        <v>166.7</v>
      </c>
      <c r="F5" s="68">
        <f ca="1">'NGS Run Record'!G36</f>
        <v>1.9</v>
      </c>
      <c r="G5" s="68" t="e">
        <f>'NGS Run Record'!#REF!</f>
        <v>#REF!</v>
      </c>
      <c r="H5" s="68" t="str">
        <f t="shared" ca="1" si="0"/>
        <v>NGS 25-CM13  Library QC__CL</v>
      </c>
    </row>
    <row r="6" spans="1:8" x14ac:dyDescent="0.2">
      <c r="A6" s="68" t="str">
        <f ca="1">'NGS Run Record'!B37</f>
        <v>Stumbo,  Ashley Ann</v>
      </c>
      <c r="B6" s="68" t="str">
        <f ca="1">'NGS Run Record'!C37</f>
        <v>25BH-016MP0005</v>
      </c>
      <c r="C6" s="68" t="str">
        <f ca="1">'NGS Run Record'!D37</f>
        <v>CMOL DNA 305_D-4</v>
      </c>
      <c r="D6" s="68" t="str">
        <f ca="1">'NGS Run Record'!E37</f>
        <v>Bone Marrow</v>
      </c>
      <c r="E6" s="68">
        <f ca="1">'NGS Run Record'!F37</f>
        <v>113.2</v>
      </c>
      <c r="F6" s="68">
        <f ca="1">'NGS Run Record'!G37</f>
        <v>1.9</v>
      </c>
      <c r="G6" s="68" t="e">
        <f>'NGS Run Record'!#REF!</f>
        <v>#REF!</v>
      </c>
      <c r="H6" s="68" t="str">
        <f t="shared" ca="1" si="0"/>
        <v>NGS 25-CM13  Library QC__CL</v>
      </c>
    </row>
    <row r="7" spans="1:8" x14ac:dyDescent="0.2">
      <c r="A7" s="68" t="str">
        <f ca="1">'NGS Run Record'!B38</f>
        <v>Frizell,  Eric Brandon</v>
      </c>
      <c r="B7" s="68" t="str">
        <f ca="1">'NGS Run Record'!C38</f>
        <v>25BH-015MP0031</v>
      </c>
      <c r="C7" s="68" t="str">
        <f ca="1">'NGS Run Record'!D38</f>
        <v>CMOL DNA 305_D-5</v>
      </c>
      <c r="D7" s="68" t="str">
        <f ca="1">'NGS Run Record'!E38</f>
        <v>Bone Marrow</v>
      </c>
      <c r="E7" s="68">
        <f ca="1">'NGS Run Record'!F38</f>
        <v>23</v>
      </c>
      <c r="F7" s="68">
        <f ca="1">'NGS Run Record'!G38</f>
        <v>2</v>
      </c>
      <c r="G7" s="68" t="e">
        <f>'NGS Run Record'!#REF!</f>
        <v>#REF!</v>
      </c>
      <c r="H7" s="68" t="str">
        <f t="shared" ca="1" si="0"/>
        <v>NGS 25-CM13  Library QC__CL</v>
      </c>
    </row>
    <row r="8" spans="1:8" x14ac:dyDescent="0.2">
      <c r="A8" s="68" t="str">
        <f ca="1">'NGS Run Record'!B39</f>
        <v>King,  Janet Elaine</v>
      </c>
      <c r="B8" s="68" t="str">
        <f ca="1">'NGS Run Record'!C39</f>
        <v>25BH-016MP0003</v>
      </c>
      <c r="C8" s="68" t="str">
        <f ca="1">'NGS Run Record'!D39</f>
        <v>CMOL DNA 305_D-6</v>
      </c>
      <c r="D8" s="68" t="str">
        <f ca="1">'NGS Run Record'!E39</f>
        <v>Bone Marrow</v>
      </c>
      <c r="E8" s="68">
        <f ca="1">'NGS Run Record'!F39</f>
        <v>209.3</v>
      </c>
      <c r="F8" s="68">
        <f ca="1">'NGS Run Record'!G39</f>
        <v>1.9</v>
      </c>
      <c r="G8" s="68" t="e">
        <f>'NGS Run Record'!#REF!</f>
        <v>#REF!</v>
      </c>
      <c r="H8" s="68" t="str">
        <f t="shared" ca="1" si="0"/>
        <v>NGS 25-CM13  Library QC__CL</v>
      </c>
    </row>
    <row r="9" spans="1:8" x14ac:dyDescent="0.2">
      <c r="A9" s="68" t="str">
        <f ca="1">'NGS Run Record'!B40</f>
        <v>Thomas,  Madison Mine</v>
      </c>
      <c r="B9" s="68" t="str">
        <f ca="1">'NGS Run Record'!C40</f>
        <v>25BH-016MP0015</v>
      </c>
      <c r="C9" s="68" t="str">
        <f ca="1">'NGS Run Record'!D40</f>
        <v>CMOL DNA 305_D-7</v>
      </c>
      <c r="D9" s="68" t="str">
        <f ca="1">'NGS Run Record'!E40</f>
        <v>Blood</v>
      </c>
      <c r="E9" s="68">
        <f ca="1">'NGS Run Record'!F40</f>
        <v>100.7</v>
      </c>
      <c r="F9" s="68">
        <f ca="1">'NGS Run Record'!G40</f>
        <v>1.9</v>
      </c>
      <c r="G9" s="68" t="e">
        <f>'NGS Run Record'!#REF!</f>
        <v>#REF!</v>
      </c>
      <c r="H9" s="68" t="str">
        <f t="shared" ca="1" si="0"/>
        <v>NGS 25-CM13  Library QC__CL</v>
      </c>
    </row>
    <row r="10" spans="1:8" x14ac:dyDescent="0.2">
      <c r="A10" s="68" t="str">
        <f ca="1">'NGS Run Record'!B41</f>
        <v>Tucker,  Rita S</v>
      </c>
      <c r="B10" s="68" t="str">
        <f ca="1">'NGS Run Record'!C41</f>
        <v>25BH-016MP0014</v>
      </c>
      <c r="C10" s="68" t="str">
        <f ca="1">'NGS Run Record'!D41</f>
        <v>CMOL DNA 305_D-8</v>
      </c>
      <c r="D10" s="68" t="str">
        <f ca="1">'NGS Run Record'!E41</f>
        <v>Blood</v>
      </c>
      <c r="E10" s="68">
        <f ca="1">'NGS Run Record'!F41</f>
        <v>37.700000000000003</v>
      </c>
      <c r="F10" s="68">
        <f ca="1">'NGS Run Record'!G41</f>
        <v>1.9</v>
      </c>
      <c r="G10" s="68" t="e">
        <f>'NGS Run Record'!#REF!</f>
        <v>#REF!</v>
      </c>
      <c r="H10" s="68" t="str">
        <f t="shared" ca="1" si="0"/>
        <v>NGS 25-CM13  Library QC__CL</v>
      </c>
    </row>
    <row r="11" spans="1:8" x14ac:dyDescent="0.2">
      <c r="A11" s="68" t="str">
        <f ca="1">'NGS Run Record'!B42</f>
        <v>Verburg,  Robert Martin</v>
      </c>
      <c r="B11" s="68" t="str">
        <f ca="1">'NGS Run Record'!C42</f>
        <v>25BH-016MP0016</v>
      </c>
      <c r="C11" s="68" t="str">
        <f ca="1">'NGS Run Record'!D42</f>
        <v>CMOL DNA 305_D-9</v>
      </c>
      <c r="D11" s="68" t="str">
        <f ca="1">'NGS Run Record'!E42</f>
        <v>Bone Marrow</v>
      </c>
      <c r="E11" s="68">
        <f ca="1">'NGS Run Record'!F42</f>
        <v>32.9</v>
      </c>
      <c r="F11" s="68">
        <f ca="1">'NGS Run Record'!G42</f>
        <v>2</v>
      </c>
      <c r="G11" s="68" t="e">
        <f>'NGS Run Record'!#REF!</f>
        <v>#REF!</v>
      </c>
      <c r="H11" s="68" t="str">
        <f t="shared" ca="1" si="0"/>
        <v>NGS 25-CM13  Library QC__CL</v>
      </c>
    </row>
    <row r="12" spans="1:8" x14ac:dyDescent="0.2">
      <c r="A12" s="68" t="str">
        <f ca="1">'NGS Run Record'!B43</f>
        <v>Baker,  Judith Elaine</v>
      </c>
      <c r="B12" s="68" t="str">
        <f ca="1">'NGS Run Record'!C43</f>
        <v>25BH-016MP0022</v>
      </c>
      <c r="C12" s="68" t="str">
        <f ca="1">'NGS Run Record'!D43</f>
        <v>CMOL DNA 305_E-1</v>
      </c>
      <c r="D12" s="68" t="str">
        <f ca="1">'NGS Run Record'!E43</f>
        <v>Bone Marrow</v>
      </c>
      <c r="E12" s="68">
        <f ca="1">'NGS Run Record'!F43</f>
        <v>61.8</v>
      </c>
      <c r="F12" s="68">
        <f ca="1">'NGS Run Record'!G43</f>
        <v>1.9</v>
      </c>
      <c r="G12" s="68" t="e">
        <f>'NGS Run Record'!#REF!</f>
        <v>#REF!</v>
      </c>
      <c r="H12" s="68" t="str">
        <f t="shared" ca="1" si="0"/>
        <v>NGS 25-CM13  Library QC__CL</v>
      </c>
    </row>
    <row r="13" spans="1:8" x14ac:dyDescent="0.2">
      <c r="A13" s="68" t="str">
        <f ca="1">'NGS Run Record'!B44</f>
        <v>Huynh,  Chau Van</v>
      </c>
      <c r="B13" s="68" t="str">
        <f ca="1">'NGS Run Record'!C44</f>
        <v>25BH-016MP0018</v>
      </c>
      <c r="C13" s="68" t="str">
        <f ca="1">'NGS Run Record'!D44</f>
        <v>CMOL DNA 305_E-2</v>
      </c>
      <c r="D13" s="68" t="str">
        <f ca="1">'NGS Run Record'!E44</f>
        <v>Bone Marrow</v>
      </c>
      <c r="E13" s="68">
        <f ca="1">'NGS Run Record'!F44</f>
        <v>4.2</v>
      </c>
      <c r="F13" s="68">
        <f ca="1">'NGS Run Record'!G44</f>
        <v>1.7</v>
      </c>
      <c r="G13" s="68" t="e">
        <f>'NGS Run Record'!#REF!</f>
        <v>#REF!</v>
      </c>
      <c r="H13" s="68" t="str">
        <f t="shared" ca="1" si="0"/>
        <v>NGS 25-CM13  Library QC__CL</v>
      </c>
    </row>
    <row r="14" spans="1:8" x14ac:dyDescent="0.2">
      <c r="A14" s="68" t="str">
        <f ca="1">'NGS Run Record'!B45</f>
        <v>Linquist,  Zachary Connor</v>
      </c>
      <c r="B14" s="68" t="str">
        <f ca="1">'NGS Run Record'!C45</f>
        <v>25BH-016MP0036</v>
      </c>
      <c r="C14" s="68" t="str">
        <f ca="1">'NGS Run Record'!D45</f>
        <v>CMOL DNA 305_F-2</v>
      </c>
      <c r="D14" s="68" t="str">
        <f ca="1">'NGS Run Record'!E45</f>
        <v>Blood</v>
      </c>
      <c r="E14" s="68">
        <f ca="1">'NGS Run Record'!F45</f>
        <v>28.6</v>
      </c>
      <c r="F14" s="68">
        <f ca="1">'NGS Run Record'!G45</f>
        <v>1.9</v>
      </c>
      <c r="G14" s="68" t="e">
        <f>'NGS Run Record'!#REF!</f>
        <v>#REF!</v>
      </c>
      <c r="H14" s="68" t="str">
        <f t="shared" ca="1" si="0"/>
        <v>NGS 25-CM13  Library QC__CL</v>
      </c>
    </row>
    <row r="15" spans="1:8" x14ac:dyDescent="0.2">
      <c r="A15" s="68" t="e">
        <f>'NGS Run Record'!#REF!</f>
        <v>#REF!</v>
      </c>
      <c r="B15" s="68" t="e">
        <f>'NGS Run Record'!#REF!</f>
        <v>#REF!</v>
      </c>
      <c r="C15" s="68" t="e">
        <f>'NGS Run Record'!#REF!</f>
        <v>#REF!</v>
      </c>
      <c r="D15" s="68" t="e">
        <f>'NGS Run Record'!#REF!</f>
        <v>#REF!</v>
      </c>
      <c r="E15" s="68" t="e">
        <f>'NGS Run Record'!#REF!</f>
        <v>#REF!</v>
      </c>
      <c r="F15" s="68" t="e">
        <f>'NGS Run Record'!#REF!</f>
        <v>#REF!</v>
      </c>
      <c r="G15" s="68" t="e">
        <f>'NGS Run Record'!#REF!</f>
        <v>#REF!</v>
      </c>
      <c r="H15" s="68" t="e">
        <f t="shared" si="0"/>
        <v>#REF!</v>
      </c>
    </row>
    <row r="16" spans="1:8" x14ac:dyDescent="0.2">
      <c r="A16" s="68" t="e">
        <f>'NGS Run Record'!#REF!</f>
        <v>#REF!</v>
      </c>
      <c r="B16" s="68" t="e">
        <f>'NGS Run Record'!#REF!</f>
        <v>#REF!</v>
      </c>
      <c r="C16" s="68" t="e">
        <f>'NGS Run Record'!#REF!</f>
        <v>#REF!</v>
      </c>
      <c r="D16" s="68" t="e">
        <f>'NGS Run Record'!#REF!</f>
        <v>#REF!</v>
      </c>
      <c r="E16" s="68" t="e">
        <f>'NGS Run Record'!#REF!</f>
        <v>#REF!</v>
      </c>
      <c r="F16" s="68" t="e">
        <f>'NGS Run Record'!#REF!</f>
        <v>#REF!</v>
      </c>
      <c r="G16" s="68" t="e">
        <f>'NGS Run Record'!#REF!</f>
        <v>#REF!</v>
      </c>
      <c r="H16" s="68" t="e">
        <f t="shared" si="0"/>
        <v>#REF!</v>
      </c>
    </row>
    <row r="17" spans="1:8" x14ac:dyDescent="0.2">
      <c r="A17" s="68" t="e">
        <f>'NGS Run Record'!#REF!</f>
        <v>#REF!</v>
      </c>
      <c r="B17" s="68" t="e">
        <f>'NGS Run Record'!#REF!</f>
        <v>#REF!</v>
      </c>
      <c r="C17" s="68" t="e">
        <f>'NGS Run Record'!#REF!</f>
        <v>#REF!</v>
      </c>
      <c r="D17" s="68" t="e">
        <f>'NGS Run Record'!#REF!</f>
        <v>#REF!</v>
      </c>
      <c r="E17" s="68" t="e">
        <f>'NGS Run Record'!#REF!</f>
        <v>#REF!</v>
      </c>
      <c r="F17" s="68" t="e">
        <f>'NGS Run Record'!#REF!</f>
        <v>#REF!</v>
      </c>
      <c r="G17" s="68" t="e">
        <f>'NGS Run Record'!#REF!</f>
        <v>#REF!</v>
      </c>
      <c r="H17" s="68" t="e">
        <f t="shared" si="0"/>
        <v>#REF!</v>
      </c>
    </row>
    <row r="18" spans="1:8" x14ac:dyDescent="0.2">
      <c r="A18" s="68" t="e">
        <f>'NGS Run Record'!#REF!</f>
        <v>#REF!</v>
      </c>
      <c r="B18" s="68" t="e">
        <f>'NGS Run Record'!#REF!</f>
        <v>#REF!</v>
      </c>
      <c r="C18" s="68" t="e">
        <f>'NGS Run Record'!#REF!</f>
        <v>#REF!</v>
      </c>
      <c r="D18" s="68" t="e">
        <f>'NGS Run Record'!#REF!</f>
        <v>#REF!</v>
      </c>
      <c r="E18" s="68" t="e">
        <f>'NGS Run Record'!#REF!</f>
        <v>#REF!</v>
      </c>
      <c r="F18" s="68" t="e">
        <f>'NGS Run Record'!#REF!</f>
        <v>#REF!</v>
      </c>
      <c r="G18" s="68" t="e">
        <f>'NGS Run Record'!#REF!</f>
        <v>#REF!</v>
      </c>
      <c r="H18" s="68" t="e">
        <f t="shared" si="0"/>
        <v>#REF!</v>
      </c>
    </row>
    <row r="19" spans="1:8" x14ac:dyDescent="0.2">
      <c r="A19" s="68" t="e">
        <f>'NGS Run Record'!#REF!</f>
        <v>#REF!</v>
      </c>
      <c r="B19" s="68" t="e">
        <f>'NGS Run Record'!#REF!</f>
        <v>#REF!</v>
      </c>
      <c r="C19" s="68" t="e">
        <f>'NGS Run Record'!#REF!</f>
        <v>#REF!</v>
      </c>
      <c r="D19" s="68" t="e">
        <f>'NGS Run Record'!#REF!</f>
        <v>#REF!</v>
      </c>
      <c r="E19" s="68" t="e">
        <f>'NGS Run Record'!#REF!</f>
        <v>#REF!</v>
      </c>
      <c r="F19" s="68" t="e">
        <f>'NGS Run Record'!#REF!</f>
        <v>#REF!</v>
      </c>
      <c r="G19" s="68" t="e">
        <f>'NGS Run Record'!#REF!</f>
        <v>#REF!</v>
      </c>
      <c r="H19" s="68" t="e">
        <f t="shared" si="0"/>
        <v>#REF!</v>
      </c>
    </row>
    <row r="20" spans="1:8" x14ac:dyDescent="0.2">
      <c r="A20" s="68" t="e">
        <f>'NGS Run Record'!#REF!</f>
        <v>#REF!</v>
      </c>
      <c r="B20" s="68" t="e">
        <f>'NGS Run Record'!#REF!</f>
        <v>#REF!</v>
      </c>
      <c r="C20" s="68" t="e">
        <f>'NGS Run Record'!#REF!</f>
        <v>#REF!</v>
      </c>
      <c r="D20" s="68" t="e">
        <f>'NGS Run Record'!#REF!</f>
        <v>#REF!</v>
      </c>
      <c r="E20" s="68" t="e">
        <f>'NGS Run Record'!#REF!</f>
        <v>#REF!</v>
      </c>
      <c r="F20" s="68" t="e">
        <f>'NGS Run Record'!#REF!</f>
        <v>#REF!</v>
      </c>
      <c r="G20" s="68" t="e">
        <f>'NGS Run Record'!#REF!</f>
        <v>#REF!</v>
      </c>
      <c r="H20" s="68" t="e">
        <f t="shared" si="0"/>
        <v>#REF!</v>
      </c>
    </row>
    <row r="21" spans="1:8" x14ac:dyDescent="0.2">
      <c r="A21" s="68" t="e">
        <f>'NGS Run Record'!#REF!</f>
        <v>#REF!</v>
      </c>
      <c r="B21" s="68" t="e">
        <f>'NGS Run Record'!#REF!</f>
        <v>#REF!</v>
      </c>
      <c r="C21" s="68" t="e">
        <f>'NGS Run Record'!#REF!</f>
        <v>#REF!</v>
      </c>
      <c r="D21" s="68" t="e">
        <f>'NGS Run Record'!#REF!</f>
        <v>#REF!</v>
      </c>
      <c r="E21" s="68" t="e">
        <f>'NGS Run Record'!#REF!</f>
        <v>#REF!</v>
      </c>
      <c r="F21" s="68" t="e">
        <f>'NGS Run Record'!#REF!</f>
        <v>#REF!</v>
      </c>
      <c r="G21" s="68" t="e">
        <f>'NGS Run Record'!#REF!</f>
        <v>#REF!</v>
      </c>
      <c r="H21" s="68" t="e">
        <f t="shared" si="0"/>
        <v>#REF!</v>
      </c>
    </row>
    <row r="22" spans="1:8" x14ac:dyDescent="0.2">
      <c r="A22" s="68" t="e">
        <f>'NGS Run Record'!#REF!</f>
        <v>#REF!</v>
      </c>
      <c r="B22" s="68" t="e">
        <f>'NGS Run Record'!#REF!</f>
        <v>#REF!</v>
      </c>
      <c r="C22" s="68" t="e">
        <f>'NGS Run Record'!#REF!</f>
        <v>#REF!</v>
      </c>
      <c r="D22" s="68" t="e">
        <f>'NGS Run Record'!#REF!</f>
        <v>#REF!</v>
      </c>
      <c r="E22" s="68" t="e">
        <f>'NGS Run Record'!#REF!</f>
        <v>#REF!</v>
      </c>
      <c r="F22" s="68" t="e">
        <f>'NGS Run Record'!#REF!</f>
        <v>#REF!</v>
      </c>
      <c r="G22" s="68" t="e">
        <f>'NGS Run Record'!#REF!</f>
        <v>#REF!</v>
      </c>
      <c r="H22" s="68" t="e">
        <f t="shared" si="0"/>
        <v>#REF!</v>
      </c>
    </row>
    <row r="23" spans="1:8" x14ac:dyDescent="0.2">
      <c r="A23" s="68" t="e">
        <f>'NGS Run Record'!#REF!</f>
        <v>#REF!</v>
      </c>
      <c r="B23" s="68" t="e">
        <f>'NGS Run Record'!#REF!</f>
        <v>#REF!</v>
      </c>
      <c r="C23" s="68" t="e">
        <f>'NGS Run Record'!#REF!</f>
        <v>#REF!</v>
      </c>
      <c r="D23" s="68" t="e">
        <f>'NGS Run Record'!#REF!</f>
        <v>#REF!</v>
      </c>
      <c r="E23" s="68" t="e">
        <f>'NGS Run Record'!#REF!</f>
        <v>#REF!</v>
      </c>
      <c r="F23" s="68" t="e">
        <f>'NGS Run Record'!#REF!</f>
        <v>#REF!</v>
      </c>
      <c r="G23" s="68" t="e">
        <f>'NGS Run Record'!#REF!</f>
        <v>#REF!</v>
      </c>
      <c r="H23" s="68" t="e">
        <f t="shared" si="0"/>
        <v>#REF!</v>
      </c>
    </row>
    <row r="24" spans="1:8" x14ac:dyDescent="0.2">
      <c r="A24" s="68" t="e">
        <f>'NGS Run Record'!#REF!</f>
        <v>#REF!</v>
      </c>
      <c r="B24" s="68" t="e">
        <f>'NGS Run Record'!#REF!</f>
        <v>#REF!</v>
      </c>
      <c r="C24" s="68" t="e">
        <f>'NGS Run Record'!#REF!</f>
        <v>#REF!</v>
      </c>
      <c r="D24" s="68" t="e">
        <f>'NGS Run Record'!#REF!</f>
        <v>#REF!</v>
      </c>
      <c r="E24" s="68" t="e">
        <f>'NGS Run Record'!#REF!</f>
        <v>#REF!</v>
      </c>
      <c r="F24" s="68" t="e">
        <f>'NGS Run Record'!#REF!</f>
        <v>#REF!</v>
      </c>
      <c r="G24" s="68" t="e">
        <f>'NGS Run Record'!#REF!</f>
        <v>#REF!</v>
      </c>
      <c r="H24" s="68" t="e">
        <f t="shared" si="0"/>
        <v>#REF!</v>
      </c>
    </row>
    <row r="25" spans="1:8" x14ac:dyDescent="0.2">
      <c r="A25" s="68" t="e">
        <f>'NGS Run Record'!#REF!</f>
        <v>#REF!</v>
      </c>
      <c r="B25" s="68" t="e">
        <f>'NGS Run Record'!#REF!</f>
        <v>#REF!</v>
      </c>
      <c r="C25" s="68" t="e">
        <f>'NGS Run Record'!#REF!</f>
        <v>#REF!</v>
      </c>
      <c r="D25" s="68" t="e">
        <f>'NGS Run Record'!#REF!</f>
        <v>#REF!</v>
      </c>
      <c r="E25" s="68" t="e">
        <f>'NGS Run Record'!#REF!</f>
        <v>#REF!</v>
      </c>
      <c r="F25" s="68" t="e">
        <f>'NGS Run Record'!#REF!</f>
        <v>#REF!</v>
      </c>
      <c r="G25" s="68" t="e">
        <f>'NGS Run Record'!#REF!</f>
        <v>#REF!</v>
      </c>
      <c r="H25" s="68" t="e">
        <f t="shared" si="0"/>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2:R44"/>
  <sheetViews>
    <sheetView zoomScale="90" zoomScaleNormal="90" workbookViewId="0">
      <selection activeCell="R6" sqref="R6"/>
    </sheetView>
  </sheetViews>
  <sheetFormatPr defaultColWidth="8.85546875" defaultRowHeight="12.75" x14ac:dyDescent="0.2"/>
  <cols>
    <col min="1" max="1" width="5.7109375" style="90" customWidth="1"/>
    <col min="2" max="7" width="8.7109375" style="90" customWidth="1"/>
    <col min="8" max="9" width="3.7109375" style="90" customWidth="1"/>
    <col min="10" max="13" width="8.7109375" style="90" customWidth="1"/>
    <col min="14" max="16" width="8.85546875" style="90"/>
    <col min="17" max="17" width="10.85546875" style="90" customWidth="1"/>
    <col min="18" max="16384" width="8.85546875" style="90"/>
  </cols>
  <sheetData>
    <row r="2" spans="1:18" x14ac:dyDescent="0.2">
      <c r="A2" s="88" t="str">
        <f>"Table 2. "&amp;AssayID&amp;" Plate layout map."</f>
        <v>Table 2. NGS 25-CM13  Library QC__CL Plate layout map.</v>
      </c>
    </row>
    <row r="4" spans="1:18" hidden="1" x14ac:dyDescent="0.2">
      <c r="A4" s="94" t="s">
        <v>33</v>
      </c>
      <c r="B4" s="94" t="s">
        <v>95</v>
      </c>
      <c r="C4" s="94" t="s">
        <v>96</v>
      </c>
      <c r="D4" s="94" t="s">
        <v>143</v>
      </c>
      <c r="E4" s="94" t="s">
        <v>158</v>
      </c>
      <c r="F4" s="94" t="s">
        <v>99</v>
      </c>
      <c r="G4" s="94" t="s">
        <v>100</v>
      </c>
      <c r="H4" s="94" t="s">
        <v>101</v>
      </c>
      <c r="I4" s="94" t="s">
        <v>102</v>
      </c>
      <c r="J4" s="94" t="s">
        <v>103</v>
      </c>
      <c r="K4" s="94" t="s">
        <v>104</v>
      </c>
      <c r="L4" s="94" t="s">
        <v>105</v>
      </c>
      <c r="M4" s="94" t="s">
        <v>106</v>
      </c>
      <c r="Q4" s="90" t="s">
        <v>165</v>
      </c>
    </row>
    <row r="5" spans="1:18" x14ac:dyDescent="0.2">
      <c r="A5" s="119"/>
      <c r="B5" s="119" t="s">
        <v>159</v>
      </c>
      <c r="C5" s="119" t="s">
        <v>157</v>
      </c>
      <c r="D5" s="119" t="s">
        <v>160</v>
      </c>
      <c r="E5" s="119" t="s">
        <v>159</v>
      </c>
      <c r="F5" s="119" t="s">
        <v>157</v>
      </c>
      <c r="G5" s="119" t="s">
        <v>160</v>
      </c>
      <c r="H5" s="119"/>
      <c r="I5" s="119"/>
      <c r="J5" s="119"/>
      <c r="K5" s="120" t="s">
        <v>172</v>
      </c>
      <c r="L5" s="119"/>
      <c r="M5" s="119"/>
      <c r="Q5" s="90" t="s">
        <v>166</v>
      </c>
      <c r="R5" s="90">
        <f ca="1">32*2*'NGS Run Record'!E74*1.05</f>
        <v>1209.6000000000001</v>
      </c>
    </row>
    <row r="6" spans="1:18" x14ac:dyDescent="0.2">
      <c r="A6" s="121" t="s">
        <v>149</v>
      </c>
      <c r="B6" s="121">
        <v>1</v>
      </c>
      <c r="C6" s="121">
        <v>2</v>
      </c>
      <c r="D6" s="121">
        <v>3</v>
      </c>
      <c r="E6" s="121">
        <v>4</v>
      </c>
      <c r="F6" s="121">
        <v>5</v>
      </c>
      <c r="G6" s="121">
        <v>6</v>
      </c>
      <c r="H6" s="121">
        <v>7</v>
      </c>
      <c r="I6" s="121">
        <v>8</v>
      </c>
      <c r="J6" s="121">
        <v>9</v>
      </c>
      <c r="K6" s="121">
        <v>10</v>
      </c>
      <c r="L6" s="121">
        <v>11</v>
      </c>
      <c r="M6" s="121">
        <v>12</v>
      </c>
      <c r="Q6" s="90" t="s">
        <v>167</v>
      </c>
      <c r="R6" s="90">
        <f ca="1">42*2*'NGS Run Record'!E74*1.05</f>
        <v>1587.6000000000001</v>
      </c>
    </row>
    <row r="7" spans="1:18" ht="60" customHeight="1" x14ac:dyDescent="0.2">
      <c r="A7" s="121" t="s">
        <v>150</v>
      </c>
      <c r="B7" s="122"/>
      <c r="C7" s="122"/>
      <c r="D7" s="122"/>
      <c r="E7" s="123" t="str">
        <f>IF('Patient List'!I9="","","2 µl "&amp;'Patient List'!I9&amp;" library + 78 µl EB buffer (1:40)")</f>
        <v>2 µl 25BH-016MP0015 library + 78 µl EB buffer (1:40)</v>
      </c>
      <c r="F7" s="123" t="str">
        <f>IF('Patient List'!I9="","","2 µl "&amp;'Patient List'!I9&amp;" library (1:40) + 98 µl EB buffer (1:2000)")</f>
        <v>2 µl 25BH-016MP0015 library (1:40) + 98 µl EB buffer (1:2000)</v>
      </c>
      <c r="G7" s="123" t="str">
        <f>IF('Patient List'!I9="","","5 µl "&amp;'Patient List'!I9&amp;" library (1:2000) + 45 µl EB buffer (1:20000)")</f>
        <v>5 µl 25BH-016MP0015 library (1:2000) + 45 µl EB buffer (1:20000)</v>
      </c>
      <c r="H7" s="124"/>
      <c r="I7" s="124"/>
      <c r="J7" s="125" t="s">
        <v>194</v>
      </c>
      <c r="K7" s="125" t="str">
        <f ca="1">IF('NGS Run Record'!C34="","","10 µl Library "&amp;'NGS Run Record'!C34&amp;" (1:2000) + 74 µl Mastermix M2")</f>
        <v>10 µl Library C00026B (1:2000) + 74 µl Mastermix M2</v>
      </c>
      <c r="L7" s="125" t="str">
        <f ca="1">IF('NGS Run Record'!C38="","","10 µl Library "&amp;'NGS Run Record'!C38&amp;" (1:2000) + 74 µl Mastermix M2")</f>
        <v>10 µl Library 25BH-015MP0031 (1:2000) + 74 µl Mastermix M2</v>
      </c>
      <c r="M7" s="125" t="str">
        <f ca="1">IF('NGS Run Record'!C42="","","10 µl Library "&amp;'NGS Run Record'!C42&amp;" (1:2000) + 74 µl Mastermix M2")</f>
        <v>10 µl Library 25BH-016MP0016 (1:2000) + 74 µl Mastermix M2</v>
      </c>
    </row>
    <row r="8" spans="1:18" ht="60" customHeight="1" x14ac:dyDescent="0.2">
      <c r="A8" s="121" t="s">
        <v>151</v>
      </c>
      <c r="B8" s="122" t="str">
        <f>IF('Patient List'!I2="","NA","2 µl "&amp;'Patient List'!I2&amp;" library + 78 µl EB buffer (1:40)")</f>
        <v>2 µl NTC library + 78 µl EB buffer (1:40)</v>
      </c>
      <c r="C8" s="122" t="str">
        <f>IF('Patient List'!I2="","","2 µl "&amp;'Patient List'!I2&amp;" library (1:40) + 98 µl EB buffer (1:2000)")</f>
        <v>2 µl NTC library (1:40) + 98 µl EB buffer (1:2000)</v>
      </c>
      <c r="D8" s="122" t="str">
        <f>IF('Patient List'!I2="","","5 µl "&amp;'Patient List'!I2&amp;" library (1:2000) + 45 µl EB buffer (1:20000)")</f>
        <v>5 µl NTC library (1:2000) + 45 µl EB buffer (1:20000)</v>
      </c>
      <c r="E8" s="123" t="str">
        <f>IF('Patient List'!I10="","","2 µl "&amp;'Patient List'!I10&amp;" library + 78 µl EB buffer (1:40)")</f>
        <v>2 µl 25BH-016MP0014 library + 78 µl EB buffer (1:40)</v>
      </c>
      <c r="F8" s="123" t="str">
        <f>IF('Patient List'!I10="","","2 µl "&amp;'Patient List'!I10&amp;" library (1:40) + 98 µl EB buffer (1:2000)")</f>
        <v>2 µl 25BH-016MP0014 library (1:40) + 98 µl EB buffer (1:2000)</v>
      </c>
      <c r="G8" s="123" t="str">
        <f>IF('Patient List'!I10="","","5 µl "&amp;'Patient List'!I10&amp;" library (1:2000) + 45 µl EB buffer (1:20000)")</f>
        <v>5 µl 25BH-016MP0014 library (1:2000) + 45 µl EB buffer (1:20000)</v>
      </c>
      <c r="H8" s="124"/>
      <c r="I8" s="124"/>
      <c r="J8" s="125" t="s">
        <v>194</v>
      </c>
      <c r="K8" s="125" t="str">
        <f ca="1">IF('NGS Run Record'!C34="","","10 µl Library "&amp;'NGS Run Record'!C34&amp;" (1:20000) + 74 µl Mastermix M2")</f>
        <v>10 µl Library C00026B (1:20000) + 74 µl Mastermix M2</v>
      </c>
      <c r="L8" s="125" t="str">
        <f ca="1">IF('NGS Run Record'!C38="","","10 µl Library "&amp;'NGS Run Record'!C38&amp;" (1:20000) + 74 µl Mastermix M2")</f>
        <v>10 µl Library 25BH-015MP0031 (1:20000) + 74 µl Mastermix M2</v>
      </c>
      <c r="M8" s="125" t="str">
        <f ca="1">IF('NGS Run Record'!C42="","","10 µl Library "&amp;'NGS Run Record'!C42&amp;" (1:20000) + 74 µl Mastermix M2")</f>
        <v>10 µl Library 25BH-016MP0016 (1:20000) + 74 µl Mastermix M2</v>
      </c>
    </row>
    <row r="9" spans="1:18" ht="60" customHeight="1" x14ac:dyDescent="0.2">
      <c r="A9" s="121" t="s">
        <v>152</v>
      </c>
      <c r="B9" s="122" t="str">
        <f>IF('Patient List'!I3="","NA","2 µl "&amp;'Patient List'!I3&amp;" library + 78 µl EB buffer (1:40)")</f>
        <v>2 µl C00026B library + 78 µl EB buffer (1:40)</v>
      </c>
      <c r="C9" s="122" t="str">
        <f>IF('Patient List'!I3="","","2 µl "&amp;'Patient List'!I3&amp;" library (1:40) + 98 µl EB buffer (1:2000)")</f>
        <v>2 µl C00026B library (1:40) + 98 µl EB buffer (1:2000)</v>
      </c>
      <c r="D9" s="122" t="str">
        <f>IF('Patient List'!I3="","","5 µl "&amp;'Patient List'!I3&amp;" library (1:2000) + 45 µl EB buffer (1:20000)")</f>
        <v>5 µl C00026B library (1:2000) + 45 µl EB buffer (1:20000)</v>
      </c>
      <c r="E9" s="123" t="str">
        <f>IF('Patient List'!I11="","","2 µl "&amp;'Patient List'!I11&amp;" library + 78 µl EB buffer (1:40)")</f>
        <v>2 µl 25BH-016MP0016 library + 78 µl EB buffer (1:40)</v>
      </c>
      <c r="F9" s="123" t="str">
        <f>IF('Patient List'!I11="","","2 µl "&amp;'Patient List'!I11&amp;" library (1:40) + 98 µl EB buffer (1:2000)")</f>
        <v>2 µl 25BH-016MP0016 library (1:40) + 98 µl EB buffer (1:2000)</v>
      </c>
      <c r="G9" s="123" t="str">
        <f>IF('Patient List'!I11="","","5 µl "&amp;'Patient List'!I11&amp;" library (1:2000) + 45 µl EB buffer (1:20000)")</f>
        <v>5 µl 25BH-016MP0016 library (1:2000) + 45 µl EB buffer (1:20000)</v>
      </c>
      <c r="H9" s="124"/>
      <c r="I9" s="124"/>
      <c r="J9" s="125" t="s">
        <v>194</v>
      </c>
      <c r="K9" s="125" t="str">
        <f ca="1">IF('NGS Run Record'!C35="","","10 µl Library "&amp;'NGS Run Record'!C35&amp;" (1:2000) + 74 µl Mastermix M2")</f>
        <v>10 µl Library 25BH-015MP0030 (1:2000) + 74 µl Mastermix M2</v>
      </c>
      <c r="L9" s="125" t="str">
        <f ca="1">IF('NGS Run Record'!C39="","","10 µl Library "&amp;'NGS Run Record'!C39&amp;" (1:2000) + 74 µl Mastermix M2")</f>
        <v>10 µl Library 25BH-016MP0003 (1:2000) + 74 µl Mastermix M2</v>
      </c>
      <c r="M9" s="125" t="str">
        <f ca="1">IF('NGS Run Record'!C43="","","10 µl Library "&amp;'NGS Run Record'!C43&amp;" (1:2000) + 74 µl Mastermix M2")</f>
        <v>10 µl Library 25BH-016MP0022 (1:2000) + 74 µl Mastermix M2</v>
      </c>
    </row>
    <row r="10" spans="1:18" ht="60" customHeight="1" x14ac:dyDescent="0.2">
      <c r="A10" s="121" t="s">
        <v>153</v>
      </c>
      <c r="B10" s="122" t="str">
        <f>IF('Patient List'!I4="","NA","2 µl "&amp;'Patient List'!I4&amp;" library + 78 µl EB buffer (1:40)")</f>
        <v>2 µl 25BH-015MP0030 library + 78 µl EB buffer (1:40)</v>
      </c>
      <c r="C10" s="122" t="str">
        <f>IF('Patient List'!I4="","","2 µl "&amp;'Patient List'!I4&amp;" library (1:40) + 98 µl EB buffer (1:2000)")</f>
        <v>2 µl 25BH-015MP0030 library (1:40) + 98 µl EB buffer (1:2000)</v>
      </c>
      <c r="D10" s="122" t="str">
        <f>IF('Patient List'!I4="","","5 µl "&amp;'Patient List'!I4&amp;" library (1:2000) + 45 µl EB buffer (1:20000)")</f>
        <v>5 µl 25BH-015MP0030 library (1:2000) + 45 µl EB buffer (1:20000)</v>
      </c>
      <c r="E10" s="123" t="str">
        <f>IF('Patient List'!I12="","","2 µl "&amp;'Patient List'!I12&amp;" library + 78 µl EB buffer (1:40)")</f>
        <v>2 µl 25BH-016MP0022 library + 78 µl EB buffer (1:40)</v>
      </c>
      <c r="F10" s="123" t="str">
        <f>IF('Patient List'!I12="","","2 µl "&amp;'Patient List'!I12&amp;" library (1:40) + 98 µl EB buffer (1:2000)")</f>
        <v>2 µl 25BH-016MP0022 library (1:40) + 98 µl EB buffer (1:2000)</v>
      </c>
      <c r="G10" s="123" t="str">
        <f>IF('Patient List'!I12="","","5 µl "&amp;'Patient List'!I12&amp;" library (1:2000) + 45 µl EB buffer (1:20000)")</f>
        <v>5 µl 25BH-016MP0022 library (1:2000) + 45 µl EB buffer (1:20000)</v>
      </c>
      <c r="H10" s="124"/>
      <c r="I10" s="124"/>
      <c r="J10" s="125" t="s">
        <v>194</v>
      </c>
      <c r="K10" s="125" t="str">
        <f ca="1">IF('NGS Run Record'!C35="","","10 µl Library "&amp;'NGS Run Record'!C35&amp;" (1:20000) + 74 µl Mastermix M2")</f>
        <v>10 µl Library 25BH-015MP0030 (1:20000) + 74 µl Mastermix M2</v>
      </c>
      <c r="L10" s="125" t="str">
        <f ca="1">IF('NGS Run Record'!C39="","","10 µl Library "&amp;'NGS Run Record'!C39&amp;" (1:20000) + 74 µl Mastermix M2")</f>
        <v>10 µl Library 25BH-016MP0003 (1:20000) + 74 µl Mastermix M2</v>
      </c>
      <c r="M10" s="125" t="str">
        <f ca="1">IF('NGS Run Record'!C43="","","10 µl Library "&amp;'NGS Run Record'!C43&amp;" (1:20000) + 74 µl Mastermix M2")</f>
        <v>10 µl Library 25BH-016MP0022 (1:20000) + 74 µl Mastermix M2</v>
      </c>
    </row>
    <row r="11" spans="1:18" ht="60" customHeight="1" x14ac:dyDescent="0.2">
      <c r="A11" s="121" t="s">
        <v>154</v>
      </c>
      <c r="B11" s="122" t="str">
        <f>IF('Patient List'!I5="","NA","2 µl "&amp;'Patient List'!I5&amp;" library + 78 µl EB buffer (1:40)")</f>
        <v>2 µl 25BH-015MP0025 library + 78 µl EB buffer (1:40)</v>
      </c>
      <c r="C11" s="122" t="str">
        <f>IF('Patient List'!I5="","","2 µl "&amp;'Patient List'!I5&amp;" library (1:40) + 98 µl EB buffer (1:2000)")</f>
        <v>2 µl 25BH-015MP0025 library (1:40) + 98 µl EB buffer (1:2000)</v>
      </c>
      <c r="D11" s="122" t="str">
        <f>IF('Patient List'!I5="","","5 µl "&amp;'Patient List'!I5&amp;" library (1:2000) + 45 µl EB buffer (1:20000)")</f>
        <v>5 µl 25BH-015MP0025 library (1:2000) + 45 µl EB buffer (1:20000)</v>
      </c>
      <c r="E11" s="123" t="str">
        <f>IF('Patient List'!I13="","","2 µl "&amp;'Patient List'!I13&amp;" library + 78 µl EB buffer (1:40)")</f>
        <v>2 µl 25BH-016MP0018 library + 78 µl EB buffer (1:40)</v>
      </c>
      <c r="F11" s="123" t="str">
        <f>IF('Patient List'!I13="","","2 µl "&amp;'Patient List'!I13&amp;" library (1:40) + 98 µl EB buffer (1:2000)")</f>
        <v>2 µl 25BH-016MP0018 library (1:40) + 98 µl EB buffer (1:2000)</v>
      </c>
      <c r="G11" s="123" t="str">
        <f>IF('Patient List'!I13="","","5 µl "&amp;'Patient List'!I13&amp;" library (1:2000) + 45 µl EB buffer (1:20000)")</f>
        <v>5 µl 25BH-016MP0018 library (1:2000) + 45 µl EB buffer (1:20000)</v>
      </c>
      <c r="H11" s="124"/>
      <c r="I11" s="124"/>
      <c r="J11" s="125" t="s">
        <v>194</v>
      </c>
      <c r="K11" s="125" t="str">
        <f ca="1">IF('NGS Run Record'!C36="","","10 µl Library "&amp;'NGS Run Record'!C36&amp;" (1:2000) + 74 µl Mastermix M2")</f>
        <v>10 µl Library 25BH-015MP0025 (1:2000) + 74 µl Mastermix M2</v>
      </c>
      <c r="L11" s="125" t="str">
        <f ca="1">IF('NGS Run Record'!C40="","","10 µl Library "&amp;'NGS Run Record'!C40&amp;" (1:2000) + 74 µl Mastermix M2")</f>
        <v>10 µl Library 25BH-016MP0015 (1:2000) + 74 µl Mastermix M2</v>
      </c>
      <c r="M11" s="125" t="str">
        <f ca="1">IF('NGS Run Record'!C44="","","10 µl Library "&amp;'NGS Run Record'!C44&amp;" (1:2000) + 74 µl Mastermix M2")</f>
        <v>10 µl Library 25BH-016MP0018 (1:2000) + 74 µl Mastermix M2</v>
      </c>
    </row>
    <row r="12" spans="1:18" ht="60" customHeight="1" x14ac:dyDescent="0.2">
      <c r="A12" s="121" t="s">
        <v>144</v>
      </c>
      <c r="B12" s="122" t="str">
        <f>IF('Patient List'!I6="","NA","2 µl "&amp;'Patient List'!I6&amp;" library + 78 µl EB buffer (1:40)")</f>
        <v>2 µl 25BH-016MP0005 library + 78 µl EB buffer (1:40)</v>
      </c>
      <c r="C12" s="122" t="str">
        <f>IF('Patient List'!I6="","","2 µl "&amp;'Patient List'!I6&amp;" library (1:40) + 98 µl EB buffer (1:2000)")</f>
        <v>2 µl 25BH-016MP0005 library (1:40) + 98 µl EB buffer (1:2000)</v>
      </c>
      <c r="D12" s="122" t="str">
        <f>IF('Patient List'!I6="","","5 µl "&amp;'Patient List'!I6&amp;" library (1:2000) + 45 µl EB buffer (1:20000)")</f>
        <v>5 µl 25BH-016MP0005 library (1:2000) + 45 µl EB buffer (1:20000)</v>
      </c>
      <c r="E12" s="123" t="str">
        <f>IF('Patient List'!I14="","","2 µl "&amp;'Patient List'!I14&amp;" library + 78 µl EB buffer (1:40)")</f>
        <v>2 µl 25BH-016MP0036 library + 78 µl EB buffer (1:40)</v>
      </c>
      <c r="F12" s="123" t="str">
        <f>IF('Patient List'!I14="","","2 µl "&amp;'Patient List'!I14&amp;" library (1:40) + 98 µl EB buffer (1:2000)")</f>
        <v>2 µl 25BH-016MP0036 library (1:40) + 98 µl EB buffer (1:2000)</v>
      </c>
      <c r="G12" s="123" t="str">
        <f>IF('Patient List'!I14="","","5 µl "&amp;'Patient List'!I14&amp;" library (1:2000) + 45 µl EB buffer (1:20000)")</f>
        <v>5 µl 25BH-016MP0036 library (1:2000) + 45 µl EB buffer (1:20000)</v>
      </c>
      <c r="H12" s="124"/>
      <c r="I12" s="124"/>
      <c r="J12" s="125" t="s">
        <v>194</v>
      </c>
      <c r="K12" s="125" t="str">
        <f ca="1">IF('NGS Run Record'!C36="","","10 µl Library "&amp;'NGS Run Record'!C36&amp;" (1:20000) + 74 µl Mastermix M2")</f>
        <v>10 µl Library 25BH-015MP0025 (1:20000) + 74 µl Mastermix M2</v>
      </c>
      <c r="L12" s="125" t="str">
        <f ca="1">IF('NGS Run Record'!C40="","","10 µl Library "&amp;'NGS Run Record'!C40&amp;" (1:20000) + 74 µl Mastermix M2")</f>
        <v>10 µl Library 25BH-016MP0015 (1:20000) + 74 µl Mastermix M2</v>
      </c>
      <c r="M12" s="125" t="str">
        <f ca="1">IF('NGS Run Record'!C44="","","10 µl Library "&amp;'NGS Run Record'!C44&amp;" (1:20000) + 74 µl Mastermix M2")</f>
        <v>10 µl Library 25BH-016MP0018 (1:20000) + 74 µl Mastermix M2</v>
      </c>
    </row>
    <row r="13" spans="1:18" ht="60" customHeight="1" x14ac:dyDescent="0.2">
      <c r="A13" s="121" t="s">
        <v>155</v>
      </c>
      <c r="B13" s="122" t="str">
        <f>IF('Patient List'!I7="","NA","2 µl "&amp;'Patient List'!I7&amp;" library + 78 µl EB buffer (1:40)")</f>
        <v>2 µl 25BH-015MP0031 library + 78 µl EB buffer (1:40)</v>
      </c>
      <c r="C13" s="122" t="str">
        <f>IF('Patient List'!I7="","","2 µl "&amp;'Patient List'!I7&amp;" library (1:40) + 98 µl EB buffer (1:2000)")</f>
        <v>2 µl 25BH-015MP0031 library (1:40) + 98 µl EB buffer (1:2000)</v>
      </c>
      <c r="D13" s="122" t="str">
        <f>IF('Patient List'!I7="","","5 µl "&amp;'Patient List'!I7&amp;" library (1:2000) + 45 µl EB buffer (1:20000)")</f>
        <v>5 µl 25BH-015MP0031 library (1:2000) + 45 µl EB buffer (1:20000)</v>
      </c>
      <c r="E13" s="123" t="str">
        <f>IF('Patient List'!I16="","","2 µl "&amp;'Patient List'!I16&amp;" library + 78 µl EB buffer (1:40)")</f>
        <v>2 µl 25BH-016MP0034 library + 78 µl EB buffer (1:40)</v>
      </c>
      <c r="F13" s="123" t="str">
        <f>IF('Patient List'!I16="","","2 µl "&amp;'Patient List'!I16&amp;" library (1:40) + 98 µl EB buffer (1:2000)")</f>
        <v>2 µl 25BH-016MP0034 library (1:40) + 98 µl EB buffer (1:2000)</v>
      </c>
      <c r="G13" s="123" t="str">
        <f>IF('Patient List'!I16="","","5 µl "&amp;'Patient List'!I16&amp;" library (1:2000) + 45 µl EB buffer (1:20000)")</f>
        <v>5 µl 25BH-016MP0034 library (1:2000) + 45 µl EB buffer (1:20000)</v>
      </c>
      <c r="H13" s="124"/>
      <c r="I13" s="124"/>
      <c r="J13" s="125" t="str">
        <f ca="1">"10 µl Library "&amp;'NGS Run Record'!C33&amp;" (1:2000) + 74 µl Mastermix M2"</f>
        <v>10 µl Library NTC (1:2000) + 74 µl Mastermix M2</v>
      </c>
      <c r="K13" s="125" t="str">
        <f ca="1">IF('NGS Run Record'!C37="","","10 µl Library "&amp;'NGS Run Record'!C37&amp;" (1:2000) + 74 µl Mastermix M2")</f>
        <v>10 µl Library 25BH-016MP0005 (1:2000) + 74 µl Mastermix M2</v>
      </c>
      <c r="L13" s="125" t="str">
        <f ca="1">IF('NGS Run Record'!C41="","","10 µl Library "&amp;'NGS Run Record'!C41&amp;" (1:2000) + 74 µl Mastermix M2")</f>
        <v>10 µl Library 25BH-016MP0014 (1:2000) + 74 µl Mastermix M2</v>
      </c>
      <c r="M13" s="125" t="str">
        <f ca="1">IF('NGS Run Record'!C45="","","10 µl Library "&amp;'NGS Run Record'!C45&amp;" (1:2000) + 74 µl Mastermix M2")</f>
        <v>10 µl Library 25BH-016MP0036 (1:2000) + 74 µl Mastermix M2</v>
      </c>
    </row>
    <row r="14" spans="1:18" ht="60" customHeight="1" x14ac:dyDescent="0.2">
      <c r="A14" s="121" t="s">
        <v>156</v>
      </c>
      <c r="B14" s="122" t="str">
        <f>IF('Patient List'!I8="","NA","2 µl "&amp;'Patient List'!I8&amp;" library + 78 µl EB buffer (1:40)")</f>
        <v>2 µl 25BH-016MP0003 library + 78 µl EB buffer (1:40)</v>
      </c>
      <c r="C14" s="122" t="str">
        <f>IF('Patient List'!I8="","","2 µl "&amp;'Patient List'!I8&amp;" library (1:40) + 98 µl EB buffer (1:2000)")</f>
        <v>2 µl 25BH-016MP0003 library (1:40) + 98 µl EB buffer (1:2000)</v>
      </c>
      <c r="D14" s="122" t="str">
        <f>IF('Patient List'!I8="","","5 µl "&amp;'Patient List'!I8&amp;" library (1:2000) + 45 µl EB buffer (1:20000)")</f>
        <v>5 µl 25BH-016MP0003 library (1:2000) + 45 µl EB buffer (1:20000)</v>
      </c>
      <c r="E14" s="123" t="str">
        <f>IF('Patient List'!I17="","","2 µl "&amp;'Patient List'!I17&amp;" library + 78 µl EB buffer (1:40)")</f>
        <v>2 µl 25BH-016MP0031 library + 78 µl EB buffer (1:40)</v>
      </c>
      <c r="F14" s="123" t="str">
        <f>IF('Patient List'!I17="","","2 µl "&amp;'Patient List'!I17&amp;" library (1:40) + 98 µl EB buffer (1:2000)")</f>
        <v>2 µl 25BH-016MP0031 library (1:40) + 98 µl EB buffer (1:2000)</v>
      </c>
      <c r="G14" s="123" t="str">
        <f>IF('Patient List'!I17="","","5 µl "&amp;'Patient List'!I17&amp;" library (1:2000) + 45 µl EB buffer (1:20000)")</f>
        <v>5 µl 25BH-016MP0031 library (1:2000) + 45 µl EB buffer (1:20000)</v>
      </c>
      <c r="H14" s="124"/>
      <c r="I14" s="124"/>
      <c r="J14" s="125" t="str">
        <f ca="1">"10 µl Library "&amp;'NGS Run Record'!C33&amp;" (1:20000) + 74 µl Mastermix M2"</f>
        <v>10 µl Library NTC (1:20000) + 74 µl Mastermix M2</v>
      </c>
      <c r="K14" s="125" t="str">
        <f ca="1">IF('NGS Run Record'!C37="","","10 µl Library "&amp;'NGS Run Record'!C37&amp;" (1:20000) + 74 µl Mastermix M2")</f>
        <v>10 µl Library 25BH-016MP0005 (1:20000) + 74 µl Mastermix M2</v>
      </c>
      <c r="L14" s="125" t="str">
        <f ca="1">IF('NGS Run Record'!C41="","","10 µl Library "&amp;'NGS Run Record'!C41&amp;" (1:20000) + 74 µl Mastermix M2")</f>
        <v>10 µl Library 25BH-016MP0014 (1:20000) + 74 µl Mastermix M2</v>
      </c>
      <c r="M14" s="125" t="str">
        <f ca="1">IF('NGS Run Record'!C45="","","10 µl Library "&amp;'NGS Run Record'!C45&amp;" (1:20000) + 74 µl Mastermix M2")</f>
        <v>10 µl Library 25BH-016MP0036 (1:20000) + 74 µl Mastermix M2</v>
      </c>
    </row>
    <row r="16" spans="1:18" ht="13.5" x14ac:dyDescent="0.25">
      <c r="A16" s="98"/>
      <c r="B16" s="103" t="s">
        <v>162</v>
      </c>
      <c r="C16" s="104"/>
      <c r="D16" s="104"/>
      <c r="E16" s="104"/>
      <c r="F16" s="104"/>
      <c r="G16" s="104"/>
      <c r="H16" s="104"/>
      <c r="I16" s="104"/>
      <c r="J16" s="104"/>
      <c r="K16" s="104"/>
      <c r="L16" s="104"/>
      <c r="M16" s="105"/>
    </row>
    <row r="17" spans="1:13" ht="13.5" x14ac:dyDescent="0.25">
      <c r="A17" s="97"/>
      <c r="B17" s="103" t="s">
        <v>181</v>
      </c>
      <c r="C17" s="104"/>
      <c r="D17" s="104"/>
      <c r="E17" s="104"/>
      <c r="F17" s="104"/>
      <c r="G17" s="104"/>
      <c r="H17" s="104"/>
      <c r="I17" s="104"/>
      <c r="J17" s="104"/>
      <c r="K17" s="104"/>
      <c r="L17" s="104"/>
      <c r="M17" s="105"/>
    </row>
    <row r="18" spans="1:13" ht="13.5" x14ac:dyDescent="0.25">
      <c r="A18" s="97"/>
      <c r="B18" s="103" t="str">
        <f ca="1">IF('NGS Run Record'!E74&lt;8,"Transfer 2 µl library to the designated wells on Plate 7 column 1 according to Table 1.","Transfer 2 µl library to the designated wells on Plate 7 columns 1 and 4 according to Table 1.")</f>
        <v>Transfer 2 µl library to the designated wells on Plate 7 columns 1 and 4 according to Table 1.</v>
      </c>
      <c r="C18" s="104"/>
      <c r="D18" s="104"/>
      <c r="E18" s="104"/>
      <c r="F18" s="104"/>
      <c r="G18" s="104"/>
      <c r="H18" s="104"/>
      <c r="I18" s="104"/>
      <c r="J18" s="104"/>
      <c r="K18" s="104"/>
      <c r="L18" s="104"/>
      <c r="M18" s="105"/>
    </row>
    <row r="19" spans="1:13" ht="13.5" x14ac:dyDescent="0.25">
      <c r="A19" s="97"/>
      <c r="B19" s="103" t="s">
        <v>182</v>
      </c>
      <c r="C19" s="104"/>
      <c r="D19" s="104"/>
      <c r="E19" s="104"/>
      <c r="F19" s="104"/>
      <c r="G19" s="104"/>
      <c r="H19" s="104"/>
      <c r="I19" s="104"/>
      <c r="J19" s="104"/>
      <c r="K19" s="104"/>
      <c r="L19" s="104"/>
      <c r="M19" s="105"/>
    </row>
    <row r="20" spans="1:13" ht="13.5" x14ac:dyDescent="0.25">
      <c r="A20" s="97"/>
      <c r="B20" s="103" t="str">
        <f ca="1">IF('NGS Run Record'!E74&lt;8,"Transfer 78 µl EB buffer from tube EB to Plate 7 column 1.","Transfer 78 µl EB buffer from tube EB to Plate 7 columns 1 and 4.")</f>
        <v>Transfer 78 µl EB buffer from tube EB to Plate 7 columns 1 and 4.</v>
      </c>
      <c r="C20" s="104"/>
      <c r="D20" s="104"/>
      <c r="E20" s="104"/>
      <c r="F20" s="104"/>
      <c r="G20" s="104"/>
      <c r="H20" s="104"/>
      <c r="I20" s="104"/>
      <c r="J20" s="104"/>
      <c r="K20" s="104"/>
      <c r="L20" s="104"/>
      <c r="M20" s="105"/>
    </row>
    <row r="21" spans="1:13" ht="13.5" x14ac:dyDescent="0.25">
      <c r="A21" s="97"/>
      <c r="B21" s="103" t="s">
        <v>161</v>
      </c>
      <c r="C21" s="104"/>
      <c r="D21" s="104"/>
      <c r="E21" s="104"/>
      <c r="F21" s="104"/>
      <c r="G21" s="104"/>
      <c r="H21" s="104"/>
      <c r="I21" s="104"/>
      <c r="J21" s="104"/>
      <c r="K21" s="104"/>
      <c r="L21" s="104"/>
      <c r="M21" s="105"/>
    </row>
    <row r="22" spans="1:13" ht="13.5" x14ac:dyDescent="0.25">
      <c r="A22" s="97"/>
      <c r="B22" s="103" t="str">
        <f ca="1">IF('NGS Run Record'!E74&lt;8,"Transfer 2 µl diluted libraries (1:40) from column 1 to column 2.","Transfer 2 µl diluted libraries (1:40) from columns 1 and 4 to columns 2 and 5.")</f>
        <v>Transfer 2 µl diluted libraries (1:40) from columns 1 and 4 to columns 2 and 5.</v>
      </c>
      <c r="C22" s="104"/>
      <c r="D22" s="104"/>
      <c r="E22" s="104"/>
      <c r="F22" s="104"/>
      <c r="G22" s="104"/>
      <c r="H22" s="104"/>
      <c r="I22" s="104"/>
      <c r="J22" s="104"/>
      <c r="K22" s="104"/>
      <c r="L22" s="104"/>
      <c r="M22" s="105"/>
    </row>
    <row r="23" spans="1:13" ht="13.5" x14ac:dyDescent="0.25">
      <c r="A23" s="97"/>
      <c r="B23" s="103" t="str">
        <f ca="1">IF('NGS Run Record'!E74&lt;8,"Transfer 98 µl EB buffer from tube EB to Plate 7 column 2.","Transfer 98 µl EB buffer from tube EB to Plate 7 columns 2 and 5.")</f>
        <v>Transfer 98 µl EB buffer from tube EB to Plate 7 columns 2 and 5.</v>
      </c>
      <c r="C23" s="104"/>
      <c r="D23" s="104"/>
      <c r="E23" s="104"/>
      <c r="F23" s="104"/>
      <c r="G23" s="104"/>
      <c r="H23" s="104"/>
      <c r="I23" s="104"/>
      <c r="J23" s="104"/>
      <c r="K23" s="104"/>
      <c r="L23" s="104"/>
      <c r="M23" s="105"/>
    </row>
    <row r="24" spans="1:13" ht="13.5" x14ac:dyDescent="0.25">
      <c r="A24" s="97"/>
      <c r="B24" s="103" t="s">
        <v>161</v>
      </c>
      <c r="C24" s="104"/>
      <c r="D24" s="104"/>
      <c r="E24" s="104"/>
      <c r="F24" s="104"/>
      <c r="G24" s="104"/>
      <c r="H24" s="104"/>
      <c r="I24" s="104"/>
      <c r="J24" s="104"/>
      <c r="K24" s="104"/>
      <c r="L24" s="104"/>
      <c r="M24" s="105"/>
    </row>
    <row r="25" spans="1:13" ht="13.5" x14ac:dyDescent="0.25">
      <c r="A25" s="97"/>
      <c r="B25" s="103" t="str">
        <f ca="1">IF('NGS Run Record'!E74&lt;8,"Transfer 5 µl diluted libraries (1:2000) from column 2 to column 3.","Transfer 5 µl diluted libraries (1:2000) from columns 2 and 5 to columns 3 and 6.")</f>
        <v>Transfer 5 µl diluted libraries (1:2000) from columns 2 and 5 to columns 3 and 6.</v>
      </c>
      <c r="C25" s="104"/>
      <c r="D25" s="104"/>
      <c r="E25" s="104"/>
      <c r="F25" s="104"/>
      <c r="G25" s="104"/>
      <c r="H25" s="104"/>
      <c r="I25" s="104"/>
      <c r="J25" s="104"/>
      <c r="K25" s="104"/>
      <c r="L25" s="104"/>
      <c r="M25" s="105"/>
    </row>
    <row r="26" spans="1:13" ht="13.5" x14ac:dyDescent="0.25">
      <c r="A26" s="97"/>
      <c r="B26" s="103" t="str">
        <f ca="1">IF('NGS Run Record'!E74&lt;8,"Transfer 45 µl EB buffer from tube EB to Plate 7 column 3.","Transfer 45 µl EB buffer from tube EB to Plate 7 columns 3 and 6.")</f>
        <v>Transfer 45 µl EB buffer from tube EB to Plate 7 columns 3 and 6.</v>
      </c>
      <c r="C26" s="104"/>
      <c r="D26" s="104"/>
      <c r="E26" s="104"/>
      <c r="F26" s="104"/>
      <c r="G26" s="104"/>
      <c r="H26" s="104"/>
      <c r="I26" s="104"/>
      <c r="J26" s="104"/>
      <c r="K26" s="104"/>
      <c r="L26" s="104"/>
      <c r="M26" s="105"/>
    </row>
    <row r="27" spans="1:13" ht="13.5" x14ac:dyDescent="0.25">
      <c r="A27" s="97"/>
      <c r="B27" s="103" t="s">
        <v>161</v>
      </c>
      <c r="C27" s="104"/>
      <c r="D27" s="104"/>
      <c r="E27" s="104"/>
      <c r="F27" s="104"/>
      <c r="G27" s="104"/>
      <c r="H27" s="104"/>
      <c r="I27" s="104"/>
      <c r="J27" s="104"/>
      <c r="K27" s="104"/>
      <c r="L27" s="104"/>
      <c r="M27" s="105"/>
    </row>
    <row r="28" spans="1:13" ht="13.5" x14ac:dyDescent="0.25">
      <c r="A28" s="97"/>
      <c r="B28" s="103" t="s">
        <v>185</v>
      </c>
      <c r="C28" s="104"/>
      <c r="D28" s="104"/>
      <c r="E28" s="104"/>
      <c r="F28" s="104"/>
      <c r="G28" s="104"/>
      <c r="H28" s="104"/>
      <c r="I28" s="104"/>
      <c r="J28" s="104"/>
      <c r="K28" s="104"/>
      <c r="L28" s="104"/>
      <c r="M28" s="105"/>
    </row>
    <row r="29" spans="1:13" ht="13.5" x14ac:dyDescent="0.25">
      <c r="A29" s="97"/>
      <c r="B29" s="103" t="s">
        <v>163</v>
      </c>
      <c r="C29" s="104"/>
      <c r="D29" s="104"/>
      <c r="E29" s="104"/>
      <c r="F29" s="104"/>
      <c r="G29" s="104"/>
      <c r="H29" s="104"/>
      <c r="I29" s="104"/>
      <c r="J29" s="104"/>
      <c r="K29" s="104"/>
      <c r="L29" s="104"/>
      <c r="M29" s="105"/>
    </row>
    <row r="30" spans="1:13" ht="13.5" x14ac:dyDescent="0.25">
      <c r="A30" s="97"/>
      <c r="B30" s="103" t="s">
        <v>183</v>
      </c>
      <c r="C30" s="104"/>
      <c r="D30" s="104"/>
      <c r="E30" s="104"/>
      <c r="F30" s="104"/>
      <c r="G30" s="104"/>
      <c r="H30" s="104"/>
      <c r="I30" s="104"/>
      <c r="J30" s="104"/>
      <c r="K30" s="104"/>
      <c r="L30" s="104"/>
      <c r="M30" s="105"/>
    </row>
    <row r="31" spans="1:13" ht="13.5" x14ac:dyDescent="0.25">
      <c r="A31" s="97"/>
      <c r="B31" s="103" t="s">
        <v>184</v>
      </c>
      <c r="C31" s="104"/>
      <c r="D31" s="104"/>
      <c r="E31" s="104"/>
      <c r="F31" s="104"/>
      <c r="G31" s="104"/>
      <c r="H31" s="104"/>
      <c r="I31" s="104"/>
      <c r="J31" s="104"/>
      <c r="K31" s="104"/>
      <c r="L31" s="104"/>
      <c r="M31" s="105"/>
    </row>
    <row r="32" spans="1:13" ht="13.5" x14ac:dyDescent="0.25">
      <c r="A32" s="97"/>
      <c r="B32" s="103" t="s">
        <v>164</v>
      </c>
      <c r="C32" s="104"/>
      <c r="D32" s="104"/>
      <c r="E32" s="104"/>
      <c r="F32" s="104"/>
      <c r="G32" s="104"/>
      <c r="H32" s="104"/>
      <c r="I32" s="104"/>
      <c r="J32" s="104"/>
      <c r="K32" s="104"/>
      <c r="L32" s="104"/>
      <c r="M32" s="105"/>
    </row>
    <row r="33" spans="1:13" ht="13.5" x14ac:dyDescent="0.25">
      <c r="A33" s="97"/>
      <c r="B33" s="103" t="s">
        <v>186</v>
      </c>
      <c r="C33" s="104"/>
      <c r="D33" s="104"/>
      <c r="E33" s="104"/>
      <c r="F33" s="104"/>
      <c r="G33" s="104"/>
      <c r="H33" s="104"/>
      <c r="I33" s="104"/>
      <c r="J33" s="104"/>
      <c r="K33" s="104"/>
      <c r="L33" s="104"/>
      <c r="M33" s="105"/>
    </row>
    <row r="34" spans="1:13" ht="13.5" x14ac:dyDescent="0.25">
      <c r="A34" s="97"/>
      <c r="B34" s="103" t="s">
        <v>168</v>
      </c>
      <c r="C34" s="104"/>
      <c r="D34" s="104"/>
      <c r="E34" s="104"/>
      <c r="F34" s="104"/>
      <c r="G34" s="104"/>
      <c r="H34" s="104"/>
      <c r="I34" s="104"/>
      <c r="J34" s="104"/>
      <c r="K34" s="104"/>
      <c r="L34" s="104"/>
      <c r="M34" s="105"/>
    </row>
    <row r="35" spans="1:13" ht="13.5" x14ac:dyDescent="0.25">
      <c r="A35" s="97"/>
      <c r="B35" s="103" t="s">
        <v>170</v>
      </c>
      <c r="C35" s="104"/>
      <c r="D35" s="104"/>
      <c r="E35" s="104"/>
      <c r="F35" s="104"/>
      <c r="G35" s="104"/>
      <c r="H35" s="104"/>
      <c r="I35" s="104"/>
      <c r="J35" s="104"/>
      <c r="K35" s="104"/>
      <c r="L35" s="104"/>
      <c r="M35" s="105"/>
    </row>
    <row r="36" spans="1:13" ht="13.5" x14ac:dyDescent="0.25">
      <c r="A36" s="97"/>
      <c r="B36" s="103" t="str">
        <f ca="1">"Add "&amp;R5&amp;" µl RNase/DNase-free water to tube M2."</f>
        <v>Add 1209.6 µl RNase/DNase-free water to tube M2.</v>
      </c>
      <c r="C36" s="104"/>
      <c r="D36" s="104"/>
      <c r="E36" s="104"/>
      <c r="F36" s="104"/>
      <c r="G36" s="104"/>
      <c r="H36" s="104"/>
      <c r="I36" s="104"/>
      <c r="J36" s="104"/>
      <c r="K36" s="104"/>
      <c r="L36" s="104"/>
      <c r="M36" s="105"/>
    </row>
    <row r="37" spans="1:13" ht="13.5" x14ac:dyDescent="0.25">
      <c r="A37" s="97"/>
      <c r="B37" s="103" t="str">
        <f ca="1">"Add "&amp;R6&amp;" µl SYBR green mastermix to tube M2."</f>
        <v>Add 1587.6 µl SYBR green mastermix to tube M2.</v>
      </c>
      <c r="C37" s="104"/>
      <c r="D37" s="104"/>
      <c r="E37" s="104"/>
      <c r="F37" s="104"/>
      <c r="G37" s="104"/>
      <c r="H37" s="104"/>
      <c r="I37" s="104"/>
      <c r="J37" s="104"/>
      <c r="K37" s="104"/>
      <c r="L37" s="104"/>
      <c r="M37" s="105"/>
    </row>
    <row r="38" spans="1:13" ht="13.5" x14ac:dyDescent="0.25">
      <c r="A38" s="97"/>
      <c r="B38" s="103" t="s">
        <v>169</v>
      </c>
      <c r="C38" s="104"/>
      <c r="D38" s="104"/>
      <c r="E38" s="104"/>
      <c r="F38" s="104"/>
      <c r="G38" s="104"/>
      <c r="H38" s="104"/>
      <c r="I38" s="104"/>
      <c r="J38" s="104"/>
      <c r="K38" s="104"/>
      <c r="L38" s="104"/>
      <c r="M38" s="105"/>
    </row>
    <row r="39" spans="1:13" ht="13.5" x14ac:dyDescent="0.25">
      <c r="A39" s="97"/>
      <c r="B39" s="103" t="s">
        <v>187</v>
      </c>
      <c r="C39" s="104"/>
      <c r="D39" s="104"/>
      <c r="E39" s="104"/>
      <c r="F39" s="104"/>
      <c r="G39" s="104"/>
      <c r="H39" s="104"/>
      <c r="I39" s="104"/>
      <c r="J39" s="104"/>
      <c r="K39" s="104"/>
      <c r="L39" s="104"/>
      <c r="M39" s="105"/>
    </row>
    <row r="40" spans="1:13" ht="13.5" x14ac:dyDescent="0.25">
      <c r="A40" s="97"/>
      <c r="B40" s="103" t="s">
        <v>171</v>
      </c>
      <c r="C40" s="104"/>
      <c r="D40" s="104"/>
      <c r="E40" s="104"/>
      <c r="F40" s="104"/>
      <c r="G40" s="104"/>
      <c r="H40" s="104"/>
      <c r="I40" s="104"/>
      <c r="J40" s="104"/>
      <c r="K40" s="104"/>
      <c r="L40" s="104"/>
      <c r="M40" s="105"/>
    </row>
    <row r="41" spans="1:13" ht="13.5" x14ac:dyDescent="0.25">
      <c r="A41" s="97"/>
      <c r="B41" s="103" t="s">
        <v>188</v>
      </c>
      <c r="C41" s="104"/>
      <c r="D41" s="104"/>
      <c r="E41" s="104"/>
      <c r="F41" s="104"/>
      <c r="G41" s="104"/>
      <c r="H41" s="104"/>
      <c r="I41" s="104"/>
      <c r="J41" s="104"/>
      <c r="K41" s="104"/>
      <c r="L41" s="104"/>
      <c r="M41" s="105"/>
    </row>
    <row r="42" spans="1:13" ht="13.5" x14ac:dyDescent="0.25">
      <c r="A42" s="97"/>
      <c r="B42" s="103" t="s">
        <v>189</v>
      </c>
      <c r="C42" s="104"/>
      <c r="D42" s="104"/>
      <c r="E42" s="104"/>
      <c r="F42" s="104"/>
      <c r="G42" s="104"/>
      <c r="H42" s="104"/>
      <c r="I42" s="104"/>
      <c r="J42" s="104"/>
      <c r="K42" s="104"/>
      <c r="L42" s="104"/>
      <c r="M42" s="105"/>
    </row>
    <row r="43" spans="1:13" ht="13.5" x14ac:dyDescent="0.25">
      <c r="A43" s="97"/>
      <c r="B43" s="103" t="s">
        <v>190</v>
      </c>
      <c r="C43" s="104"/>
      <c r="D43" s="104"/>
      <c r="E43" s="104"/>
      <c r="F43" s="104"/>
      <c r="G43" s="104"/>
      <c r="H43" s="104"/>
      <c r="I43" s="104"/>
      <c r="J43" s="104"/>
      <c r="K43" s="104"/>
      <c r="L43" s="104"/>
      <c r="M43" s="105"/>
    </row>
    <row r="44" spans="1:13" ht="13.5" x14ac:dyDescent="0.25">
      <c r="A44" s="97"/>
      <c r="B44" s="103" t="s">
        <v>191</v>
      </c>
      <c r="C44" s="104"/>
      <c r="D44" s="104"/>
      <c r="E44" s="104"/>
      <c r="F44" s="104"/>
      <c r="G44" s="104"/>
      <c r="H44" s="104"/>
      <c r="I44" s="104"/>
      <c r="J44" s="104"/>
      <c r="K44" s="104"/>
      <c r="L44" s="104"/>
      <c r="M44" s="105"/>
    </row>
  </sheetData>
  <sheetProtection algorithmName="SHA-512" hashValue="i/CKXAuSnuP0cqr0ZUJTHg40izYyYdQBbkGpAdQGI8fkarhsiTvQF5hYDl+BUcqj5lYul/Y7bVygQ26SBdxfpQ==" saltValue="VZTbPeJ5Jxu5PJDBdH2E2g==" spinCount="100000" sheet="1" objects="1" scenarios="1" selectLockedCells="1" selectUnlockedCells="1"/>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M16"/>
  <sheetViews>
    <sheetView topLeftCell="A3" workbookViewId="0">
      <selection activeCell="N14" sqref="N14"/>
    </sheetView>
  </sheetViews>
  <sheetFormatPr defaultRowHeight="16.5" x14ac:dyDescent="0.3"/>
  <cols>
    <col min="1" max="13" width="6.7109375" style="99" customWidth="1"/>
  </cols>
  <sheetData>
    <row r="1" spans="1:13" ht="18" hidden="1" customHeight="1" x14ac:dyDescent="0.3"/>
    <row r="2" spans="1:13" ht="0.75" hidden="1" customHeight="1" x14ac:dyDescent="0.3">
      <c r="A2" s="100" t="s">
        <v>33</v>
      </c>
      <c r="B2" s="101" t="s">
        <v>95</v>
      </c>
      <c r="C2" s="102" t="s">
        <v>96</v>
      </c>
      <c r="D2" s="100" t="s">
        <v>143</v>
      </c>
      <c r="E2" s="101" t="s">
        <v>158</v>
      </c>
      <c r="F2" s="102" t="s">
        <v>99</v>
      </c>
      <c r="G2" s="100" t="s">
        <v>100</v>
      </c>
      <c r="H2" s="101" t="s">
        <v>101</v>
      </c>
      <c r="I2" s="102" t="s">
        <v>102</v>
      </c>
      <c r="J2" s="173" t="s">
        <v>103</v>
      </c>
      <c r="K2" s="101" t="s">
        <v>104</v>
      </c>
      <c r="L2" s="102" t="s">
        <v>105</v>
      </c>
      <c r="M2" s="102" t="s">
        <v>106</v>
      </c>
    </row>
    <row r="3" spans="1:13" ht="15.75" customHeight="1" thickBot="1" x14ac:dyDescent="0.35">
      <c r="A3" s="158"/>
      <c r="B3" s="159">
        <v>1</v>
      </c>
      <c r="C3" s="166">
        <v>2</v>
      </c>
      <c r="D3" s="171">
        <v>3</v>
      </c>
      <c r="E3" s="166">
        <v>4</v>
      </c>
      <c r="F3" s="171">
        <v>5</v>
      </c>
      <c r="G3" s="166">
        <v>6</v>
      </c>
      <c r="H3" s="171">
        <v>7</v>
      </c>
      <c r="I3" s="166">
        <v>8</v>
      </c>
      <c r="J3" s="160">
        <v>9</v>
      </c>
      <c r="K3" s="160">
        <v>10</v>
      </c>
      <c r="L3" s="171">
        <v>11</v>
      </c>
      <c r="M3" s="166">
        <v>12</v>
      </c>
    </row>
    <row r="4" spans="1:13" x14ac:dyDescent="0.3">
      <c r="A4" s="158" t="s">
        <v>150</v>
      </c>
      <c r="B4" s="161" t="s">
        <v>209</v>
      </c>
      <c r="C4" s="167" t="s">
        <v>209</v>
      </c>
      <c r="D4" s="165" t="str">
        <f ca="1">IF('NGS Run Record'!C33="","",'NGS Run Record'!C33)</f>
        <v>NTC</v>
      </c>
      <c r="E4" s="170" t="str">
        <f ca="1">Table4[[#This Row],[Column4]]</f>
        <v>NTC</v>
      </c>
      <c r="F4" s="172" t="str">
        <f ca="1">IF('NGS Run Record'!C41="","",'NGS Run Record'!C41)</f>
        <v>25BH-016MP0014</v>
      </c>
      <c r="G4" s="170" t="str">
        <f ca="1">Table4[[#This Row],[Column6]]</f>
        <v>25BH-016MP0014</v>
      </c>
      <c r="H4" s="172" t="str">
        <f ca="1">IF('NGS Run Record'!C49="","",'NGS Run Record'!C49)</f>
        <v>25BH-017MP0002</v>
      </c>
      <c r="I4" s="170" t="str">
        <f ca="1">Table4[[#This Row],[Column8]]</f>
        <v>25BH-017MP0002</v>
      </c>
      <c r="J4" s="174" t="str">
        <f ca="1">IF('NGS Run Record'!C57="","",'NGS Run Record'!C57)</f>
        <v/>
      </c>
      <c r="K4" s="175" t="str">
        <f ca="1">Table4[[#This Row],[Column10]]</f>
        <v/>
      </c>
      <c r="L4" s="172" t="str">
        <f ca="1">IF('NGS Run Record'!C65="","",'NGS Run Record'!C65)</f>
        <v/>
      </c>
      <c r="M4" s="170" t="str">
        <f ca="1">Table4[[#This Row],[Column12]]</f>
        <v/>
      </c>
    </row>
    <row r="5" spans="1:13" x14ac:dyDescent="0.3">
      <c r="A5" s="158" t="s">
        <v>151</v>
      </c>
      <c r="B5" s="162" t="s">
        <v>202</v>
      </c>
      <c r="C5" s="168" t="s">
        <v>202</v>
      </c>
      <c r="D5" s="165" t="str">
        <f ca="1">IF('NGS Run Record'!C34="","",'NGS Run Record'!C34)</f>
        <v>C00026B</v>
      </c>
      <c r="E5" s="170" t="str">
        <f ca="1">Table4[[#This Row],[Column4]]</f>
        <v>C00026B</v>
      </c>
      <c r="F5" s="172" t="str">
        <f ca="1">IF('NGS Run Record'!C42="","",'NGS Run Record'!C42)</f>
        <v>25BH-016MP0016</v>
      </c>
      <c r="G5" s="170" t="str">
        <f ca="1">Table4[[#This Row],[Column6]]</f>
        <v>25BH-016MP0016</v>
      </c>
      <c r="H5" s="172" t="str">
        <f ca="1">IF('NGS Run Record'!C50="","",'NGS Run Record'!C50)</f>
        <v>25BH-017MP0005</v>
      </c>
      <c r="I5" s="170" t="str">
        <f ca="1">Table4[[#This Row],[Column8]]</f>
        <v>25BH-017MP0005</v>
      </c>
      <c r="J5" s="165" t="str">
        <f ca="1">IF('NGS Run Record'!C58="","",'NGS Run Record'!C58)</f>
        <v/>
      </c>
      <c r="K5" s="175" t="str">
        <f ca="1">Table4[[#This Row],[Column10]]</f>
        <v/>
      </c>
      <c r="L5" s="172" t="str">
        <f ca="1">IF('NGS Run Record'!C66="","",'NGS Run Record'!C66)</f>
        <v/>
      </c>
      <c r="M5" s="170" t="str">
        <f ca="1">Table4[[#This Row],[Column12]]</f>
        <v/>
      </c>
    </row>
    <row r="6" spans="1:13" x14ac:dyDescent="0.3">
      <c r="A6" s="158" t="s">
        <v>152</v>
      </c>
      <c r="B6" s="162" t="s">
        <v>203</v>
      </c>
      <c r="C6" s="168" t="s">
        <v>203</v>
      </c>
      <c r="D6" s="165" t="str">
        <f ca="1">IF('NGS Run Record'!C35="","",'NGS Run Record'!C35)</f>
        <v>25BH-015MP0030</v>
      </c>
      <c r="E6" s="170" t="str">
        <f ca="1">Table4[[#This Row],[Column4]]</f>
        <v>25BH-015MP0030</v>
      </c>
      <c r="F6" s="172" t="str">
        <f ca="1">IF('NGS Run Record'!C43="","",'NGS Run Record'!C43)</f>
        <v>25BH-016MP0022</v>
      </c>
      <c r="G6" s="170" t="str">
        <f ca="1">Table4[[#This Row],[Column6]]</f>
        <v>25BH-016MP0022</v>
      </c>
      <c r="H6" s="172" t="str">
        <f ca="1">IF('NGS Run Record'!C51="","",'NGS Run Record'!C51)</f>
        <v/>
      </c>
      <c r="I6" s="170" t="str">
        <f ca="1">Table4[[#This Row],[Column8]]</f>
        <v/>
      </c>
      <c r="J6" s="165" t="str">
        <f ca="1">IF('NGS Run Record'!C59="","",'NGS Run Record'!C59)</f>
        <v/>
      </c>
      <c r="K6" s="175" t="str">
        <f ca="1">Table4[[#This Row],[Column10]]</f>
        <v/>
      </c>
      <c r="L6" s="172" t="str">
        <f ca="1">IF('NGS Run Record'!C67="","",'NGS Run Record'!C67)</f>
        <v/>
      </c>
      <c r="M6" s="170" t="str">
        <f ca="1">Table4[[#This Row],[Column12]]</f>
        <v/>
      </c>
    </row>
    <row r="7" spans="1:13" x14ac:dyDescent="0.3">
      <c r="A7" s="158" t="s">
        <v>153</v>
      </c>
      <c r="B7" s="162" t="s">
        <v>204</v>
      </c>
      <c r="C7" s="168" t="s">
        <v>204</v>
      </c>
      <c r="D7" s="165" t="str">
        <f ca="1">IF('NGS Run Record'!C36="","",'NGS Run Record'!C36)</f>
        <v>25BH-015MP0025</v>
      </c>
      <c r="E7" s="170" t="str">
        <f ca="1">Table4[[#This Row],[Column4]]</f>
        <v>25BH-015MP0025</v>
      </c>
      <c r="F7" s="172" t="str">
        <f ca="1">IF('NGS Run Record'!C44="","",'NGS Run Record'!C44)</f>
        <v>25BH-016MP0018</v>
      </c>
      <c r="G7" s="170" t="str">
        <f ca="1">Table4[[#This Row],[Column6]]</f>
        <v>25BH-016MP0018</v>
      </c>
      <c r="H7" s="172" t="str">
        <f ca="1">IF('NGS Run Record'!C52="","",'NGS Run Record'!C52)</f>
        <v/>
      </c>
      <c r="I7" s="170" t="str">
        <f ca="1">Table4[[#This Row],[Column8]]</f>
        <v/>
      </c>
      <c r="J7" s="165" t="str">
        <f ca="1">IF('NGS Run Record'!C60="","",'NGS Run Record'!C60)</f>
        <v/>
      </c>
      <c r="K7" s="175" t="str">
        <f ca="1">Table4[[#This Row],[Column10]]</f>
        <v/>
      </c>
      <c r="L7" s="172" t="str">
        <f ca="1">IF('NGS Run Record'!C68="","",'NGS Run Record'!C68)</f>
        <v/>
      </c>
      <c r="M7" s="170" t="str">
        <f ca="1">Table4[[#This Row],[Column12]]</f>
        <v/>
      </c>
    </row>
    <row r="8" spans="1:13" x14ac:dyDescent="0.3">
      <c r="A8" s="158" t="s">
        <v>154</v>
      </c>
      <c r="B8" s="162" t="s">
        <v>205</v>
      </c>
      <c r="C8" s="168" t="s">
        <v>205</v>
      </c>
      <c r="D8" s="165" t="str">
        <f ca="1">IF('NGS Run Record'!C37="","",'NGS Run Record'!C37)</f>
        <v>25BH-016MP0005</v>
      </c>
      <c r="E8" s="170" t="str">
        <f ca="1">Table4[[#This Row],[Column4]]</f>
        <v>25BH-016MP0005</v>
      </c>
      <c r="F8" s="172" t="str">
        <f ca="1">IF('NGS Run Record'!C45="","",'NGS Run Record'!C45)</f>
        <v>25BH-016MP0036</v>
      </c>
      <c r="G8" s="170" t="str">
        <f ca="1">Table4[[#This Row],[Column6]]</f>
        <v>25BH-016MP0036</v>
      </c>
      <c r="H8" s="172" t="str">
        <f ca="1">IF('NGS Run Record'!C53="","",'NGS Run Record'!C53)</f>
        <v/>
      </c>
      <c r="I8" s="170" t="str">
        <f ca="1">Table4[[#This Row],[Column8]]</f>
        <v/>
      </c>
      <c r="J8" s="165" t="str">
        <f ca="1">IF('NGS Run Record'!C61="","",'NGS Run Record'!C61)</f>
        <v/>
      </c>
      <c r="K8" s="175" t="str">
        <f ca="1">Table4[[#This Row],[Column10]]</f>
        <v/>
      </c>
      <c r="L8" s="172" t="str">
        <f ca="1">IF('NGS Run Record'!C69="","",'NGS Run Record'!C69)</f>
        <v/>
      </c>
      <c r="M8" s="170" t="str">
        <f ca="1">Table4[[#This Row],[Column12]]</f>
        <v/>
      </c>
    </row>
    <row r="9" spans="1:13" x14ac:dyDescent="0.3">
      <c r="A9" s="158" t="s">
        <v>144</v>
      </c>
      <c r="B9" s="162" t="s">
        <v>206</v>
      </c>
      <c r="C9" s="168" t="s">
        <v>206</v>
      </c>
      <c r="D9" s="165" t="str">
        <f ca="1">IF('NGS Run Record'!C38="","",'NGS Run Record'!C38)</f>
        <v>25BH-015MP0031</v>
      </c>
      <c r="E9" s="170" t="str">
        <f ca="1">Table4[[#This Row],[Column4]]</f>
        <v>25BH-015MP0031</v>
      </c>
      <c r="F9" s="172" t="str">
        <f ca="1">IF('NGS Run Record'!C46="","",'NGS Run Record'!C46)</f>
        <v>25BH-016MP0029</v>
      </c>
      <c r="G9" s="170" t="str">
        <f ca="1">Table4[[#This Row],[Column6]]</f>
        <v>25BH-016MP0029</v>
      </c>
      <c r="H9" s="172" t="str">
        <f ca="1">IF('NGS Run Record'!C54="","",'NGS Run Record'!C54)</f>
        <v/>
      </c>
      <c r="I9" s="170" t="str">
        <f ca="1">Table4[[#This Row],[Column8]]</f>
        <v/>
      </c>
      <c r="J9" s="165" t="str">
        <f ca="1">IF('NGS Run Record'!C62="","",'NGS Run Record'!C62)</f>
        <v/>
      </c>
      <c r="K9" s="175" t="str">
        <f ca="1">Table4[[#This Row],[Column10]]</f>
        <v/>
      </c>
      <c r="L9" s="172" t="str">
        <f ca="1">IF('NGS Run Record'!C70="","",'NGS Run Record'!C70)</f>
        <v/>
      </c>
      <c r="M9" s="170" t="str">
        <f ca="1">Table4[[#This Row],[Column12]]</f>
        <v/>
      </c>
    </row>
    <row r="10" spans="1:13" x14ac:dyDescent="0.3">
      <c r="A10" s="158" t="s">
        <v>155</v>
      </c>
      <c r="B10" s="162" t="s">
        <v>207</v>
      </c>
      <c r="C10" s="168" t="s">
        <v>207</v>
      </c>
      <c r="D10" s="165" t="str">
        <f ca="1">IF('NGS Run Record'!C39="","",'NGS Run Record'!C39)</f>
        <v>25BH-016MP0003</v>
      </c>
      <c r="E10" s="170" t="str">
        <f ca="1">Table4[[#This Row],[Column4]]</f>
        <v>25BH-016MP0003</v>
      </c>
      <c r="F10" s="172" t="str">
        <f ca="1">IF('NGS Run Record'!C47="","",'NGS Run Record'!C47)</f>
        <v>25BH-016MP0034</v>
      </c>
      <c r="G10" s="170" t="str">
        <f ca="1">Table4[[#This Row],[Column6]]</f>
        <v>25BH-016MP0034</v>
      </c>
      <c r="H10" s="172" t="str">
        <f ca="1">IF('NGS Run Record'!C55="","",'NGS Run Record'!C55)</f>
        <v/>
      </c>
      <c r="I10" s="170" t="str">
        <f ca="1">Table4[[#This Row],[Column8]]</f>
        <v/>
      </c>
      <c r="J10" s="165" t="str">
        <f ca="1">IF('NGS Run Record'!C63="","",'NGS Run Record'!C63)</f>
        <v/>
      </c>
      <c r="K10" s="175" t="str">
        <f ca="1">Table4[[#This Row],[Column10]]</f>
        <v/>
      </c>
      <c r="L10" s="172" t="str">
        <f ca="1">IF('NGS Run Record'!C71="","",'NGS Run Record'!C71)</f>
        <v/>
      </c>
      <c r="M10" s="170" t="str">
        <f ca="1">Table4[[#This Row],[Column12]]</f>
        <v/>
      </c>
    </row>
    <row r="11" spans="1:13" x14ac:dyDescent="0.3">
      <c r="A11" s="163" t="s">
        <v>156</v>
      </c>
      <c r="B11" s="164" t="s">
        <v>208</v>
      </c>
      <c r="C11" s="169" t="s">
        <v>208</v>
      </c>
      <c r="D11" s="165" t="str">
        <f ca="1">IF('NGS Run Record'!C40="","",'NGS Run Record'!C40)</f>
        <v>25BH-016MP0015</v>
      </c>
      <c r="E11" s="170" t="str">
        <f ca="1">Table4[[#This Row],[Column4]]</f>
        <v>25BH-016MP0015</v>
      </c>
      <c r="F11" s="172" t="str">
        <f ca="1">IF('NGS Run Record'!C48="","",'NGS Run Record'!C48)</f>
        <v>25BH-016MP0031</v>
      </c>
      <c r="G11" s="170" t="str">
        <f ca="1">Table4[[#This Row],[Column6]]</f>
        <v>25BH-016MP0031</v>
      </c>
      <c r="H11" s="172" t="str">
        <f ca="1">IF('NGS Run Record'!C56="","",'NGS Run Record'!C56)</f>
        <v/>
      </c>
      <c r="I11" s="170" t="str">
        <f ca="1">Table4[[#This Row],[Column8]]</f>
        <v/>
      </c>
      <c r="J11" s="165" t="str">
        <f ca="1">IF('NGS Run Record'!C64="","",'NGS Run Record'!C64)</f>
        <v/>
      </c>
      <c r="K11" s="175" t="str">
        <f ca="1">Table4[[#This Row],[Column10]]</f>
        <v/>
      </c>
      <c r="L11" s="172" t="str">
        <f ca="1">IF('NGS Run Record'!C72="","",'NGS Run Record'!C72)</f>
        <v/>
      </c>
      <c r="M11" s="170" t="str">
        <f ca="1">Table4[[#This Row],[Column12]]</f>
        <v/>
      </c>
    </row>
    <row r="16" spans="1:13" x14ac:dyDescent="0.3">
      <c r="B16" s="99" t="str">
        <f ca="1">TEXT(200*('NGS Run Record'!E74*2+16)*1.1/1000,"0")</f>
        <v>11</v>
      </c>
    </row>
  </sheetData>
  <sheetProtection selectLockedCells="1" selectUnlockedCells="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D4"/>
  <sheetViews>
    <sheetView workbookViewId="0">
      <selection activeCell="I11" sqref="I11"/>
    </sheetView>
  </sheetViews>
  <sheetFormatPr defaultRowHeight="16.5" x14ac:dyDescent="0.3"/>
  <cols>
    <col min="1" max="1" width="16.140625" customWidth="1"/>
    <col min="2" max="3" width="17.42578125" customWidth="1"/>
  </cols>
  <sheetData>
    <row r="1" spans="1:4" x14ac:dyDescent="0.3">
      <c r="A1" t="s">
        <v>195</v>
      </c>
      <c r="B1" t="s">
        <v>196</v>
      </c>
      <c r="C1" t="s">
        <v>198</v>
      </c>
      <c r="D1" t="s">
        <v>93</v>
      </c>
    </row>
    <row r="2" spans="1:4" x14ac:dyDescent="0.3">
      <c r="A2" s="136">
        <v>43455</v>
      </c>
      <c r="B2" t="s">
        <v>193</v>
      </c>
      <c r="C2" t="s">
        <v>199</v>
      </c>
      <c r="D2" t="s">
        <v>197</v>
      </c>
    </row>
    <row r="3" spans="1:4" x14ac:dyDescent="0.3">
      <c r="A3" s="136">
        <v>43826</v>
      </c>
      <c r="B3" t="s">
        <v>193</v>
      </c>
      <c r="C3" t="s">
        <v>200</v>
      </c>
      <c r="D3" t="s">
        <v>201</v>
      </c>
    </row>
    <row r="4" spans="1:4" x14ac:dyDescent="0.3">
      <c r="A4" s="136">
        <v>45257</v>
      </c>
      <c r="B4" t="s">
        <v>211</v>
      </c>
      <c r="C4" t="s">
        <v>213</v>
      </c>
      <c r="D4" t="s">
        <v>214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E21"/>
  <sheetViews>
    <sheetView workbookViewId="0">
      <selection activeCell="A3" sqref="A3"/>
    </sheetView>
  </sheetViews>
  <sheetFormatPr defaultRowHeight="16.5" x14ac:dyDescent="0.3"/>
  <cols>
    <col min="2" max="2" width="31.85546875" customWidth="1"/>
    <col min="3" max="3" width="12.42578125" customWidth="1"/>
    <col min="4" max="4" width="26.85546875" customWidth="1"/>
  </cols>
  <sheetData>
    <row r="1" spans="1:5" x14ac:dyDescent="0.3">
      <c r="A1" t="str">
        <f>AssayID</f>
        <v>NGS 25-CM13  Library QC__CL</v>
      </c>
      <c r="C1" t="str">
        <f>A1&amp;" PP"</f>
        <v>NGS 25-CM13  Library QC__CL PP</v>
      </c>
      <c r="E1" t="str">
        <f>PlateP7</f>
        <v>NGS 25-CM13  Library QC__CL PP</v>
      </c>
    </row>
    <row r="2" spans="1:5" x14ac:dyDescent="0.3">
      <c r="A2" t="str">
        <f>A1</f>
        <v>NGS 25-CM13  Library QC__CL</v>
      </c>
      <c r="C2" t="str">
        <f>A2&amp;" LQC"</f>
        <v>NGS 25-CM13  Library QC__CL LQC</v>
      </c>
    </row>
    <row r="3" spans="1:5" x14ac:dyDescent="0.3">
      <c r="A3" t="str">
        <f t="shared" ref="A3:A21" si="0">A2</f>
        <v>NGS 25-CM13  Library QC__CL</v>
      </c>
    </row>
    <row r="4" spans="1:5" x14ac:dyDescent="0.3">
      <c r="A4" t="str">
        <f t="shared" si="0"/>
        <v>NGS 25-CM13  Library QC__CL</v>
      </c>
    </row>
    <row r="5" spans="1:5" x14ac:dyDescent="0.3">
      <c r="A5" t="str">
        <f t="shared" si="0"/>
        <v>NGS 25-CM13  Library QC__CL</v>
      </c>
    </row>
    <row r="6" spans="1:5" x14ac:dyDescent="0.3">
      <c r="A6" t="str">
        <f t="shared" si="0"/>
        <v>NGS 25-CM13  Library QC__CL</v>
      </c>
    </row>
    <row r="7" spans="1:5" x14ac:dyDescent="0.3">
      <c r="A7" t="str">
        <f t="shared" si="0"/>
        <v>NGS 25-CM13  Library QC__CL</v>
      </c>
    </row>
    <row r="8" spans="1:5" x14ac:dyDescent="0.3">
      <c r="A8" t="str">
        <f t="shared" si="0"/>
        <v>NGS 25-CM13  Library QC__CL</v>
      </c>
    </row>
    <row r="9" spans="1:5" x14ac:dyDescent="0.3">
      <c r="A9" t="str">
        <f t="shared" si="0"/>
        <v>NGS 25-CM13  Library QC__CL</v>
      </c>
    </row>
    <row r="10" spans="1:5" x14ac:dyDescent="0.3">
      <c r="A10" t="str">
        <f t="shared" si="0"/>
        <v>NGS 25-CM13  Library QC__CL</v>
      </c>
    </row>
    <row r="11" spans="1:5" x14ac:dyDescent="0.3">
      <c r="A11" t="str">
        <f t="shared" si="0"/>
        <v>NGS 25-CM13  Library QC__CL</v>
      </c>
    </row>
    <row r="12" spans="1:5" x14ac:dyDescent="0.3">
      <c r="A12" t="str">
        <f t="shared" si="0"/>
        <v>NGS 25-CM13  Library QC__CL</v>
      </c>
    </row>
    <row r="13" spans="1:5" x14ac:dyDescent="0.3">
      <c r="A13" t="str">
        <f t="shared" si="0"/>
        <v>NGS 25-CM13  Library QC__CL</v>
      </c>
    </row>
    <row r="14" spans="1:5" x14ac:dyDescent="0.3">
      <c r="A14" t="str">
        <f>'Patient List'!V2</f>
        <v xml:space="preserve">NGS 25-CM13 </v>
      </c>
    </row>
    <row r="15" spans="1:5" x14ac:dyDescent="0.3">
      <c r="A15" t="str">
        <f>AssayID13</f>
        <v>NGS 25-CM13  Library QC__CL</v>
      </c>
    </row>
    <row r="16" spans="1:5" x14ac:dyDescent="0.3">
      <c r="A16" t="str">
        <f t="shared" si="0"/>
        <v>NGS 25-CM13  Library QC__CL</v>
      </c>
    </row>
    <row r="17" spans="1:1" x14ac:dyDescent="0.3">
      <c r="A17" t="str">
        <f t="shared" si="0"/>
        <v>NGS 25-CM13  Library QC__CL</v>
      </c>
    </row>
    <row r="18" spans="1:1" x14ac:dyDescent="0.3">
      <c r="A18" t="str">
        <f t="shared" si="0"/>
        <v>NGS 25-CM13  Library QC__CL</v>
      </c>
    </row>
    <row r="19" spans="1:1" x14ac:dyDescent="0.3">
      <c r="A19" t="str">
        <f t="shared" si="0"/>
        <v>NGS 25-CM13  Library QC__CL</v>
      </c>
    </row>
    <row r="20" spans="1:1" x14ac:dyDescent="0.3">
      <c r="A20" t="str">
        <f t="shared" si="0"/>
        <v>NGS 25-CM13  Library QC__CL</v>
      </c>
    </row>
    <row r="21" spans="1:1" x14ac:dyDescent="0.3">
      <c r="A21" t="str">
        <f t="shared" si="0"/>
        <v>NGS 25-CM13  Library QC__CL</v>
      </c>
    </row>
  </sheetData>
  <sheetProtection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37</vt:i4>
      </vt:variant>
    </vt:vector>
  </HeadingPairs>
  <TitlesOfParts>
    <vt:vector size="49" baseType="lpstr">
      <vt:lpstr>Instructions - NEW ASSAY</vt:lpstr>
      <vt:lpstr>Patient List</vt:lpstr>
      <vt:lpstr>NGS Run Record</vt:lpstr>
      <vt:lpstr>Targeted Enrichment</vt:lpstr>
      <vt:lpstr>Debug</vt:lpstr>
      <vt:lpstr>Bookmarks List</vt:lpstr>
      <vt:lpstr>Sheet2</vt:lpstr>
      <vt:lpstr>Sample List</vt:lpstr>
      <vt:lpstr>Table1</vt:lpstr>
      <vt:lpstr>Table2</vt:lpstr>
      <vt:lpstr>Version track</vt:lpstr>
      <vt:lpstr>bookmarks</vt:lpstr>
      <vt:lpstr>AssayID</vt:lpstr>
      <vt:lpstr>AssayID10</vt:lpstr>
      <vt:lpstr>AssayID11</vt:lpstr>
      <vt:lpstr>AssayID12</vt:lpstr>
      <vt:lpstr>AssayID13</vt:lpstr>
      <vt:lpstr>AssayID14</vt:lpstr>
      <vt:lpstr>AssayID15</vt:lpstr>
      <vt:lpstr>AssayID16</vt:lpstr>
      <vt:lpstr>AssayID17</vt:lpstr>
      <vt:lpstr>AssayID18</vt:lpstr>
      <vt:lpstr>AssayID19</vt:lpstr>
      <vt:lpstr>AssayID2</vt:lpstr>
      <vt:lpstr>AssayID20</vt:lpstr>
      <vt:lpstr>AssayID21</vt:lpstr>
      <vt:lpstr>AssayID3</vt:lpstr>
      <vt:lpstr>AssayID4</vt:lpstr>
      <vt:lpstr>AssayID5</vt:lpstr>
      <vt:lpstr>AssayID6</vt:lpstr>
      <vt:lpstr>AssayID7</vt:lpstr>
      <vt:lpstr>AssayID8</vt:lpstr>
      <vt:lpstr>AssayID9</vt:lpstr>
      <vt:lpstr>DocName</vt:lpstr>
      <vt:lpstr>insert1</vt:lpstr>
      <vt:lpstr>insert2</vt:lpstr>
      <vt:lpstr>insert3</vt:lpstr>
      <vt:lpstr>insert4</vt:lpstr>
      <vt:lpstr>insert5</vt:lpstr>
      <vt:lpstr>insert6</vt:lpstr>
      <vt:lpstr>insert7</vt:lpstr>
      <vt:lpstr>insert8</vt:lpstr>
      <vt:lpstr>PlateP7</vt:lpstr>
      <vt:lpstr>PlateP8</vt:lpstr>
      <vt:lpstr>RunDate</vt:lpstr>
      <vt:lpstr>'NGS Run Record'!SavePath</vt:lpstr>
      <vt:lpstr>Technician</vt:lpstr>
      <vt:lpstr>'NGS Run Record'!TemplateFile</vt:lpstr>
      <vt:lpstr>volume</vt:lpstr>
    </vt:vector>
  </TitlesOfParts>
  <Company>The 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Chunhua Li</cp:lastModifiedBy>
  <dcterms:created xsi:type="dcterms:W3CDTF">2016-01-27T17:23:39Z</dcterms:created>
  <dcterms:modified xsi:type="dcterms:W3CDTF">2025-01-22T21:19:46Z</dcterms:modified>
</cp:coreProperties>
</file>